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9316FD25-7D88-4710-9B1D-6C80D4D1BD35}" xr6:coauthVersionLast="47" xr6:coauthVersionMax="47" xr10:uidLastSave="{00000000-0000-0000-0000-000000000000}"/>
  <bookViews>
    <workbookView xWindow="-108" yWindow="-108" windowWidth="23256" windowHeight="12576" xr2:uid="{250EEE89-0E5F-4039-8FCB-DEED63925DFA}"/>
  </bookViews>
  <sheets>
    <sheet name="rawdata" sheetId="1" r:id="rId1"/>
    <sheet name="transformed_data" sheetId="2" r:id="rId2"/>
    <sheet name="share_of_debt" sheetId="6" r:id="rId3"/>
    <sheet name="share_of_marketable" sheetId="10" r:id="rId4"/>
    <sheet name="public_vs_intragovernmental" sheetId="7" r:id="rId5"/>
    <sheet name="pvt_total_debt" sheetId="4" r:id="rId6"/>
  </sheets>
  <definedNames>
    <definedName name="_xlnm._FilterDatabase" localSheetId="0" hidden="1">rawdata!$A$1:$F$3638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E2" i="10"/>
  <c r="D2" i="10"/>
  <c r="C2" i="10"/>
  <c r="B2" i="10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G62" i="6" l="1"/>
  <c r="G72" i="6"/>
  <c r="G74" i="6"/>
  <c r="G134" i="6"/>
  <c r="G144" i="6"/>
  <c r="G146" i="6"/>
  <c r="G206" i="6"/>
  <c r="G216" i="6"/>
  <c r="G21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" i="6"/>
  <c r="E2" i="6"/>
  <c r="F2" i="6"/>
  <c r="B3" i="6"/>
  <c r="G3" i="6" s="1"/>
  <c r="B4" i="6"/>
  <c r="G4" i="6" s="1"/>
  <c r="B5" i="6"/>
  <c r="G5" i="6" s="1"/>
  <c r="B6" i="6"/>
  <c r="G6" i="6" s="1"/>
  <c r="B7" i="6"/>
  <c r="B8" i="6"/>
  <c r="B9" i="6"/>
  <c r="B10" i="6"/>
  <c r="B11" i="6"/>
  <c r="B12" i="6"/>
  <c r="G12" i="6" s="1"/>
  <c r="B13" i="6"/>
  <c r="G13" i="6" s="1"/>
  <c r="B14" i="6"/>
  <c r="G14" i="6" s="1"/>
  <c r="B15" i="6"/>
  <c r="G15" i="6" s="1"/>
  <c r="B16" i="6"/>
  <c r="G16" i="6" s="1"/>
  <c r="B17" i="6"/>
  <c r="G17" i="6" s="1"/>
  <c r="B18" i="6"/>
  <c r="G18" i="6" s="1"/>
  <c r="B19" i="6"/>
  <c r="B20" i="6"/>
  <c r="B21" i="6"/>
  <c r="B22" i="6"/>
  <c r="B23" i="6"/>
  <c r="B24" i="6"/>
  <c r="G24" i="6" s="1"/>
  <c r="B25" i="6"/>
  <c r="G25" i="6" s="1"/>
  <c r="B26" i="6"/>
  <c r="G26" i="6" s="1"/>
  <c r="B27" i="6"/>
  <c r="G27" i="6" s="1"/>
  <c r="B28" i="6"/>
  <c r="G28" i="6" s="1"/>
  <c r="B29" i="6"/>
  <c r="G29" i="6" s="1"/>
  <c r="B30" i="6"/>
  <c r="G30" i="6" s="1"/>
  <c r="B31" i="6"/>
  <c r="B32" i="6"/>
  <c r="B33" i="6"/>
  <c r="B34" i="6"/>
  <c r="B35" i="6"/>
  <c r="B36" i="6"/>
  <c r="G36" i="6" s="1"/>
  <c r="B37" i="6"/>
  <c r="G37" i="6" s="1"/>
  <c r="B38" i="6"/>
  <c r="G38" i="6" s="1"/>
  <c r="B39" i="6"/>
  <c r="G39" i="6" s="1"/>
  <c r="B40" i="6"/>
  <c r="G40" i="6" s="1"/>
  <c r="B41" i="6"/>
  <c r="G41" i="6" s="1"/>
  <c r="B42" i="6"/>
  <c r="G42" i="6" s="1"/>
  <c r="B43" i="6"/>
  <c r="B44" i="6"/>
  <c r="B45" i="6"/>
  <c r="B46" i="6"/>
  <c r="B47" i="6"/>
  <c r="B48" i="6"/>
  <c r="G48" i="6" s="1"/>
  <c r="B49" i="6"/>
  <c r="G49" i="6" s="1"/>
  <c r="B50" i="6"/>
  <c r="G50" i="6" s="1"/>
  <c r="B51" i="6"/>
  <c r="G51" i="6" s="1"/>
  <c r="B52" i="6"/>
  <c r="G52" i="6" s="1"/>
  <c r="B53" i="6"/>
  <c r="G53" i="6" s="1"/>
  <c r="B54" i="6"/>
  <c r="G54" i="6" s="1"/>
  <c r="B55" i="6"/>
  <c r="B56" i="6"/>
  <c r="B57" i="6"/>
  <c r="B58" i="6"/>
  <c r="B59" i="6"/>
  <c r="B60" i="6"/>
  <c r="G60" i="6" s="1"/>
  <c r="B61" i="6"/>
  <c r="G61" i="6" s="1"/>
  <c r="B62" i="6"/>
  <c r="B63" i="6"/>
  <c r="G63" i="6" s="1"/>
  <c r="B64" i="6"/>
  <c r="G64" i="6" s="1"/>
  <c r="B65" i="6"/>
  <c r="G65" i="6" s="1"/>
  <c r="B66" i="6"/>
  <c r="G66" i="6" s="1"/>
  <c r="B67" i="6"/>
  <c r="B68" i="6"/>
  <c r="B69" i="6"/>
  <c r="B70" i="6"/>
  <c r="B71" i="6"/>
  <c r="B72" i="6"/>
  <c r="B73" i="6"/>
  <c r="G73" i="6" s="1"/>
  <c r="B74" i="6"/>
  <c r="B75" i="6"/>
  <c r="G75" i="6" s="1"/>
  <c r="B76" i="6"/>
  <c r="G76" i="6" s="1"/>
  <c r="B77" i="6"/>
  <c r="G77" i="6" s="1"/>
  <c r="B78" i="6"/>
  <c r="G78" i="6" s="1"/>
  <c r="B79" i="6"/>
  <c r="B80" i="6"/>
  <c r="B81" i="6"/>
  <c r="B82" i="6"/>
  <c r="B83" i="6"/>
  <c r="B84" i="6"/>
  <c r="G84" i="6" s="1"/>
  <c r="B85" i="6"/>
  <c r="G85" i="6" s="1"/>
  <c r="B86" i="6"/>
  <c r="G86" i="6" s="1"/>
  <c r="B87" i="6"/>
  <c r="G87" i="6" s="1"/>
  <c r="B88" i="6"/>
  <c r="G88" i="6" s="1"/>
  <c r="B89" i="6"/>
  <c r="G89" i="6" s="1"/>
  <c r="B90" i="6"/>
  <c r="G90" i="6" s="1"/>
  <c r="B91" i="6"/>
  <c r="B92" i="6"/>
  <c r="B93" i="6"/>
  <c r="B94" i="6"/>
  <c r="B95" i="6"/>
  <c r="B96" i="6"/>
  <c r="G96" i="6" s="1"/>
  <c r="B97" i="6"/>
  <c r="G97" i="6" s="1"/>
  <c r="B98" i="6"/>
  <c r="G98" i="6" s="1"/>
  <c r="B99" i="6"/>
  <c r="G99" i="6" s="1"/>
  <c r="B100" i="6"/>
  <c r="G100" i="6" s="1"/>
  <c r="B101" i="6"/>
  <c r="G101" i="6" s="1"/>
  <c r="B102" i="6"/>
  <c r="G102" i="6" s="1"/>
  <c r="B103" i="6"/>
  <c r="B104" i="6"/>
  <c r="B105" i="6"/>
  <c r="B106" i="6"/>
  <c r="B107" i="6"/>
  <c r="B108" i="6"/>
  <c r="G108" i="6" s="1"/>
  <c r="B109" i="6"/>
  <c r="G109" i="6" s="1"/>
  <c r="B110" i="6"/>
  <c r="G110" i="6" s="1"/>
  <c r="B111" i="6"/>
  <c r="G111" i="6" s="1"/>
  <c r="B112" i="6"/>
  <c r="G112" i="6" s="1"/>
  <c r="B113" i="6"/>
  <c r="G113" i="6" s="1"/>
  <c r="B114" i="6"/>
  <c r="G114" i="6" s="1"/>
  <c r="B115" i="6"/>
  <c r="B116" i="6"/>
  <c r="B117" i="6"/>
  <c r="B118" i="6"/>
  <c r="B119" i="6"/>
  <c r="B120" i="6"/>
  <c r="G120" i="6" s="1"/>
  <c r="B121" i="6"/>
  <c r="G121" i="6" s="1"/>
  <c r="B122" i="6"/>
  <c r="G122" i="6" s="1"/>
  <c r="B123" i="6"/>
  <c r="G123" i="6" s="1"/>
  <c r="B124" i="6"/>
  <c r="G124" i="6" s="1"/>
  <c r="B125" i="6"/>
  <c r="G125" i="6" s="1"/>
  <c r="B126" i="6"/>
  <c r="G126" i="6" s="1"/>
  <c r="B127" i="6"/>
  <c r="B128" i="6"/>
  <c r="B129" i="6"/>
  <c r="B130" i="6"/>
  <c r="B131" i="6"/>
  <c r="B132" i="6"/>
  <c r="G132" i="6" s="1"/>
  <c r="B133" i="6"/>
  <c r="G133" i="6" s="1"/>
  <c r="B134" i="6"/>
  <c r="B135" i="6"/>
  <c r="G135" i="6" s="1"/>
  <c r="B136" i="6"/>
  <c r="G136" i="6" s="1"/>
  <c r="B137" i="6"/>
  <c r="G137" i="6" s="1"/>
  <c r="B138" i="6"/>
  <c r="G138" i="6" s="1"/>
  <c r="B139" i="6"/>
  <c r="B140" i="6"/>
  <c r="B141" i="6"/>
  <c r="B142" i="6"/>
  <c r="B143" i="6"/>
  <c r="B144" i="6"/>
  <c r="B145" i="6"/>
  <c r="G145" i="6" s="1"/>
  <c r="B146" i="6"/>
  <c r="B147" i="6"/>
  <c r="G147" i="6" s="1"/>
  <c r="B148" i="6"/>
  <c r="G148" i="6" s="1"/>
  <c r="B149" i="6"/>
  <c r="G149" i="6" s="1"/>
  <c r="B150" i="6"/>
  <c r="G150" i="6" s="1"/>
  <c r="B151" i="6"/>
  <c r="B152" i="6"/>
  <c r="B153" i="6"/>
  <c r="B154" i="6"/>
  <c r="B155" i="6"/>
  <c r="B156" i="6"/>
  <c r="G156" i="6" s="1"/>
  <c r="B157" i="6"/>
  <c r="G157" i="6" s="1"/>
  <c r="B158" i="6"/>
  <c r="G158" i="6" s="1"/>
  <c r="B159" i="6"/>
  <c r="G159" i="6" s="1"/>
  <c r="B160" i="6"/>
  <c r="G160" i="6" s="1"/>
  <c r="B161" i="6"/>
  <c r="G161" i="6" s="1"/>
  <c r="B162" i="6"/>
  <c r="G162" i="6" s="1"/>
  <c r="B163" i="6"/>
  <c r="B164" i="6"/>
  <c r="B165" i="6"/>
  <c r="B166" i="6"/>
  <c r="B167" i="6"/>
  <c r="B168" i="6"/>
  <c r="G168" i="6" s="1"/>
  <c r="B169" i="6"/>
  <c r="G169" i="6" s="1"/>
  <c r="B170" i="6"/>
  <c r="G170" i="6" s="1"/>
  <c r="B171" i="6"/>
  <c r="G171" i="6" s="1"/>
  <c r="B172" i="6"/>
  <c r="G172" i="6" s="1"/>
  <c r="B173" i="6"/>
  <c r="G173" i="6" s="1"/>
  <c r="B174" i="6"/>
  <c r="G174" i="6" s="1"/>
  <c r="B175" i="6"/>
  <c r="B176" i="6"/>
  <c r="B177" i="6"/>
  <c r="B178" i="6"/>
  <c r="B179" i="6"/>
  <c r="B180" i="6"/>
  <c r="G180" i="6" s="1"/>
  <c r="B181" i="6"/>
  <c r="G181" i="6" s="1"/>
  <c r="B182" i="6"/>
  <c r="G182" i="6" s="1"/>
  <c r="B183" i="6"/>
  <c r="G183" i="6" s="1"/>
  <c r="B184" i="6"/>
  <c r="G184" i="6" s="1"/>
  <c r="B185" i="6"/>
  <c r="G185" i="6" s="1"/>
  <c r="B186" i="6"/>
  <c r="G186" i="6" s="1"/>
  <c r="B187" i="6"/>
  <c r="B188" i="6"/>
  <c r="B189" i="6"/>
  <c r="B190" i="6"/>
  <c r="B191" i="6"/>
  <c r="B192" i="6"/>
  <c r="G192" i="6" s="1"/>
  <c r="B193" i="6"/>
  <c r="G193" i="6" s="1"/>
  <c r="B194" i="6"/>
  <c r="G194" i="6" s="1"/>
  <c r="B195" i="6"/>
  <c r="G195" i="6" s="1"/>
  <c r="B196" i="6"/>
  <c r="G196" i="6" s="1"/>
  <c r="B197" i="6"/>
  <c r="G197" i="6" s="1"/>
  <c r="B198" i="6"/>
  <c r="G198" i="6" s="1"/>
  <c r="B199" i="6"/>
  <c r="B200" i="6"/>
  <c r="B201" i="6"/>
  <c r="B202" i="6"/>
  <c r="B203" i="6"/>
  <c r="B204" i="6"/>
  <c r="G204" i="6" s="1"/>
  <c r="B205" i="6"/>
  <c r="G205" i="6" s="1"/>
  <c r="B206" i="6"/>
  <c r="B207" i="6"/>
  <c r="G207" i="6" s="1"/>
  <c r="B208" i="6"/>
  <c r="G208" i="6" s="1"/>
  <c r="B209" i="6"/>
  <c r="G209" i="6" s="1"/>
  <c r="B210" i="6"/>
  <c r="G210" i="6" s="1"/>
  <c r="B211" i="6"/>
  <c r="B212" i="6"/>
  <c r="B213" i="6"/>
  <c r="B214" i="6"/>
  <c r="B215" i="6"/>
  <c r="B216" i="6"/>
  <c r="B217" i="6"/>
  <c r="G217" i="6" s="1"/>
  <c r="B218" i="6"/>
  <c r="B219" i="6"/>
  <c r="G219" i="6" s="1"/>
  <c r="B220" i="6"/>
  <c r="G220" i="6" s="1"/>
  <c r="B221" i="6"/>
  <c r="G221" i="6" s="1"/>
  <c r="B222" i="6"/>
  <c r="G222" i="6" s="1"/>
  <c r="B223" i="6"/>
  <c r="B224" i="6"/>
  <c r="B225" i="6"/>
  <c r="B226" i="6"/>
  <c r="B227" i="6"/>
  <c r="B228" i="6"/>
  <c r="G228" i="6" s="1"/>
  <c r="B229" i="6"/>
  <c r="G229" i="6" s="1"/>
  <c r="B230" i="6"/>
  <c r="G230" i="6" s="1"/>
  <c r="B231" i="6"/>
  <c r="G231" i="6" s="1"/>
  <c r="B232" i="6"/>
  <c r="G232" i="6" s="1"/>
  <c r="B233" i="6"/>
  <c r="G233" i="6" s="1"/>
  <c r="B234" i="6"/>
  <c r="G234" i="6" s="1"/>
  <c r="B235" i="6"/>
  <c r="B236" i="6"/>
  <c r="B237" i="6"/>
  <c r="B238" i="6"/>
  <c r="B239" i="6"/>
  <c r="B240" i="6"/>
  <c r="G240" i="6" s="1"/>
  <c r="B241" i="6"/>
  <c r="G241" i="6" s="1"/>
  <c r="B242" i="6"/>
  <c r="G242" i="6" s="1"/>
  <c r="B2" i="6"/>
  <c r="G2" i="6" s="1"/>
  <c r="A2" i="6" a="1"/>
  <c r="A2" i="6" s="1"/>
  <c r="A2" i="2" a="1"/>
  <c r="H116" i="2" s="1" a="1"/>
  <c r="H116" i="2" s="1"/>
  <c r="G237" i="6" l="1"/>
  <c r="G225" i="6"/>
  <c r="G213" i="6"/>
  <c r="G201" i="6"/>
  <c r="G189" i="6"/>
  <c r="G177" i="6"/>
  <c r="G165" i="6"/>
  <c r="G153" i="6"/>
  <c r="G141" i="6"/>
  <c r="G129" i="6"/>
  <c r="G117" i="6"/>
  <c r="G105" i="6"/>
  <c r="G93" i="6"/>
  <c r="G81" i="6"/>
  <c r="G69" i="6"/>
  <c r="G57" i="6"/>
  <c r="G45" i="6"/>
  <c r="G33" i="6"/>
  <c r="G21" i="6"/>
  <c r="G9" i="6"/>
  <c r="G236" i="6"/>
  <c r="G224" i="6"/>
  <c r="G212" i="6"/>
  <c r="G200" i="6"/>
  <c r="G188" i="6"/>
  <c r="G176" i="6"/>
  <c r="G164" i="6"/>
  <c r="G152" i="6"/>
  <c r="G140" i="6"/>
  <c r="G128" i="6"/>
  <c r="G116" i="6"/>
  <c r="G104" i="6"/>
  <c r="G92" i="6"/>
  <c r="G80" i="6"/>
  <c r="G68" i="6"/>
  <c r="G56" i="6"/>
  <c r="G44" i="6"/>
  <c r="G32" i="6"/>
  <c r="G20" i="6"/>
  <c r="G8" i="6"/>
  <c r="G235" i="6"/>
  <c r="G223" i="6"/>
  <c r="G211" i="6"/>
  <c r="G199" i="6"/>
  <c r="G187" i="6"/>
  <c r="G175" i="6"/>
  <c r="G163" i="6"/>
  <c r="G151" i="6"/>
  <c r="G139" i="6"/>
  <c r="G127" i="6"/>
  <c r="G115" i="6"/>
  <c r="G103" i="6"/>
  <c r="G91" i="6"/>
  <c r="G79" i="6"/>
  <c r="G67" i="6"/>
  <c r="G55" i="6"/>
  <c r="G43" i="6"/>
  <c r="G31" i="6"/>
  <c r="G19" i="6"/>
  <c r="G7" i="6"/>
  <c r="G238" i="6"/>
  <c r="G226" i="6"/>
  <c r="G214" i="6"/>
  <c r="G202" i="6"/>
  <c r="G190" i="6"/>
  <c r="G178" i="6"/>
  <c r="G166" i="6"/>
  <c r="G154" i="6"/>
  <c r="G142" i="6"/>
  <c r="G130" i="6"/>
  <c r="G118" i="6"/>
  <c r="G106" i="6"/>
  <c r="G94" i="6"/>
  <c r="G82" i="6"/>
  <c r="G70" i="6"/>
  <c r="G58" i="6"/>
  <c r="G46" i="6"/>
  <c r="G34" i="6"/>
  <c r="G22" i="6"/>
  <c r="G10" i="6"/>
  <c r="G239" i="6"/>
  <c r="G227" i="6"/>
  <c r="G215" i="6"/>
  <c r="G203" i="6"/>
  <c r="G191" i="6"/>
  <c r="G179" i="6"/>
  <c r="G167" i="6"/>
  <c r="G155" i="6"/>
  <c r="G143" i="6"/>
  <c r="G131" i="6"/>
  <c r="G119" i="6"/>
  <c r="G107" i="6"/>
  <c r="G95" i="6"/>
  <c r="G83" i="6"/>
  <c r="G71" i="6"/>
  <c r="G59" i="6"/>
  <c r="G47" i="6"/>
  <c r="G35" i="6"/>
  <c r="G23" i="6"/>
  <c r="G11" i="6"/>
  <c r="B234" i="2" a="1"/>
  <c r="B234" i="2" s="1"/>
  <c r="B241" i="2" a="1"/>
  <c r="B241" i="2" s="1"/>
  <c r="B237" i="2" a="1"/>
  <c r="B237" i="2" s="1"/>
  <c r="B233" i="2" a="1"/>
  <c r="B233" i="2" s="1"/>
  <c r="B229" i="2" a="1"/>
  <c r="B229" i="2" s="1"/>
  <c r="B225" i="2" a="1"/>
  <c r="B225" i="2" s="1"/>
  <c r="B221" i="2" a="1"/>
  <c r="B221" i="2" s="1"/>
  <c r="B217" i="2" a="1"/>
  <c r="B217" i="2" s="1"/>
  <c r="B213" i="2" a="1"/>
  <c r="B213" i="2" s="1"/>
  <c r="B209" i="2" a="1"/>
  <c r="B209" i="2" s="1"/>
  <c r="B205" i="2" a="1"/>
  <c r="B205" i="2" s="1"/>
  <c r="B201" i="2" a="1"/>
  <c r="B201" i="2" s="1"/>
  <c r="B197" i="2" a="1"/>
  <c r="B197" i="2" s="1"/>
  <c r="B193" i="2" a="1"/>
  <c r="B193" i="2" s="1"/>
  <c r="B189" i="2" a="1"/>
  <c r="B189" i="2" s="1"/>
  <c r="B185" i="2" a="1"/>
  <c r="B185" i="2" s="1"/>
  <c r="B181" i="2" a="1"/>
  <c r="B181" i="2" s="1"/>
  <c r="B177" i="2" a="1"/>
  <c r="B177" i="2" s="1"/>
  <c r="B173" i="2" a="1"/>
  <c r="B173" i="2" s="1"/>
  <c r="B169" i="2" a="1"/>
  <c r="B169" i="2" s="1"/>
  <c r="B165" i="2" a="1"/>
  <c r="B165" i="2" s="1"/>
  <c r="B161" i="2" a="1"/>
  <c r="B161" i="2" s="1"/>
  <c r="B157" i="2" a="1"/>
  <c r="B157" i="2" s="1"/>
  <c r="B153" i="2" a="1"/>
  <c r="B153" i="2" s="1"/>
  <c r="B149" i="2" a="1"/>
  <c r="B149" i="2" s="1"/>
  <c r="B145" i="2" a="1"/>
  <c r="B145" i="2" s="1"/>
  <c r="B141" i="2" a="1"/>
  <c r="B141" i="2" s="1"/>
  <c r="B137" i="2" a="1"/>
  <c r="B137" i="2" s="1"/>
  <c r="B133" i="2" a="1"/>
  <c r="B133" i="2" s="1"/>
  <c r="B129" i="2" a="1"/>
  <c r="B129" i="2" s="1"/>
  <c r="B125" i="2" a="1"/>
  <c r="B125" i="2" s="1"/>
  <c r="B121" i="2" a="1"/>
  <c r="B121" i="2" s="1"/>
  <c r="B117" i="2" a="1"/>
  <c r="B117" i="2" s="1"/>
  <c r="B113" i="2" a="1"/>
  <c r="B113" i="2" s="1"/>
  <c r="B109" i="2" a="1"/>
  <c r="B109" i="2" s="1"/>
  <c r="B105" i="2" a="1"/>
  <c r="B105" i="2" s="1"/>
  <c r="B101" i="2" a="1"/>
  <c r="B101" i="2" s="1"/>
  <c r="C97" i="2" a="1"/>
  <c r="C97" i="2" s="1"/>
  <c r="C93" i="2" a="1"/>
  <c r="C93" i="2" s="1"/>
  <c r="C89" i="2" a="1"/>
  <c r="C89" i="2" s="1"/>
  <c r="C85" i="2" a="1"/>
  <c r="C85" i="2" s="1"/>
  <c r="C81" i="2" a="1"/>
  <c r="C81" i="2" s="1"/>
  <c r="C77" i="2" a="1"/>
  <c r="C77" i="2" s="1"/>
  <c r="C73" i="2" a="1"/>
  <c r="C73" i="2" s="1"/>
  <c r="C69" i="2" a="1"/>
  <c r="C69" i="2" s="1"/>
  <c r="C65" i="2" a="1"/>
  <c r="C65" i="2" s="1"/>
  <c r="C61" i="2" a="1"/>
  <c r="C61" i="2" s="1"/>
  <c r="C57" i="2" a="1"/>
  <c r="C57" i="2" s="1"/>
  <c r="C53" i="2" a="1"/>
  <c r="C53" i="2" s="1"/>
  <c r="C49" i="2" a="1"/>
  <c r="C49" i="2" s="1"/>
  <c r="C45" i="2" a="1"/>
  <c r="C45" i="2" s="1"/>
  <c r="C41" i="2" a="1"/>
  <c r="C41" i="2" s="1"/>
  <c r="D37" i="2" a="1"/>
  <c r="D37" i="2" s="1"/>
  <c r="D33" i="2" a="1"/>
  <c r="D33" i="2" s="1"/>
  <c r="D29" i="2" a="1"/>
  <c r="D29" i="2" s="1"/>
  <c r="D25" i="2" a="1"/>
  <c r="D25" i="2" s="1"/>
  <c r="D20" i="2" a="1"/>
  <c r="D20" i="2" s="1"/>
  <c r="D12" i="2" a="1"/>
  <c r="D12" i="2" s="1"/>
  <c r="C3" i="2" a="1"/>
  <c r="C3" i="2" s="1"/>
  <c r="F208" i="2" a="1"/>
  <c r="F208" i="2" s="1"/>
  <c r="F172" i="2" a="1"/>
  <c r="F172" i="2" s="1"/>
  <c r="F136" i="2" a="1"/>
  <c r="F136" i="2" s="1"/>
  <c r="F100" i="2" a="1"/>
  <c r="F100" i="2" s="1"/>
  <c r="F64" i="2" a="1"/>
  <c r="F64" i="2" s="1"/>
  <c r="G236" i="2" a="1"/>
  <c r="G236" i="2" s="1"/>
  <c r="G92" i="2" a="1"/>
  <c r="G92" i="2" s="1"/>
  <c r="H188" i="2" a="1"/>
  <c r="H188" i="2" s="1"/>
  <c r="C232" i="2" a="1"/>
  <c r="C232" i="2" s="1"/>
  <c r="C237" i="2" a="1"/>
  <c r="C237" i="2" s="1"/>
  <c r="D240" i="2" a="1"/>
  <c r="D240" i="2" s="1"/>
  <c r="D236" i="2" a="1"/>
  <c r="D236" i="2" s="1"/>
  <c r="D232" i="2" a="1"/>
  <c r="D232" i="2" s="1"/>
  <c r="D228" i="2" a="1"/>
  <c r="D228" i="2" s="1"/>
  <c r="D224" i="2" a="1"/>
  <c r="D224" i="2" s="1"/>
  <c r="D220" i="2" a="1"/>
  <c r="D220" i="2" s="1"/>
  <c r="D216" i="2" a="1"/>
  <c r="D216" i="2" s="1"/>
  <c r="D212" i="2" a="1"/>
  <c r="D212" i="2" s="1"/>
  <c r="D208" i="2" a="1"/>
  <c r="D208" i="2" s="1"/>
  <c r="D204" i="2" a="1"/>
  <c r="D204" i="2" s="1"/>
  <c r="D200" i="2" a="1"/>
  <c r="D200" i="2" s="1"/>
  <c r="D196" i="2" a="1"/>
  <c r="D196" i="2" s="1"/>
  <c r="D192" i="2" a="1"/>
  <c r="D192" i="2" s="1"/>
  <c r="D188" i="2" a="1"/>
  <c r="D188" i="2" s="1"/>
  <c r="D184" i="2" a="1"/>
  <c r="D184" i="2" s="1"/>
  <c r="D180" i="2" a="1"/>
  <c r="D180" i="2" s="1"/>
  <c r="D176" i="2" a="1"/>
  <c r="D176" i="2" s="1"/>
  <c r="D172" i="2" a="1"/>
  <c r="D172" i="2" s="1"/>
  <c r="D168" i="2" a="1"/>
  <c r="D168" i="2" s="1"/>
  <c r="D164" i="2" a="1"/>
  <c r="D164" i="2" s="1"/>
  <c r="D160" i="2" a="1"/>
  <c r="D160" i="2" s="1"/>
  <c r="D156" i="2" a="1"/>
  <c r="D156" i="2" s="1"/>
  <c r="D152" i="2" a="1"/>
  <c r="D152" i="2" s="1"/>
  <c r="D148" i="2" a="1"/>
  <c r="D148" i="2" s="1"/>
  <c r="D144" i="2" a="1"/>
  <c r="D144" i="2" s="1"/>
  <c r="D140" i="2" a="1"/>
  <c r="D140" i="2" s="1"/>
  <c r="D136" i="2" a="1"/>
  <c r="D136" i="2" s="1"/>
  <c r="D132" i="2" a="1"/>
  <c r="D132" i="2" s="1"/>
  <c r="D128" i="2" a="1"/>
  <c r="D128" i="2" s="1"/>
  <c r="D124" i="2" a="1"/>
  <c r="D124" i="2" s="1"/>
  <c r="D120" i="2" a="1"/>
  <c r="D120" i="2" s="1"/>
  <c r="D116" i="2" a="1"/>
  <c r="D116" i="2" s="1"/>
  <c r="D112" i="2" a="1"/>
  <c r="D112" i="2" s="1"/>
  <c r="D108" i="2" a="1"/>
  <c r="D108" i="2" s="1"/>
  <c r="D104" i="2" a="1"/>
  <c r="D104" i="2" s="1"/>
  <c r="D100" i="2" a="1"/>
  <c r="D100" i="2" s="1"/>
  <c r="B97" i="2" a="1"/>
  <c r="B97" i="2" s="1"/>
  <c r="B93" i="2" a="1"/>
  <c r="B93" i="2" s="1"/>
  <c r="B89" i="2" a="1"/>
  <c r="B89" i="2" s="1"/>
  <c r="B85" i="2" a="1"/>
  <c r="B85" i="2" s="1"/>
  <c r="B81" i="2" a="1"/>
  <c r="B81" i="2" s="1"/>
  <c r="B77" i="2" a="1"/>
  <c r="B77" i="2" s="1"/>
  <c r="B73" i="2" a="1"/>
  <c r="B73" i="2" s="1"/>
  <c r="B69" i="2" a="1"/>
  <c r="B69" i="2" s="1"/>
  <c r="B65" i="2" a="1"/>
  <c r="B65" i="2" s="1"/>
  <c r="B61" i="2" a="1"/>
  <c r="B61" i="2" s="1"/>
  <c r="B57" i="2" a="1"/>
  <c r="B57" i="2" s="1"/>
  <c r="B53" i="2" a="1"/>
  <c r="B53" i="2" s="1"/>
  <c r="B49" i="2" a="1"/>
  <c r="B49" i="2" s="1"/>
  <c r="B45" i="2" a="1"/>
  <c r="B45" i="2" s="1"/>
  <c r="B41" i="2" a="1"/>
  <c r="B41" i="2" s="1"/>
  <c r="C37" i="2" a="1"/>
  <c r="C37" i="2" s="1"/>
  <c r="C33" i="2" a="1"/>
  <c r="C33" i="2" s="1"/>
  <c r="C29" i="2" a="1"/>
  <c r="C29" i="2" s="1"/>
  <c r="C25" i="2" a="1"/>
  <c r="C25" i="2" s="1"/>
  <c r="B20" i="2" a="1"/>
  <c r="B20" i="2" s="1"/>
  <c r="B12" i="2" a="1"/>
  <c r="B12" i="2" s="1"/>
  <c r="F240" i="2" a="1"/>
  <c r="F240" i="2" s="1"/>
  <c r="F204" i="2" a="1"/>
  <c r="F204" i="2" s="1"/>
  <c r="F168" i="2" a="1"/>
  <c r="F168" i="2" s="1"/>
  <c r="F132" i="2" a="1"/>
  <c r="F132" i="2" s="1"/>
  <c r="F96" i="2" a="1"/>
  <c r="F96" i="2" s="1"/>
  <c r="F60" i="2" a="1"/>
  <c r="F60" i="2" s="1"/>
  <c r="G224" i="2" a="1"/>
  <c r="G224" i="2" s="1"/>
  <c r="G80" i="2" a="1"/>
  <c r="G80" i="2" s="1"/>
  <c r="H176" i="2" a="1"/>
  <c r="H176" i="2" s="1"/>
  <c r="C228" i="2" a="1"/>
  <c r="C228" i="2" s="1"/>
  <c r="C204" i="2" a="1"/>
  <c r="C204" i="2" s="1"/>
  <c r="C200" i="2" a="1"/>
  <c r="C200" i="2" s="1"/>
  <c r="C196" i="2" a="1"/>
  <c r="C196" i="2" s="1"/>
  <c r="C192" i="2" a="1"/>
  <c r="C192" i="2" s="1"/>
  <c r="C188" i="2" a="1"/>
  <c r="C188" i="2" s="1"/>
  <c r="C184" i="2" a="1"/>
  <c r="C184" i="2" s="1"/>
  <c r="C180" i="2" a="1"/>
  <c r="C180" i="2" s="1"/>
  <c r="C176" i="2" a="1"/>
  <c r="C176" i="2" s="1"/>
  <c r="C172" i="2" a="1"/>
  <c r="C172" i="2" s="1"/>
  <c r="C168" i="2" a="1"/>
  <c r="C168" i="2" s="1"/>
  <c r="C164" i="2" a="1"/>
  <c r="C164" i="2" s="1"/>
  <c r="C160" i="2" a="1"/>
  <c r="C160" i="2" s="1"/>
  <c r="C156" i="2" a="1"/>
  <c r="C156" i="2" s="1"/>
  <c r="C152" i="2" a="1"/>
  <c r="C152" i="2" s="1"/>
  <c r="C148" i="2" a="1"/>
  <c r="C148" i="2" s="1"/>
  <c r="C144" i="2" a="1"/>
  <c r="C144" i="2" s="1"/>
  <c r="C140" i="2" a="1"/>
  <c r="C140" i="2" s="1"/>
  <c r="C136" i="2" a="1"/>
  <c r="C136" i="2" s="1"/>
  <c r="C132" i="2" a="1"/>
  <c r="C132" i="2" s="1"/>
  <c r="C128" i="2" a="1"/>
  <c r="C128" i="2" s="1"/>
  <c r="C124" i="2" a="1"/>
  <c r="C124" i="2" s="1"/>
  <c r="C120" i="2" a="1"/>
  <c r="C120" i="2" s="1"/>
  <c r="C116" i="2" a="1"/>
  <c r="C116" i="2" s="1"/>
  <c r="C112" i="2" a="1"/>
  <c r="C112" i="2" s="1"/>
  <c r="C108" i="2" a="1"/>
  <c r="C108" i="2" s="1"/>
  <c r="C104" i="2" a="1"/>
  <c r="C104" i="2" s="1"/>
  <c r="C100" i="2" a="1"/>
  <c r="C100" i="2" s="1"/>
  <c r="D96" i="2" a="1"/>
  <c r="D96" i="2" s="1"/>
  <c r="D92" i="2" a="1"/>
  <c r="D92" i="2" s="1"/>
  <c r="D88" i="2" a="1"/>
  <c r="D88" i="2" s="1"/>
  <c r="D84" i="2" a="1"/>
  <c r="D84" i="2" s="1"/>
  <c r="D80" i="2" a="1"/>
  <c r="D80" i="2" s="1"/>
  <c r="D76" i="2" a="1"/>
  <c r="D76" i="2" s="1"/>
  <c r="D72" i="2" a="1"/>
  <c r="D72" i="2" s="1"/>
  <c r="D68" i="2" a="1"/>
  <c r="D68" i="2" s="1"/>
  <c r="D64" i="2" a="1"/>
  <c r="D64" i="2" s="1"/>
  <c r="D60" i="2" a="1"/>
  <c r="D60" i="2" s="1"/>
  <c r="D56" i="2" a="1"/>
  <c r="D56" i="2" s="1"/>
  <c r="D52" i="2" a="1"/>
  <c r="D52" i="2" s="1"/>
  <c r="D48" i="2" a="1"/>
  <c r="D48" i="2" s="1"/>
  <c r="D44" i="2" a="1"/>
  <c r="D44" i="2" s="1"/>
  <c r="D40" i="2" a="1"/>
  <c r="D40" i="2" s="1"/>
  <c r="B37" i="2" a="1"/>
  <c r="B37" i="2" s="1"/>
  <c r="E37" i="2" s="1" a="1"/>
  <c r="E37" i="2" s="1"/>
  <c r="B33" i="2" a="1"/>
  <c r="B33" i="2" s="1"/>
  <c r="E33" i="2" s="1" a="1"/>
  <c r="E33" i="2" s="1"/>
  <c r="B29" i="2" a="1"/>
  <c r="B29" i="2" s="1"/>
  <c r="B25" i="2" a="1"/>
  <c r="B25" i="2" s="1"/>
  <c r="C19" i="2" a="1"/>
  <c r="C19" i="2" s="1"/>
  <c r="C11" i="2" a="1"/>
  <c r="C11" i="2" s="1"/>
  <c r="F239" i="2" a="1"/>
  <c r="F239" i="2" s="1"/>
  <c r="F203" i="2" a="1"/>
  <c r="F203" i="2" s="1"/>
  <c r="F167" i="2" a="1"/>
  <c r="F167" i="2" s="1"/>
  <c r="F131" i="2" a="1"/>
  <c r="F131" i="2" s="1"/>
  <c r="F95" i="2" a="1"/>
  <c r="F95" i="2" s="1"/>
  <c r="F59" i="2" a="1"/>
  <c r="F59" i="2" s="1"/>
  <c r="G212" i="2" a="1"/>
  <c r="G212" i="2" s="1"/>
  <c r="G68" i="2" a="1"/>
  <c r="G68" i="2" s="1"/>
  <c r="H164" i="2" a="1"/>
  <c r="H164" i="2" s="1"/>
  <c r="C212" i="2" a="1"/>
  <c r="C212" i="2" s="1"/>
  <c r="B240" i="2" a="1"/>
  <c r="B240" i="2" s="1"/>
  <c r="B236" i="2" a="1"/>
  <c r="B236" i="2" s="1"/>
  <c r="B232" i="2" a="1"/>
  <c r="B232" i="2" s="1"/>
  <c r="E232" i="2" s="1" a="1"/>
  <c r="E232" i="2" s="1"/>
  <c r="B228" i="2" a="1"/>
  <c r="B228" i="2" s="1"/>
  <c r="B224" i="2" a="1"/>
  <c r="B224" i="2" s="1"/>
  <c r="B220" i="2" a="1"/>
  <c r="B220" i="2" s="1"/>
  <c r="B216" i="2" a="1"/>
  <c r="B216" i="2" s="1"/>
  <c r="B212" i="2" a="1"/>
  <c r="B212" i="2" s="1"/>
  <c r="B208" i="2" a="1"/>
  <c r="B208" i="2" s="1"/>
  <c r="B204" i="2" a="1"/>
  <c r="B204" i="2" s="1"/>
  <c r="E204" i="2" s="1" a="1"/>
  <c r="E204" i="2" s="1"/>
  <c r="B200" i="2" a="1"/>
  <c r="B200" i="2" s="1"/>
  <c r="E200" i="2" s="1" a="1"/>
  <c r="E200" i="2" s="1"/>
  <c r="B196" i="2" a="1"/>
  <c r="B196" i="2" s="1"/>
  <c r="E196" i="2" s="1" a="1"/>
  <c r="E196" i="2" s="1"/>
  <c r="B192" i="2" a="1"/>
  <c r="B192" i="2" s="1"/>
  <c r="E192" i="2" s="1" a="1"/>
  <c r="E192" i="2" s="1"/>
  <c r="B188" i="2" a="1"/>
  <c r="B188" i="2" s="1"/>
  <c r="E188" i="2" s="1" a="1"/>
  <c r="E188" i="2" s="1"/>
  <c r="B184" i="2" a="1"/>
  <c r="B184" i="2" s="1"/>
  <c r="B180" i="2" a="1"/>
  <c r="B180" i="2" s="1"/>
  <c r="B176" i="2" a="1"/>
  <c r="B176" i="2" s="1"/>
  <c r="E176" i="2" s="1" a="1"/>
  <c r="E176" i="2" s="1"/>
  <c r="B172" i="2" a="1"/>
  <c r="B172" i="2" s="1"/>
  <c r="E172" i="2" s="1" a="1"/>
  <c r="E172" i="2" s="1"/>
  <c r="B168" i="2" a="1"/>
  <c r="B168" i="2" s="1"/>
  <c r="B164" i="2" a="1"/>
  <c r="B164" i="2" s="1"/>
  <c r="E164" i="2" s="1" a="1"/>
  <c r="E164" i="2" s="1"/>
  <c r="B160" i="2" a="1"/>
  <c r="B160" i="2" s="1"/>
  <c r="B156" i="2" a="1"/>
  <c r="B156" i="2" s="1"/>
  <c r="E156" i="2" s="1" a="1"/>
  <c r="E156" i="2" s="1"/>
  <c r="B152" i="2" a="1"/>
  <c r="B152" i="2" s="1"/>
  <c r="E152" i="2" s="1" a="1"/>
  <c r="E152" i="2" s="1"/>
  <c r="B148" i="2" a="1"/>
  <c r="B148" i="2" s="1"/>
  <c r="E148" i="2" s="1" a="1"/>
  <c r="E148" i="2" s="1"/>
  <c r="B144" i="2" a="1"/>
  <c r="B144" i="2" s="1"/>
  <c r="E144" i="2" s="1" a="1"/>
  <c r="E144" i="2" s="1"/>
  <c r="B140" i="2" a="1"/>
  <c r="B140" i="2" s="1"/>
  <c r="E140" i="2" s="1" a="1"/>
  <c r="E140" i="2" s="1"/>
  <c r="B136" i="2" a="1"/>
  <c r="B136" i="2" s="1"/>
  <c r="E136" i="2" s="1" a="1"/>
  <c r="E136" i="2" s="1"/>
  <c r="B132" i="2" a="1"/>
  <c r="B132" i="2" s="1"/>
  <c r="E132" i="2" s="1" a="1"/>
  <c r="E132" i="2" s="1"/>
  <c r="B128" i="2" a="1"/>
  <c r="B128" i="2" s="1"/>
  <c r="E128" i="2" s="1" a="1"/>
  <c r="E128" i="2" s="1"/>
  <c r="B124" i="2" a="1"/>
  <c r="B124" i="2" s="1"/>
  <c r="E124" i="2" s="1" a="1"/>
  <c r="E124" i="2" s="1"/>
  <c r="B120" i="2" a="1"/>
  <c r="B120" i="2" s="1"/>
  <c r="B116" i="2" a="1"/>
  <c r="B116" i="2" s="1"/>
  <c r="B112" i="2" a="1"/>
  <c r="B112" i="2" s="1"/>
  <c r="B108" i="2" a="1"/>
  <c r="B108" i="2" s="1"/>
  <c r="B104" i="2" a="1"/>
  <c r="B104" i="2" s="1"/>
  <c r="B100" i="2" a="1"/>
  <c r="B100" i="2" s="1"/>
  <c r="E100" i="2" s="1" a="1"/>
  <c r="E100" i="2" s="1"/>
  <c r="C96" i="2" a="1"/>
  <c r="C96" i="2" s="1"/>
  <c r="C92" i="2" a="1"/>
  <c r="C92" i="2" s="1"/>
  <c r="C88" i="2" a="1"/>
  <c r="C88" i="2" s="1"/>
  <c r="C84" i="2" a="1"/>
  <c r="C84" i="2" s="1"/>
  <c r="C80" i="2" a="1"/>
  <c r="C80" i="2" s="1"/>
  <c r="C76" i="2" a="1"/>
  <c r="C76" i="2" s="1"/>
  <c r="C72" i="2" a="1"/>
  <c r="C72" i="2" s="1"/>
  <c r="C68" i="2" a="1"/>
  <c r="C68" i="2" s="1"/>
  <c r="C64" i="2" a="1"/>
  <c r="C64" i="2" s="1"/>
  <c r="C60" i="2" a="1"/>
  <c r="C60" i="2" s="1"/>
  <c r="C56" i="2" a="1"/>
  <c r="C56" i="2" s="1"/>
  <c r="C52" i="2" a="1"/>
  <c r="C52" i="2" s="1"/>
  <c r="C48" i="2" a="1"/>
  <c r="C48" i="2" s="1"/>
  <c r="C44" i="2" a="1"/>
  <c r="C44" i="2" s="1"/>
  <c r="C40" i="2" a="1"/>
  <c r="C40" i="2" s="1"/>
  <c r="D36" i="2" a="1"/>
  <c r="D36" i="2" s="1"/>
  <c r="D32" i="2" a="1"/>
  <c r="D32" i="2" s="1"/>
  <c r="D28" i="2" a="1"/>
  <c r="D28" i="2" s="1"/>
  <c r="D24" i="2" a="1"/>
  <c r="D24" i="2" s="1"/>
  <c r="B19" i="2" a="1"/>
  <c r="B19" i="2" s="1"/>
  <c r="B11" i="2" a="1"/>
  <c r="B11" i="2" s="1"/>
  <c r="F236" i="2" a="1"/>
  <c r="F236" i="2" s="1"/>
  <c r="F200" i="2" a="1"/>
  <c r="F200" i="2" s="1"/>
  <c r="F164" i="2" a="1"/>
  <c r="F164" i="2" s="1"/>
  <c r="F128" i="2" a="1"/>
  <c r="F128" i="2" s="1"/>
  <c r="F92" i="2" a="1"/>
  <c r="F92" i="2" s="1"/>
  <c r="F56" i="2" a="1"/>
  <c r="F56" i="2" s="1"/>
  <c r="G200" i="2" a="1"/>
  <c r="G200" i="2" s="1"/>
  <c r="G56" i="2" a="1"/>
  <c r="G56" i="2" s="1"/>
  <c r="H152" i="2" a="1"/>
  <c r="H152" i="2" s="1"/>
  <c r="C240" i="2" a="1"/>
  <c r="C240" i="2" s="1"/>
  <c r="C208" i="2" a="1"/>
  <c r="C208" i="2" s="1"/>
  <c r="D239" i="2" a="1"/>
  <c r="D239" i="2" s="1"/>
  <c r="D235" i="2" a="1"/>
  <c r="D235" i="2" s="1"/>
  <c r="D231" i="2" a="1"/>
  <c r="D231" i="2" s="1"/>
  <c r="D227" i="2" a="1"/>
  <c r="D227" i="2" s="1"/>
  <c r="D223" i="2" a="1"/>
  <c r="D223" i="2" s="1"/>
  <c r="D219" i="2" a="1"/>
  <c r="D219" i="2" s="1"/>
  <c r="D215" i="2" a="1"/>
  <c r="D215" i="2" s="1"/>
  <c r="D211" i="2" a="1"/>
  <c r="D211" i="2" s="1"/>
  <c r="D207" i="2" a="1"/>
  <c r="D207" i="2" s="1"/>
  <c r="D203" i="2" a="1"/>
  <c r="D203" i="2" s="1"/>
  <c r="D199" i="2" a="1"/>
  <c r="D199" i="2" s="1"/>
  <c r="D195" i="2" a="1"/>
  <c r="D195" i="2" s="1"/>
  <c r="D191" i="2" a="1"/>
  <c r="D191" i="2" s="1"/>
  <c r="D187" i="2" a="1"/>
  <c r="D187" i="2" s="1"/>
  <c r="D183" i="2" a="1"/>
  <c r="D183" i="2" s="1"/>
  <c r="D179" i="2" a="1"/>
  <c r="D179" i="2" s="1"/>
  <c r="D175" i="2" a="1"/>
  <c r="D175" i="2" s="1"/>
  <c r="D171" i="2" a="1"/>
  <c r="D171" i="2" s="1"/>
  <c r="D167" i="2" a="1"/>
  <c r="D167" i="2" s="1"/>
  <c r="D163" i="2" a="1"/>
  <c r="D163" i="2" s="1"/>
  <c r="D159" i="2" a="1"/>
  <c r="D159" i="2" s="1"/>
  <c r="D155" i="2" a="1"/>
  <c r="D155" i="2" s="1"/>
  <c r="D151" i="2" a="1"/>
  <c r="D151" i="2" s="1"/>
  <c r="D147" i="2" a="1"/>
  <c r="D147" i="2" s="1"/>
  <c r="D143" i="2" a="1"/>
  <c r="D143" i="2" s="1"/>
  <c r="D139" i="2" a="1"/>
  <c r="D139" i="2" s="1"/>
  <c r="D135" i="2" a="1"/>
  <c r="D135" i="2" s="1"/>
  <c r="D131" i="2" a="1"/>
  <c r="D131" i="2" s="1"/>
  <c r="D127" i="2" a="1"/>
  <c r="D127" i="2" s="1"/>
  <c r="D123" i="2" a="1"/>
  <c r="D123" i="2" s="1"/>
  <c r="D119" i="2" a="1"/>
  <c r="D119" i="2" s="1"/>
  <c r="D115" i="2" a="1"/>
  <c r="D115" i="2" s="1"/>
  <c r="D111" i="2" a="1"/>
  <c r="D111" i="2" s="1"/>
  <c r="D107" i="2" a="1"/>
  <c r="D107" i="2" s="1"/>
  <c r="D103" i="2" a="1"/>
  <c r="D103" i="2" s="1"/>
  <c r="D99" i="2" a="1"/>
  <c r="D99" i="2" s="1"/>
  <c r="B96" i="2" a="1"/>
  <c r="B96" i="2" s="1"/>
  <c r="E96" i="2" s="1" a="1"/>
  <c r="E96" i="2" s="1"/>
  <c r="B92" i="2" a="1"/>
  <c r="B92" i="2" s="1"/>
  <c r="B88" i="2" a="1"/>
  <c r="B88" i="2" s="1"/>
  <c r="E88" i="2" s="1" a="1"/>
  <c r="E88" i="2" s="1"/>
  <c r="B84" i="2" a="1"/>
  <c r="B84" i="2" s="1"/>
  <c r="E84" i="2" s="1" a="1"/>
  <c r="E84" i="2" s="1"/>
  <c r="B80" i="2" a="1"/>
  <c r="B80" i="2" s="1"/>
  <c r="E80" i="2" s="1" a="1"/>
  <c r="E80" i="2" s="1"/>
  <c r="B76" i="2" a="1"/>
  <c r="B76" i="2" s="1"/>
  <c r="E76" i="2" s="1" a="1"/>
  <c r="E76" i="2" s="1"/>
  <c r="B72" i="2" a="1"/>
  <c r="B72" i="2" s="1"/>
  <c r="E72" i="2" s="1" a="1"/>
  <c r="E72" i="2" s="1"/>
  <c r="B68" i="2" a="1"/>
  <c r="B68" i="2" s="1"/>
  <c r="B64" i="2" a="1"/>
  <c r="B64" i="2" s="1"/>
  <c r="B60" i="2" a="1"/>
  <c r="B60" i="2" s="1"/>
  <c r="E60" i="2" s="1" a="1"/>
  <c r="E60" i="2" s="1"/>
  <c r="B56" i="2" a="1"/>
  <c r="B56" i="2" s="1"/>
  <c r="E56" i="2" s="1" a="1"/>
  <c r="E56" i="2" s="1"/>
  <c r="B52" i="2" a="1"/>
  <c r="B52" i="2" s="1"/>
  <c r="E52" i="2" s="1" a="1"/>
  <c r="E52" i="2" s="1"/>
  <c r="B48" i="2" a="1"/>
  <c r="B48" i="2" s="1"/>
  <c r="B44" i="2" a="1"/>
  <c r="B44" i="2" s="1"/>
  <c r="B40" i="2" a="1"/>
  <c r="B40" i="2" s="1"/>
  <c r="C36" i="2" a="1"/>
  <c r="C36" i="2" s="1"/>
  <c r="C32" i="2" a="1"/>
  <c r="C32" i="2" s="1"/>
  <c r="C28" i="2" a="1"/>
  <c r="C28" i="2" s="1"/>
  <c r="C24" i="2" a="1"/>
  <c r="C24" i="2" s="1"/>
  <c r="B18" i="2" a="1"/>
  <c r="B18" i="2" s="1"/>
  <c r="B10" i="2" a="1"/>
  <c r="B10" i="2" s="1"/>
  <c r="F232" i="2" a="1"/>
  <c r="F232" i="2" s="1"/>
  <c r="F196" i="2" a="1"/>
  <c r="F196" i="2" s="1"/>
  <c r="F160" i="2" a="1"/>
  <c r="F160" i="2" s="1"/>
  <c r="F124" i="2" a="1"/>
  <c r="F124" i="2" s="1"/>
  <c r="F88" i="2" a="1"/>
  <c r="F88" i="2" s="1"/>
  <c r="F48" i="2" a="1"/>
  <c r="F48" i="2" s="1"/>
  <c r="G188" i="2" a="1"/>
  <c r="G188" i="2" s="1"/>
  <c r="G44" i="2" a="1"/>
  <c r="G44" i="2" s="1"/>
  <c r="H140" i="2" a="1"/>
  <c r="H140" i="2" s="1"/>
  <c r="C220" i="2" a="1"/>
  <c r="C220" i="2" s="1"/>
  <c r="C239" i="2" a="1"/>
  <c r="C239" i="2" s="1"/>
  <c r="C235" i="2" a="1"/>
  <c r="C235" i="2" s="1"/>
  <c r="C231" i="2" a="1"/>
  <c r="C231" i="2" s="1"/>
  <c r="C227" i="2" a="1"/>
  <c r="C227" i="2" s="1"/>
  <c r="C223" i="2" a="1"/>
  <c r="C223" i="2" s="1"/>
  <c r="C219" i="2" a="1"/>
  <c r="C219" i="2" s="1"/>
  <c r="C215" i="2" a="1"/>
  <c r="C215" i="2" s="1"/>
  <c r="C211" i="2" a="1"/>
  <c r="C211" i="2" s="1"/>
  <c r="C207" i="2" a="1"/>
  <c r="C207" i="2" s="1"/>
  <c r="C203" i="2" a="1"/>
  <c r="C203" i="2" s="1"/>
  <c r="C199" i="2" a="1"/>
  <c r="C199" i="2" s="1"/>
  <c r="C195" i="2" a="1"/>
  <c r="C195" i="2" s="1"/>
  <c r="C191" i="2" a="1"/>
  <c r="C191" i="2" s="1"/>
  <c r="C187" i="2" a="1"/>
  <c r="C187" i="2" s="1"/>
  <c r="C183" i="2" a="1"/>
  <c r="C183" i="2" s="1"/>
  <c r="C179" i="2" a="1"/>
  <c r="C179" i="2" s="1"/>
  <c r="C175" i="2" a="1"/>
  <c r="C175" i="2" s="1"/>
  <c r="C171" i="2" a="1"/>
  <c r="C171" i="2" s="1"/>
  <c r="C167" i="2" a="1"/>
  <c r="C167" i="2" s="1"/>
  <c r="C163" i="2" a="1"/>
  <c r="C163" i="2" s="1"/>
  <c r="C159" i="2" a="1"/>
  <c r="C159" i="2" s="1"/>
  <c r="C155" i="2" a="1"/>
  <c r="C155" i="2" s="1"/>
  <c r="C151" i="2" a="1"/>
  <c r="C151" i="2" s="1"/>
  <c r="C147" i="2" a="1"/>
  <c r="C147" i="2" s="1"/>
  <c r="C143" i="2" a="1"/>
  <c r="C143" i="2" s="1"/>
  <c r="C139" i="2" a="1"/>
  <c r="C139" i="2" s="1"/>
  <c r="C135" i="2" a="1"/>
  <c r="C135" i="2" s="1"/>
  <c r="C131" i="2" a="1"/>
  <c r="C131" i="2" s="1"/>
  <c r="C127" i="2" a="1"/>
  <c r="C127" i="2" s="1"/>
  <c r="C123" i="2" a="1"/>
  <c r="C123" i="2" s="1"/>
  <c r="C119" i="2" a="1"/>
  <c r="C119" i="2" s="1"/>
  <c r="C115" i="2" a="1"/>
  <c r="C115" i="2" s="1"/>
  <c r="C111" i="2" a="1"/>
  <c r="C111" i="2" s="1"/>
  <c r="C107" i="2" a="1"/>
  <c r="C107" i="2" s="1"/>
  <c r="C103" i="2" a="1"/>
  <c r="C103" i="2" s="1"/>
  <c r="C99" i="2" a="1"/>
  <c r="C99" i="2" s="1"/>
  <c r="D95" i="2" a="1"/>
  <c r="D95" i="2" s="1"/>
  <c r="D91" i="2" a="1"/>
  <c r="D91" i="2" s="1"/>
  <c r="D87" i="2" a="1"/>
  <c r="D87" i="2" s="1"/>
  <c r="D83" i="2" a="1"/>
  <c r="D83" i="2" s="1"/>
  <c r="D79" i="2" a="1"/>
  <c r="D79" i="2" s="1"/>
  <c r="D75" i="2" a="1"/>
  <c r="D75" i="2" s="1"/>
  <c r="D71" i="2" a="1"/>
  <c r="D71" i="2" s="1"/>
  <c r="D67" i="2" a="1"/>
  <c r="D67" i="2" s="1"/>
  <c r="D63" i="2" a="1"/>
  <c r="D63" i="2" s="1"/>
  <c r="D59" i="2" a="1"/>
  <c r="D59" i="2" s="1"/>
  <c r="D55" i="2" a="1"/>
  <c r="D55" i="2" s="1"/>
  <c r="D51" i="2" a="1"/>
  <c r="D51" i="2" s="1"/>
  <c r="D47" i="2" a="1"/>
  <c r="D47" i="2" s="1"/>
  <c r="D43" i="2" a="1"/>
  <c r="D43" i="2" s="1"/>
  <c r="D39" i="2" a="1"/>
  <c r="D39" i="2" s="1"/>
  <c r="B36" i="2" a="1"/>
  <c r="B36" i="2" s="1"/>
  <c r="E36" i="2" s="1" a="1"/>
  <c r="E36" i="2" s="1"/>
  <c r="B32" i="2" a="1"/>
  <c r="B32" i="2" s="1"/>
  <c r="B28" i="2" a="1"/>
  <c r="B28" i="2" s="1"/>
  <c r="B24" i="2" a="1"/>
  <c r="B24" i="2" s="1"/>
  <c r="E24" i="2" s="1" a="1"/>
  <c r="E24" i="2" s="1"/>
  <c r="D17" i="2" a="1"/>
  <c r="D17" i="2" s="1"/>
  <c r="D9" i="2" a="1"/>
  <c r="D9" i="2" s="1"/>
  <c r="F228" i="2" a="1"/>
  <c r="F228" i="2" s="1"/>
  <c r="F192" i="2" a="1"/>
  <c r="F192" i="2" s="1"/>
  <c r="F156" i="2" a="1"/>
  <c r="F156" i="2" s="1"/>
  <c r="F120" i="2" a="1"/>
  <c r="F120" i="2" s="1"/>
  <c r="F84" i="2" a="1"/>
  <c r="F84" i="2" s="1"/>
  <c r="F47" i="2" a="1"/>
  <c r="F47" i="2" s="1"/>
  <c r="G176" i="2" a="1"/>
  <c r="G176" i="2" s="1"/>
  <c r="G32" i="2" a="1"/>
  <c r="G32" i="2" s="1"/>
  <c r="H128" i="2" a="1"/>
  <c r="H128" i="2" s="1"/>
  <c r="C224" i="2" a="1"/>
  <c r="C224" i="2" s="1"/>
  <c r="B239" i="2" a="1"/>
  <c r="B239" i="2" s="1"/>
  <c r="E239" i="2" s="1" a="1"/>
  <c r="E239" i="2" s="1"/>
  <c r="B235" i="2" a="1"/>
  <c r="B235" i="2" s="1"/>
  <c r="E235" i="2" s="1" a="1"/>
  <c r="E235" i="2" s="1"/>
  <c r="B231" i="2" a="1"/>
  <c r="B231" i="2" s="1"/>
  <c r="E231" i="2" s="1" a="1"/>
  <c r="E231" i="2" s="1"/>
  <c r="B227" i="2" a="1"/>
  <c r="B227" i="2" s="1"/>
  <c r="E227" i="2" s="1" a="1"/>
  <c r="E227" i="2" s="1"/>
  <c r="B223" i="2" a="1"/>
  <c r="B223" i="2" s="1"/>
  <c r="E223" i="2" s="1" a="1"/>
  <c r="E223" i="2" s="1"/>
  <c r="B219" i="2" a="1"/>
  <c r="B219" i="2" s="1"/>
  <c r="B215" i="2" a="1"/>
  <c r="B215" i="2" s="1"/>
  <c r="B211" i="2" a="1"/>
  <c r="B211" i="2" s="1"/>
  <c r="E211" i="2" s="1" a="1"/>
  <c r="E211" i="2" s="1"/>
  <c r="B207" i="2" a="1"/>
  <c r="B207" i="2" s="1"/>
  <c r="E207" i="2" s="1" a="1"/>
  <c r="E207" i="2" s="1"/>
  <c r="B203" i="2" a="1"/>
  <c r="B203" i="2" s="1"/>
  <c r="B199" i="2" a="1"/>
  <c r="B199" i="2" s="1"/>
  <c r="B195" i="2" a="1"/>
  <c r="B195" i="2" s="1"/>
  <c r="E195" i="2" s="1" a="1"/>
  <c r="E195" i="2" s="1"/>
  <c r="B191" i="2" a="1"/>
  <c r="B191" i="2" s="1"/>
  <c r="E191" i="2" s="1" a="1"/>
  <c r="E191" i="2" s="1"/>
  <c r="B187" i="2" a="1"/>
  <c r="B187" i="2" s="1"/>
  <c r="B183" i="2" a="1"/>
  <c r="B183" i="2" s="1"/>
  <c r="E183" i="2" s="1" a="1"/>
  <c r="E183" i="2" s="1"/>
  <c r="B179" i="2" a="1"/>
  <c r="B179" i="2" s="1"/>
  <c r="E179" i="2" s="1" a="1"/>
  <c r="E179" i="2" s="1"/>
  <c r="B175" i="2" a="1"/>
  <c r="B175" i="2" s="1"/>
  <c r="E175" i="2" s="1" a="1"/>
  <c r="E175" i="2" s="1"/>
  <c r="B171" i="2" a="1"/>
  <c r="B171" i="2" s="1"/>
  <c r="B167" i="2" a="1"/>
  <c r="B167" i="2" s="1"/>
  <c r="E167" i="2" s="1" a="1"/>
  <c r="E167" i="2" s="1"/>
  <c r="B163" i="2" a="1"/>
  <c r="B163" i="2" s="1"/>
  <c r="E163" i="2" s="1" a="1"/>
  <c r="E163" i="2" s="1"/>
  <c r="B159" i="2" a="1"/>
  <c r="B159" i="2" s="1"/>
  <c r="E159" i="2" s="1" a="1"/>
  <c r="E159" i="2" s="1"/>
  <c r="B155" i="2" a="1"/>
  <c r="B155" i="2" s="1"/>
  <c r="E155" i="2" s="1" a="1"/>
  <c r="E155" i="2" s="1"/>
  <c r="B151" i="2" a="1"/>
  <c r="B151" i="2" s="1"/>
  <c r="B147" i="2" a="1"/>
  <c r="B147" i="2" s="1"/>
  <c r="E147" i="2" s="1" a="1"/>
  <c r="E147" i="2" s="1"/>
  <c r="B143" i="2" a="1"/>
  <c r="B143" i="2" s="1"/>
  <c r="E143" i="2" s="1" a="1"/>
  <c r="E143" i="2" s="1"/>
  <c r="B139" i="2" a="1"/>
  <c r="B139" i="2" s="1"/>
  <c r="B135" i="2" a="1"/>
  <c r="B135" i="2" s="1"/>
  <c r="B131" i="2" a="1"/>
  <c r="B131" i="2" s="1"/>
  <c r="B127" i="2" a="1"/>
  <c r="B127" i="2" s="1"/>
  <c r="E127" i="2" s="1" a="1"/>
  <c r="E127" i="2" s="1"/>
  <c r="B123" i="2" a="1"/>
  <c r="B123" i="2" s="1"/>
  <c r="B119" i="2" a="1"/>
  <c r="B119" i="2" s="1"/>
  <c r="E119" i="2" s="1" a="1"/>
  <c r="E119" i="2" s="1"/>
  <c r="B115" i="2" a="1"/>
  <c r="B115" i="2" s="1"/>
  <c r="E115" i="2" s="1" a="1"/>
  <c r="E115" i="2" s="1"/>
  <c r="B111" i="2" a="1"/>
  <c r="B111" i="2" s="1"/>
  <c r="E111" i="2" s="1" a="1"/>
  <c r="E111" i="2" s="1"/>
  <c r="B107" i="2" a="1"/>
  <c r="B107" i="2" s="1"/>
  <c r="B103" i="2" a="1"/>
  <c r="B103" i="2" s="1"/>
  <c r="B99" i="2" a="1"/>
  <c r="B99" i="2" s="1"/>
  <c r="C95" i="2" a="1"/>
  <c r="C95" i="2" s="1"/>
  <c r="C91" i="2" a="1"/>
  <c r="C91" i="2" s="1"/>
  <c r="C87" i="2" a="1"/>
  <c r="C87" i="2" s="1"/>
  <c r="C83" i="2" a="1"/>
  <c r="C83" i="2" s="1"/>
  <c r="C79" i="2" a="1"/>
  <c r="C79" i="2" s="1"/>
  <c r="C75" i="2" a="1"/>
  <c r="C75" i="2" s="1"/>
  <c r="C71" i="2" a="1"/>
  <c r="C71" i="2" s="1"/>
  <c r="C67" i="2" a="1"/>
  <c r="C67" i="2" s="1"/>
  <c r="C63" i="2" a="1"/>
  <c r="C63" i="2" s="1"/>
  <c r="C59" i="2" a="1"/>
  <c r="C59" i="2" s="1"/>
  <c r="C55" i="2" a="1"/>
  <c r="C55" i="2" s="1"/>
  <c r="C51" i="2" a="1"/>
  <c r="C51" i="2" s="1"/>
  <c r="C47" i="2" a="1"/>
  <c r="C47" i="2" s="1"/>
  <c r="C43" i="2" a="1"/>
  <c r="C43" i="2" s="1"/>
  <c r="C39" i="2" a="1"/>
  <c r="C39" i="2" s="1"/>
  <c r="D35" i="2" a="1"/>
  <c r="D35" i="2" s="1"/>
  <c r="D31" i="2" a="1"/>
  <c r="D31" i="2" s="1"/>
  <c r="D27" i="2" a="1"/>
  <c r="D27" i="2" s="1"/>
  <c r="D23" i="2" a="1"/>
  <c r="D23" i="2" s="1"/>
  <c r="D16" i="2" a="1"/>
  <c r="D16" i="2" s="1"/>
  <c r="D8" i="2" a="1"/>
  <c r="D8" i="2" s="1"/>
  <c r="F227" i="2" a="1"/>
  <c r="F227" i="2" s="1"/>
  <c r="F191" i="2" a="1"/>
  <c r="F191" i="2" s="1"/>
  <c r="F155" i="2" a="1"/>
  <c r="F155" i="2" s="1"/>
  <c r="F119" i="2" a="1"/>
  <c r="F119" i="2" s="1"/>
  <c r="F83" i="2" a="1"/>
  <c r="F83" i="2" s="1"/>
  <c r="F44" i="2" a="1"/>
  <c r="F44" i="2" s="1"/>
  <c r="G164" i="2" a="1"/>
  <c r="G164" i="2" s="1"/>
  <c r="G20" i="2" a="1"/>
  <c r="G20" i="2" s="1"/>
  <c r="A2" i="2"/>
  <c r="B2" i="2" s="1" a="1"/>
  <c r="B2" i="2" s="1"/>
  <c r="I3" i="2" a="1"/>
  <c r="I3" i="2" s="1"/>
  <c r="I15" i="2" a="1"/>
  <c r="I15" i="2" s="1"/>
  <c r="I27" i="2" a="1"/>
  <c r="I27" i="2" s="1"/>
  <c r="I39" i="2" a="1"/>
  <c r="I39" i="2" s="1"/>
  <c r="I51" i="2" a="1"/>
  <c r="I51" i="2" s="1"/>
  <c r="I63" i="2" a="1"/>
  <c r="I63" i="2" s="1"/>
  <c r="I75" i="2" a="1"/>
  <c r="I75" i="2" s="1"/>
  <c r="I87" i="2" a="1"/>
  <c r="I87" i="2" s="1"/>
  <c r="I99" i="2" a="1"/>
  <c r="I99" i="2" s="1"/>
  <c r="I111" i="2" a="1"/>
  <c r="I111" i="2" s="1"/>
  <c r="I123" i="2" a="1"/>
  <c r="I123" i="2" s="1"/>
  <c r="I135" i="2" a="1"/>
  <c r="I135" i="2" s="1"/>
  <c r="I147" i="2" a="1"/>
  <c r="I147" i="2" s="1"/>
  <c r="I159" i="2" a="1"/>
  <c r="I159" i="2" s="1"/>
  <c r="I171" i="2" a="1"/>
  <c r="I171" i="2" s="1"/>
  <c r="I183" i="2" a="1"/>
  <c r="I183" i="2" s="1"/>
  <c r="I195" i="2" a="1"/>
  <c r="I195" i="2" s="1"/>
  <c r="I207" i="2" a="1"/>
  <c r="I207" i="2" s="1"/>
  <c r="I219" i="2" a="1"/>
  <c r="I219" i="2" s="1"/>
  <c r="I231" i="2" a="1"/>
  <c r="I231" i="2" s="1"/>
  <c r="H3" i="2" a="1"/>
  <c r="H3" i="2" s="1"/>
  <c r="H15" i="2" a="1"/>
  <c r="H15" i="2" s="1"/>
  <c r="H27" i="2" a="1"/>
  <c r="H27" i="2" s="1"/>
  <c r="H39" i="2" a="1"/>
  <c r="H39" i="2" s="1"/>
  <c r="H51" i="2" a="1"/>
  <c r="H51" i="2" s="1"/>
  <c r="H63" i="2" a="1"/>
  <c r="H63" i="2" s="1"/>
  <c r="H75" i="2" a="1"/>
  <c r="H75" i="2" s="1"/>
  <c r="H87" i="2" a="1"/>
  <c r="H87" i="2" s="1"/>
  <c r="H99" i="2" a="1"/>
  <c r="H99" i="2" s="1"/>
  <c r="H111" i="2" a="1"/>
  <c r="H111" i="2" s="1"/>
  <c r="H123" i="2" a="1"/>
  <c r="H123" i="2" s="1"/>
  <c r="H135" i="2" a="1"/>
  <c r="H135" i="2" s="1"/>
  <c r="H147" i="2" a="1"/>
  <c r="H147" i="2" s="1"/>
  <c r="H159" i="2" a="1"/>
  <c r="H159" i="2" s="1"/>
  <c r="H171" i="2" a="1"/>
  <c r="H171" i="2" s="1"/>
  <c r="H183" i="2" a="1"/>
  <c r="H183" i="2" s="1"/>
  <c r="H195" i="2" a="1"/>
  <c r="H195" i="2" s="1"/>
  <c r="H207" i="2" a="1"/>
  <c r="H207" i="2" s="1"/>
  <c r="H219" i="2" a="1"/>
  <c r="H219" i="2" s="1"/>
  <c r="H231" i="2" a="1"/>
  <c r="H231" i="2" s="1"/>
  <c r="G3" i="2" a="1"/>
  <c r="G3" i="2" s="1"/>
  <c r="G15" i="2" a="1"/>
  <c r="G15" i="2" s="1"/>
  <c r="G27" i="2" a="1"/>
  <c r="G27" i="2" s="1"/>
  <c r="G39" i="2" a="1"/>
  <c r="G39" i="2" s="1"/>
  <c r="G51" i="2" a="1"/>
  <c r="G51" i="2" s="1"/>
  <c r="G63" i="2" a="1"/>
  <c r="G63" i="2" s="1"/>
  <c r="G75" i="2" a="1"/>
  <c r="G75" i="2" s="1"/>
  <c r="G87" i="2" a="1"/>
  <c r="G87" i="2" s="1"/>
  <c r="G99" i="2" a="1"/>
  <c r="G99" i="2" s="1"/>
  <c r="G111" i="2" a="1"/>
  <c r="G111" i="2" s="1"/>
  <c r="G123" i="2" a="1"/>
  <c r="G123" i="2" s="1"/>
  <c r="G135" i="2" a="1"/>
  <c r="G135" i="2" s="1"/>
  <c r="G147" i="2" a="1"/>
  <c r="G147" i="2" s="1"/>
  <c r="G159" i="2" a="1"/>
  <c r="G159" i="2" s="1"/>
  <c r="G171" i="2" a="1"/>
  <c r="G171" i="2" s="1"/>
  <c r="G183" i="2" a="1"/>
  <c r="G183" i="2" s="1"/>
  <c r="G195" i="2" a="1"/>
  <c r="G195" i="2" s="1"/>
  <c r="G207" i="2" a="1"/>
  <c r="G207" i="2" s="1"/>
  <c r="G219" i="2" a="1"/>
  <c r="G219" i="2" s="1"/>
  <c r="G231" i="2" a="1"/>
  <c r="G231" i="2" s="1"/>
  <c r="F3" i="2" a="1"/>
  <c r="F3" i="2" s="1"/>
  <c r="F15" i="2" a="1"/>
  <c r="F15" i="2" s="1"/>
  <c r="F27" i="2" a="1"/>
  <c r="F27" i="2" s="1"/>
  <c r="F39" i="2" a="1"/>
  <c r="F39" i="2" s="1"/>
  <c r="F51" i="2" a="1"/>
  <c r="F51" i="2" s="1"/>
  <c r="F63" i="2" a="1"/>
  <c r="F63" i="2" s="1"/>
  <c r="F75" i="2" a="1"/>
  <c r="F75" i="2" s="1"/>
  <c r="F87" i="2" a="1"/>
  <c r="F87" i="2" s="1"/>
  <c r="F99" i="2" a="1"/>
  <c r="F99" i="2" s="1"/>
  <c r="F111" i="2" a="1"/>
  <c r="F111" i="2" s="1"/>
  <c r="F123" i="2" a="1"/>
  <c r="F123" i="2" s="1"/>
  <c r="F135" i="2" a="1"/>
  <c r="F135" i="2" s="1"/>
  <c r="F147" i="2" a="1"/>
  <c r="F147" i="2" s="1"/>
  <c r="F159" i="2" a="1"/>
  <c r="F159" i="2" s="1"/>
  <c r="F171" i="2" a="1"/>
  <c r="F171" i="2" s="1"/>
  <c r="F183" i="2" a="1"/>
  <c r="F183" i="2" s="1"/>
  <c r="F195" i="2" a="1"/>
  <c r="F195" i="2" s="1"/>
  <c r="F207" i="2" a="1"/>
  <c r="F207" i="2" s="1"/>
  <c r="F219" i="2" a="1"/>
  <c r="F219" i="2" s="1"/>
  <c r="F231" i="2" a="1"/>
  <c r="F231" i="2" s="1"/>
  <c r="B3" i="2" a="1"/>
  <c r="B3" i="2" s="1"/>
  <c r="I4" i="2" a="1"/>
  <c r="I4" i="2" s="1"/>
  <c r="I16" i="2" a="1"/>
  <c r="I16" i="2" s="1"/>
  <c r="I28" i="2" a="1"/>
  <c r="I28" i="2" s="1"/>
  <c r="I40" i="2" a="1"/>
  <c r="I40" i="2" s="1"/>
  <c r="I52" i="2" a="1"/>
  <c r="I52" i="2" s="1"/>
  <c r="I64" i="2" a="1"/>
  <c r="I64" i="2" s="1"/>
  <c r="I76" i="2" a="1"/>
  <c r="I76" i="2" s="1"/>
  <c r="I88" i="2" a="1"/>
  <c r="I88" i="2" s="1"/>
  <c r="I100" i="2" a="1"/>
  <c r="I100" i="2" s="1"/>
  <c r="I112" i="2" a="1"/>
  <c r="I112" i="2" s="1"/>
  <c r="I124" i="2" a="1"/>
  <c r="I124" i="2" s="1"/>
  <c r="I136" i="2" a="1"/>
  <c r="I136" i="2" s="1"/>
  <c r="I148" i="2" a="1"/>
  <c r="I148" i="2" s="1"/>
  <c r="I160" i="2" a="1"/>
  <c r="I160" i="2" s="1"/>
  <c r="I172" i="2" a="1"/>
  <c r="I172" i="2" s="1"/>
  <c r="I184" i="2" a="1"/>
  <c r="I184" i="2" s="1"/>
  <c r="I196" i="2" a="1"/>
  <c r="I196" i="2" s="1"/>
  <c r="I208" i="2" a="1"/>
  <c r="I208" i="2" s="1"/>
  <c r="I220" i="2" a="1"/>
  <c r="I220" i="2" s="1"/>
  <c r="I232" i="2" a="1"/>
  <c r="I232" i="2" s="1"/>
  <c r="H4" i="2" a="1"/>
  <c r="H4" i="2" s="1"/>
  <c r="H16" i="2" a="1"/>
  <c r="H16" i="2" s="1"/>
  <c r="H28" i="2" a="1"/>
  <c r="H28" i="2" s="1"/>
  <c r="H40" i="2" a="1"/>
  <c r="H40" i="2" s="1"/>
  <c r="H52" i="2" a="1"/>
  <c r="H52" i="2" s="1"/>
  <c r="H64" i="2" a="1"/>
  <c r="H64" i="2" s="1"/>
  <c r="H76" i="2" a="1"/>
  <c r="H76" i="2" s="1"/>
  <c r="H88" i="2" a="1"/>
  <c r="H88" i="2" s="1"/>
  <c r="H100" i="2" a="1"/>
  <c r="H100" i="2" s="1"/>
  <c r="H112" i="2" a="1"/>
  <c r="H112" i="2" s="1"/>
  <c r="H124" i="2" a="1"/>
  <c r="H124" i="2" s="1"/>
  <c r="H136" i="2" a="1"/>
  <c r="H136" i="2" s="1"/>
  <c r="H148" i="2" a="1"/>
  <c r="H148" i="2" s="1"/>
  <c r="H160" i="2" a="1"/>
  <c r="H160" i="2" s="1"/>
  <c r="H172" i="2" a="1"/>
  <c r="H172" i="2" s="1"/>
  <c r="H184" i="2" a="1"/>
  <c r="H184" i="2" s="1"/>
  <c r="H196" i="2" a="1"/>
  <c r="H196" i="2" s="1"/>
  <c r="H208" i="2" a="1"/>
  <c r="H208" i="2" s="1"/>
  <c r="H220" i="2" a="1"/>
  <c r="H220" i="2" s="1"/>
  <c r="H232" i="2" a="1"/>
  <c r="H232" i="2" s="1"/>
  <c r="G4" i="2" a="1"/>
  <c r="G4" i="2" s="1"/>
  <c r="G16" i="2" a="1"/>
  <c r="G16" i="2" s="1"/>
  <c r="G28" i="2" a="1"/>
  <c r="G28" i="2" s="1"/>
  <c r="G40" i="2" a="1"/>
  <c r="G40" i="2" s="1"/>
  <c r="G52" i="2" a="1"/>
  <c r="G52" i="2" s="1"/>
  <c r="G64" i="2" a="1"/>
  <c r="G64" i="2" s="1"/>
  <c r="G76" i="2" a="1"/>
  <c r="G76" i="2" s="1"/>
  <c r="G88" i="2" a="1"/>
  <c r="G88" i="2" s="1"/>
  <c r="G100" i="2" a="1"/>
  <c r="G100" i="2" s="1"/>
  <c r="G112" i="2" a="1"/>
  <c r="G112" i="2" s="1"/>
  <c r="G124" i="2" a="1"/>
  <c r="G124" i="2" s="1"/>
  <c r="G136" i="2" a="1"/>
  <c r="G136" i="2" s="1"/>
  <c r="G148" i="2" a="1"/>
  <c r="G148" i="2" s="1"/>
  <c r="G160" i="2" a="1"/>
  <c r="G160" i="2" s="1"/>
  <c r="G172" i="2" a="1"/>
  <c r="G172" i="2" s="1"/>
  <c r="G184" i="2" a="1"/>
  <c r="G184" i="2" s="1"/>
  <c r="G196" i="2" a="1"/>
  <c r="G196" i="2" s="1"/>
  <c r="G208" i="2" a="1"/>
  <c r="G208" i="2" s="1"/>
  <c r="G220" i="2" a="1"/>
  <c r="G220" i="2" s="1"/>
  <c r="G232" i="2" a="1"/>
  <c r="G232" i="2" s="1"/>
  <c r="F4" i="2" a="1"/>
  <c r="F4" i="2" s="1"/>
  <c r="F16" i="2" a="1"/>
  <c r="F16" i="2" s="1"/>
  <c r="F28" i="2" a="1"/>
  <c r="F28" i="2" s="1"/>
  <c r="F40" i="2" a="1"/>
  <c r="F40" i="2" s="1"/>
  <c r="F52" i="2" a="1"/>
  <c r="F52" i="2" s="1"/>
  <c r="I5" i="2" a="1"/>
  <c r="I5" i="2" s="1"/>
  <c r="I17" i="2" a="1"/>
  <c r="I17" i="2" s="1"/>
  <c r="I29" i="2" a="1"/>
  <c r="I29" i="2" s="1"/>
  <c r="I41" i="2" a="1"/>
  <c r="I41" i="2" s="1"/>
  <c r="I53" i="2" a="1"/>
  <c r="I53" i="2" s="1"/>
  <c r="I65" i="2" a="1"/>
  <c r="I65" i="2" s="1"/>
  <c r="I77" i="2" a="1"/>
  <c r="I77" i="2" s="1"/>
  <c r="I89" i="2" a="1"/>
  <c r="I89" i="2" s="1"/>
  <c r="I101" i="2" a="1"/>
  <c r="I101" i="2" s="1"/>
  <c r="I113" i="2" a="1"/>
  <c r="I113" i="2" s="1"/>
  <c r="I125" i="2" a="1"/>
  <c r="I125" i="2" s="1"/>
  <c r="I137" i="2" a="1"/>
  <c r="I137" i="2" s="1"/>
  <c r="I149" i="2" a="1"/>
  <c r="I149" i="2" s="1"/>
  <c r="I161" i="2" a="1"/>
  <c r="I161" i="2" s="1"/>
  <c r="I173" i="2" a="1"/>
  <c r="I173" i="2" s="1"/>
  <c r="I185" i="2" a="1"/>
  <c r="I185" i="2" s="1"/>
  <c r="I197" i="2" a="1"/>
  <c r="I197" i="2" s="1"/>
  <c r="I209" i="2" a="1"/>
  <c r="I209" i="2" s="1"/>
  <c r="I221" i="2" a="1"/>
  <c r="I221" i="2" s="1"/>
  <c r="I233" i="2" a="1"/>
  <c r="I233" i="2" s="1"/>
  <c r="H5" i="2" a="1"/>
  <c r="H5" i="2" s="1"/>
  <c r="H17" i="2" a="1"/>
  <c r="H17" i="2" s="1"/>
  <c r="H29" i="2" a="1"/>
  <c r="H29" i="2" s="1"/>
  <c r="H41" i="2" a="1"/>
  <c r="H41" i="2" s="1"/>
  <c r="H53" i="2" a="1"/>
  <c r="H53" i="2" s="1"/>
  <c r="H65" i="2" a="1"/>
  <c r="H65" i="2" s="1"/>
  <c r="H77" i="2" a="1"/>
  <c r="H77" i="2" s="1"/>
  <c r="H89" i="2" a="1"/>
  <c r="H89" i="2" s="1"/>
  <c r="H101" i="2" a="1"/>
  <c r="H101" i="2" s="1"/>
  <c r="H113" i="2" a="1"/>
  <c r="H113" i="2" s="1"/>
  <c r="H125" i="2" a="1"/>
  <c r="H125" i="2" s="1"/>
  <c r="H137" i="2" a="1"/>
  <c r="H137" i="2" s="1"/>
  <c r="H149" i="2" a="1"/>
  <c r="H149" i="2" s="1"/>
  <c r="H161" i="2" a="1"/>
  <c r="H161" i="2" s="1"/>
  <c r="H173" i="2" a="1"/>
  <c r="H173" i="2" s="1"/>
  <c r="H185" i="2" a="1"/>
  <c r="H185" i="2" s="1"/>
  <c r="H197" i="2" a="1"/>
  <c r="H197" i="2" s="1"/>
  <c r="H209" i="2" a="1"/>
  <c r="H209" i="2" s="1"/>
  <c r="H221" i="2" a="1"/>
  <c r="H221" i="2" s="1"/>
  <c r="H233" i="2" a="1"/>
  <c r="H233" i="2" s="1"/>
  <c r="G5" i="2" a="1"/>
  <c r="G5" i="2" s="1"/>
  <c r="G17" i="2" a="1"/>
  <c r="G17" i="2" s="1"/>
  <c r="G29" i="2" a="1"/>
  <c r="G29" i="2" s="1"/>
  <c r="G41" i="2" a="1"/>
  <c r="G41" i="2" s="1"/>
  <c r="G53" i="2" a="1"/>
  <c r="G53" i="2" s="1"/>
  <c r="G65" i="2" a="1"/>
  <c r="G65" i="2" s="1"/>
  <c r="G77" i="2" a="1"/>
  <c r="G77" i="2" s="1"/>
  <c r="G89" i="2" a="1"/>
  <c r="G89" i="2" s="1"/>
  <c r="G101" i="2" a="1"/>
  <c r="G101" i="2" s="1"/>
  <c r="G113" i="2" a="1"/>
  <c r="G113" i="2" s="1"/>
  <c r="G125" i="2" a="1"/>
  <c r="G125" i="2" s="1"/>
  <c r="G137" i="2" a="1"/>
  <c r="G137" i="2" s="1"/>
  <c r="G149" i="2" a="1"/>
  <c r="G149" i="2" s="1"/>
  <c r="G161" i="2" a="1"/>
  <c r="G161" i="2" s="1"/>
  <c r="G173" i="2" a="1"/>
  <c r="G173" i="2" s="1"/>
  <c r="G185" i="2" a="1"/>
  <c r="G185" i="2" s="1"/>
  <c r="G197" i="2" a="1"/>
  <c r="G197" i="2" s="1"/>
  <c r="G209" i="2" a="1"/>
  <c r="G209" i="2" s="1"/>
  <c r="G221" i="2" a="1"/>
  <c r="G221" i="2" s="1"/>
  <c r="G233" i="2" a="1"/>
  <c r="G233" i="2" s="1"/>
  <c r="F5" i="2" a="1"/>
  <c r="F5" i="2" s="1"/>
  <c r="F17" i="2" a="1"/>
  <c r="F17" i="2" s="1"/>
  <c r="F29" i="2" a="1"/>
  <c r="F29" i="2" s="1"/>
  <c r="F41" i="2" a="1"/>
  <c r="F41" i="2" s="1"/>
  <c r="F53" i="2" a="1"/>
  <c r="F53" i="2" s="1"/>
  <c r="F65" i="2" a="1"/>
  <c r="F65" i="2" s="1"/>
  <c r="F77" i="2" a="1"/>
  <c r="F77" i="2" s="1"/>
  <c r="F89" i="2" a="1"/>
  <c r="F89" i="2" s="1"/>
  <c r="F101" i="2" a="1"/>
  <c r="F101" i="2" s="1"/>
  <c r="F113" i="2" a="1"/>
  <c r="F113" i="2" s="1"/>
  <c r="F125" i="2" a="1"/>
  <c r="F125" i="2" s="1"/>
  <c r="F137" i="2" a="1"/>
  <c r="F137" i="2" s="1"/>
  <c r="F149" i="2" a="1"/>
  <c r="F149" i="2" s="1"/>
  <c r="F161" i="2" a="1"/>
  <c r="F161" i="2" s="1"/>
  <c r="F173" i="2" a="1"/>
  <c r="F173" i="2" s="1"/>
  <c r="F185" i="2" a="1"/>
  <c r="F185" i="2" s="1"/>
  <c r="F197" i="2" a="1"/>
  <c r="F197" i="2" s="1"/>
  <c r="F209" i="2" a="1"/>
  <c r="F209" i="2" s="1"/>
  <c r="F221" i="2" a="1"/>
  <c r="F221" i="2" s="1"/>
  <c r="F233" i="2" a="1"/>
  <c r="F233" i="2" s="1"/>
  <c r="D3" i="2" a="1"/>
  <c r="D3" i="2" s="1"/>
  <c r="D7" i="2" a="1"/>
  <c r="D7" i="2" s="1"/>
  <c r="D11" i="2" a="1"/>
  <c r="D11" i="2" s="1"/>
  <c r="D15" i="2" a="1"/>
  <c r="D15" i="2" s="1"/>
  <c r="D19" i="2" a="1"/>
  <c r="D19" i="2" s="1"/>
  <c r="I6" i="2" a="1"/>
  <c r="I6" i="2" s="1"/>
  <c r="I18" i="2" a="1"/>
  <c r="I18" i="2" s="1"/>
  <c r="I30" i="2" a="1"/>
  <c r="I30" i="2" s="1"/>
  <c r="I42" i="2" a="1"/>
  <c r="I42" i="2" s="1"/>
  <c r="I54" i="2" a="1"/>
  <c r="I54" i="2" s="1"/>
  <c r="I66" i="2" a="1"/>
  <c r="I66" i="2" s="1"/>
  <c r="I78" i="2" a="1"/>
  <c r="I78" i="2" s="1"/>
  <c r="I90" i="2" a="1"/>
  <c r="I90" i="2" s="1"/>
  <c r="I102" i="2" a="1"/>
  <c r="I102" i="2" s="1"/>
  <c r="I114" i="2" a="1"/>
  <c r="I114" i="2" s="1"/>
  <c r="I126" i="2" a="1"/>
  <c r="I126" i="2" s="1"/>
  <c r="I138" i="2" a="1"/>
  <c r="I138" i="2" s="1"/>
  <c r="I150" i="2" a="1"/>
  <c r="I150" i="2" s="1"/>
  <c r="I162" i="2" a="1"/>
  <c r="I162" i="2" s="1"/>
  <c r="I174" i="2" a="1"/>
  <c r="I174" i="2" s="1"/>
  <c r="I186" i="2" a="1"/>
  <c r="I186" i="2" s="1"/>
  <c r="I198" i="2" a="1"/>
  <c r="I198" i="2" s="1"/>
  <c r="I210" i="2" a="1"/>
  <c r="I210" i="2" s="1"/>
  <c r="I222" i="2" a="1"/>
  <c r="I222" i="2" s="1"/>
  <c r="I234" i="2" a="1"/>
  <c r="I234" i="2" s="1"/>
  <c r="H6" i="2" a="1"/>
  <c r="H6" i="2" s="1"/>
  <c r="H18" i="2" a="1"/>
  <c r="H18" i="2" s="1"/>
  <c r="H30" i="2" a="1"/>
  <c r="H30" i="2" s="1"/>
  <c r="H42" i="2" a="1"/>
  <c r="H42" i="2" s="1"/>
  <c r="H54" i="2" a="1"/>
  <c r="H54" i="2" s="1"/>
  <c r="H66" i="2" a="1"/>
  <c r="H66" i="2" s="1"/>
  <c r="H78" i="2" a="1"/>
  <c r="H78" i="2" s="1"/>
  <c r="H90" i="2" a="1"/>
  <c r="H90" i="2" s="1"/>
  <c r="H102" i="2" a="1"/>
  <c r="H102" i="2" s="1"/>
  <c r="H114" i="2" a="1"/>
  <c r="H114" i="2" s="1"/>
  <c r="H126" i="2" a="1"/>
  <c r="H126" i="2" s="1"/>
  <c r="H138" i="2" a="1"/>
  <c r="H138" i="2" s="1"/>
  <c r="H150" i="2" a="1"/>
  <c r="H150" i="2" s="1"/>
  <c r="H162" i="2" a="1"/>
  <c r="H162" i="2" s="1"/>
  <c r="H174" i="2" a="1"/>
  <c r="H174" i="2" s="1"/>
  <c r="H186" i="2" a="1"/>
  <c r="H186" i="2" s="1"/>
  <c r="H198" i="2" a="1"/>
  <c r="H198" i="2" s="1"/>
  <c r="H210" i="2" a="1"/>
  <c r="H210" i="2" s="1"/>
  <c r="H222" i="2" a="1"/>
  <c r="H222" i="2" s="1"/>
  <c r="H234" i="2" a="1"/>
  <c r="H234" i="2" s="1"/>
  <c r="G6" i="2" a="1"/>
  <c r="G6" i="2" s="1"/>
  <c r="G18" i="2" a="1"/>
  <c r="G18" i="2" s="1"/>
  <c r="G30" i="2" a="1"/>
  <c r="G30" i="2" s="1"/>
  <c r="G42" i="2" a="1"/>
  <c r="G42" i="2" s="1"/>
  <c r="G54" i="2" a="1"/>
  <c r="G54" i="2" s="1"/>
  <c r="G66" i="2" a="1"/>
  <c r="G66" i="2" s="1"/>
  <c r="G78" i="2" a="1"/>
  <c r="G78" i="2" s="1"/>
  <c r="G90" i="2" a="1"/>
  <c r="G90" i="2" s="1"/>
  <c r="G102" i="2" a="1"/>
  <c r="G102" i="2" s="1"/>
  <c r="G114" i="2" a="1"/>
  <c r="G114" i="2" s="1"/>
  <c r="G126" i="2" a="1"/>
  <c r="G126" i="2" s="1"/>
  <c r="G138" i="2" a="1"/>
  <c r="G138" i="2" s="1"/>
  <c r="G150" i="2" a="1"/>
  <c r="G150" i="2" s="1"/>
  <c r="G162" i="2" a="1"/>
  <c r="G162" i="2" s="1"/>
  <c r="G174" i="2" a="1"/>
  <c r="G174" i="2" s="1"/>
  <c r="G186" i="2" a="1"/>
  <c r="G186" i="2" s="1"/>
  <c r="G198" i="2" a="1"/>
  <c r="G198" i="2" s="1"/>
  <c r="G210" i="2" a="1"/>
  <c r="G210" i="2" s="1"/>
  <c r="G222" i="2" a="1"/>
  <c r="G222" i="2" s="1"/>
  <c r="G234" i="2" a="1"/>
  <c r="G234" i="2" s="1"/>
  <c r="F6" i="2" a="1"/>
  <c r="F6" i="2" s="1"/>
  <c r="F18" i="2" a="1"/>
  <c r="F18" i="2" s="1"/>
  <c r="F30" i="2" a="1"/>
  <c r="F30" i="2" s="1"/>
  <c r="F42" i="2" a="1"/>
  <c r="F42" i="2" s="1"/>
  <c r="F54" i="2" a="1"/>
  <c r="F54" i="2" s="1"/>
  <c r="F66" i="2" a="1"/>
  <c r="F66" i="2" s="1"/>
  <c r="F78" i="2" a="1"/>
  <c r="F78" i="2" s="1"/>
  <c r="F90" i="2" a="1"/>
  <c r="F90" i="2" s="1"/>
  <c r="F102" i="2" a="1"/>
  <c r="F102" i="2" s="1"/>
  <c r="F114" i="2" a="1"/>
  <c r="F114" i="2" s="1"/>
  <c r="F126" i="2" a="1"/>
  <c r="F126" i="2" s="1"/>
  <c r="F138" i="2" a="1"/>
  <c r="F138" i="2" s="1"/>
  <c r="F150" i="2" a="1"/>
  <c r="F150" i="2" s="1"/>
  <c r="F162" i="2" a="1"/>
  <c r="F162" i="2" s="1"/>
  <c r="F174" i="2" a="1"/>
  <c r="F174" i="2" s="1"/>
  <c r="F186" i="2" a="1"/>
  <c r="F186" i="2" s="1"/>
  <c r="F198" i="2" a="1"/>
  <c r="F198" i="2" s="1"/>
  <c r="F210" i="2" a="1"/>
  <c r="F210" i="2" s="1"/>
  <c r="F222" i="2" a="1"/>
  <c r="F222" i="2" s="1"/>
  <c r="F234" i="2" a="1"/>
  <c r="F234" i="2" s="1"/>
  <c r="B4" i="2" a="1"/>
  <c r="B4" i="2" s="1"/>
  <c r="B8" i="2" a="1"/>
  <c r="B8" i="2" s="1"/>
  <c r="I7" i="2" a="1"/>
  <c r="I7" i="2" s="1"/>
  <c r="I19" i="2" a="1"/>
  <c r="I19" i="2" s="1"/>
  <c r="I31" i="2" a="1"/>
  <c r="I31" i="2" s="1"/>
  <c r="I43" i="2" a="1"/>
  <c r="I43" i="2" s="1"/>
  <c r="I55" i="2" a="1"/>
  <c r="I55" i="2" s="1"/>
  <c r="I67" i="2" a="1"/>
  <c r="I67" i="2" s="1"/>
  <c r="I79" i="2" a="1"/>
  <c r="I79" i="2" s="1"/>
  <c r="I91" i="2" a="1"/>
  <c r="I91" i="2" s="1"/>
  <c r="I103" i="2" a="1"/>
  <c r="I103" i="2" s="1"/>
  <c r="I115" i="2" a="1"/>
  <c r="I115" i="2" s="1"/>
  <c r="I127" i="2" a="1"/>
  <c r="I127" i="2" s="1"/>
  <c r="I139" i="2" a="1"/>
  <c r="I139" i="2" s="1"/>
  <c r="I151" i="2" a="1"/>
  <c r="I151" i="2" s="1"/>
  <c r="I163" i="2" a="1"/>
  <c r="I163" i="2" s="1"/>
  <c r="I175" i="2" a="1"/>
  <c r="I175" i="2" s="1"/>
  <c r="I187" i="2" a="1"/>
  <c r="I187" i="2" s="1"/>
  <c r="I199" i="2" a="1"/>
  <c r="I199" i="2" s="1"/>
  <c r="I211" i="2" a="1"/>
  <c r="I211" i="2" s="1"/>
  <c r="I223" i="2" a="1"/>
  <c r="I223" i="2" s="1"/>
  <c r="I235" i="2" a="1"/>
  <c r="I235" i="2" s="1"/>
  <c r="H7" i="2" a="1"/>
  <c r="H7" i="2" s="1"/>
  <c r="H19" i="2" a="1"/>
  <c r="H19" i="2" s="1"/>
  <c r="H31" i="2" a="1"/>
  <c r="H31" i="2" s="1"/>
  <c r="H43" i="2" a="1"/>
  <c r="H43" i="2" s="1"/>
  <c r="H55" i="2" a="1"/>
  <c r="H55" i="2" s="1"/>
  <c r="H67" i="2" a="1"/>
  <c r="H67" i="2" s="1"/>
  <c r="H79" i="2" a="1"/>
  <c r="H79" i="2" s="1"/>
  <c r="H91" i="2" a="1"/>
  <c r="H91" i="2" s="1"/>
  <c r="H103" i="2" a="1"/>
  <c r="H103" i="2" s="1"/>
  <c r="H115" i="2" a="1"/>
  <c r="H115" i="2" s="1"/>
  <c r="H127" i="2" a="1"/>
  <c r="H127" i="2" s="1"/>
  <c r="H139" i="2" a="1"/>
  <c r="H139" i="2" s="1"/>
  <c r="H151" i="2" a="1"/>
  <c r="H151" i="2" s="1"/>
  <c r="H163" i="2" a="1"/>
  <c r="H163" i="2" s="1"/>
  <c r="H175" i="2" a="1"/>
  <c r="H175" i="2" s="1"/>
  <c r="H187" i="2" a="1"/>
  <c r="H187" i="2" s="1"/>
  <c r="H199" i="2" a="1"/>
  <c r="H199" i="2" s="1"/>
  <c r="H211" i="2" a="1"/>
  <c r="H211" i="2" s="1"/>
  <c r="H223" i="2" a="1"/>
  <c r="H223" i="2" s="1"/>
  <c r="H235" i="2" a="1"/>
  <c r="H235" i="2" s="1"/>
  <c r="G7" i="2" a="1"/>
  <c r="G7" i="2" s="1"/>
  <c r="G19" i="2" a="1"/>
  <c r="G19" i="2" s="1"/>
  <c r="G31" i="2" a="1"/>
  <c r="G31" i="2" s="1"/>
  <c r="G43" i="2" a="1"/>
  <c r="G43" i="2" s="1"/>
  <c r="G55" i="2" a="1"/>
  <c r="G55" i="2" s="1"/>
  <c r="G67" i="2" a="1"/>
  <c r="G67" i="2" s="1"/>
  <c r="G79" i="2" a="1"/>
  <c r="G79" i="2" s="1"/>
  <c r="G91" i="2" a="1"/>
  <c r="G91" i="2" s="1"/>
  <c r="G103" i="2" a="1"/>
  <c r="G103" i="2" s="1"/>
  <c r="G115" i="2" a="1"/>
  <c r="G115" i="2" s="1"/>
  <c r="G127" i="2" a="1"/>
  <c r="G127" i="2" s="1"/>
  <c r="G139" i="2" a="1"/>
  <c r="G139" i="2" s="1"/>
  <c r="G151" i="2" a="1"/>
  <c r="G151" i="2" s="1"/>
  <c r="G163" i="2" a="1"/>
  <c r="G163" i="2" s="1"/>
  <c r="G175" i="2" a="1"/>
  <c r="G175" i="2" s="1"/>
  <c r="G187" i="2" a="1"/>
  <c r="G187" i="2" s="1"/>
  <c r="G199" i="2" a="1"/>
  <c r="G199" i="2" s="1"/>
  <c r="G211" i="2" a="1"/>
  <c r="G211" i="2" s="1"/>
  <c r="G223" i="2" a="1"/>
  <c r="G223" i="2" s="1"/>
  <c r="G235" i="2" a="1"/>
  <c r="G235" i="2" s="1"/>
  <c r="F7" i="2" a="1"/>
  <c r="F7" i="2" s="1"/>
  <c r="F19" i="2" a="1"/>
  <c r="F19" i="2" s="1"/>
  <c r="F31" i="2" a="1"/>
  <c r="F31" i="2" s="1"/>
  <c r="F43" i="2" a="1"/>
  <c r="F43" i="2" s="1"/>
  <c r="F55" i="2" a="1"/>
  <c r="F55" i="2" s="1"/>
  <c r="F67" i="2" a="1"/>
  <c r="F67" i="2" s="1"/>
  <c r="F79" i="2" a="1"/>
  <c r="F79" i="2" s="1"/>
  <c r="F91" i="2" a="1"/>
  <c r="F91" i="2" s="1"/>
  <c r="F103" i="2" a="1"/>
  <c r="F103" i="2" s="1"/>
  <c r="F115" i="2" a="1"/>
  <c r="F115" i="2" s="1"/>
  <c r="F127" i="2" a="1"/>
  <c r="F127" i="2" s="1"/>
  <c r="F139" i="2" a="1"/>
  <c r="F139" i="2" s="1"/>
  <c r="F151" i="2" a="1"/>
  <c r="F151" i="2" s="1"/>
  <c r="F163" i="2" a="1"/>
  <c r="F163" i="2" s="1"/>
  <c r="F175" i="2" a="1"/>
  <c r="F175" i="2" s="1"/>
  <c r="F187" i="2" a="1"/>
  <c r="F187" i="2" s="1"/>
  <c r="F199" i="2" a="1"/>
  <c r="F199" i="2" s="1"/>
  <c r="F211" i="2" a="1"/>
  <c r="F211" i="2" s="1"/>
  <c r="F223" i="2" a="1"/>
  <c r="F223" i="2" s="1"/>
  <c r="F235" i="2" a="1"/>
  <c r="F235" i="2" s="1"/>
  <c r="C4" i="2" a="1"/>
  <c r="C4" i="2" s="1"/>
  <c r="C8" i="2" a="1"/>
  <c r="C8" i="2" s="1"/>
  <c r="C12" i="2" a="1"/>
  <c r="C12" i="2" s="1"/>
  <c r="C16" i="2" a="1"/>
  <c r="C16" i="2" s="1"/>
  <c r="C20" i="2" a="1"/>
  <c r="C20" i="2" s="1"/>
  <c r="I8" i="2" a="1"/>
  <c r="I8" i="2" s="1"/>
  <c r="I20" i="2" a="1"/>
  <c r="I20" i="2" s="1"/>
  <c r="I32" i="2" a="1"/>
  <c r="I32" i="2" s="1"/>
  <c r="I44" i="2" a="1"/>
  <c r="I44" i="2" s="1"/>
  <c r="I56" i="2" a="1"/>
  <c r="I56" i="2" s="1"/>
  <c r="I68" i="2" a="1"/>
  <c r="I68" i="2" s="1"/>
  <c r="I80" i="2" a="1"/>
  <c r="I80" i="2" s="1"/>
  <c r="I92" i="2" a="1"/>
  <c r="I92" i="2" s="1"/>
  <c r="I104" i="2" a="1"/>
  <c r="I104" i="2" s="1"/>
  <c r="I116" i="2" a="1"/>
  <c r="I116" i="2" s="1"/>
  <c r="I128" i="2" a="1"/>
  <c r="I128" i="2" s="1"/>
  <c r="I140" i="2" a="1"/>
  <c r="I140" i="2" s="1"/>
  <c r="I152" i="2" a="1"/>
  <c r="I152" i="2" s="1"/>
  <c r="I164" i="2" a="1"/>
  <c r="I164" i="2" s="1"/>
  <c r="I176" i="2" a="1"/>
  <c r="I176" i="2" s="1"/>
  <c r="I188" i="2" a="1"/>
  <c r="I188" i="2" s="1"/>
  <c r="I200" i="2" a="1"/>
  <c r="I200" i="2" s="1"/>
  <c r="I212" i="2" a="1"/>
  <c r="I212" i="2" s="1"/>
  <c r="I224" i="2" a="1"/>
  <c r="I224" i="2" s="1"/>
  <c r="I236" i="2" a="1"/>
  <c r="I236" i="2" s="1"/>
  <c r="H8" i="2" a="1"/>
  <c r="H8" i="2" s="1"/>
  <c r="H20" i="2" a="1"/>
  <c r="H20" i="2" s="1"/>
  <c r="H32" i="2" a="1"/>
  <c r="H32" i="2" s="1"/>
  <c r="H44" i="2" a="1"/>
  <c r="H44" i="2" s="1"/>
  <c r="I9" i="2" a="1"/>
  <c r="I9" i="2" s="1"/>
  <c r="I21" i="2" a="1"/>
  <c r="I21" i="2" s="1"/>
  <c r="I33" i="2" a="1"/>
  <c r="I33" i="2" s="1"/>
  <c r="I45" i="2" a="1"/>
  <c r="I45" i="2" s="1"/>
  <c r="I57" i="2" a="1"/>
  <c r="I57" i="2" s="1"/>
  <c r="I69" i="2" a="1"/>
  <c r="I69" i="2" s="1"/>
  <c r="I81" i="2" a="1"/>
  <c r="I81" i="2" s="1"/>
  <c r="I93" i="2" a="1"/>
  <c r="I93" i="2" s="1"/>
  <c r="I105" i="2" a="1"/>
  <c r="I105" i="2" s="1"/>
  <c r="I117" i="2" a="1"/>
  <c r="I117" i="2" s="1"/>
  <c r="I129" i="2" a="1"/>
  <c r="I129" i="2" s="1"/>
  <c r="I141" i="2" a="1"/>
  <c r="I141" i="2" s="1"/>
  <c r="I153" i="2" a="1"/>
  <c r="I153" i="2" s="1"/>
  <c r="I165" i="2" a="1"/>
  <c r="I165" i="2" s="1"/>
  <c r="I177" i="2" a="1"/>
  <c r="I177" i="2" s="1"/>
  <c r="I189" i="2" a="1"/>
  <c r="I189" i="2" s="1"/>
  <c r="I201" i="2" a="1"/>
  <c r="I201" i="2" s="1"/>
  <c r="I213" i="2" a="1"/>
  <c r="I213" i="2" s="1"/>
  <c r="I225" i="2" a="1"/>
  <c r="I225" i="2" s="1"/>
  <c r="I237" i="2" a="1"/>
  <c r="I237" i="2" s="1"/>
  <c r="H9" i="2" a="1"/>
  <c r="H9" i="2" s="1"/>
  <c r="H21" i="2" a="1"/>
  <c r="H21" i="2" s="1"/>
  <c r="H33" i="2" a="1"/>
  <c r="H33" i="2" s="1"/>
  <c r="H45" i="2" a="1"/>
  <c r="H45" i="2" s="1"/>
  <c r="H57" i="2" a="1"/>
  <c r="H57" i="2" s="1"/>
  <c r="H69" i="2" a="1"/>
  <c r="H69" i="2" s="1"/>
  <c r="H81" i="2" a="1"/>
  <c r="H81" i="2" s="1"/>
  <c r="H93" i="2" a="1"/>
  <c r="H93" i="2" s="1"/>
  <c r="H105" i="2" a="1"/>
  <c r="H105" i="2" s="1"/>
  <c r="H117" i="2" a="1"/>
  <c r="H117" i="2" s="1"/>
  <c r="H129" i="2" a="1"/>
  <c r="H129" i="2" s="1"/>
  <c r="H141" i="2" a="1"/>
  <c r="H141" i="2" s="1"/>
  <c r="H153" i="2" a="1"/>
  <c r="H153" i="2" s="1"/>
  <c r="H165" i="2" a="1"/>
  <c r="H165" i="2" s="1"/>
  <c r="H177" i="2" a="1"/>
  <c r="H177" i="2" s="1"/>
  <c r="H189" i="2" a="1"/>
  <c r="H189" i="2" s="1"/>
  <c r="H201" i="2" a="1"/>
  <c r="H201" i="2" s="1"/>
  <c r="H213" i="2" a="1"/>
  <c r="H213" i="2" s="1"/>
  <c r="H225" i="2" a="1"/>
  <c r="H225" i="2" s="1"/>
  <c r="H237" i="2" a="1"/>
  <c r="H237" i="2" s="1"/>
  <c r="G9" i="2" a="1"/>
  <c r="G9" i="2" s="1"/>
  <c r="G21" i="2" a="1"/>
  <c r="G21" i="2" s="1"/>
  <c r="G33" i="2" a="1"/>
  <c r="G33" i="2" s="1"/>
  <c r="G45" i="2" a="1"/>
  <c r="G45" i="2" s="1"/>
  <c r="G57" i="2" a="1"/>
  <c r="G57" i="2" s="1"/>
  <c r="G69" i="2" a="1"/>
  <c r="G69" i="2" s="1"/>
  <c r="G81" i="2" a="1"/>
  <c r="G81" i="2" s="1"/>
  <c r="G93" i="2" a="1"/>
  <c r="G93" i="2" s="1"/>
  <c r="G105" i="2" a="1"/>
  <c r="G105" i="2" s="1"/>
  <c r="G117" i="2" a="1"/>
  <c r="G117" i="2" s="1"/>
  <c r="G129" i="2" a="1"/>
  <c r="G129" i="2" s="1"/>
  <c r="G141" i="2" a="1"/>
  <c r="G141" i="2" s="1"/>
  <c r="G153" i="2" a="1"/>
  <c r="G153" i="2" s="1"/>
  <c r="G165" i="2" a="1"/>
  <c r="G165" i="2" s="1"/>
  <c r="G177" i="2" a="1"/>
  <c r="G177" i="2" s="1"/>
  <c r="G189" i="2" a="1"/>
  <c r="G189" i="2" s="1"/>
  <c r="G201" i="2" a="1"/>
  <c r="G201" i="2" s="1"/>
  <c r="G213" i="2" a="1"/>
  <c r="G213" i="2" s="1"/>
  <c r="G225" i="2" a="1"/>
  <c r="G225" i="2" s="1"/>
  <c r="G237" i="2" a="1"/>
  <c r="G237" i="2" s="1"/>
  <c r="F9" i="2" a="1"/>
  <c r="F9" i="2" s="1"/>
  <c r="F21" i="2" a="1"/>
  <c r="F21" i="2" s="1"/>
  <c r="F33" i="2" a="1"/>
  <c r="F33" i="2" s="1"/>
  <c r="F45" i="2" a="1"/>
  <c r="F45" i="2" s="1"/>
  <c r="F57" i="2" a="1"/>
  <c r="F57" i="2" s="1"/>
  <c r="F69" i="2" a="1"/>
  <c r="F69" i="2" s="1"/>
  <c r="F81" i="2" a="1"/>
  <c r="F81" i="2" s="1"/>
  <c r="F93" i="2" a="1"/>
  <c r="F93" i="2" s="1"/>
  <c r="F105" i="2" a="1"/>
  <c r="F105" i="2" s="1"/>
  <c r="F117" i="2" a="1"/>
  <c r="F117" i="2" s="1"/>
  <c r="F129" i="2" a="1"/>
  <c r="F129" i="2" s="1"/>
  <c r="F141" i="2" a="1"/>
  <c r="F141" i="2" s="1"/>
  <c r="F153" i="2" a="1"/>
  <c r="F153" i="2" s="1"/>
  <c r="F165" i="2" a="1"/>
  <c r="F165" i="2" s="1"/>
  <c r="F177" i="2" a="1"/>
  <c r="F177" i="2" s="1"/>
  <c r="F189" i="2" a="1"/>
  <c r="F189" i="2" s="1"/>
  <c r="F201" i="2" a="1"/>
  <c r="F201" i="2" s="1"/>
  <c r="F213" i="2" a="1"/>
  <c r="F213" i="2" s="1"/>
  <c r="F225" i="2" a="1"/>
  <c r="F225" i="2" s="1"/>
  <c r="F237" i="2" a="1"/>
  <c r="F237" i="2" s="1"/>
  <c r="B5" i="2" a="1"/>
  <c r="B5" i="2" s="1"/>
  <c r="B9" i="2" a="1"/>
  <c r="B9" i="2" s="1"/>
  <c r="B13" i="2" a="1"/>
  <c r="B13" i="2" s="1"/>
  <c r="B17" i="2" a="1"/>
  <c r="B17" i="2" s="1"/>
  <c r="B21" i="2" a="1"/>
  <c r="B21" i="2" s="1"/>
  <c r="I10" i="2" a="1"/>
  <c r="I10" i="2" s="1"/>
  <c r="I22" i="2" a="1"/>
  <c r="I22" i="2" s="1"/>
  <c r="I34" i="2" a="1"/>
  <c r="I34" i="2" s="1"/>
  <c r="I46" i="2" a="1"/>
  <c r="I46" i="2" s="1"/>
  <c r="I58" i="2" a="1"/>
  <c r="I58" i="2" s="1"/>
  <c r="I70" i="2" a="1"/>
  <c r="I70" i="2" s="1"/>
  <c r="I82" i="2" a="1"/>
  <c r="I82" i="2" s="1"/>
  <c r="I94" i="2" a="1"/>
  <c r="I94" i="2" s="1"/>
  <c r="I106" i="2" a="1"/>
  <c r="I106" i="2" s="1"/>
  <c r="I118" i="2" a="1"/>
  <c r="I118" i="2" s="1"/>
  <c r="I130" i="2" a="1"/>
  <c r="I130" i="2" s="1"/>
  <c r="I142" i="2" a="1"/>
  <c r="I142" i="2" s="1"/>
  <c r="I154" i="2" a="1"/>
  <c r="I154" i="2" s="1"/>
  <c r="I166" i="2" a="1"/>
  <c r="I166" i="2" s="1"/>
  <c r="I178" i="2" a="1"/>
  <c r="I178" i="2" s="1"/>
  <c r="I190" i="2" a="1"/>
  <c r="I190" i="2" s="1"/>
  <c r="I202" i="2" a="1"/>
  <c r="I202" i="2" s="1"/>
  <c r="I214" i="2" a="1"/>
  <c r="I214" i="2" s="1"/>
  <c r="I226" i="2" a="1"/>
  <c r="I226" i="2" s="1"/>
  <c r="I238" i="2" a="1"/>
  <c r="I238" i="2" s="1"/>
  <c r="H10" i="2" a="1"/>
  <c r="H10" i="2" s="1"/>
  <c r="H22" i="2" a="1"/>
  <c r="H22" i="2" s="1"/>
  <c r="H34" i="2" a="1"/>
  <c r="H34" i="2" s="1"/>
  <c r="H46" i="2" a="1"/>
  <c r="H46" i="2" s="1"/>
  <c r="H58" i="2" a="1"/>
  <c r="H58" i="2" s="1"/>
  <c r="H70" i="2" a="1"/>
  <c r="H70" i="2" s="1"/>
  <c r="H82" i="2" a="1"/>
  <c r="H82" i="2" s="1"/>
  <c r="H94" i="2" a="1"/>
  <c r="H94" i="2" s="1"/>
  <c r="H106" i="2" a="1"/>
  <c r="H106" i="2" s="1"/>
  <c r="H118" i="2" a="1"/>
  <c r="H118" i="2" s="1"/>
  <c r="H130" i="2" a="1"/>
  <c r="H130" i="2" s="1"/>
  <c r="H142" i="2" a="1"/>
  <c r="H142" i="2" s="1"/>
  <c r="H154" i="2" a="1"/>
  <c r="H154" i="2" s="1"/>
  <c r="H166" i="2" a="1"/>
  <c r="H166" i="2" s="1"/>
  <c r="H178" i="2" a="1"/>
  <c r="H178" i="2" s="1"/>
  <c r="H190" i="2" a="1"/>
  <c r="H190" i="2" s="1"/>
  <c r="H202" i="2" a="1"/>
  <c r="H202" i="2" s="1"/>
  <c r="H214" i="2" a="1"/>
  <c r="H214" i="2" s="1"/>
  <c r="H226" i="2" a="1"/>
  <c r="H226" i="2" s="1"/>
  <c r="H238" i="2" a="1"/>
  <c r="H238" i="2" s="1"/>
  <c r="G10" i="2" a="1"/>
  <c r="G10" i="2" s="1"/>
  <c r="G22" i="2" a="1"/>
  <c r="G22" i="2" s="1"/>
  <c r="G34" i="2" a="1"/>
  <c r="G34" i="2" s="1"/>
  <c r="G46" i="2" a="1"/>
  <c r="G46" i="2" s="1"/>
  <c r="G58" i="2" a="1"/>
  <c r="G58" i="2" s="1"/>
  <c r="G70" i="2" a="1"/>
  <c r="G70" i="2" s="1"/>
  <c r="G82" i="2" a="1"/>
  <c r="G82" i="2" s="1"/>
  <c r="G94" i="2" a="1"/>
  <c r="G94" i="2" s="1"/>
  <c r="G106" i="2" a="1"/>
  <c r="G106" i="2" s="1"/>
  <c r="G118" i="2" a="1"/>
  <c r="G118" i="2" s="1"/>
  <c r="G130" i="2" a="1"/>
  <c r="G130" i="2" s="1"/>
  <c r="G142" i="2" a="1"/>
  <c r="G142" i="2" s="1"/>
  <c r="G154" i="2" a="1"/>
  <c r="G154" i="2" s="1"/>
  <c r="G166" i="2" a="1"/>
  <c r="G166" i="2" s="1"/>
  <c r="G178" i="2" a="1"/>
  <c r="G178" i="2" s="1"/>
  <c r="G190" i="2" a="1"/>
  <c r="G190" i="2" s="1"/>
  <c r="G202" i="2" a="1"/>
  <c r="G202" i="2" s="1"/>
  <c r="G214" i="2" a="1"/>
  <c r="G214" i="2" s="1"/>
  <c r="G226" i="2" a="1"/>
  <c r="G226" i="2" s="1"/>
  <c r="G238" i="2" a="1"/>
  <c r="G238" i="2" s="1"/>
  <c r="F10" i="2" a="1"/>
  <c r="F10" i="2" s="1"/>
  <c r="F22" i="2" a="1"/>
  <c r="F22" i="2" s="1"/>
  <c r="F34" i="2" a="1"/>
  <c r="F34" i="2" s="1"/>
  <c r="F46" i="2" a="1"/>
  <c r="F46" i="2" s="1"/>
  <c r="F58" i="2" a="1"/>
  <c r="F58" i="2" s="1"/>
  <c r="F70" i="2" a="1"/>
  <c r="F70" i="2" s="1"/>
  <c r="F82" i="2" a="1"/>
  <c r="F82" i="2" s="1"/>
  <c r="F94" i="2" a="1"/>
  <c r="F94" i="2" s="1"/>
  <c r="F106" i="2" a="1"/>
  <c r="F106" i="2" s="1"/>
  <c r="F118" i="2" a="1"/>
  <c r="F118" i="2" s="1"/>
  <c r="F130" i="2" a="1"/>
  <c r="F130" i="2" s="1"/>
  <c r="F142" i="2" a="1"/>
  <c r="F142" i="2" s="1"/>
  <c r="F154" i="2" a="1"/>
  <c r="F154" i="2" s="1"/>
  <c r="F166" i="2" a="1"/>
  <c r="F166" i="2" s="1"/>
  <c r="F178" i="2" a="1"/>
  <c r="F178" i="2" s="1"/>
  <c r="F190" i="2" a="1"/>
  <c r="F190" i="2" s="1"/>
  <c r="F202" i="2" a="1"/>
  <c r="F202" i="2" s="1"/>
  <c r="F214" i="2" a="1"/>
  <c r="F214" i="2" s="1"/>
  <c r="F226" i="2" a="1"/>
  <c r="F226" i="2" s="1"/>
  <c r="F238" i="2" a="1"/>
  <c r="F238" i="2" s="1"/>
  <c r="C5" i="2" a="1"/>
  <c r="C5" i="2" s="1"/>
  <c r="C9" i="2" a="1"/>
  <c r="C9" i="2" s="1"/>
  <c r="C13" i="2" a="1"/>
  <c r="C13" i="2" s="1"/>
  <c r="C17" i="2" a="1"/>
  <c r="C17" i="2" s="1"/>
  <c r="C21" i="2" a="1"/>
  <c r="C21" i="2" s="1"/>
  <c r="I11" i="2" a="1"/>
  <c r="I11" i="2" s="1"/>
  <c r="I23" i="2" a="1"/>
  <c r="I23" i="2" s="1"/>
  <c r="I35" i="2" a="1"/>
  <c r="I35" i="2" s="1"/>
  <c r="I47" i="2" a="1"/>
  <c r="I47" i="2" s="1"/>
  <c r="I59" i="2" a="1"/>
  <c r="I59" i="2" s="1"/>
  <c r="I71" i="2" a="1"/>
  <c r="I71" i="2" s="1"/>
  <c r="I83" i="2" a="1"/>
  <c r="I83" i="2" s="1"/>
  <c r="I95" i="2" a="1"/>
  <c r="I95" i="2" s="1"/>
  <c r="I107" i="2" a="1"/>
  <c r="I107" i="2" s="1"/>
  <c r="I119" i="2" a="1"/>
  <c r="I119" i="2" s="1"/>
  <c r="I131" i="2" a="1"/>
  <c r="I131" i="2" s="1"/>
  <c r="I143" i="2" a="1"/>
  <c r="I143" i="2" s="1"/>
  <c r="I155" i="2" a="1"/>
  <c r="I155" i="2" s="1"/>
  <c r="I167" i="2" a="1"/>
  <c r="I167" i="2" s="1"/>
  <c r="I179" i="2" a="1"/>
  <c r="I179" i="2" s="1"/>
  <c r="I191" i="2" a="1"/>
  <c r="I191" i="2" s="1"/>
  <c r="I203" i="2" a="1"/>
  <c r="I203" i="2" s="1"/>
  <c r="I215" i="2" a="1"/>
  <c r="I215" i="2" s="1"/>
  <c r="I227" i="2" a="1"/>
  <c r="I227" i="2" s="1"/>
  <c r="I239" i="2" a="1"/>
  <c r="I239" i="2" s="1"/>
  <c r="H11" i="2" a="1"/>
  <c r="H11" i="2" s="1"/>
  <c r="H23" i="2" a="1"/>
  <c r="H23" i="2" s="1"/>
  <c r="H35" i="2" a="1"/>
  <c r="H35" i="2" s="1"/>
  <c r="H47" i="2" a="1"/>
  <c r="H47" i="2" s="1"/>
  <c r="H59" i="2" a="1"/>
  <c r="H59" i="2" s="1"/>
  <c r="H71" i="2" a="1"/>
  <c r="H71" i="2" s="1"/>
  <c r="H83" i="2" a="1"/>
  <c r="H83" i="2" s="1"/>
  <c r="H95" i="2" a="1"/>
  <c r="H95" i="2" s="1"/>
  <c r="H107" i="2" a="1"/>
  <c r="H107" i="2" s="1"/>
  <c r="H119" i="2" a="1"/>
  <c r="H119" i="2" s="1"/>
  <c r="H131" i="2" a="1"/>
  <c r="H131" i="2" s="1"/>
  <c r="H143" i="2" a="1"/>
  <c r="H143" i="2" s="1"/>
  <c r="H155" i="2" a="1"/>
  <c r="H155" i="2" s="1"/>
  <c r="H167" i="2" a="1"/>
  <c r="H167" i="2" s="1"/>
  <c r="H179" i="2" a="1"/>
  <c r="H179" i="2" s="1"/>
  <c r="H191" i="2" a="1"/>
  <c r="H191" i="2" s="1"/>
  <c r="H203" i="2" a="1"/>
  <c r="H203" i="2" s="1"/>
  <c r="H215" i="2" a="1"/>
  <c r="H215" i="2" s="1"/>
  <c r="H227" i="2" a="1"/>
  <c r="H227" i="2" s="1"/>
  <c r="H239" i="2" a="1"/>
  <c r="H239" i="2" s="1"/>
  <c r="G11" i="2" a="1"/>
  <c r="G11" i="2" s="1"/>
  <c r="G23" i="2" a="1"/>
  <c r="G23" i="2" s="1"/>
  <c r="G35" i="2" a="1"/>
  <c r="G35" i="2" s="1"/>
  <c r="G47" i="2" a="1"/>
  <c r="G47" i="2" s="1"/>
  <c r="G59" i="2" a="1"/>
  <c r="G59" i="2" s="1"/>
  <c r="G71" i="2" a="1"/>
  <c r="G71" i="2" s="1"/>
  <c r="G83" i="2" a="1"/>
  <c r="G83" i="2" s="1"/>
  <c r="G95" i="2" a="1"/>
  <c r="G95" i="2" s="1"/>
  <c r="G107" i="2" a="1"/>
  <c r="G107" i="2" s="1"/>
  <c r="G119" i="2" a="1"/>
  <c r="G119" i="2" s="1"/>
  <c r="G131" i="2" a="1"/>
  <c r="G131" i="2" s="1"/>
  <c r="G143" i="2" a="1"/>
  <c r="G143" i="2" s="1"/>
  <c r="G155" i="2" a="1"/>
  <c r="G155" i="2" s="1"/>
  <c r="G167" i="2" a="1"/>
  <c r="G167" i="2" s="1"/>
  <c r="G179" i="2" a="1"/>
  <c r="G179" i="2" s="1"/>
  <c r="G191" i="2" a="1"/>
  <c r="G191" i="2" s="1"/>
  <c r="G203" i="2" a="1"/>
  <c r="G203" i="2" s="1"/>
  <c r="G215" i="2" a="1"/>
  <c r="G215" i="2" s="1"/>
  <c r="G227" i="2" a="1"/>
  <c r="G227" i="2" s="1"/>
  <c r="G239" i="2" a="1"/>
  <c r="G239" i="2" s="1"/>
  <c r="F11" i="2" a="1"/>
  <c r="F11" i="2" s="1"/>
  <c r="I12" i="2" a="1"/>
  <c r="I12" i="2" s="1"/>
  <c r="I24" i="2" a="1"/>
  <c r="I24" i="2" s="1"/>
  <c r="I36" i="2" a="1"/>
  <c r="I36" i="2" s="1"/>
  <c r="I48" i="2" a="1"/>
  <c r="I48" i="2" s="1"/>
  <c r="I60" i="2" a="1"/>
  <c r="I60" i="2" s="1"/>
  <c r="I72" i="2" a="1"/>
  <c r="I72" i="2" s="1"/>
  <c r="I84" i="2" a="1"/>
  <c r="I84" i="2" s="1"/>
  <c r="I96" i="2" a="1"/>
  <c r="I96" i="2" s="1"/>
  <c r="I108" i="2" a="1"/>
  <c r="I108" i="2" s="1"/>
  <c r="I120" i="2" a="1"/>
  <c r="I120" i="2" s="1"/>
  <c r="I132" i="2" a="1"/>
  <c r="I132" i="2" s="1"/>
  <c r="I144" i="2" a="1"/>
  <c r="I144" i="2" s="1"/>
  <c r="I156" i="2" a="1"/>
  <c r="I156" i="2" s="1"/>
  <c r="I168" i="2" a="1"/>
  <c r="I168" i="2" s="1"/>
  <c r="I180" i="2" a="1"/>
  <c r="I180" i="2" s="1"/>
  <c r="I192" i="2" a="1"/>
  <c r="I192" i="2" s="1"/>
  <c r="I204" i="2" a="1"/>
  <c r="I204" i="2" s="1"/>
  <c r="I216" i="2" a="1"/>
  <c r="I216" i="2" s="1"/>
  <c r="I228" i="2" a="1"/>
  <c r="I228" i="2" s="1"/>
  <c r="I240" i="2" a="1"/>
  <c r="I240" i="2" s="1"/>
  <c r="H12" i="2" a="1"/>
  <c r="H12" i="2" s="1"/>
  <c r="H24" i="2" a="1"/>
  <c r="H24" i="2" s="1"/>
  <c r="H36" i="2" a="1"/>
  <c r="H36" i="2" s="1"/>
  <c r="H48" i="2" a="1"/>
  <c r="H48" i="2" s="1"/>
  <c r="H60" i="2" a="1"/>
  <c r="H60" i="2" s="1"/>
  <c r="H72" i="2" a="1"/>
  <c r="H72" i="2" s="1"/>
  <c r="H84" i="2" a="1"/>
  <c r="H84" i="2" s="1"/>
  <c r="H96" i="2" a="1"/>
  <c r="H96" i="2" s="1"/>
  <c r="H108" i="2" a="1"/>
  <c r="H108" i="2" s="1"/>
  <c r="H120" i="2" a="1"/>
  <c r="H120" i="2" s="1"/>
  <c r="H132" i="2" a="1"/>
  <c r="H132" i="2" s="1"/>
  <c r="H144" i="2" a="1"/>
  <c r="H144" i="2" s="1"/>
  <c r="H156" i="2" a="1"/>
  <c r="H156" i="2" s="1"/>
  <c r="H168" i="2" a="1"/>
  <c r="H168" i="2" s="1"/>
  <c r="H180" i="2" a="1"/>
  <c r="H180" i="2" s="1"/>
  <c r="H192" i="2" a="1"/>
  <c r="H192" i="2" s="1"/>
  <c r="H204" i="2" a="1"/>
  <c r="H204" i="2" s="1"/>
  <c r="H216" i="2" a="1"/>
  <c r="H216" i="2" s="1"/>
  <c r="H228" i="2" a="1"/>
  <c r="H228" i="2" s="1"/>
  <c r="H240" i="2" a="1"/>
  <c r="H240" i="2" s="1"/>
  <c r="G12" i="2" a="1"/>
  <c r="G12" i="2" s="1"/>
  <c r="G24" i="2" a="1"/>
  <c r="G24" i="2" s="1"/>
  <c r="G36" i="2" a="1"/>
  <c r="G36" i="2" s="1"/>
  <c r="G48" i="2" a="1"/>
  <c r="G48" i="2" s="1"/>
  <c r="G60" i="2" a="1"/>
  <c r="G60" i="2" s="1"/>
  <c r="G72" i="2" a="1"/>
  <c r="G72" i="2" s="1"/>
  <c r="G84" i="2" a="1"/>
  <c r="G84" i="2" s="1"/>
  <c r="G96" i="2" a="1"/>
  <c r="G96" i="2" s="1"/>
  <c r="G108" i="2" a="1"/>
  <c r="G108" i="2" s="1"/>
  <c r="G120" i="2" a="1"/>
  <c r="G120" i="2" s="1"/>
  <c r="G132" i="2" a="1"/>
  <c r="G132" i="2" s="1"/>
  <c r="G144" i="2" a="1"/>
  <c r="G144" i="2" s="1"/>
  <c r="G156" i="2" a="1"/>
  <c r="G156" i="2" s="1"/>
  <c r="G168" i="2" a="1"/>
  <c r="G168" i="2" s="1"/>
  <c r="G180" i="2" a="1"/>
  <c r="G180" i="2" s="1"/>
  <c r="G192" i="2" a="1"/>
  <c r="G192" i="2" s="1"/>
  <c r="G204" i="2" a="1"/>
  <c r="G204" i="2" s="1"/>
  <c r="G216" i="2" a="1"/>
  <c r="G216" i="2" s="1"/>
  <c r="G228" i="2" a="1"/>
  <c r="G228" i="2" s="1"/>
  <c r="G240" i="2" a="1"/>
  <c r="G240" i="2" s="1"/>
  <c r="F12" i="2" a="1"/>
  <c r="F12" i="2" s="1"/>
  <c r="F24" i="2" a="1"/>
  <c r="F24" i="2" s="1"/>
  <c r="F36" i="2" a="1"/>
  <c r="F36" i="2" s="1"/>
  <c r="I13" i="2" a="1"/>
  <c r="I13" i="2" s="1"/>
  <c r="I25" i="2" a="1"/>
  <c r="I25" i="2" s="1"/>
  <c r="I37" i="2" a="1"/>
  <c r="I37" i="2" s="1"/>
  <c r="I49" i="2" a="1"/>
  <c r="I49" i="2" s="1"/>
  <c r="I61" i="2" a="1"/>
  <c r="I61" i="2" s="1"/>
  <c r="I73" i="2" a="1"/>
  <c r="I73" i="2" s="1"/>
  <c r="I85" i="2" a="1"/>
  <c r="I85" i="2" s="1"/>
  <c r="I97" i="2" a="1"/>
  <c r="I97" i="2" s="1"/>
  <c r="I109" i="2" a="1"/>
  <c r="I109" i="2" s="1"/>
  <c r="I121" i="2" a="1"/>
  <c r="I121" i="2" s="1"/>
  <c r="I133" i="2" a="1"/>
  <c r="I133" i="2" s="1"/>
  <c r="I145" i="2" a="1"/>
  <c r="I145" i="2" s="1"/>
  <c r="I157" i="2" a="1"/>
  <c r="I157" i="2" s="1"/>
  <c r="I169" i="2" a="1"/>
  <c r="I169" i="2" s="1"/>
  <c r="I181" i="2" a="1"/>
  <c r="I181" i="2" s="1"/>
  <c r="I193" i="2" a="1"/>
  <c r="I193" i="2" s="1"/>
  <c r="I205" i="2" a="1"/>
  <c r="I205" i="2" s="1"/>
  <c r="I217" i="2" a="1"/>
  <c r="I217" i="2" s="1"/>
  <c r="I229" i="2" a="1"/>
  <c r="I229" i="2" s="1"/>
  <c r="I241" i="2" a="1"/>
  <c r="I241" i="2" s="1"/>
  <c r="H13" i="2" a="1"/>
  <c r="H13" i="2" s="1"/>
  <c r="H25" i="2" a="1"/>
  <c r="H25" i="2" s="1"/>
  <c r="H37" i="2" a="1"/>
  <c r="H37" i="2" s="1"/>
  <c r="H49" i="2" a="1"/>
  <c r="H49" i="2" s="1"/>
  <c r="H61" i="2" a="1"/>
  <c r="H61" i="2" s="1"/>
  <c r="H73" i="2" a="1"/>
  <c r="H73" i="2" s="1"/>
  <c r="H85" i="2" a="1"/>
  <c r="H85" i="2" s="1"/>
  <c r="H97" i="2" a="1"/>
  <c r="H97" i="2" s="1"/>
  <c r="H109" i="2" a="1"/>
  <c r="H109" i="2" s="1"/>
  <c r="H121" i="2" a="1"/>
  <c r="H121" i="2" s="1"/>
  <c r="H133" i="2" a="1"/>
  <c r="H133" i="2" s="1"/>
  <c r="H145" i="2" a="1"/>
  <c r="H145" i="2" s="1"/>
  <c r="H157" i="2" a="1"/>
  <c r="H157" i="2" s="1"/>
  <c r="H169" i="2" a="1"/>
  <c r="H169" i="2" s="1"/>
  <c r="H181" i="2" a="1"/>
  <c r="H181" i="2" s="1"/>
  <c r="H193" i="2" a="1"/>
  <c r="H193" i="2" s="1"/>
  <c r="H205" i="2" a="1"/>
  <c r="H205" i="2" s="1"/>
  <c r="H217" i="2" a="1"/>
  <c r="H217" i="2" s="1"/>
  <c r="H229" i="2" a="1"/>
  <c r="H229" i="2" s="1"/>
  <c r="H241" i="2" a="1"/>
  <c r="H241" i="2" s="1"/>
  <c r="G13" i="2" a="1"/>
  <c r="G13" i="2" s="1"/>
  <c r="G25" i="2" a="1"/>
  <c r="G25" i="2" s="1"/>
  <c r="G37" i="2" a="1"/>
  <c r="G37" i="2" s="1"/>
  <c r="G49" i="2" a="1"/>
  <c r="G49" i="2" s="1"/>
  <c r="G61" i="2" a="1"/>
  <c r="G61" i="2" s="1"/>
  <c r="G73" i="2" a="1"/>
  <c r="G73" i="2" s="1"/>
  <c r="G85" i="2" a="1"/>
  <c r="G85" i="2" s="1"/>
  <c r="G97" i="2" a="1"/>
  <c r="G97" i="2" s="1"/>
  <c r="G109" i="2" a="1"/>
  <c r="G109" i="2" s="1"/>
  <c r="G121" i="2" a="1"/>
  <c r="G121" i="2" s="1"/>
  <c r="G133" i="2" a="1"/>
  <c r="G133" i="2" s="1"/>
  <c r="G145" i="2" a="1"/>
  <c r="G145" i="2" s="1"/>
  <c r="G157" i="2" a="1"/>
  <c r="G157" i="2" s="1"/>
  <c r="G169" i="2" a="1"/>
  <c r="G169" i="2" s="1"/>
  <c r="G181" i="2" a="1"/>
  <c r="G181" i="2" s="1"/>
  <c r="G193" i="2" a="1"/>
  <c r="G193" i="2" s="1"/>
  <c r="G205" i="2" a="1"/>
  <c r="G205" i="2" s="1"/>
  <c r="G217" i="2" a="1"/>
  <c r="G217" i="2" s="1"/>
  <c r="G229" i="2" a="1"/>
  <c r="G229" i="2" s="1"/>
  <c r="G241" i="2" a="1"/>
  <c r="G241" i="2" s="1"/>
  <c r="F13" i="2" a="1"/>
  <c r="F13" i="2" s="1"/>
  <c r="F25" i="2" a="1"/>
  <c r="F25" i="2" s="1"/>
  <c r="F37" i="2" a="1"/>
  <c r="F37" i="2" s="1"/>
  <c r="F49" i="2" a="1"/>
  <c r="F49" i="2" s="1"/>
  <c r="F61" i="2" a="1"/>
  <c r="F61" i="2" s="1"/>
  <c r="F73" i="2" a="1"/>
  <c r="F73" i="2" s="1"/>
  <c r="F85" i="2" a="1"/>
  <c r="F85" i="2" s="1"/>
  <c r="F97" i="2" a="1"/>
  <c r="F97" i="2" s="1"/>
  <c r="F109" i="2" a="1"/>
  <c r="F109" i="2" s="1"/>
  <c r="F121" i="2" a="1"/>
  <c r="F121" i="2" s="1"/>
  <c r="F133" i="2" a="1"/>
  <c r="F133" i="2" s="1"/>
  <c r="F145" i="2" a="1"/>
  <c r="F145" i="2" s="1"/>
  <c r="F157" i="2" a="1"/>
  <c r="F157" i="2" s="1"/>
  <c r="F169" i="2" a="1"/>
  <c r="F169" i="2" s="1"/>
  <c r="F181" i="2" a="1"/>
  <c r="F181" i="2" s="1"/>
  <c r="F193" i="2" a="1"/>
  <c r="F193" i="2" s="1"/>
  <c r="F205" i="2" a="1"/>
  <c r="F205" i="2" s="1"/>
  <c r="F217" i="2" a="1"/>
  <c r="F217" i="2" s="1"/>
  <c r="F229" i="2" a="1"/>
  <c r="F229" i="2" s="1"/>
  <c r="F241" i="2" a="1"/>
  <c r="F241" i="2" s="1"/>
  <c r="C6" i="2" a="1"/>
  <c r="C6" i="2" s="1"/>
  <c r="C10" i="2" a="1"/>
  <c r="C10" i="2" s="1"/>
  <c r="C14" i="2" a="1"/>
  <c r="C14" i="2" s="1"/>
  <c r="C18" i="2" a="1"/>
  <c r="C18" i="2" s="1"/>
  <c r="C22" i="2" a="1"/>
  <c r="C22" i="2" s="1"/>
  <c r="I14" i="2" a="1"/>
  <c r="I14" i="2" s="1"/>
  <c r="I26" i="2" a="1"/>
  <c r="I26" i="2" s="1"/>
  <c r="I38" i="2" a="1"/>
  <c r="I38" i="2" s="1"/>
  <c r="I50" i="2" a="1"/>
  <c r="I50" i="2" s="1"/>
  <c r="I62" i="2" a="1"/>
  <c r="I62" i="2" s="1"/>
  <c r="I74" i="2" a="1"/>
  <c r="I74" i="2" s="1"/>
  <c r="I86" i="2" a="1"/>
  <c r="I86" i="2" s="1"/>
  <c r="I98" i="2" a="1"/>
  <c r="I98" i="2" s="1"/>
  <c r="I110" i="2" a="1"/>
  <c r="I110" i="2" s="1"/>
  <c r="I122" i="2" a="1"/>
  <c r="I122" i="2" s="1"/>
  <c r="I134" i="2" a="1"/>
  <c r="I134" i="2" s="1"/>
  <c r="I146" i="2" a="1"/>
  <c r="I146" i="2" s="1"/>
  <c r="I158" i="2" a="1"/>
  <c r="I158" i="2" s="1"/>
  <c r="I170" i="2" a="1"/>
  <c r="I170" i="2" s="1"/>
  <c r="I182" i="2" a="1"/>
  <c r="I182" i="2" s="1"/>
  <c r="I194" i="2" a="1"/>
  <c r="I194" i="2" s="1"/>
  <c r="I206" i="2" a="1"/>
  <c r="I206" i="2" s="1"/>
  <c r="I218" i="2" a="1"/>
  <c r="I218" i="2" s="1"/>
  <c r="I230" i="2" a="1"/>
  <c r="I230" i="2" s="1"/>
  <c r="I242" i="2" a="1"/>
  <c r="I242" i="2" s="1"/>
  <c r="H14" i="2" a="1"/>
  <c r="H14" i="2" s="1"/>
  <c r="H26" i="2" a="1"/>
  <c r="H26" i="2" s="1"/>
  <c r="H38" i="2" a="1"/>
  <c r="H38" i="2" s="1"/>
  <c r="H50" i="2" a="1"/>
  <c r="H50" i="2" s="1"/>
  <c r="H62" i="2" a="1"/>
  <c r="H62" i="2" s="1"/>
  <c r="H74" i="2" a="1"/>
  <c r="H74" i="2" s="1"/>
  <c r="H86" i="2" a="1"/>
  <c r="H86" i="2" s="1"/>
  <c r="H98" i="2" a="1"/>
  <c r="H98" i="2" s="1"/>
  <c r="H110" i="2" a="1"/>
  <c r="H110" i="2" s="1"/>
  <c r="H122" i="2" a="1"/>
  <c r="H122" i="2" s="1"/>
  <c r="H134" i="2" a="1"/>
  <c r="H134" i="2" s="1"/>
  <c r="H146" i="2" a="1"/>
  <c r="H146" i="2" s="1"/>
  <c r="H158" i="2" a="1"/>
  <c r="H158" i="2" s="1"/>
  <c r="H170" i="2" a="1"/>
  <c r="H170" i="2" s="1"/>
  <c r="H182" i="2" a="1"/>
  <c r="H182" i="2" s="1"/>
  <c r="H194" i="2" a="1"/>
  <c r="H194" i="2" s="1"/>
  <c r="H206" i="2" a="1"/>
  <c r="H206" i="2" s="1"/>
  <c r="H218" i="2" a="1"/>
  <c r="H218" i="2" s="1"/>
  <c r="H230" i="2" a="1"/>
  <c r="H230" i="2" s="1"/>
  <c r="H242" i="2" a="1"/>
  <c r="H242" i="2" s="1"/>
  <c r="G14" i="2" a="1"/>
  <c r="G14" i="2" s="1"/>
  <c r="G26" i="2" a="1"/>
  <c r="G26" i="2" s="1"/>
  <c r="G38" i="2" a="1"/>
  <c r="G38" i="2" s="1"/>
  <c r="G50" i="2" a="1"/>
  <c r="G50" i="2" s="1"/>
  <c r="G62" i="2" a="1"/>
  <c r="G62" i="2" s="1"/>
  <c r="G74" i="2" a="1"/>
  <c r="G74" i="2" s="1"/>
  <c r="G86" i="2" a="1"/>
  <c r="G86" i="2" s="1"/>
  <c r="G98" i="2" a="1"/>
  <c r="G98" i="2" s="1"/>
  <c r="G110" i="2" a="1"/>
  <c r="G110" i="2" s="1"/>
  <c r="G122" i="2" a="1"/>
  <c r="G122" i="2" s="1"/>
  <c r="G134" i="2" a="1"/>
  <c r="G134" i="2" s="1"/>
  <c r="G146" i="2" a="1"/>
  <c r="G146" i="2" s="1"/>
  <c r="G158" i="2" a="1"/>
  <c r="G158" i="2" s="1"/>
  <c r="G170" i="2" a="1"/>
  <c r="G170" i="2" s="1"/>
  <c r="G182" i="2" a="1"/>
  <c r="G182" i="2" s="1"/>
  <c r="G194" i="2" a="1"/>
  <c r="G194" i="2" s="1"/>
  <c r="G206" i="2" a="1"/>
  <c r="G206" i="2" s="1"/>
  <c r="G218" i="2" a="1"/>
  <c r="G218" i="2" s="1"/>
  <c r="G230" i="2" a="1"/>
  <c r="G230" i="2" s="1"/>
  <c r="G242" i="2" a="1"/>
  <c r="G242" i="2" s="1"/>
  <c r="F14" i="2" a="1"/>
  <c r="F14" i="2" s="1"/>
  <c r="F26" i="2" a="1"/>
  <c r="F26" i="2" s="1"/>
  <c r="F38" i="2" a="1"/>
  <c r="F38" i="2" s="1"/>
  <c r="F50" i="2" a="1"/>
  <c r="F50" i="2" s="1"/>
  <c r="F62" i="2" a="1"/>
  <c r="F62" i="2" s="1"/>
  <c r="F74" i="2" a="1"/>
  <c r="F74" i="2" s="1"/>
  <c r="F86" i="2" a="1"/>
  <c r="F86" i="2" s="1"/>
  <c r="F98" i="2" a="1"/>
  <c r="F98" i="2" s="1"/>
  <c r="F110" i="2" a="1"/>
  <c r="F110" i="2" s="1"/>
  <c r="F122" i="2" a="1"/>
  <c r="F122" i="2" s="1"/>
  <c r="F134" i="2" a="1"/>
  <c r="F134" i="2" s="1"/>
  <c r="F146" i="2" a="1"/>
  <c r="F146" i="2" s="1"/>
  <c r="F158" i="2" a="1"/>
  <c r="F158" i="2" s="1"/>
  <c r="F170" i="2" a="1"/>
  <c r="F170" i="2" s="1"/>
  <c r="F182" i="2" a="1"/>
  <c r="F182" i="2" s="1"/>
  <c r="F194" i="2" a="1"/>
  <c r="F194" i="2" s="1"/>
  <c r="F206" i="2" a="1"/>
  <c r="F206" i="2" s="1"/>
  <c r="F218" i="2" a="1"/>
  <c r="F218" i="2" s="1"/>
  <c r="F230" i="2" a="1"/>
  <c r="F230" i="2" s="1"/>
  <c r="F242" i="2" a="1"/>
  <c r="F242" i="2" s="1"/>
  <c r="D6" i="2" a="1"/>
  <c r="D6" i="2" s="1"/>
  <c r="D10" i="2" a="1"/>
  <c r="D10" i="2" s="1"/>
  <c r="D14" i="2" a="1"/>
  <c r="D14" i="2" s="1"/>
  <c r="D18" i="2" a="1"/>
  <c r="D18" i="2" s="1"/>
  <c r="D242" i="2" a="1"/>
  <c r="D242" i="2" s="1"/>
  <c r="D238" i="2" a="1"/>
  <c r="D238" i="2" s="1"/>
  <c r="D234" i="2" a="1"/>
  <c r="D234" i="2" s="1"/>
  <c r="D230" i="2" a="1"/>
  <c r="D230" i="2" s="1"/>
  <c r="D226" i="2" a="1"/>
  <c r="D226" i="2" s="1"/>
  <c r="D222" i="2" a="1"/>
  <c r="D222" i="2" s="1"/>
  <c r="D218" i="2" a="1"/>
  <c r="D218" i="2" s="1"/>
  <c r="D214" i="2" a="1"/>
  <c r="D214" i="2" s="1"/>
  <c r="D210" i="2" a="1"/>
  <c r="D210" i="2" s="1"/>
  <c r="D206" i="2" a="1"/>
  <c r="D206" i="2" s="1"/>
  <c r="D202" i="2" a="1"/>
  <c r="D202" i="2" s="1"/>
  <c r="D198" i="2" a="1"/>
  <c r="D198" i="2" s="1"/>
  <c r="D194" i="2" a="1"/>
  <c r="D194" i="2" s="1"/>
  <c r="D190" i="2" a="1"/>
  <c r="D190" i="2" s="1"/>
  <c r="D186" i="2" a="1"/>
  <c r="D186" i="2" s="1"/>
  <c r="D182" i="2" a="1"/>
  <c r="D182" i="2" s="1"/>
  <c r="D178" i="2" a="1"/>
  <c r="D178" i="2" s="1"/>
  <c r="D174" i="2" a="1"/>
  <c r="D174" i="2" s="1"/>
  <c r="D170" i="2" a="1"/>
  <c r="D170" i="2" s="1"/>
  <c r="D166" i="2" a="1"/>
  <c r="D166" i="2" s="1"/>
  <c r="D162" i="2" a="1"/>
  <c r="D162" i="2" s="1"/>
  <c r="D158" i="2" a="1"/>
  <c r="D158" i="2" s="1"/>
  <c r="D154" i="2" a="1"/>
  <c r="D154" i="2" s="1"/>
  <c r="D150" i="2" a="1"/>
  <c r="D150" i="2" s="1"/>
  <c r="D146" i="2" a="1"/>
  <c r="D146" i="2" s="1"/>
  <c r="D142" i="2" a="1"/>
  <c r="D142" i="2" s="1"/>
  <c r="D138" i="2" a="1"/>
  <c r="D138" i="2" s="1"/>
  <c r="D134" i="2" a="1"/>
  <c r="D134" i="2" s="1"/>
  <c r="D130" i="2" a="1"/>
  <c r="D130" i="2" s="1"/>
  <c r="D126" i="2" a="1"/>
  <c r="D126" i="2" s="1"/>
  <c r="D122" i="2" a="1"/>
  <c r="D122" i="2" s="1"/>
  <c r="D118" i="2" a="1"/>
  <c r="D118" i="2" s="1"/>
  <c r="D114" i="2" a="1"/>
  <c r="D114" i="2" s="1"/>
  <c r="D110" i="2" a="1"/>
  <c r="D110" i="2" s="1"/>
  <c r="D106" i="2" a="1"/>
  <c r="D106" i="2" s="1"/>
  <c r="D102" i="2" a="1"/>
  <c r="D102" i="2" s="1"/>
  <c r="B95" i="2" a="1"/>
  <c r="B95" i="2" s="1"/>
  <c r="B91" i="2" a="1"/>
  <c r="B91" i="2" s="1"/>
  <c r="B87" i="2" a="1"/>
  <c r="B87" i="2" s="1"/>
  <c r="E87" i="2" s="1" a="1"/>
  <c r="E87" i="2" s="1"/>
  <c r="B83" i="2" a="1"/>
  <c r="B83" i="2" s="1"/>
  <c r="E83" i="2" s="1" a="1"/>
  <c r="E83" i="2" s="1"/>
  <c r="B79" i="2" a="1"/>
  <c r="B79" i="2" s="1"/>
  <c r="E79" i="2" s="1" a="1"/>
  <c r="E79" i="2" s="1"/>
  <c r="B75" i="2" a="1"/>
  <c r="B75" i="2" s="1"/>
  <c r="E75" i="2" s="1" a="1"/>
  <c r="E75" i="2" s="1"/>
  <c r="B71" i="2" a="1"/>
  <c r="B71" i="2" s="1"/>
  <c r="E71" i="2" s="1" a="1"/>
  <c r="E71" i="2" s="1"/>
  <c r="B67" i="2" a="1"/>
  <c r="B67" i="2" s="1"/>
  <c r="E67" i="2" s="1" a="1"/>
  <c r="E67" i="2" s="1"/>
  <c r="B63" i="2" a="1"/>
  <c r="B63" i="2" s="1"/>
  <c r="E63" i="2" s="1" a="1"/>
  <c r="E63" i="2" s="1"/>
  <c r="B59" i="2" a="1"/>
  <c r="B59" i="2" s="1"/>
  <c r="B55" i="2" a="1"/>
  <c r="B55" i="2" s="1"/>
  <c r="E55" i="2" s="1" a="1"/>
  <c r="E55" i="2" s="1"/>
  <c r="B51" i="2" a="1"/>
  <c r="B51" i="2" s="1"/>
  <c r="E51" i="2" s="1" a="1"/>
  <c r="E51" i="2" s="1"/>
  <c r="B47" i="2" a="1"/>
  <c r="B47" i="2" s="1"/>
  <c r="E47" i="2" s="1" a="1"/>
  <c r="E47" i="2" s="1"/>
  <c r="B43" i="2" a="1"/>
  <c r="B43" i="2" s="1"/>
  <c r="E43" i="2" s="1" a="1"/>
  <c r="E43" i="2" s="1"/>
  <c r="B39" i="2" a="1"/>
  <c r="B39" i="2" s="1"/>
  <c r="E39" i="2" s="1" a="1"/>
  <c r="E39" i="2" s="1"/>
  <c r="C35" i="2" a="1"/>
  <c r="C35" i="2" s="1"/>
  <c r="C31" i="2" a="1"/>
  <c r="C31" i="2" s="1"/>
  <c r="C27" i="2" a="1"/>
  <c r="C27" i="2" s="1"/>
  <c r="C23" i="2" a="1"/>
  <c r="C23" i="2" s="1"/>
  <c r="B16" i="2" a="1"/>
  <c r="B16" i="2" s="1"/>
  <c r="E16" i="2" s="1" a="1"/>
  <c r="E16" i="2" s="1"/>
  <c r="C7" i="2" a="1"/>
  <c r="C7" i="2" s="1"/>
  <c r="F224" i="2" a="1"/>
  <c r="F224" i="2" s="1"/>
  <c r="F188" i="2" a="1"/>
  <c r="F188" i="2" s="1"/>
  <c r="F152" i="2" a="1"/>
  <c r="F152" i="2" s="1"/>
  <c r="F116" i="2" a="1"/>
  <c r="F116" i="2" s="1"/>
  <c r="F80" i="2" a="1"/>
  <c r="F80" i="2" s="1"/>
  <c r="F35" i="2" a="1"/>
  <c r="F35" i="2" s="1"/>
  <c r="G152" i="2" a="1"/>
  <c r="G152" i="2" s="1"/>
  <c r="G8" i="2" a="1"/>
  <c r="G8" i="2" s="1"/>
  <c r="H104" i="2" a="1"/>
  <c r="H104" i="2" s="1"/>
  <c r="C216" i="2" a="1"/>
  <c r="C216" i="2" s="1"/>
  <c r="C242" i="2" a="1"/>
  <c r="C242" i="2" s="1"/>
  <c r="C238" i="2" a="1"/>
  <c r="C238" i="2" s="1"/>
  <c r="C234" i="2" a="1"/>
  <c r="C234" i="2" s="1"/>
  <c r="C230" i="2" a="1"/>
  <c r="C230" i="2" s="1"/>
  <c r="C226" i="2" a="1"/>
  <c r="C226" i="2" s="1"/>
  <c r="C222" i="2" a="1"/>
  <c r="C222" i="2" s="1"/>
  <c r="C218" i="2" a="1"/>
  <c r="C218" i="2" s="1"/>
  <c r="C214" i="2" a="1"/>
  <c r="C214" i="2" s="1"/>
  <c r="C210" i="2" a="1"/>
  <c r="C210" i="2" s="1"/>
  <c r="C206" i="2" a="1"/>
  <c r="C206" i="2" s="1"/>
  <c r="C202" i="2" a="1"/>
  <c r="C202" i="2" s="1"/>
  <c r="C198" i="2" a="1"/>
  <c r="C198" i="2" s="1"/>
  <c r="C194" i="2" a="1"/>
  <c r="C194" i="2" s="1"/>
  <c r="C190" i="2" a="1"/>
  <c r="C190" i="2" s="1"/>
  <c r="C186" i="2" a="1"/>
  <c r="C186" i="2" s="1"/>
  <c r="C182" i="2" a="1"/>
  <c r="C182" i="2" s="1"/>
  <c r="C178" i="2" a="1"/>
  <c r="C178" i="2" s="1"/>
  <c r="C174" i="2" a="1"/>
  <c r="C174" i="2" s="1"/>
  <c r="C170" i="2" a="1"/>
  <c r="C170" i="2" s="1"/>
  <c r="C166" i="2" a="1"/>
  <c r="C166" i="2" s="1"/>
  <c r="C162" i="2" a="1"/>
  <c r="C162" i="2" s="1"/>
  <c r="C158" i="2" a="1"/>
  <c r="C158" i="2" s="1"/>
  <c r="C154" i="2" a="1"/>
  <c r="C154" i="2" s="1"/>
  <c r="C150" i="2" a="1"/>
  <c r="C150" i="2" s="1"/>
  <c r="C146" i="2" a="1"/>
  <c r="C146" i="2" s="1"/>
  <c r="C142" i="2" a="1"/>
  <c r="C142" i="2" s="1"/>
  <c r="C138" i="2" a="1"/>
  <c r="C138" i="2" s="1"/>
  <c r="C134" i="2" a="1"/>
  <c r="C134" i="2" s="1"/>
  <c r="C130" i="2" a="1"/>
  <c r="C130" i="2" s="1"/>
  <c r="C126" i="2" a="1"/>
  <c r="C126" i="2" s="1"/>
  <c r="C122" i="2" a="1"/>
  <c r="C122" i="2" s="1"/>
  <c r="C118" i="2" a="1"/>
  <c r="C118" i="2" s="1"/>
  <c r="C114" i="2" a="1"/>
  <c r="C114" i="2" s="1"/>
  <c r="C110" i="2" a="1"/>
  <c r="C110" i="2" s="1"/>
  <c r="C106" i="2" a="1"/>
  <c r="C106" i="2" s="1"/>
  <c r="C102" i="2" a="1"/>
  <c r="C102" i="2" s="1"/>
  <c r="D98" i="2" a="1"/>
  <c r="D98" i="2" s="1"/>
  <c r="D94" i="2" a="1"/>
  <c r="D94" i="2" s="1"/>
  <c r="D90" i="2" a="1"/>
  <c r="D90" i="2" s="1"/>
  <c r="D86" i="2" a="1"/>
  <c r="D86" i="2" s="1"/>
  <c r="D82" i="2" a="1"/>
  <c r="D82" i="2" s="1"/>
  <c r="D78" i="2" a="1"/>
  <c r="D78" i="2" s="1"/>
  <c r="D74" i="2" a="1"/>
  <c r="D74" i="2" s="1"/>
  <c r="D70" i="2" a="1"/>
  <c r="D70" i="2" s="1"/>
  <c r="D66" i="2" a="1"/>
  <c r="D66" i="2" s="1"/>
  <c r="D62" i="2" a="1"/>
  <c r="D62" i="2" s="1"/>
  <c r="D58" i="2" a="1"/>
  <c r="D58" i="2" s="1"/>
  <c r="D54" i="2" a="1"/>
  <c r="D54" i="2" s="1"/>
  <c r="D50" i="2" a="1"/>
  <c r="D50" i="2" s="1"/>
  <c r="D46" i="2" a="1"/>
  <c r="D46" i="2" s="1"/>
  <c r="D42" i="2" a="1"/>
  <c r="D42" i="2" s="1"/>
  <c r="B35" i="2" a="1"/>
  <c r="B35" i="2" s="1"/>
  <c r="B31" i="2" a="1"/>
  <c r="B31" i="2" s="1"/>
  <c r="E31" i="2" s="1" a="1"/>
  <c r="E31" i="2" s="1"/>
  <c r="B27" i="2" a="1"/>
  <c r="B27" i="2" s="1"/>
  <c r="B23" i="2" a="1"/>
  <c r="B23" i="2" s="1"/>
  <c r="C15" i="2" a="1"/>
  <c r="C15" i="2" s="1"/>
  <c r="B7" i="2" a="1"/>
  <c r="B7" i="2" s="1"/>
  <c r="F220" i="2" a="1"/>
  <c r="F220" i="2" s="1"/>
  <c r="F184" i="2" a="1"/>
  <c r="F184" i="2" s="1"/>
  <c r="F148" i="2" a="1"/>
  <c r="F148" i="2" s="1"/>
  <c r="F112" i="2" a="1"/>
  <c r="F112" i="2" s="1"/>
  <c r="F76" i="2" a="1"/>
  <c r="F76" i="2" s="1"/>
  <c r="F32" i="2" a="1"/>
  <c r="F32" i="2" s="1"/>
  <c r="G140" i="2" a="1"/>
  <c r="G140" i="2" s="1"/>
  <c r="H236" i="2" a="1"/>
  <c r="H236" i="2" s="1"/>
  <c r="H92" i="2" a="1"/>
  <c r="H92" i="2" s="1"/>
  <c r="B238" i="2" a="1"/>
  <c r="B238" i="2" s="1"/>
  <c r="E238" i="2" s="1" a="1"/>
  <c r="E238" i="2" s="1"/>
  <c r="B230" i="2" a="1"/>
  <c r="B230" i="2" s="1"/>
  <c r="E230" i="2" s="1" a="1"/>
  <c r="E230" i="2" s="1"/>
  <c r="B226" i="2" a="1"/>
  <c r="B226" i="2" s="1"/>
  <c r="B222" i="2" a="1"/>
  <c r="B222" i="2" s="1"/>
  <c r="B218" i="2" a="1"/>
  <c r="B218" i="2" s="1"/>
  <c r="E218" i="2" s="1" a="1"/>
  <c r="E218" i="2" s="1"/>
  <c r="B214" i="2" a="1"/>
  <c r="B214" i="2" s="1"/>
  <c r="B210" i="2" a="1"/>
  <c r="B210" i="2" s="1"/>
  <c r="E210" i="2" s="1" a="1"/>
  <c r="E210" i="2" s="1"/>
  <c r="B206" i="2" a="1"/>
  <c r="B206" i="2" s="1"/>
  <c r="E206" i="2" s="1" a="1"/>
  <c r="E206" i="2" s="1"/>
  <c r="B202" i="2" a="1"/>
  <c r="B202" i="2" s="1"/>
  <c r="B198" i="2" a="1"/>
  <c r="B198" i="2" s="1"/>
  <c r="B194" i="2" a="1"/>
  <c r="B194" i="2" s="1"/>
  <c r="B190" i="2" a="1"/>
  <c r="B190" i="2" s="1"/>
  <c r="B186" i="2" a="1"/>
  <c r="B186" i="2" s="1"/>
  <c r="E186" i="2" s="1" a="1"/>
  <c r="E186" i="2" s="1"/>
  <c r="B182" i="2" a="1"/>
  <c r="B182" i="2" s="1"/>
  <c r="E182" i="2" s="1" a="1"/>
  <c r="E182" i="2" s="1"/>
  <c r="B178" i="2" a="1"/>
  <c r="B178" i="2" s="1"/>
  <c r="B174" i="2" a="1"/>
  <c r="B174" i="2" s="1"/>
  <c r="B170" i="2" a="1"/>
  <c r="B170" i="2" s="1"/>
  <c r="B166" i="2" a="1"/>
  <c r="B166" i="2" s="1"/>
  <c r="E166" i="2" s="1" a="1"/>
  <c r="E166" i="2" s="1"/>
  <c r="B162" i="2" a="1"/>
  <c r="B162" i="2" s="1"/>
  <c r="E162" i="2" s="1" a="1"/>
  <c r="E162" i="2" s="1"/>
  <c r="B158" i="2" a="1"/>
  <c r="B158" i="2" s="1"/>
  <c r="E158" i="2" s="1" a="1"/>
  <c r="E158" i="2" s="1"/>
  <c r="B154" i="2" a="1"/>
  <c r="B154" i="2" s="1"/>
  <c r="B150" i="2" a="1"/>
  <c r="B150" i="2" s="1"/>
  <c r="B146" i="2" a="1"/>
  <c r="B146" i="2" s="1"/>
  <c r="B142" i="2" a="1"/>
  <c r="B142" i="2" s="1"/>
  <c r="E142" i="2" s="1" a="1"/>
  <c r="E142" i="2" s="1"/>
  <c r="B138" i="2" a="1"/>
  <c r="B138" i="2" s="1"/>
  <c r="E138" i="2" s="1" a="1"/>
  <c r="E138" i="2" s="1"/>
  <c r="B134" i="2" a="1"/>
  <c r="B134" i="2" s="1"/>
  <c r="E134" i="2" s="1" a="1"/>
  <c r="E134" i="2" s="1"/>
  <c r="B130" i="2" a="1"/>
  <c r="B130" i="2" s="1"/>
  <c r="E130" i="2" s="1" a="1"/>
  <c r="E130" i="2" s="1"/>
  <c r="B126" i="2" a="1"/>
  <c r="B126" i="2" s="1"/>
  <c r="B122" i="2" a="1"/>
  <c r="B122" i="2" s="1"/>
  <c r="B118" i="2" a="1"/>
  <c r="B118" i="2" s="1"/>
  <c r="B114" i="2" a="1"/>
  <c r="B114" i="2" s="1"/>
  <c r="E114" i="2" s="1" a="1"/>
  <c r="E114" i="2" s="1"/>
  <c r="B110" i="2" a="1"/>
  <c r="B110" i="2" s="1"/>
  <c r="B106" i="2" a="1"/>
  <c r="B106" i="2" s="1"/>
  <c r="B102" i="2" a="1"/>
  <c r="B102" i="2" s="1"/>
  <c r="C98" i="2" a="1"/>
  <c r="C98" i="2" s="1"/>
  <c r="C94" i="2" a="1"/>
  <c r="C94" i="2" s="1"/>
  <c r="C90" i="2" a="1"/>
  <c r="C90" i="2" s="1"/>
  <c r="C86" i="2" a="1"/>
  <c r="C86" i="2" s="1"/>
  <c r="C82" i="2" a="1"/>
  <c r="C82" i="2" s="1"/>
  <c r="C78" i="2" a="1"/>
  <c r="C78" i="2" s="1"/>
  <c r="C74" i="2" a="1"/>
  <c r="C74" i="2" s="1"/>
  <c r="C70" i="2" a="1"/>
  <c r="C70" i="2" s="1"/>
  <c r="C66" i="2" a="1"/>
  <c r="C66" i="2" s="1"/>
  <c r="C62" i="2" a="1"/>
  <c r="C62" i="2" s="1"/>
  <c r="C58" i="2" a="1"/>
  <c r="C58" i="2" s="1"/>
  <c r="C54" i="2" a="1"/>
  <c r="C54" i="2" s="1"/>
  <c r="C50" i="2" a="1"/>
  <c r="C50" i="2" s="1"/>
  <c r="C46" i="2" a="1"/>
  <c r="C46" i="2" s="1"/>
  <c r="C42" i="2" a="1"/>
  <c r="C42" i="2" s="1"/>
  <c r="D38" i="2" a="1"/>
  <c r="D38" i="2" s="1"/>
  <c r="D34" i="2" a="1"/>
  <c r="D34" i="2" s="1"/>
  <c r="D30" i="2" a="1"/>
  <c r="D30" i="2" s="1"/>
  <c r="D26" i="2" a="1"/>
  <c r="D26" i="2" s="1"/>
  <c r="D22" i="2" a="1"/>
  <c r="D22" i="2" s="1"/>
  <c r="B15" i="2" a="1"/>
  <c r="B15" i="2" s="1"/>
  <c r="E15" i="2" s="1" a="1"/>
  <c r="E15" i="2" s="1"/>
  <c r="B6" i="2" a="1"/>
  <c r="B6" i="2" s="1"/>
  <c r="F216" i="2" a="1"/>
  <c r="F216" i="2" s="1"/>
  <c r="F180" i="2" a="1"/>
  <c r="F180" i="2" s="1"/>
  <c r="F144" i="2" a="1"/>
  <c r="F144" i="2" s="1"/>
  <c r="F108" i="2" a="1"/>
  <c r="F108" i="2" s="1"/>
  <c r="F72" i="2" a="1"/>
  <c r="F72" i="2" s="1"/>
  <c r="F23" i="2" a="1"/>
  <c r="F23" i="2" s="1"/>
  <c r="G128" i="2" a="1"/>
  <c r="G128" i="2" s="1"/>
  <c r="H224" i="2" a="1"/>
  <c r="H224" i="2" s="1"/>
  <c r="H80" i="2" a="1"/>
  <c r="H80" i="2" s="1"/>
  <c r="B242" i="2" a="1"/>
  <c r="B242" i="2" s="1"/>
  <c r="D241" i="2" a="1"/>
  <c r="D241" i="2" s="1"/>
  <c r="D237" i="2" a="1"/>
  <c r="D237" i="2" s="1"/>
  <c r="D233" i="2" a="1"/>
  <c r="D233" i="2" s="1"/>
  <c r="D229" i="2" a="1"/>
  <c r="D229" i="2" s="1"/>
  <c r="D225" i="2" a="1"/>
  <c r="D225" i="2" s="1"/>
  <c r="D221" i="2" a="1"/>
  <c r="D221" i="2" s="1"/>
  <c r="D217" i="2" a="1"/>
  <c r="D217" i="2" s="1"/>
  <c r="D213" i="2" a="1"/>
  <c r="D213" i="2" s="1"/>
  <c r="D209" i="2" a="1"/>
  <c r="D209" i="2" s="1"/>
  <c r="D205" i="2" a="1"/>
  <c r="D205" i="2" s="1"/>
  <c r="D201" i="2" a="1"/>
  <c r="D201" i="2" s="1"/>
  <c r="D197" i="2" a="1"/>
  <c r="D197" i="2" s="1"/>
  <c r="D193" i="2" a="1"/>
  <c r="D193" i="2" s="1"/>
  <c r="D189" i="2" a="1"/>
  <c r="D189" i="2" s="1"/>
  <c r="D185" i="2" a="1"/>
  <c r="D185" i="2" s="1"/>
  <c r="D181" i="2" a="1"/>
  <c r="D181" i="2" s="1"/>
  <c r="D177" i="2" a="1"/>
  <c r="D177" i="2" s="1"/>
  <c r="D173" i="2" a="1"/>
  <c r="D173" i="2" s="1"/>
  <c r="D169" i="2" a="1"/>
  <c r="D169" i="2" s="1"/>
  <c r="D165" i="2" a="1"/>
  <c r="D165" i="2" s="1"/>
  <c r="D161" i="2" a="1"/>
  <c r="D161" i="2" s="1"/>
  <c r="D157" i="2" a="1"/>
  <c r="D157" i="2" s="1"/>
  <c r="D153" i="2" a="1"/>
  <c r="D153" i="2" s="1"/>
  <c r="D149" i="2" a="1"/>
  <c r="D149" i="2" s="1"/>
  <c r="D145" i="2" a="1"/>
  <c r="D145" i="2" s="1"/>
  <c r="D141" i="2" a="1"/>
  <c r="D141" i="2" s="1"/>
  <c r="D137" i="2" a="1"/>
  <c r="D137" i="2" s="1"/>
  <c r="D133" i="2" a="1"/>
  <c r="D133" i="2" s="1"/>
  <c r="D129" i="2" a="1"/>
  <c r="D129" i="2" s="1"/>
  <c r="D125" i="2" a="1"/>
  <c r="D125" i="2" s="1"/>
  <c r="D121" i="2" a="1"/>
  <c r="D121" i="2" s="1"/>
  <c r="D117" i="2" a="1"/>
  <c r="D117" i="2" s="1"/>
  <c r="D113" i="2" a="1"/>
  <c r="D113" i="2" s="1"/>
  <c r="D109" i="2" a="1"/>
  <c r="D109" i="2" s="1"/>
  <c r="D105" i="2" a="1"/>
  <c r="D105" i="2" s="1"/>
  <c r="D101" i="2" a="1"/>
  <c r="D101" i="2" s="1"/>
  <c r="B98" i="2" a="1"/>
  <c r="B98" i="2" s="1"/>
  <c r="E98" i="2" s="1" a="1"/>
  <c r="E98" i="2" s="1"/>
  <c r="B94" i="2" a="1"/>
  <c r="B94" i="2" s="1"/>
  <c r="B90" i="2" a="1"/>
  <c r="B90" i="2" s="1"/>
  <c r="E90" i="2" s="1" a="1"/>
  <c r="E90" i="2" s="1"/>
  <c r="B86" i="2" a="1"/>
  <c r="B86" i="2" s="1"/>
  <c r="E86" i="2" s="1" a="1"/>
  <c r="E86" i="2" s="1"/>
  <c r="B82" i="2" a="1"/>
  <c r="B82" i="2" s="1"/>
  <c r="B78" i="2" a="1"/>
  <c r="B78" i="2" s="1"/>
  <c r="E78" i="2" s="1" a="1"/>
  <c r="E78" i="2" s="1"/>
  <c r="B74" i="2" a="1"/>
  <c r="B74" i="2" s="1"/>
  <c r="E74" i="2" s="1" a="1"/>
  <c r="E74" i="2" s="1"/>
  <c r="B70" i="2" a="1"/>
  <c r="B70" i="2" s="1"/>
  <c r="E70" i="2" s="1" a="1"/>
  <c r="E70" i="2" s="1"/>
  <c r="B66" i="2" a="1"/>
  <c r="B66" i="2" s="1"/>
  <c r="E66" i="2" s="1" a="1"/>
  <c r="E66" i="2" s="1"/>
  <c r="B62" i="2" a="1"/>
  <c r="B62" i="2" s="1"/>
  <c r="B58" i="2" a="1"/>
  <c r="B58" i="2" s="1"/>
  <c r="E58" i="2" s="1" a="1"/>
  <c r="E58" i="2" s="1"/>
  <c r="B54" i="2" a="1"/>
  <c r="B54" i="2" s="1"/>
  <c r="E54" i="2" s="1" a="1"/>
  <c r="E54" i="2" s="1"/>
  <c r="B50" i="2" a="1"/>
  <c r="B50" i="2" s="1"/>
  <c r="B46" i="2" a="1"/>
  <c r="B46" i="2" s="1"/>
  <c r="B42" i="2" a="1"/>
  <c r="B42" i="2" s="1"/>
  <c r="C38" i="2" a="1"/>
  <c r="C38" i="2" s="1"/>
  <c r="C34" i="2" a="1"/>
  <c r="C34" i="2" s="1"/>
  <c r="C30" i="2" a="1"/>
  <c r="C30" i="2" s="1"/>
  <c r="C26" i="2" a="1"/>
  <c r="C26" i="2" s="1"/>
  <c r="B22" i="2" a="1"/>
  <c r="B22" i="2" s="1"/>
  <c r="E22" i="2" s="1" a="1"/>
  <c r="E22" i="2" s="1"/>
  <c r="B14" i="2" a="1"/>
  <c r="B14" i="2" s="1"/>
  <c r="E14" i="2" s="1" a="1"/>
  <c r="E14" i="2" s="1"/>
  <c r="D5" i="2" a="1"/>
  <c r="D5" i="2" s="1"/>
  <c r="F215" i="2" a="1"/>
  <c r="F215" i="2" s="1"/>
  <c r="F179" i="2" a="1"/>
  <c r="F179" i="2" s="1"/>
  <c r="F143" i="2" a="1"/>
  <c r="F143" i="2" s="1"/>
  <c r="F107" i="2" a="1"/>
  <c r="F107" i="2" s="1"/>
  <c r="F71" i="2" a="1"/>
  <c r="F71" i="2" s="1"/>
  <c r="F20" i="2" a="1"/>
  <c r="F20" i="2" s="1"/>
  <c r="G116" i="2" a="1"/>
  <c r="G116" i="2" s="1"/>
  <c r="H212" i="2" a="1"/>
  <c r="H212" i="2" s="1"/>
  <c r="H68" i="2" a="1"/>
  <c r="H68" i="2" s="1"/>
  <c r="C236" i="2" a="1"/>
  <c r="C236" i="2" s="1"/>
  <c r="C241" i="2" a="1"/>
  <c r="C241" i="2" s="1"/>
  <c r="C233" i="2" a="1"/>
  <c r="C233" i="2" s="1"/>
  <c r="C229" i="2" a="1"/>
  <c r="C229" i="2" s="1"/>
  <c r="C225" i="2" a="1"/>
  <c r="C225" i="2" s="1"/>
  <c r="C221" i="2" a="1"/>
  <c r="C221" i="2" s="1"/>
  <c r="C217" i="2" a="1"/>
  <c r="C217" i="2" s="1"/>
  <c r="C213" i="2" a="1"/>
  <c r="C213" i="2" s="1"/>
  <c r="C209" i="2" a="1"/>
  <c r="C209" i="2" s="1"/>
  <c r="C205" i="2" a="1"/>
  <c r="C205" i="2" s="1"/>
  <c r="C201" i="2" a="1"/>
  <c r="C201" i="2" s="1"/>
  <c r="C197" i="2" a="1"/>
  <c r="C197" i="2" s="1"/>
  <c r="C193" i="2" a="1"/>
  <c r="C193" i="2" s="1"/>
  <c r="C189" i="2" a="1"/>
  <c r="C189" i="2" s="1"/>
  <c r="C185" i="2" a="1"/>
  <c r="C185" i="2" s="1"/>
  <c r="C181" i="2" a="1"/>
  <c r="C181" i="2" s="1"/>
  <c r="C177" i="2" a="1"/>
  <c r="C177" i="2" s="1"/>
  <c r="C173" i="2" a="1"/>
  <c r="C173" i="2" s="1"/>
  <c r="C169" i="2" a="1"/>
  <c r="C169" i="2" s="1"/>
  <c r="C165" i="2" a="1"/>
  <c r="C165" i="2" s="1"/>
  <c r="E165" i="2" s="1" a="1"/>
  <c r="E165" i="2" s="1"/>
  <c r="C161" i="2" a="1"/>
  <c r="C161" i="2" s="1"/>
  <c r="C157" i="2" a="1"/>
  <c r="C157" i="2" s="1"/>
  <c r="C153" i="2" a="1"/>
  <c r="C153" i="2" s="1"/>
  <c r="C149" i="2" a="1"/>
  <c r="C149" i="2" s="1"/>
  <c r="C145" i="2" a="1"/>
  <c r="C145" i="2" s="1"/>
  <c r="C141" i="2" a="1"/>
  <c r="C141" i="2" s="1"/>
  <c r="C137" i="2" a="1"/>
  <c r="C137" i="2" s="1"/>
  <c r="C133" i="2" a="1"/>
  <c r="C133" i="2" s="1"/>
  <c r="C129" i="2" a="1"/>
  <c r="C129" i="2" s="1"/>
  <c r="C125" i="2" a="1"/>
  <c r="C125" i="2" s="1"/>
  <c r="C121" i="2" a="1"/>
  <c r="C121" i="2" s="1"/>
  <c r="C117" i="2" a="1"/>
  <c r="C117" i="2" s="1"/>
  <c r="C113" i="2" a="1"/>
  <c r="C113" i="2" s="1"/>
  <c r="C109" i="2" a="1"/>
  <c r="C109" i="2" s="1"/>
  <c r="C105" i="2" a="1"/>
  <c r="C105" i="2" s="1"/>
  <c r="C101" i="2" a="1"/>
  <c r="C101" i="2" s="1"/>
  <c r="D97" i="2" a="1"/>
  <c r="D97" i="2" s="1"/>
  <c r="D93" i="2" a="1"/>
  <c r="D93" i="2" s="1"/>
  <c r="D89" i="2" a="1"/>
  <c r="D89" i="2" s="1"/>
  <c r="D85" i="2" a="1"/>
  <c r="D85" i="2" s="1"/>
  <c r="D81" i="2" a="1"/>
  <c r="D81" i="2" s="1"/>
  <c r="D77" i="2" a="1"/>
  <c r="D77" i="2" s="1"/>
  <c r="D73" i="2" a="1"/>
  <c r="D73" i="2" s="1"/>
  <c r="D69" i="2" a="1"/>
  <c r="D69" i="2" s="1"/>
  <c r="D65" i="2" a="1"/>
  <c r="D65" i="2" s="1"/>
  <c r="D61" i="2" a="1"/>
  <c r="D61" i="2" s="1"/>
  <c r="D57" i="2" a="1"/>
  <c r="D57" i="2" s="1"/>
  <c r="D53" i="2" a="1"/>
  <c r="D53" i="2" s="1"/>
  <c r="D49" i="2" a="1"/>
  <c r="D49" i="2" s="1"/>
  <c r="D45" i="2" a="1"/>
  <c r="D45" i="2" s="1"/>
  <c r="D41" i="2" a="1"/>
  <c r="D41" i="2" s="1"/>
  <c r="E41" i="2" s="1" a="1"/>
  <c r="E41" i="2" s="1"/>
  <c r="B38" i="2" a="1"/>
  <c r="B38" i="2" s="1"/>
  <c r="E38" i="2" s="1" a="1"/>
  <c r="E38" i="2" s="1"/>
  <c r="B34" i="2" a="1"/>
  <c r="B34" i="2" s="1"/>
  <c r="B30" i="2" a="1"/>
  <c r="B30" i="2" s="1"/>
  <c r="B26" i="2" a="1"/>
  <c r="B26" i="2" s="1"/>
  <c r="E26" i="2" s="1" a="1"/>
  <c r="E26" i="2" s="1"/>
  <c r="D21" i="2" a="1"/>
  <c r="D21" i="2" s="1"/>
  <c r="D13" i="2" a="1"/>
  <c r="D13" i="2" s="1"/>
  <c r="D4" i="2" a="1"/>
  <c r="D4" i="2" s="1"/>
  <c r="F212" i="2" a="1"/>
  <c r="F212" i="2" s="1"/>
  <c r="F176" i="2" a="1"/>
  <c r="F176" i="2" s="1"/>
  <c r="F140" i="2" a="1"/>
  <c r="F140" i="2" s="1"/>
  <c r="F104" i="2" a="1"/>
  <c r="F104" i="2" s="1"/>
  <c r="F68" i="2" a="1"/>
  <c r="F68" i="2" s="1"/>
  <c r="F8" i="2" a="1"/>
  <c r="F8" i="2" s="1"/>
  <c r="G104" i="2" a="1"/>
  <c r="G104" i="2" s="1"/>
  <c r="H200" i="2" a="1"/>
  <c r="H200" i="2" s="1"/>
  <c r="H56" i="2" a="1"/>
  <c r="H56" i="2" s="1"/>
  <c r="E154" i="2" a="1"/>
  <c r="E154" i="2" s="1"/>
  <c r="E122" i="2" a="1"/>
  <c r="E122" i="2" s="1"/>
  <c r="E62" i="2" a="1"/>
  <c r="E62" i="2" s="1"/>
  <c r="E50" i="2" a="1"/>
  <c r="E50" i="2" s="1"/>
  <c r="E6" i="2" a="1"/>
  <c r="E6" i="2" s="1"/>
  <c r="E73" i="2" a="1"/>
  <c r="E73" i="2" s="1"/>
  <c r="E9" i="2" a="1"/>
  <c r="E9" i="2" s="1"/>
  <c r="E112" i="2" a="1"/>
  <c r="E112" i="2" s="1"/>
  <c r="E68" i="2" a="1"/>
  <c r="E68" i="2" s="1"/>
  <c r="E32" i="2" a="1"/>
  <c r="E32" i="2" s="1"/>
  <c r="E187" i="2" a="1"/>
  <c r="E187" i="2" s="1"/>
  <c r="E131" i="2" a="1"/>
  <c r="E131" i="2" s="1"/>
  <c r="E59" i="2" a="1"/>
  <c r="E59" i="2" s="1"/>
  <c r="E221" i="2" a="1"/>
  <c r="E221" i="2" s="1"/>
  <c r="E169" i="2" a="1"/>
  <c r="E169" i="2" s="1"/>
  <c r="E184" i="2" a="1"/>
  <c r="E184" i="2" s="1"/>
  <c r="E104" i="2" a="1"/>
  <c r="E104" i="2" s="1"/>
  <c r="E5" i="2" a="1"/>
  <c r="E5" i="2" s="1"/>
  <c r="E171" i="2" a="1"/>
  <c r="E171" i="2" s="1"/>
  <c r="E40" i="2" a="1"/>
  <c r="E40" i="2" s="1"/>
  <c r="E4" i="2" a="1"/>
  <c r="E4" i="2" s="1"/>
  <c r="E91" i="2" a="1"/>
  <c r="E91" i="2" s="1"/>
  <c r="E170" i="2" a="1"/>
  <c r="E170" i="2" s="1"/>
  <c r="E3" i="2" a="1"/>
  <c r="E3" i="2" s="1"/>
  <c r="E237" i="2" a="1"/>
  <c r="E237" i="2" s="1"/>
  <c r="E190" i="2" a="1"/>
  <c r="E190" i="2" s="1"/>
  <c r="E108" i="2" a="1"/>
  <c r="E108" i="2" s="1"/>
  <c r="E29" i="2" a="1"/>
  <c r="E29" i="2" s="1"/>
  <c r="E151" i="2" a="1"/>
  <c r="E151" i="2" s="1"/>
  <c r="E92" i="2" a="1"/>
  <c r="E92" i="2" s="1"/>
  <c r="E241" i="2" a="1"/>
  <c r="E241" i="2" s="1"/>
  <c r="E217" i="2" a="1"/>
  <c r="E217" i="2" s="1"/>
  <c r="E139" i="2" a="1"/>
  <c r="E139" i="2" s="1"/>
  <c r="E48" i="2" a="1"/>
  <c r="E48" i="2" s="1"/>
  <c r="E242" i="2" a="1"/>
  <c r="E242" i="2" s="1"/>
  <c r="E99" i="2" a="1"/>
  <c r="E99" i="2" s="1"/>
  <c r="E8" i="2" a="1"/>
  <c r="E8" i="2" s="1"/>
  <c r="E95" i="2" a="1"/>
  <c r="E95" i="2" s="1"/>
  <c r="E126" i="2" a="1"/>
  <c r="E126" i="2" s="1"/>
  <c r="E110" i="2" a="1"/>
  <c r="E110" i="2" s="1"/>
  <c r="E215" i="2" a="1"/>
  <c r="E215" i="2" s="1"/>
  <c r="E189" i="2" a="1"/>
  <c r="E189" i="2" s="1"/>
  <c r="E135" i="2" a="1"/>
  <c r="E135" i="2" s="1"/>
  <c r="E123" i="2" a="1"/>
  <c r="E123" i="2" s="1"/>
  <c r="E116" i="2" a="1"/>
  <c r="E116" i="2" s="1"/>
  <c r="E49" i="2" a="1"/>
  <c r="E49" i="2" s="1"/>
  <c r="E226" i="2" a="1"/>
  <c r="E226" i="2" s="1"/>
  <c r="E146" i="2" a="1"/>
  <c r="E146" i="2" s="1"/>
  <c r="E214" i="2" a="1"/>
  <c r="E214" i="2" s="1"/>
  <c r="E180" i="2" a="1"/>
  <c r="E180" i="2" s="1"/>
  <c r="E107" i="2" a="1"/>
  <c r="E107" i="2" s="1"/>
  <c r="E21" i="2" a="1"/>
  <c r="E21" i="2" s="1"/>
  <c r="E118" i="2" a="1"/>
  <c r="E118" i="2" s="1"/>
  <c r="C2" i="2" a="1"/>
  <c r="C2" i="2" s="1"/>
  <c r="E7" i="2" l="1" a="1"/>
  <c r="E7" i="2" s="1"/>
  <c r="E212" i="2" a="1"/>
  <c r="E212" i="2" s="1"/>
  <c r="E125" i="2" a="1"/>
  <c r="E125" i="2" s="1"/>
  <c r="E27" i="2" a="1"/>
  <c r="E27" i="2" s="1"/>
  <c r="E202" i="2" a="1"/>
  <c r="E202" i="2" s="1"/>
  <c r="E178" i="2" a="1"/>
  <c r="E178" i="2" s="1"/>
  <c r="E42" i="2" a="1"/>
  <c r="E42" i="2" s="1"/>
  <c r="E106" i="2" a="1"/>
  <c r="E106" i="2" s="1"/>
  <c r="E34" i="2" a="1"/>
  <c r="E34" i="2" s="1"/>
  <c r="E203" i="2" a="1"/>
  <c r="E203" i="2" s="1"/>
  <c r="H2" i="2" a="1"/>
  <c r="H2" i="2" s="1"/>
  <c r="I2" i="2" a="1"/>
  <c r="I2" i="2" s="1"/>
  <c r="F2" i="2" a="1"/>
  <c r="F2" i="2" s="1"/>
  <c r="D2" i="2" a="1"/>
  <c r="D2" i="2" s="1"/>
  <c r="G2" i="2" a="1"/>
  <c r="G2" i="2" s="1"/>
  <c r="E46" i="2" a="1"/>
  <c r="E46" i="2" s="1"/>
  <c r="E94" i="2" a="1"/>
  <c r="E94" i="2" s="1"/>
  <c r="E44" i="2" a="1"/>
  <c r="E44" i="2" s="1"/>
  <c r="E89" i="2" a="1"/>
  <c r="E89" i="2" s="1"/>
  <c r="E105" i="2" a="1"/>
  <c r="E105" i="2" s="1"/>
  <c r="E153" i="2" a="1"/>
  <c r="E153" i="2" s="1"/>
  <c r="E201" i="2" a="1"/>
  <c r="E201" i="2" s="1"/>
  <c r="E30" i="2" a="1"/>
  <c r="E30" i="2" s="1"/>
  <c r="E103" i="2" a="1"/>
  <c r="E103" i="2" s="1"/>
  <c r="E199" i="2" a="1"/>
  <c r="E199" i="2" s="1"/>
  <c r="E28" i="2" a="1"/>
  <c r="E28" i="2" s="1"/>
  <c r="E11" i="2" a="1"/>
  <c r="E11" i="2" s="1"/>
  <c r="E160" i="2" a="1"/>
  <c r="E160" i="2" s="1"/>
  <c r="E208" i="2" a="1"/>
  <c r="E208" i="2" s="1"/>
  <c r="E45" i="2" a="1"/>
  <c r="E45" i="2" s="1"/>
  <c r="E93" i="2" a="1"/>
  <c r="E93" i="2" s="1"/>
  <c r="E109" i="2" a="1"/>
  <c r="E109" i="2" s="1"/>
  <c r="E157" i="2" a="1"/>
  <c r="E157" i="2" s="1"/>
  <c r="E205" i="2" a="1"/>
  <c r="E205" i="2" s="1"/>
  <c r="E19" i="2" a="1"/>
  <c r="E19" i="2" s="1"/>
  <c r="E97" i="2" a="1"/>
  <c r="E97" i="2" s="1"/>
  <c r="E113" i="2" a="1"/>
  <c r="E113" i="2" s="1"/>
  <c r="E161" i="2" a="1"/>
  <c r="E161" i="2" s="1"/>
  <c r="E209" i="2" a="1"/>
  <c r="E209" i="2" s="1"/>
  <c r="E120" i="2" a="1"/>
  <c r="E120" i="2" s="1"/>
  <c r="E168" i="2" a="1"/>
  <c r="E168" i="2" s="1"/>
  <c r="E216" i="2" a="1"/>
  <c r="E216" i="2" s="1"/>
  <c r="E53" i="2" a="1"/>
  <c r="E53" i="2" s="1"/>
  <c r="E117" i="2" a="1"/>
  <c r="E117" i="2" s="1"/>
  <c r="E213" i="2" a="1"/>
  <c r="E213" i="2" s="1"/>
  <c r="E174" i="2" a="1"/>
  <c r="E174" i="2" s="1"/>
  <c r="E222" i="2" a="1"/>
  <c r="E222" i="2" s="1"/>
  <c r="E17" i="2" a="1"/>
  <c r="E17" i="2" s="1"/>
  <c r="E220" i="2" a="1"/>
  <c r="E220" i="2" s="1"/>
  <c r="E57" i="2" a="1"/>
  <c r="E57" i="2" s="1"/>
  <c r="E121" i="2" a="1"/>
  <c r="E121" i="2" s="1"/>
  <c r="E13" i="2" a="1"/>
  <c r="E13" i="2" s="1"/>
  <c r="E10" i="2" a="1"/>
  <c r="E10" i="2" s="1"/>
  <c r="E64" i="2" a="1"/>
  <c r="E64" i="2" s="1"/>
  <c r="E224" i="2" a="1"/>
  <c r="E224" i="2" s="1"/>
  <c r="E61" i="2" a="1"/>
  <c r="E61" i="2" s="1"/>
  <c r="E173" i="2" a="1"/>
  <c r="E173" i="2" s="1"/>
  <c r="E219" i="2" a="1"/>
  <c r="E219" i="2" s="1"/>
  <c r="E18" i="2" a="1"/>
  <c r="E18" i="2" s="1"/>
  <c r="E228" i="2" a="1"/>
  <c r="E228" i="2" s="1"/>
  <c r="E12" i="2" a="1"/>
  <c r="E12" i="2" s="1"/>
  <c r="E65" i="2" a="1"/>
  <c r="E65" i="2" s="1"/>
  <c r="E129" i="2" a="1"/>
  <c r="E129" i="2" s="1"/>
  <c r="E177" i="2" a="1"/>
  <c r="E177" i="2" s="1"/>
  <c r="E225" i="2" a="1"/>
  <c r="E225" i="2" s="1"/>
  <c r="E23" i="2" a="1"/>
  <c r="E23" i="2" s="1"/>
  <c r="E20" i="2" a="1"/>
  <c r="E20" i="2" s="1"/>
  <c r="E69" i="2" a="1"/>
  <c r="E69" i="2" s="1"/>
  <c r="E133" i="2" a="1"/>
  <c r="E133" i="2" s="1"/>
  <c r="E181" i="2" a="1"/>
  <c r="E181" i="2" s="1"/>
  <c r="E229" i="2" a="1"/>
  <c r="E229" i="2" s="1"/>
  <c r="E236" i="2" a="1"/>
  <c r="E236" i="2" s="1"/>
  <c r="E137" i="2" a="1"/>
  <c r="E137" i="2" s="1"/>
  <c r="E185" i="2" a="1"/>
  <c r="E185" i="2" s="1"/>
  <c r="E233" i="2" a="1"/>
  <c r="E233" i="2" s="1"/>
  <c r="E82" i="2" a="1"/>
  <c r="E82" i="2" s="1"/>
  <c r="E194" i="2" a="1"/>
  <c r="E194" i="2" s="1"/>
  <c r="E240" i="2" a="1"/>
  <c r="E240" i="2" s="1"/>
  <c r="E77" i="2" a="1"/>
  <c r="E77" i="2" s="1"/>
  <c r="E141" i="2" a="1"/>
  <c r="E141" i="2" s="1"/>
  <c r="E102" i="2" a="1"/>
  <c r="E102" i="2" s="1"/>
  <c r="E150" i="2" a="1"/>
  <c r="E150" i="2" s="1"/>
  <c r="E198" i="2" a="1"/>
  <c r="E198" i="2" s="1"/>
  <c r="E35" i="2" a="1"/>
  <c r="E35" i="2" s="1"/>
  <c r="E25" i="2" a="1"/>
  <c r="E25" i="2" s="1"/>
  <c r="E81" i="2" a="1"/>
  <c r="E81" i="2" s="1"/>
  <c r="E145" i="2" a="1"/>
  <c r="E145" i="2" s="1"/>
  <c r="E193" i="2" a="1"/>
  <c r="E193" i="2" s="1"/>
  <c r="E85" i="2" a="1"/>
  <c r="E85" i="2" s="1"/>
  <c r="E101" i="2" a="1"/>
  <c r="E101" i="2" s="1"/>
  <c r="E149" i="2" a="1"/>
  <c r="E149" i="2" s="1"/>
  <c r="E197" i="2" a="1"/>
  <c r="E197" i="2" s="1"/>
  <c r="E234" i="2" a="1"/>
  <c r="E234" i="2" s="1"/>
  <c r="E2" i="2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<sst xmlns="http://schemas.openxmlformats.org/spreadsheetml/2006/main" count="7314" uniqueCount="39">
  <si>
    <t>Record Date</t>
  </si>
  <si>
    <t>Security Type Description</t>
  </si>
  <si>
    <t>Security Class Description</t>
  </si>
  <si>
    <t>Debt Held by the Public (in Millions)</t>
  </si>
  <si>
    <t>Intragovernmental Holdings (in Millions)</t>
  </si>
  <si>
    <t>Total Public Debt Outstanding (in Millions)</t>
  </si>
  <si>
    <t>Marketable</t>
  </si>
  <si>
    <t>Bills</t>
  </si>
  <si>
    <t>Notes</t>
  </si>
  <si>
    <t>Bonds</t>
  </si>
  <si>
    <t>Treasury Inflation-Protected Securities</t>
  </si>
  <si>
    <t>Floating Rate Notes</t>
  </si>
  <si>
    <t>Federal Financing Bank</t>
  </si>
  <si>
    <t>Total Marketable</t>
  </si>
  <si>
    <t>_</t>
  </si>
  <si>
    <t>Nonmarketable</t>
  </si>
  <si>
    <t>Domestic Series</t>
  </si>
  <si>
    <t>State and Local Government Series</t>
  </si>
  <si>
    <t>United States Savings Securities</t>
  </si>
  <si>
    <t>Government Account Series</t>
  </si>
  <si>
    <t>Other</t>
  </si>
  <si>
    <t>Total Nonmarketable</t>
  </si>
  <si>
    <t>Total Public Debt Outstanding</t>
  </si>
  <si>
    <t>Foreign Series</t>
  </si>
  <si>
    <t>Hope Bonds</t>
  </si>
  <si>
    <t>R.E.A. Series</t>
  </si>
  <si>
    <t>Other Marketable</t>
  </si>
  <si>
    <t>Total Outstanding National Debt</t>
  </si>
  <si>
    <t>Total Debt held by the Public</t>
  </si>
  <si>
    <t>Total Intragovernmental Debt</t>
  </si>
  <si>
    <t>Date</t>
  </si>
  <si>
    <t>Average</t>
  </si>
  <si>
    <t xml:space="preserve"> Bonds</t>
  </si>
  <si>
    <t xml:space="preserve"> Total Nonmarketable</t>
  </si>
  <si>
    <t xml:space="preserve">  Bills</t>
  </si>
  <si>
    <t xml:space="preserve"> Notes</t>
  </si>
  <si>
    <t xml:space="preserve"> Other Marketable</t>
  </si>
  <si>
    <t>Public share</t>
  </si>
  <si>
    <t>Intragovernmental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</si>
</sst>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0" fontId="0" fillId="0" borderId="0" xfId="42" applyNumberFormat="1" applyFont="1"/>
    <xf numFmtId="165" fontId="0" fillId="0" borderId="0" xfId="0" applyNumberFormat="1"/>
    <xf numFmtId="164" fontId="0" fillId="0" borderId="0" xfId="43" applyNumberFormat="1" applyFont="1"/>
    <xf numFmtId="1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</dxf>
    <dxf>
      <numFmt numFmtId="165" formatCode="[$-409]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</a:t>
            </a:r>
            <a:r>
              <a:rPr lang="en-US" baseline="0"/>
              <a:t> of National Debt Outstanding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share_of_debt!$B$1</c:f>
              <c:strCache>
                <c:ptCount val="1"/>
                <c:pt idx="0">
                  <c:v>Bills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21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A509-4786-A7FE-139C0342251E}"/>
              </c:ext>
            </c:extLst>
          </c:dPt>
          <c:cat>
            <c:numRef>
              <c:f>share_of_debt!$A$2:$A$242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share_of_debt!$B$2:$B$242</c:f>
              <c:numCache>
                <c:formatCode>0.00%</c:formatCode>
                <c:ptCount val="241"/>
                <c:pt idx="0">
                  <c:v>0.11667891097278876</c:v>
                </c:pt>
                <c:pt idx="1">
                  <c:v>0.12195933061932845</c:v>
                </c:pt>
                <c:pt idx="2">
                  <c:v>0.11797037161008773</c:v>
                </c:pt>
                <c:pt idx="3">
                  <c:v>0.1166717518954188</c:v>
                </c:pt>
                <c:pt idx="4">
                  <c:v>0.12086757748224103</c:v>
                </c:pt>
                <c:pt idx="5">
                  <c:v>0.12448101833797034</c:v>
                </c:pt>
                <c:pt idx="6">
                  <c:v>0.11550261308023176</c:v>
                </c:pt>
                <c:pt idx="7">
                  <c:v>0.11421163026301166</c:v>
                </c:pt>
                <c:pt idx="8">
                  <c:v>0.10887197169434837</c:v>
                </c:pt>
                <c:pt idx="9">
                  <c:v>0.11045185359702986</c:v>
                </c:pt>
                <c:pt idx="10">
                  <c:v>0.11301340003530894</c:v>
                </c:pt>
                <c:pt idx="11">
                  <c:v>0.10715097458469706</c:v>
                </c:pt>
                <c:pt idx="12">
                  <c:v>0.10828062626467763</c:v>
                </c:pt>
                <c:pt idx="13">
                  <c:v>0.11456133246414864</c:v>
                </c:pt>
                <c:pt idx="14">
                  <c:v>0.10877870701811423</c:v>
                </c:pt>
                <c:pt idx="15">
                  <c:v>0.10704206916495128</c:v>
                </c:pt>
                <c:pt idx="16">
                  <c:v>0.11187928693724006</c:v>
                </c:pt>
                <c:pt idx="17">
                  <c:v>0.11673843135898801</c:v>
                </c:pt>
                <c:pt idx="18">
                  <c:v>0.10679513034523855</c:v>
                </c:pt>
                <c:pt idx="19">
                  <c:v>0.10409783947925806</c:v>
                </c:pt>
                <c:pt idx="20">
                  <c:v>9.8002191096563815E-2</c:v>
                </c:pt>
                <c:pt idx="21">
                  <c:v>9.9868397275461276E-2</c:v>
                </c:pt>
                <c:pt idx="22">
                  <c:v>0.11260341542357317</c:v>
                </c:pt>
                <c:pt idx="23">
                  <c:v>0.10636302516621063</c:v>
                </c:pt>
                <c:pt idx="24">
                  <c:v>0.10332237081965295</c:v>
                </c:pt>
                <c:pt idx="25">
                  <c:v>0.11312829541857097</c:v>
                </c:pt>
                <c:pt idx="26">
                  <c:v>0.10877190109443427</c:v>
                </c:pt>
                <c:pt idx="27">
                  <c:v>0.10655842820789806</c:v>
                </c:pt>
                <c:pt idx="28">
                  <c:v>0.12025931390762951</c:v>
                </c:pt>
                <c:pt idx="29">
                  <c:v>0.12274188611138541</c:v>
                </c:pt>
                <c:pt idx="30">
                  <c:v>0.10937990299009408</c:v>
                </c:pt>
                <c:pt idx="31">
                  <c:v>0.11921071631882896</c:v>
                </c:pt>
                <c:pt idx="32">
                  <c:v>0.11172104601637625</c:v>
                </c:pt>
                <c:pt idx="33">
                  <c:v>0.1184902484645773</c:v>
                </c:pt>
                <c:pt idx="34">
                  <c:v>0.12722615282111946</c:v>
                </c:pt>
                <c:pt idx="35">
                  <c:v>0.14861337384434548</c:v>
                </c:pt>
                <c:pt idx="36">
                  <c:v>0.18060512664990833</c:v>
                </c:pt>
                <c:pt idx="37">
                  <c:v>0.18794418662903367</c:v>
                </c:pt>
                <c:pt idx="38">
                  <c:v>0.17445797844340349</c:v>
                </c:pt>
                <c:pt idx="39">
                  <c:v>0.16916377331419472</c:v>
                </c:pt>
                <c:pt idx="40">
                  <c:v>0.18254487018825497</c:v>
                </c:pt>
                <c:pt idx="41">
                  <c:v>0.18276051663903897</c:v>
                </c:pt>
                <c:pt idx="42">
                  <c:v>0.17747181850174945</c:v>
                </c:pt>
                <c:pt idx="43">
                  <c:v>0.18243016346357749</c:v>
                </c:pt>
                <c:pt idx="44">
                  <c:v>0.17379082724498449</c:v>
                </c:pt>
                <c:pt idx="45">
                  <c:v>0.17314559270618771</c:v>
                </c:pt>
                <c:pt idx="46">
                  <c:v>0.17510516031188447</c:v>
                </c:pt>
                <c:pt idx="47">
                  <c:v>0.16729946133909243</c:v>
                </c:pt>
                <c:pt idx="48">
                  <c:v>0.15626776725008135</c:v>
                </c:pt>
                <c:pt idx="49">
                  <c:v>0.15276910111412625</c:v>
                </c:pt>
                <c:pt idx="50">
                  <c:v>0.14567700021494076</c:v>
                </c:pt>
                <c:pt idx="51">
                  <c:v>0.13759286535323423</c:v>
                </c:pt>
                <c:pt idx="52">
                  <c:v>0.13958568358630352</c:v>
                </c:pt>
                <c:pt idx="53">
                  <c:v>0.14432477975113997</c:v>
                </c:pt>
                <c:pt idx="54">
                  <c:v>0.14268029741127927</c:v>
                </c:pt>
                <c:pt idx="55">
                  <c:v>0.14281410187895321</c:v>
                </c:pt>
                <c:pt idx="56">
                  <c:v>0.13502149009603129</c:v>
                </c:pt>
                <c:pt idx="57">
                  <c:v>0.13525761056856225</c:v>
                </c:pt>
                <c:pt idx="58">
                  <c:v>0.13572976745159013</c:v>
                </c:pt>
                <c:pt idx="59">
                  <c:v>0.13187602686393551</c:v>
                </c:pt>
                <c:pt idx="60">
                  <c:v>0.12937910160577476</c:v>
                </c:pt>
                <c:pt idx="61">
                  <c:v>0.12809213073460765</c:v>
                </c:pt>
                <c:pt idx="62">
                  <c:v>0.12638151024642033</c:v>
                </c:pt>
                <c:pt idx="63">
                  <c:v>0.12458691970248581</c:v>
                </c:pt>
                <c:pt idx="64">
                  <c:v>0.12247580451028661</c:v>
                </c:pt>
                <c:pt idx="65">
                  <c:v>0.1190250286360654</c:v>
                </c:pt>
                <c:pt idx="66">
                  <c:v>0.11467909999984532</c:v>
                </c:pt>
                <c:pt idx="67">
                  <c:v>0.11004122727553192</c:v>
                </c:pt>
                <c:pt idx="68">
                  <c:v>0.1067758113166741</c:v>
                </c:pt>
                <c:pt idx="69">
                  <c:v>0.10406208017150644</c:v>
                </c:pt>
                <c:pt idx="70">
                  <c:v>0.1017079962571078</c:v>
                </c:pt>
                <c:pt idx="71">
                  <c:v>9.9896636733679614E-2</c:v>
                </c:pt>
                <c:pt idx="72">
                  <c:v>9.8874988972809594E-2</c:v>
                </c:pt>
                <c:pt idx="73">
                  <c:v>0.10009451155789428</c:v>
                </c:pt>
                <c:pt idx="74">
                  <c:v>9.9883284112563697E-2</c:v>
                </c:pt>
                <c:pt idx="75">
                  <c:v>9.9337831155276668E-2</c:v>
                </c:pt>
                <c:pt idx="76">
                  <c:v>0.10397232969537221</c:v>
                </c:pt>
                <c:pt idx="77">
                  <c:v>0.10745904810696578</c:v>
                </c:pt>
                <c:pt idx="78">
                  <c:v>0.10281594082111614</c:v>
                </c:pt>
                <c:pt idx="79">
                  <c:v>0.10179779066934844</c:v>
                </c:pt>
                <c:pt idx="80">
                  <c:v>0.10068736250189766</c:v>
                </c:pt>
                <c:pt idx="81">
                  <c:v>9.9226069820541052E-2</c:v>
                </c:pt>
                <c:pt idx="82">
                  <c:v>0.10383549682336729</c:v>
                </c:pt>
                <c:pt idx="83">
                  <c:v>0.10058412654556165</c:v>
                </c:pt>
                <c:pt idx="84">
                  <c:v>9.9745260572269984E-2</c:v>
                </c:pt>
                <c:pt idx="85">
                  <c:v>0.10354526146830387</c:v>
                </c:pt>
                <c:pt idx="86">
                  <c:v>9.912963802068285E-2</c:v>
                </c:pt>
                <c:pt idx="87">
                  <c:v>9.7844002437261671E-2</c:v>
                </c:pt>
                <c:pt idx="88">
                  <c:v>0.10438784423418607</c:v>
                </c:pt>
                <c:pt idx="89">
                  <c:v>0.10678622707199614</c:v>
                </c:pt>
                <c:pt idx="90">
                  <c:v>0.10071691711709577</c:v>
                </c:pt>
                <c:pt idx="91">
                  <c:v>9.6000772092238187E-2</c:v>
                </c:pt>
                <c:pt idx="92">
                  <c:v>9.3793743905972893E-2</c:v>
                </c:pt>
                <c:pt idx="93">
                  <c:v>9.2956271528505552E-2</c:v>
                </c:pt>
                <c:pt idx="94">
                  <c:v>9.7855213497769752E-2</c:v>
                </c:pt>
                <c:pt idx="95">
                  <c:v>9.1406081193067826E-2</c:v>
                </c:pt>
                <c:pt idx="96">
                  <c:v>9.0053103407947879E-2</c:v>
                </c:pt>
                <c:pt idx="97">
                  <c:v>9.4147725332137125E-2</c:v>
                </c:pt>
                <c:pt idx="98">
                  <c:v>9.1744714551455872E-2</c:v>
                </c:pt>
                <c:pt idx="99">
                  <c:v>8.5929276288474743E-2</c:v>
                </c:pt>
                <c:pt idx="100">
                  <c:v>9.2421180736610598E-2</c:v>
                </c:pt>
                <c:pt idx="101">
                  <c:v>9.3855303812430901E-2</c:v>
                </c:pt>
                <c:pt idx="102">
                  <c:v>8.3329573627582171E-2</c:v>
                </c:pt>
                <c:pt idx="103">
                  <c:v>8.2718935132152935E-2</c:v>
                </c:pt>
                <c:pt idx="104">
                  <c:v>7.8717037483405389E-2</c:v>
                </c:pt>
                <c:pt idx="105">
                  <c:v>7.9718189222218294E-2</c:v>
                </c:pt>
                <c:pt idx="106">
                  <c:v>8.1806499610527814E-2</c:v>
                </c:pt>
                <c:pt idx="107">
                  <c:v>7.9161491577992696E-2</c:v>
                </c:pt>
                <c:pt idx="108">
                  <c:v>7.8827705154044608E-2</c:v>
                </c:pt>
                <c:pt idx="109">
                  <c:v>7.9971016331189984E-2</c:v>
                </c:pt>
                <c:pt idx="110">
                  <c:v>8.036213114140503E-2</c:v>
                </c:pt>
                <c:pt idx="111">
                  <c:v>7.8136485237550832E-2</c:v>
                </c:pt>
                <c:pt idx="112">
                  <c:v>8.1124673875479475E-2</c:v>
                </c:pt>
                <c:pt idx="113">
                  <c:v>8.1417751933069119E-2</c:v>
                </c:pt>
                <c:pt idx="114">
                  <c:v>7.8938432331405087E-2</c:v>
                </c:pt>
                <c:pt idx="115">
                  <c:v>7.9709698019451908E-2</c:v>
                </c:pt>
                <c:pt idx="116">
                  <c:v>7.6850575140945995E-2</c:v>
                </c:pt>
                <c:pt idx="117">
                  <c:v>7.9332440470655269E-2</c:v>
                </c:pt>
                <c:pt idx="118">
                  <c:v>7.8450957826623202E-2</c:v>
                </c:pt>
                <c:pt idx="119">
                  <c:v>7.4818222650444813E-2</c:v>
                </c:pt>
                <c:pt idx="120">
                  <c:v>7.0126109111911542E-2</c:v>
                </c:pt>
                <c:pt idx="121">
                  <c:v>7.9988792873635098E-2</c:v>
                </c:pt>
                <c:pt idx="122">
                  <c:v>8.000966594466738E-2</c:v>
                </c:pt>
                <c:pt idx="123">
                  <c:v>7.7733503780060109E-2</c:v>
                </c:pt>
                <c:pt idx="124">
                  <c:v>8.1145630186565357E-2</c:v>
                </c:pt>
                <c:pt idx="125">
                  <c:v>8.3984674077476978E-2</c:v>
                </c:pt>
                <c:pt idx="126">
                  <c:v>7.9581234777428164E-2</c:v>
                </c:pt>
                <c:pt idx="127">
                  <c:v>7.9103098353063034E-2</c:v>
                </c:pt>
                <c:pt idx="128">
                  <c:v>7.7803057451299257E-2</c:v>
                </c:pt>
                <c:pt idx="129">
                  <c:v>7.9779524794261619E-2</c:v>
                </c:pt>
                <c:pt idx="130">
                  <c:v>8.3696773835097507E-2</c:v>
                </c:pt>
                <c:pt idx="131">
                  <c:v>8.4142780059262109E-2</c:v>
                </c:pt>
                <c:pt idx="132">
                  <c:v>8.8507219937309381E-2</c:v>
                </c:pt>
                <c:pt idx="133">
                  <c:v>9.3891539006557612E-2</c:v>
                </c:pt>
                <c:pt idx="134">
                  <c:v>9.1003606600876558E-2</c:v>
                </c:pt>
                <c:pt idx="135">
                  <c:v>8.8376170695587938E-2</c:v>
                </c:pt>
                <c:pt idx="136">
                  <c:v>8.7825582773047153E-2</c:v>
                </c:pt>
                <c:pt idx="137">
                  <c:v>8.8527824753559414E-2</c:v>
                </c:pt>
                <c:pt idx="138">
                  <c:v>8.7774841784882193E-2</c:v>
                </c:pt>
                <c:pt idx="139">
                  <c:v>8.8076378355923884E-2</c:v>
                </c:pt>
                <c:pt idx="140">
                  <c:v>8.6570756302266835E-2</c:v>
                </c:pt>
                <c:pt idx="141">
                  <c:v>8.8584759939365654E-2</c:v>
                </c:pt>
                <c:pt idx="142">
                  <c:v>8.8080801657631672E-2</c:v>
                </c:pt>
                <c:pt idx="143">
                  <c:v>8.9006921902281322E-2</c:v>
                </c:pt>
                <c:pt idx="144">
                  <c:v>9.0787873764850771E-2</c:v>
                </c:pt>
                <c:pt idx="145">
                  <c:v>9.5719884240248743E-2</c:v>
                </c:pt>
                <c:pt idx="146">
                  <c:v>9.5445111479762965E-2</c:v>
                </c:pt>
                <c:pt idx="147">
                  <c:v>9.5977617329007212E-2</c:v>
                </c:pt>
                <c:pt idx="148">
                  <c:v>9.9635547402813995E-2</c:v>
                </c:pt>
                <c:pt idx="149">
                  <c:v>0.10853521689990807</c:v>
                </c:pt>
                <c:pt idx="150">
                  <c:v>0.10295074725129068</c:v>
                </c:pt>
                <c:pt idx="151">
                  <c:v>0.10328493312788196</c:v>
                </c:pt>
                <c:pt idx="152">
                  <c:v>0.10181522293312005</c:v>
                </c:pt>
                <c:pt idx="153">
                  <c:v>0.10349972733218971</c:v>
                </c:pt>
                <c:pt idx="154">
                  <c:v>0.10908893564789933</c:v>
                </c:pt>
                <c:pt idx="155">
                  <c:v>0.10410533034975979</c:v>
                </c:pt>
                <c:pt idx="156">
                  <c:v>0.10404400192675757</c:v>
                </c:pt>
                <c:pt idx="157">
                  <c:v>0.1093404957525701</c:v>
                </c:pt>
                <c:pt idx="158">
                  <c:v>0.10648868618606809</c:v>
                </c:pt>
                <c:pt idx="159">
                  <c:v>0.1045865087279414</c:v>
                </c:pt>
                <c:pt idx="160">
                  <c:v>0.10834207129519656</c:v>
                </c:pt>
                <c:pt idx="161">
                  <c:v>0.11258619675040443</c:v>
                </c:pt>
                <c:pt idx="162">
                  <c:v>0.1082272143928843</c:v>
                </c:pt>
                <c:pt idx="163">
                  <c:v>0.10686919444023904</c:v>
                </c:pt>
                <c:pt idx="164">
                  <c:v>0.10220700970871226</c:v>
                </c:pt>
                <c:pt idx="165">
                  <c:v>0.10016619068432338</c:v>
                </c:pt>
                <c:pt idx="166">
                  <c:v>0.10382309348702427</c:v>
                </c:pt>
                <c:pt idx="167">
                  <c:v>0.10462237926575951</c:v>
                </c:pt>
                <c:pt idx="168">
                  <c:v>0.10674685253123492</c:v>
                </c:pt>
                <c:pt idx="169">
                  <c:v>0.10899230133343141</c:v>
                </c:pt>
                <c:pt idx="170">
                  <c:v>0.10416898501638014</c:v>
                </c:pt>
                <c:pt idx="171">
                  <c:v>0.10352696069624906</c:v>
                </c:pt>
                <c:pt idx="172">
                  <c:v>0.10955094345481026</c:v>
                </c:pt>
                <c:pt idx="173">
                  <c:v>0.11219039224982065</c:v>
                </c:pt>
                <c:pt idx="174">
                  <c:v>0.16023647258833942</c:v>
                </c:pt>
                <c:pt idx="175">
                  <c:v>0.17982878192662149</c:v>
                </c:pt>
                <c:pt idx="176">
                  <c:v>0.19184877099800776</c:v>
                </c:pt>
                <c:pt idx="177">
                  <c:v>0.1914778485771928</c:v>
                </c:pt>
                <c:pt idx="178">
                  <c:v>0.18993425200236205</c:v>
                </c:pt>
                <c:pt idx="179">
                  <c:v>0.18663331390974902</c:v>
                </c:pt>
                <c:pt idx="180">
                  <c:v>0.18372035950854493</c:v>
                </c:pt>
                <c:pt idx="181">
                  <c:v>0.18012138709862754</c:v>
                </c:pt>
                <c:pt idx="182">
                  <c:v>0.17890212189639546</c:v>
                </c:pt>
                <c:pt idx="183">
                  <c:v>0.17833471130025755</c:v>
                </c:pt>
                <c:pt idx="184">
                  <c:v>0.17414412761167924</c:v>
                </c:pt>
                <c:pt idx="185">
                  <c:v>0.16596558737018358</c:v>
                </c:pt>
                <c:pt idx="186">
                  <c:v>0.16113918178364275</c:v>
                </c:pt>
                <c:pt idx="187">
                  <c:v>0.15522098278135932</c:v>
                </c:pt>
                <c:pt idx="188">
                  <c:v>0.14984845644913863</c:v>
                </c:pt>
                <c:pt idx="189">
                  <c:v>0.1457073044882396</c:v>
                </c:pt>
                <c:pt idx="190">
                  <c:v>0.14205043631068665</c:v>
                </c:pt>
                <c:pt idx="191">
                  <c:v>0.13064578901527882</c:v>
                </c:pt>
                <c:pt idx="192">
                  <c:v>0.1332504505772229</c:v>
                </c:pt>
                <c:pt idx="193">
                  <c:v>0.13097059529616342</c:v>
                </c:pt>
                <c:pt idx="194">
                  <c:v>0.12729304997518764</c:v>
                </c:pt>
                <c:pt idx="195">
                  <c:v>0.13198055650983931</c:v>
                </c:pt>
                <c:pt idx="196">
                  <c:v>0.13387105930058527</c:v>
                </c:pt>
                <c:pt idx="197">
                  <c:v>0.12923805437913879</c:v>
                </c:pt>
                <c:pt idx="198">
                  <c:v>0.12602582954735075</c:v>
                </c:pt>
                <c:pt idx="199">
                  <c:v>0.12042521875568571</c:v>
                </c:pt>
                <c:pt idx="200">
                  <c:v>0.11527932002251058</c:v>
                </c:pt>
                <c:pt idx="201">
                  <c:v>0.11488555391450007</c:v>
                </c:pt>
                <c:pt idx="202">
                  <c:v>0.12040891931961431</c:v>
                </c:pt>
                <c:pt idx="203">
                  <c:v>0.11783861808860276</c:v>
                </c:pt>
                <c:pt idx="204">
                  <c:v>0.11735524383750308</c:v>
                </c:pt>
                <c:pt idx="205">
                  <c:v>0.12134676806200231</c:v>
                </c:pt>
                <c:pt idx="206">
                  <c:v>0.11767736131142607</c:v>
                </c:pt>
                <c:pt idx="207">
                  <c:v>0.12522256228351153</c:v>
                </c:pt>
                <c:pt idx="208">
                  <c:v>0.12898506088287098</c:v>
                </c:pt>
                <c:pt idx="209">
                  <c:v>0.12933995317005162</c:v>
                </c:pt>
                <c:pt idx="210">
                  <c:v>0.12533119042098359</c:v>
                </c:pt>
                <c:pt idx="211">
                  <c:v>0.1269184823181832</c:v>
                </c:pt>
                <c:pt idx="212">
                  <c:v>0.13814981608577412</c:v>
                </c:pt>
                <c:pt idx="213">
                  <c:v>0.14629627687510161</c:v>
                </c:pt>
                <c:pt idx="214">
                  <c:v>0.15415626781901565</c:v>
                </c:pt>
                <c:pt idx="215">
                  <c:v>0.1586020435674097</c:v>
                </c:pt>
                <c:pt idx="216">
                  <c:v>0.16193075640863952</c:v>
                </c:pt>
                <c:pt idx="217">
                  <c:v>0.16739582004922321</c:v>
                </c:pt>
                <c:pt idx="218">
                  <c:v>0.16692740421682081</c:v>
                </c:pt>
                <c:pt idx="219">
                  <c:v>0.1690567213611732</c:v>
                </c:pt>
                <c:pt idx="220">
                  <c:v>0.17438490253312766</c:v>
                </c:pt>
                <c:pt idx="221">
                  <c:v>0.17529555137397593</c:v>
                </c:pt>
                <c:pt idx="222">
                  <c:v>0.16947636714674807</c:v>
                </c:pt>
                <c:pt idx="223">
                  <c:v>0.16923185853524481</c:v>
                </c:pt>
                <c:pt idx="224">
                  <c:v>0.16553429828323735</c:v>
                </c:pt>
                <c:pt idx="225">
                  <c:v>0.16851789883445784</c:v>
                </c:pt>
                <c:pt idx="226">
                  <c:v>0.17363830329245364</c:v>
                </c:pt>
                <c:pt idx="227">
                  <c:v>0.16931667528290156</c:v>
                </c:pt>
                <c:pt idx="228">
                  <c:v>0.17208629346415646</c:v>
                </c:pt>
                <c:pt idx="229">
                  <c:v>0.17706373196746064</c:v>
                </c:pt>
                <c:pt idx="230">
                  <c:v>0.17082054979884548</c:v>
                </c:pt>
                <c:pt idx="231">
                  <c:v>0.17614269878716257</c:v>
                </c:pt>
                <c:pt idx="232">
                  <c:v>0.17581836030665871</c:v>
                </c:pt>
                <c:pt idx="233">
                  <c:v>0.16998668124438199</c:v>
                </c:pt>
                <c:pt idx="234">
                  <c:v>0.16734115985047954</c:v>
                </c:pt>
                <c:pt idx="235">
                  <c:v>0.16575696784398875</c:v>
                </c:pt>
                <c:pt idx="236">
                  <c:v>0.15973008442588535</c:v>
                </c:pt>
                <c:pt idx="237">
                  <c:v>0.1624160255353915</c:v>
                </c:pt>
                <c:pt idx="238">
                  <c:v>0.17086873414827025</c:v>
                </c:pt>
                <c:pt idx="239">
                  <c:v>0.16996442703091669</c:v>
                </c:pt>
                <c:pt idx="240">
                  <c:v>0.17332223782589162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9-4786-A7FE-139C0342251E}"/>
            </c:ext>
          </c:extLst>
        </c:ser>
        <c:ser>
          <c:idx val="1"/>
          <c:order val="1"/>
          <c:tx>
            <c:strRef>
              <c:f>share_of_debt!$C$1</c:f>
              <c:strCache>
                <c:ptCount val="1"/>
                <c:pt idx="0">
                  <c:v>Notes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share_of_debt!$A$2:$A$242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share_of_debt!$C$2:$C$242</c:f>
              <c:numCache>
                <c:formatCode>0.00%</c:formatCode>
                <c:ptCount val="241"/>
                <c:pt idx="0">
                  <c:v>0.29100982029014516</c:v>
                </c:pt>
                <c:pt idx="1">
                  <c:v>0.28913767342017604</c:v>
                </c:pt>
                <c:pt idx="2">
                  <c:v>0.28894415565220055</c:v>
                </c:pt>
                <c:pt idx="3">
                  <c:v>0.28807739425925194</c:v>
                </c:pt>
                <c:pt idx="4">
                  <c:v>0.28921098600328354</c:v>
                </c:pt>
                <c:pt idx="5">
                  <c:v>0.28786309808052762</c:v>
                </c:pt>
                <c:pt idx="6">
                  <c:v>0.28839411483923305</c:v>
                </c:pt>
                <c:pt idx="7">
                  <c:v>0.28814764399635406</c:v>
                </c:pt>
                <c:pt idx="8">
                  <c:v>0.28828803756697857</c:v>
                </c:pt>
                <c:pt idx="9">
                  <c:v>0.28621555384237757</c:v>
                </c:pt>
                <c:pt idx="10">
                  <c:v>0.2864536834361518</c:v>
                </c:pt>
                <c:pt idx="11">
                  <c:v>0.28766516882712811</c:v>
                </c:pt>
                <c:pt idx="12">
                  <c:v>0.28474968463950978</c:v>
                </c:pt>
                <c:pt idx="13">
                  <c:v>0.28191737325093275</c:v>
                </c:pt>
                <c:pt idx="14">
                  <c:v>0.28131301850095008</c:v>
                </c:pt>
                <c:pt idx="15">
                  <c:v>0.28248323777786166</c:v>
                </c:pt>
                <c:pt idx="16">
                  <c:v>0.28029843430953533</c:v>
                </c:pt>
                <c:pt idx="17">
                  <c:v>0.27893599505422884</c:v>
                </c:pt>
                <c:pt idx="18">
                  <c:v>0.28084533317434018</c:v>
                </c:pt>
                <c:pt idx="19">
                  <c:v>0.27896474869804933</c:v>
                </c:pt>
                <c:pt idx="20">
                  <c:v>0.27864978131711576</c:v>
                </c:pt>
                <c:pt idx="21">
                  <c:v>0.27921375136091997</c:v>
                </c:pt>
                <c:pt idx="22">
                  <c:v>0.27205604676181022</c:v>
                </c:pt>
                <c:pt idx="23">
                  <c:v>0.27288335119205104</c:v>
                </c:pt>
                <c:pt idx="24">
                  <c:v>0.27338806439056101</c:v>
                </c:pt>
                <c:pt idx="25">
                  <c:v>0.26941833380052971</c:v>
                </c:pt>
                <c:pt idx="26">
                  <c:v>0.26963268778368105</c:v>
                </c:pt>
                <c:pt idx="27">
                  <c:v>0.27104860727079477</c:v>
                </c:pt>
                <c:pt idx="28">
                  <c:v>0.26483791957550407</c:v>
                </c:pt>
                <c:pt idx="29">
                  <c:v>0.26639069137390459</c:v>
                </c:pt>
                <c:pt idx="30">
                  <c:v>0.27093892773049072</c:v>
                </c:pt>
                <c:pt idx="31">
                  <c:v>0.26378075130526818</c:v>
                </c:pt>
                <c:pt idx="32">
                  <c:v>0.26795617990715498</c:v>
                </c:pt>
                <c:pt idx="33">
                  <c:v>0.26860970755559921</c:v>
                </c:pt>
                <c:pt idx="34">
                  <c:v>0.26503248088863235</c:v>
                </c:pt>
                <c:pt idx="35">
                  <c:v>0.26182852921636363</c:v>
                </c:pt>
                <c:pt idx="36">
                  <c:v>0.25407417650270314</c:v>
                </c:pt>
                <c:pt idx="37">
                  <c:v>0.25089919622579571</c:v>
                </c:pt>
                <c:pt idx="38">
                  <c:v>0.26095862223182781</c:v>
                </c:pt>
                <c:pt idx="39">
                  <c:v>0.26580023494184052</c:v>
                </c:pt>
                <c:pt idx="40">
                  <c:v>0.26587502072141284</c:v>
                </c:pt>
                <c:pt idx="41">
                  <c:v>0.27724485500954432</c:v>
                </c:pt>
                <c:pt idx="42">
                  <c:v>0.28512927936336424</c:v>
                </c:pt>
                <c:pt idx="43">
                  <c:v>0.28364391202682881</c:v>
                </c:pt>
                <c:pt idx="44">
                  <c:v>0.29602934206484616</c:v>
                </c:pt>
                <c:pt idx="45">
                  <c:v>0.30400190184099113</c:v>
                </c:pt>
                <c:pt idx="46">
                  <c:v>0.30802294414959636</c:v>
                </c:pt>
                <c:pt idx="47">
                  <c:v>0.31686158897102362</c:v>
                </c:pt>
                <c:pt idx="48">
                  <c:v>0.3210455434310498</c:v>
                </c:pt>
                <c:pt idx="49">
                  <c:v>0.33350614679328006</c:v>
                </c:pt>
                <c:pt idx="50">
                  <c:v>0.33961410236726675</c:v>
                </c:pt>
                <c:pt idx="51">
                  <c:v>0.34445765230573316</c:v>
                </c:pt>
                <c:pt idx="52">
                  <c:v>0.34865865688491343</c:v>
                </c:pt>
                <c:pt idx="53">
                  <c:v>0.35747379629703951</c:v>
                </c:pt>
                <c:pt idx="54">
                  <c:v>0.36330044150767432</c:v>
                </c:pt>
                <c:pt idx="55">
                  <c:v>0.36436304756977456</c:v>
                </c:pt>
                <c:pt idx="56">
                  <c:v>0.37406862659454654</c:v>
                </c:pt>
                <c:pt idx="57">
                  <c:v>0.3763025041716212</c:v>
                </c:pt>
                <c:pt idx="58">
                  <c:v>0.38278313118812729</c:v>
                </c:pt>
                <c:pt idx="59">
                  <c:v>0.38755580885980773</c:v>
                </c:pt>
                <c:pt idx="60">
                  <c:v>0.38747623105055112</c:v>
                </c:pt>
                <c:pt idx="61">
                  <c:v>0.39447927343921235</c:v>
                </c:pt>
                <c:pt idx="62">
                  <c:v>0.39726652760629338</c:v>
                </c:pt>
                <c:pt idx="63">
                  <c:v>0.40139856797598039</c:v>
                </c:pt>
                <c:pt idx="64">
                  <c:v>0.40513717442299907</c:v>
                </c:pt>
                <c:pt idx="65">
                  <c:v>0.40979846950146837</c:v>
                </c:pt>
                <c:pt idx="66">
                  <c:v>0.41318821232277902</c:v>
                </c:pt>
                <c:pt idx="67">
                  <c:v>0.42208992441861182</c:v>
                </c:pt>
                <c:pt idx="68">
                  <c:v>0.42886610268520681</c:v>
                </c:pt>
                <c:pt idx="69">
                  <c:v>0.43258288438781223</c:v>
                </c:pt>
                <c:pt idx="70">
                  <c:v>0.43030155576343071</c:v>
                </c:pt>
                <c:pt idx="71">
                  <c:v>0.43355955871258101</c:v>
                </c:pt>
                <c:pt idx="72">
                  <c:v>0.43398148938390779</c:v>
                </c:pt>
                <c:pt idx="73">
                  <c:v>0.4353898579004547</c:v>
                </c:pt>
                <c:pt idx="74">
                  <c:v>0.43388830858236183</c:v>
                </c:pt>
                <c:pt idx="75">
                  <c:v>0.43704446881538095</c:v>
                </c:pt>
                <c:pt idx="76">
                  <c:v>0.43608124220203542</c:v>
                </c:pt>
                <c:pt idx="77">
                  <c:v>0.43488961569963691</c:v>
                </c:pt>
                <c:pt idx="78">
                  <c:v>0.43864309976811827</c:v>
                </c:pt>
                <c:pt idx="79">
                  <c:v>0.44015254532876752</c:v>
                </c:pt>
                <c:pt idx="80">
                  <c:v>0.43915881901127068</c:v>
                </c:pt>
                <c:pt idx="81">
                  <c:v>0.44354775440094074</c:v>
                </c:pt>
                <c:pt idx="82">
                  <c:v>0.4436744930050685</c:v>
                </c:pt>
                <c:pt idx="83">
                  <c:v>0.44320915781079945</c:v>
                </c:pt>
                <c:pt idx="84">
                  <c:v>0.44449660777873645</c:v>
                </c:pt>
                <c:pt idx="85">
                  <c:v>0.44397953218323716</c:v>
                </c:pt>
                <c:pt idx="86">
                  <c:v>0.44588546674637014</c:v>
                </c:pt>
                <c:pt idx="87">
                  <c:v>0.44944984027745272</c:v>
                </c:pt>
                <c:pt idx="88">
                  <c:v>0.44479734138353083</c:v>
                </c:pt>
                <c:pt idx="89">
                  <c:v>0.4433140626959714</c:v>
                </c:pt>
                <c:pt idx="90">
                  <c:v>0.44732541767713746</c:v>
                </c:pt>
                <c:pt idx="91">
                  <c:v>0.45193916079792912</c:v>
                </c:pt>
                <c:pt idx="92">
                  <c:v>0.45295579791489815</c:v>
                </c:pt>
                <c:pt idx="93">
                  <c:v>0.45882468235789831</c:v>
                </c:pt>
                <c:pt idx="94">
                  <c:v>0.45801334335770139</c:v>
                </c:pt>
                <c:pt idx="95">
                  <c:v>0.46348821415183261</c:v>
                </c:pt>
                <c:pt idx="96">
                  <c:v>0.45530555192420186</c:v>
                </c:pt>
                <c:pt idx="97">
                  <c:v>0.45314028803923229</c:v>
                </c:pt>
                <c:pt idx="98">
                  <c:v>0.45422700135467109</c:v>
                </c:pt>
                <c:pt idx="99">
                  <c:v>0.45851410685298127</c:v>
                </c:pt>
                <c:pt idx="100">
                  <c:v>0.45520415593313618</c:v>
                </c:pt>
                <c:pt idx="101">
                  <c:v>0.45410996034443024</c:v>
                </c:pt>
                <c:pt idx="102">
                  <c:v>0.45887369624190832</c:v>
                </c:pt>
                <c:pt idx="103">
                  <c:v>0.45829034384576006</c:v>
                </c:pt>
                <c:pt idx="104">
                  <c:v>0.45876874276041274</c:v>
                </c:pt>
                <c:pt idx="105">
                  <c:v>0.4592793418663963</c:v>
                </c:pt>
                <c:pt idx="106">
                  <c:v>0.45729647553484792</c:v>
                </c:pt>
                <c:pt idx="107">
                  <c:v>0.45824317002018844</c:v>
                </c:pt>
                <c:pt idx="108">
                  <c:v>0.4571357871291572</c:v>
                </c:pt>
                <c:pt idx="109">
                  <c:v>0.45485213694649557</c:v>
                </c:pt>
                <c:pt idx="110">
                  <c:v>0.45361252200193231</c:v>
                </c:pt>
                <c:pt idx="111">
                  <c:v>0.45568966511560433</c:v>
                </c:pt>
                <c:pt idx="112">
                  <c:v>0.45330367625982015</c:v>
                </c:pt>
                <c:pt idx="113">
                  <c:v>0.45528908241528182</c:v>
                </c:pt>
                <c:pt idx="114">
                  <c:v>0.45635565894840868</c:v>
                </c:pt>
                <c:pt idx="115">
                  <c:v>0.45528024014505036</c:v>
                </c:pt>
                <c:pt idx="116">
                  <c:v>0.45754627811634219</c:v>
                </c:pt>
                <c:pt idx="117">
                  <c:v>0.45920319249294617</c:v>
                </c:pt>
                <c:pt idx="118">
                  <c:v>0.45940664004386045</c:v>
                </c:pt>
                <c:pt idx="119">
                  <c:v>0.46128769514205897</c:v>
                </c:pt>
                <c:pt idx="120">
                  <c:v>0.46194379783918871</c:v>
                </c:pt>
                <c:pt idx="121">
                  <c:v>0.44735965521674342</c:v>
                </c:pt>
                <c:pt idx="122">
                  <c:v>0.4469269100273926</c:v>
                </c:pt>
                <c:pt idx="123">
                  <c:v>0.44547972815042564</c:v>
                </c:pt>
                <c:pt idx="124">
                  <c:v>0.44526726310739945</c:v>
                </c:pt>
                <c:pt idx="125">
                  <c:v>0.44345844250536981</c:v>
                </c:pt>
                <c:pt idx="126">
                  <c:v>0.44589101596830755</c:v>
                </c:pt>
                <c:pt idx="127">
                  <c:v>0.44575547035283442</c:v>
                </c:pt>
                <c:pt idx="128">
                  <c:v>0.44406092758434351</c:v>
                </c:pt>
                <c:pt idx="129">
                  <c:v>0.44377226012390547</c:v>
                </c:pt>
                <c:pt idx="130">
                  <c:v>0.44177858674546805</c:v>
                </c:pt>
                <c:pt idx="131">
                  <c:v>0.44095419311967871</c:v>
                </c:pt>
                <c:pt idx="132">
                  <c:v>0.43629972201407419</c:v>
                </c:pt>
                <c:pt idx="133">
                  <c:v>0.43337751352361031</c:v>
                </c:pt>
                <c:pt idx="134">
                  <c:v>0.43345310152007432</c:v>
                </c:pt>
                <c:pt idx="135">
                  <c:v>0.43528948467673284</c:v>
                </c:pt>
                <c:pt idx="136">
                  <c:v>0.43511083323711608</c:v>
                </c:pt>
                <c:pt idx="137">
                  <c:v>0.43848581271769238</c:v>
                </c:pt>
                <c:pt idx="138">
                  <c:v>0.43921464443880814</c:v>
                </c:pt>
                <c:pt idx="139">
                  <c:v>0.44018414909163495</c:v>
                </c:pt>
                <c:pt idx="140">
                  <c:v>0.44134612105832721</c:v>
                </c:pt>
                <c:pt idx="141">
                  <c:v>0.44254725483176227</c:v>
                </c:pt>
                <c:pt idx="142">
                  <c:v>0.44286780080399302</c:v>
                </c:pt>
                <c:pt idx="143">
                  <c:v>0.43494898661401477</c:v>
                </c:pt>
                <c:pt idx="144">
                  <c:v>0.43195030134934415</c:v>
                </c:pt>
                <c:pt idx="145">
                  <c:v>0.42887695932690728</c:v>
                </c:pt>
                <c:pt idx="146">
                  <c:v>0.43184759551728047</c:v>
                </c:pt>
                <c:pt idx="147">
                  <c:v>0.43375097157484049</c:v>
                </c:pt>
                <c:pt idx="148">
                  <c:v>0.42672115012030487</c:v>
                </c:pt>
                <c:pt idx="149">
                  <c:v>0.42317242645409525</c:v>
                </c:pt>
                <c:pt idx="150">
                  <c:v>0.42596041862965228</c:v>
                </c:pt>
                <c:pt idx="151">
                  <c:v>0.42573212271304345</c:v>
                </c:pt>
                <c:pt idx="152">
                  <c:v>0.42614610022073263</c:v>
                </c:pt>
                <c:pt idx="153">
                  <c:v>0.42673086301729202</c:v>
                </c:pt>
                <c:pt idx="154">
                  <c:v>0.42501721318000019</c:v>
                </c:pt>
                <c:pt idx="155">
                  <c:v>0.42546733507901607</c:v>
                </c:pt>
                <c:pt idx="156">
                  <c:v>0.42475592688609681</c:v>
                </c:pt>
                <c:pt idx="157">
                  <c:v>0.42290132410088482</c:v>
                </c:pt>
                <c:pt idx="158">
                  <c:v>0.42309124387190566</c:v>
                </c:pt>
                <c:pt idx="159">
                  <c:v>0.42560593631847465</c:v>
                </c:pt>
                <c:pt idx="160">
                  <c:v>0.42396779925921446</c:v>
                </c:pt>
                <c:pt idx="161">
                  <c:v>0.42737975726451249</c:v>
                </c:pt>
                <c:pt idx="162">
                  <c:v>0.43088486676196414</c:v>
                </c:pt>
                <c:pt idx="163">
                  <c:v>0.43204434472540865</c:v>
                </c:pt>
                <c:pt idx="164">
                  <c:v>0.43383253985680487</c:v>
                </c:pt>
                <c:pt idx="165">
                  <c:v>0.43783759101001085</c:v>
                </c:pt>
                <c:pt idx="166">
                  <c:v>0.42992972078419783</c:v>
                </c:pt>
                <c:pt idx="167">
                  <c:v>0.42971129344777526</c:v>
                </c:pt>
                <c:pt idx="168">
                  <c:v>0.42745001413287997</c:v>
                </c:pt>
                <c:pt idx="169">
                  <c:v>0.42599860736407386</c:v>
                </c:pt>
                <c:pt idx="170">
                  <c:v>0.42795861822574782</c:v>
                </c:pt>
                <c:pt idx="171">
                  <c:v>0.43053808572788577</c:v>
                </c:pt>
                <c:pt idx="172">
                  <c:v>0.42692407138864247</c:v>
                </c:pt>
                <c:pt idx="173">
                  <c:v>0.42607980747864549</c:v>
                </c:pt>
                <c:pt idx="174">
                  <c:v>0.40696951831579714</c:v>
                </c:pt>
                <c:pt idx="175">
                  <c:v>0.39526956694119125</c:v>
                </c:pt>
                <c:pt idx="176">
                  <c:v>0.38955966445393653</c:v>
                </c:pt>
                <c:pt idx="177">
                  <c:v>0.39312525439991303</c:v>
                </c:pt>
                <c:pt idx="178">
                  <c:v>0.39373326706541856</c:v>
                </c:pt>
                <c:pt idx="179">
                  <c:v>0.39575464257564569</c:v>
                </c:pt>
                <c:pt idx="180">
                  <c:v>0.39539388849099188</c:v>
                </c:pt>
                <c:pt idx="181">
                  <c:v>0.39783652280856824</c:v>
                </c:pt>
                <c:pt idx="182">
                  <c:v>0.3997407068367349</c:v>
                </c:pt>
                <c:pt idx="183">
                  <c:v>0.40212134969402208</c:v>
                </c:pt>
                <c:pt idx="184">
                  <c:v>0.40542356586461287</c:v>
                </c:pt>
                <c:pt idx="185">
                  <c:v>0.41223453778958752</c:v>
                </c:pt>
                <c:pt idx="186">
                  <c:v>0.41822266695827065</c:v>
                </c:pt>
                <c:pt idx="187">
                  <c:v>0.41953089558693663</c:v>
                </c:pt>
                <c:pt idx="188">
                  <c:v>0.42434598076160657</c:v>
                </c:pt>
                <c:pt idx="189">
                  <c:v>0.4286318126566781</c:v>
                </c:pt>
                <c:pt idx="190">
                  <c:v>0.4366192237336351</c:v>
                </c:pt>
                <c:pt idx="191">
                  <c:v>0.44246990361948091</c:v>
                </c:pt>
                <c:pt idx="192">
                  <c:v>0.43745087292977947</c:v>
                </c:pt>
                <c:pt idx="193">
                  <c:v>0.44467160751201357</c:v>
                </c:pt>
                <c:pt idx="194">
                  <c:v>0.4389510193285005</c:v>
                </c:pt>
                <c:pt idx="195">
                  <c:v>0.43787091808677492</c:v>
                </c:pt>
                <c:pt idx="196">
                  <c:v>0.43669430748191579</c:v>
                </c:pt>
                <c:pt idx="197">
                  <c:v>0.43908033211697656</c:v>
                </c:pt>
                <c:pt idx="198">
                  <c:v>0.44147859446444621</c:v>
                </c:pt>
                <c:pt idx="199">
                  <c:v>0.44316391563513136</c:v>
                </c:pt>
                <c:pt idx="200">
                  <c:v>0.44436465632687316</c:v>
                </c:pt>
                <c:pt idx="201">
                  <c:v>0.44552753117405519</c:v>
                </c:pt>
                <c:pt idx="202">
                  <c:v>0.44194829915975387</c:v>
                </c:pt>
                <c:pt idx="203">
                  <c:v>0.44307396055435</c:v>
                </c:pt>
                <c:pt idx="204">
                  <c:v>0.43965928200952425</c:v>
                </c:pt>
                <c:pt idx="205">
                  <c:v>0.43669170565200016</c:v>
                </c:pt>
                <c:pt idx="206">
                  <c:v>0.43768468514278047</c:v>
                </c:pt>
                <c:pt idx="207">
                  <c:v>0.43725316864967489</c:v>
                </c:pt>
                <c:pt idx="208">
                  <c:v>0.43645370734345867</c:v>
                </c:pt>
                <c:pt idx="209">
                  <c:v>0.43669851077205246</c:v>
                </c:pt>
                <c:pt idx="210">
                  <c:v>0.43786561487015851</c:v>
                </c:pt>
                <c:pt idx="211">
                  <c:v>0.43599281626747061</c:v>
                </c:pt>
                <c:pt idx="212">
                  <c:v>0.42446653891717068</c:v>
                </c:pt>
                <c:pt idx="213">
                  <c:v>0.42111935820102175</c:v>
                </c:pt>
                <c:pt idx="214">
                  <c:v>0.41631175552185307</c:v>
                </c:pt>
                <c:pt idx="215">
                  <c:v>0.41394603341803893</c:v>
                </c:pt>
                <c:pt idx="216">
                  <c:v>0.40838216251505971</c:v>
                </c:pt>
                <c:pt idx="217">
                  <c:v>0.40525814631946039</c:v>
                </c:pt>
                <c:pt idx="218">
                  <c:v>0.40463530835616907</c:v>
                </c:pt>
                <c:pt idx="219">
                  <c:v>0.40452522140879882</c:v>
                </c:pt>
                <c:pt idx="220">
                  <c:v>0.40119981824126866</c:v>
                </c:pt>
                <c:pt idx="221">
                  <c:v>0.4008263876735853</c:v>
                </c:pt>
                <c:pt idx="222">
                  <c:v>0.40427696721353285</c:v>
                </c:pt>
                <c:pt idx="223">
                  <c:v>0.40423819591774979</c:v>
                </c:pt>
                <c:pt idx="224">
                  <c:v>0.4032744311513361</c:v>
                </c:pt>
                <c:pt idx="225">
                  <c:v>0.40527213173388454</c:v>
                </c:pt>
                <c:pt idx="226">
                  <c:v>0.40254659320094321</c:v>
                </c:pt>
                <c:pt idx="227">
                  <c:v>0.40444285085419096</c:v>
                </c:pt>
                <c:pt idx="228">
                  <c:v>0.40175213732969639</c:v>
                </c:pt>
                <c:pt idx="229">
                  <c:v>0.39929494937001997</c:v>
                </c:pt>
                <c:pt idx="230">
                  <c:v>0.40215328396819067</c:v>
                </c:pt>
                <c:pt idx="231">
                  <c:v>0.40560316221221154</c:v>
                </c:pt>
                <c:pt idx="232">
                  <c:v>0.40685951531954917</c:v>
                </c:pt>
                <c:pt idx="233">
                  <c:v>0.40906167619784423</c:v>
                </c:pt>
                <c:pt idx="234">
                  <c:v>0.41166221601679293</c:v>
                </c:pt>
                <c:pt idx="235">
                  <c:v>0.4113574485466075</c:v>
                </c:pt>
                <c:pt idx="236">
                  <c:v>0.41626581265878598</c:v>
                </c:pt>
                <c:pt idx="237">
                  <c:v>0.41192393166423819</c:v>
                </c:pt>
                <c:pt idx="238">
                  <c:v>0.40809125536208718</c:v>
                </c:pt>
                <c:pt idx="239">
                  <c:v>0.40896598869313061</c:v>
                </c:pt>
                <c:pt idx="240">
                  <c:v>0.40761417841724434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9-4786-A7FE-139C0342251E}"/>
            </c:ext>
          </c:extLst>
        </c:ser>
        <c:ser>
          <c:idx val="2"/>
          <c:order val="2"/>
          <c:tx>
            <c:strRef>
              <c:f>share_of_debt!$D$1</c:f>
              <c:strCache>
                <c:ptCount val="1"/>
                <c:pt idx="0">
                  <c:v>Bonds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share_of_debt!$A$2:$A$242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share_of_debt!$D$2:$D$242</c:f>
              <c:numCache>
                <c:formatCode>0.00%</c:formatCode>
                <c:ptCount val="241"/>
                <c:pt idx="0">
                  <c:v>6.4867794597337686E-2</c:v>
                </c:pt>
                <c:pt idx="1">
                  <c:v>6.3841630367053037E-2</c:v>
                </c:pt>
                <c:pt idx="2">
                  <c:v>6.3230697695732641E-2</c:v>
                </c:pt>
                <c:pt idx="3">
                  <c:v>6.3032504227886116E-2</c:v>
                </c:pt>
                <c:pt idx="4">
                  <c:v>6.3690897435455016E-2</c:v>
                </c:pt>
                <c:pt idx="5">
                  <c:v>6.2918870535850838E-2</c:v>
                </c:pt>
                <c:pt idx="6">
                  <c:v>6.3034889960900675E-2</c:v>
                </c:pt>
                <c:pt idx="7">
                  <c:v>6.2603789833989426E-2</c:v>
                </c:pt>
                <c:pt idx="8">
                  <c:v>6.2132357732936183E-2</c:v>
                </c:pt>
                <c:pt idx="9">
                  <c:v>6.1953357767199728E-2</c:v>
                </c:pt>
                <c:pt idx="10">
                  <c:v>6.2796085149103009E-2</c:v>
                </c:pt>
                <c:pt idx="11">
                  <c:v>6.2855472893519296E-2</c:v>
                </c:pt>
                <c:pt idx="12">
                  <c:v>6.2288978275641907E-2</c:v>
                </c:pt>
                <c:pt idx="13">
                  <c:v>6.1471008668079002E-2</c:v>
                </c:pt>
                <c:pt idx="14">
                  <c:v>6.1136906284190932E-2</c:v>
                </c:pt>
                <c:pt idx="15">
                  <c:v>6.0944253787313982E-2</c:v>
                </c:pt>
                <c:pt idx="16">
                  <c:v>6.1573265004103109E-2</c:v>
                </c:pt>
                <c:pt idx="17">
                  <c:v>6.1075197994227885E-2</c:v>
                </c:pt>
                <c:pt idx="18">
                  <c:v>6.1140711442923455E-2</c:v>
                </c:pt>
                <c:pt idx="19">
                  <c:v>6.1984046968204191E-2</c:v>
                </c:pt>
                <c:pt idx="20">
                  <c:v>6.1713498669381646E-2</c:v>
                </c:pt>
                <c:pt idx="21">
                  <c:v>6.1265867817798067E-2</c:v>
                </c:pt>
                <c:pt idx="22">
                  <c:v>6.2305190871032846E-2</c:v>
                </c:pt>
                <c:pt idx="23">
                  <c:v>6.2291267716674377E-2</c:v>
                </c:pt>
                <c:pt idx="24">
                  <c:v>6.1801109059451256E-2</c:v>
                </c:pt>
                <c:pt idx="25">
                  <c:v>6.104720889539203E-2</c:v>
                </c:pt>
                <c:pt idx="26">
                  <c:v>6.0518731899276618E-2</c:v>
                </c:pt>
                <c:pt idx="27">
                  <c:v>6.0460739970846403E-2</c:v>
                </c:pt>
                <c:pt idx="28">
                  <c:v>6.1105715855322908E-2</c:v>
                </c:pt>
                <c:pt idx="29">
                  <c:v>6.0590614524240291E-2</c:v>
                </c:pt>
                <c:pt idx="30">
                  <c:v>6.0978454494669862E-2</c:v>
                </c:pt>
                <c:pt idx="31">
                  <c:v>6.1888555829565761E-2</c:v>
                </c:pt>
                <c:pt idx="32">
                  <c:v>6.1215605179964189E-2</c:v>
                </c:pt>
                <c:pt idx="33">
                  <c:v>6.0618534055817755E-2</c:v>
                </c:pt>
                <c:pt idx="34">
                  <c:v>6.0428044415556235E-2</c:v>
                </c:pt>
                <c:pt idx="35">
                  <c:v>5.8143392445520942E-2</c:v>
                </c:pt>
                <c:pt idx="36">
                  <c:v>5.5122486320582732E-2</c:v>
                </c:pt>
                <c:pt idx="37">
                  <c:v>5.5776371802768059E-2</c:v>
                </c:pt>
                <c:pt idx="38">
                  <c:v>5.5574952187895592E-2</c:v>
                </c:pt>
                <c:pt idx="39">
                  <c:v>5.5928930872312613E-2</c:v>
                </c:pt>
                <c:pt idx="40">
                  <c:v>5.6021424935638123E-2</c:v>
                </c:pt>
                <c:pt idx="41">
                  <c:v>5.5769903612850086E-2</c:v>
                </c:pt>
                <c:pt idx="42">
                  <c:v>5.5215838098000777E-2</c:v>
                </c:pt>
                <c:pt idx="43">
                  <c:v>5.5870719302097867E-2</c:v>
                </c:pt>
                <c:pt idx="44">
                  <c:v>5.5750973571129972E-2</c:v>
                </c:pt>
                <c:pt idx="45">
                  <c:v>5.6117047769675528E-2</c:v>
                </c:pt>
                <c:pt idx="46">
                  <c:v>5.6529548487768144E-2</c:v>
                </c:pt>
                <c:pt idx="47">
                  <c:v>5.7078910401049759E-2</c:v>
                </c:pt>
                <c:pt idx="48">
                  <c:v>5.8175598033008355E-2</c:v>
                </c:pt>
                <c:pt idx="49">
                  <c:v>5.8190298887834266E-2</c:v>
                </c:pt>
                <c:pt idx="50">
                  <c:v>5.8314579276845607E-2</c:v>
                </c:pt>
                <c:pt idx="51">
                  <c:v>5.9569788996246771E-2</c:v>
                </c:pt>
                <c:pt idx="52">
                  <c:v>6.0227348666777161E-2</c:v>
                </c:pt>
                <c:pt idx="53">
                  <c:v>5.9686731411340274E-2</c:v>
                </c:pt>
                <c:pt idx="54">
                  <c:v>5.9954677668181328E-2</c:v>
                </c:pt>
                <c:pt idx="55">
                  <c:v>6.1091323924560646E-2</c:v>
                </c:pt>
                <c:pt idx="56">
                  <c:v>6.1113352113841696E-2</c:v>
                </c:pt>
                <c:pt idx="57">
                  <c:v>6.1929758408935935E-2</c:v>
                </c:pt>
                <c:pt idx="58">
                  <c:v>6.2214793627873438E-2</c:v>
                </c:pt>
                <c:pt idx="59">
                  <c:v>6.2670051623890916E-2</c:v>
                </c:pt>
                <c:pt idx="60">
                  <c:v>6.3137975581550335E-2</c:v>
                </c:pt>
                <c:pt idx="61">
                  <c:v>6.3448894293484395E-2</c:v>
                </c:pt>
                <c:pt idx="62">
                  <c:v>6.3645343248910635E-2</c:v>
                </c:pt>
                <c:pt idx="63">
                  <c:v>6.4108782992163202E-2</c:v>
                </c:pt>
                <c:pt idx="64">
                  <c:v>6.4973993117339882E-2</c:v>
                </c:pt>
                <c:pt idx="65">
                  <c:v>6.5541810859040345E-2</c:v>
                </c:pt>
                <c:pt idx="66">
                  <c:v>6.6416119697086287E-2</c:v>
                </c:pt>
                <c:pt idx="67">
                  <c:v>6.7267424088944386E-2</c:v>
                </c:pt>
                <c:pt idx="68">
                  <c:v>6.8180871475535781E-2</c:v>
                </c:pt>
                <c:pt idx="69">
                  <c:v>6.9090686599241766E-2</c:v>
                </c:pt>
                <c:pt idx="70">
                  <c:v>6.8604863552665707E-2</c:v>
                </c:pt>
                <c:pt idx="71">
                  <c:v>6.8991843569924521E-2</c:v>
                </c:pt>
                <c:pt idx="72">
                  <c:v>6.892308253005483E-2</c:v>
                </c:pt>
                <c:pt idx="73">
                  <c:v>6.9530250877137018E-2</c:v>
                </c:pt>
                <c:pt idx="74">
                  <c:v>6.9901892495598E-2</c:v>
                </c:pt>
                <c:pt idx="75">
                  <c:v>7.0202183339226357E-2</c:v>
                </c:pt>
                <c:pt idx="76">
                  <c:v>7.0759446480961455E-2</c:v>
                </c:pt>
                <c:pt idx="77">
                  <c:v>7.1228496039300912E-2</c:v>
                </c:pt>
                <c:pt idx="78">
                  <c:v>7.1707054069975074E-2</c:v>
                </c:pt>
                <c:pt idx="79">
                  <c:v>7.2428967572608804E-2</c:v>
                </c:pt>
                <c:pt idx="80">
                  <c:v>7.2921445065060389E-2</c:v>
                </c:pt>
                <c:pt idx="81">
                  <c:v>7.3379444822333925E-2</c:v>
                </c:pt>
                <c:pt idx="82">
                  <c:v>7.4000321707946015E-2</c:v>
                </c:pt>
                <c:pt idx="83">
                  <c:v>7.4576704060559773E-2</c:v>
                </c:pt>
                <c:pt idx="84">
                  <c:v>7.4480791170334862E-2</c:v>
                </c:pt>
                <c:pt idx="85">
                  <c:v>7.4966156253351179E-2</c:v>
                </c:pt>
                <c:pt idx="86">
                  <c:v>7.5468965547201158E-2</c:v>
                </c:pt>
                <c:pt idx="87">
                  <c:v>7.6255140960027126E-2</c:v>
                </c:pt>
                <c:pt idx="88">
                  <c:v>7.6055547437254886E-2</c:v>
                </c:pt>
                <c:pt idx="89">
                  <c:v>7.6449338263665317E-2</c:v>
                </c:pt>
                <c:pt idx="90">
                  <c:v>7.6960760621641131E-2</c:v>
                </c:pt>
                <c:pt idx="91">
                  <c:v>7.833051599426577E-2</c:v>
                </c:pt>
                <c:pt idx="92">
                  <c:v>7.9109519652462129E-2</c:v>
                </c:pt>
                <c:pt idx="93">
                  <c:v>7.9884793270133411E-2</c:v>
                </c:pt>
                <c:pt idx="94">
                  <c:v>8.0840353037658311E-2</c:v>
                </c:pt>
                <c:pt idx="95">
                  <c:v>8.1619266943130708E-2</c:v>
                </c:pt>
                <c:pt idx="96">
                  <c:v>8.0388717247476024E-2</c:v>
                </c:pt>
                <c:pt idx="97">
                  <c:v>8.1032754065732307E-2</c:v>
                </c:pt>
                <c:pt idx="98">
                  <c:v>8.1152333402860197E-2</c:v>
                </c:pt>
                <c:pt idx="99">
                  <c:v>8.2180728206096079E-2</c:v>
                </c:pt>
                <c:pt idx="100">
                  <c:v>8.2295926825954047E-2</c:v>
                </c:pt>
                <c:pt idx="101">
                  <c:v>8.2389288455706755E-2</c:v>
                </c:pt>
                <c:pt idx="102">
                  <c:v>8.3568425229349735E-2</c:v>
                </c:pt>
                <c:pt idx="103">
                  <c:v>8.4440894795999713E-2</c:v>
                </c:pt>
                <c:pt idx="104">
                  <c:v>8.4624337702993546E-2</c:v>
                </c:pt>
                <c:pt idx="105">
                  <c:v>8.5098256997850952E-2</c:v>
                </c:pt>
                <c:pt idx="106">
                  <c:v>8.5702273778131763E-2</c:v>
                </c:pt>
                <c:pt idx="107">
                  <c:v>8.607149698336751E-2</c:v>
                </c:pt>
                <c:pt idx="108">
                  <c:v>8.6253585207264213E-2</c:v>
                </c:pt>
                <c:pt idx="109">
                  <c:v>8.6815778390263887E-2</c:v>
                </c:pt>
                <c:pt idx="110">
                  <c:v>8.6882047541234977E-2</c:v>
                </c:pt>
                <c:pt idx="111">
                  <c:v>8.7885157081317389E-2</c:v>
                </c:pt>
                <c:pt idx="112">
                  <c:v>8.7831077425460743E-2</c:v>
                </c:pt>
                <c:pt idx="113">
                  <c:v>8.8565558404924777E-2</c:v>
                </c:pt>
                <c:pt idx="114">
                  <c:v>8.9279198985525721E-2</c:v>
                </c:pt>
                <c:pt idx="115">
                  <c:v>9.0179091885647364E-2</c:v>
                </c:pt>
                <c:pt idx="116">
                  <c:v>9.0899488054334565E-2</c:v>
                </c:pt>
                <c:pt idx="117">
                  <c:v>9.1619071931703031E-2</c:v>
                </c:pt>
                <c:pt idx="118">
                  <c:v>9.2297517629051126E-2</c:v>
                </c:pt>
                <c:pt idx="119">
                  <c:v>9.3016401923911196E-2</c:v>
                </c:pt>
                <c:pt idx="120">
                  <c:v>9.3720409739792454E-2</c:v>
                </c:pt>
                <c:pt idx="121">
                  <c:v>9.0921184254908846E-2</c:v>
                </c:pt>
                <c:pt idx="122">
                  <c:v>9.1152407363022478E-2</c:v>
                </c:pt>
                <c:pt idx="123">
                  <c:v>9.1401288427317193E-2</c:v>
                </c:pt>
                <c:pt idx="124">
                  <c:v>9.1424831822043418E-2</c:v>
                </c:pt>
                <c:pt idx="125">
                  <c:v>9.1385684428908098E-2</c:v>
                </c:pt>
                <c:pt idx="126">
                  <c:v>9.2384544302537883E-2</c:v>
                </c:pt>
                <c:pt idx="127">
                  <c:v>9.1988332512237925E-2</c:v>
                </c:pt>
                <c:pt idx="128">
                  <c:v>9.2056002439035903E-2</c:v>
                </c:pt>
                <c:pt idx="129">
                  <c:v>9.2495344926139061E-2</c:v>
                </c:pt>
                <c:pt idx="130">
                  <c:v>9.2951291946956713E-2</c:v>
                </c:pt>
                <c:pt idx="131">
                  <c:v>9.3264475443391406E-2</c:v>
                </c:pt>
                <c:pt idx="132">
                  <c:v>9.2776520613944036E-2</c:v>
                </c:pt>
                <c:pt idx="133">
                  <c:v>9.2089210011623138E-2</c:v>
                </c:pt>
                <c:pt idx="134">
                  <c:v>9.2557312624078722E-2</c:v>
                </c:pt>
                <c:pt idx="135">
                  <c:v>9.3376225032790819E-2</c:v>
                </c:pt>
                <c:pt idx="136">
                  <c:v>9.411002620882794E-2</c:v>
                </c:pt>
                <c:pt idx="137">
                  <c:v>9.5251311269600777E-2</c:v>
                </c:pt>
                <c:pt idx="138">
                  <c:v>9.586232501920286E-2</c:v>
                </c:pt>
                <c:pt idx="139">
                  <c:v>9.6084499833594281E-2</c:v>
                </c:pt>
                <c:pt idx="140">
                  <c:v>9.6695893557764354E-2</c:v>
                </c:pt>
                <c:pt idx="141">
                  <c:v>9.7312627175981339E-2</c:v>
                </c:pt>
                <c:pt idx="142">
                  <c:v>9.7745054821406704E-2</c:v>
                </c:pt>
                <c:pt idx="143">
                  <c:v>9.6404764360551204E-2</c:v>
                </c:pt>
                <c:pt idx="144">
                  <c:v>9.6059997051260351E-2</c:v>
                </c:pt>
                <c:pt idx="145">
                  <c:v>9.6186854116272869E-2</c:v>
                </c:pt>
                <c:pt idx="146">
                  <c:v>9.7230694560440645E-2</c:v>
                </c:pt>
                <c:pt idx="147">
                  <c:v>9.7831373102843969E-2</c:v>
                </c:pt>
                <c:pt idx="148">
                  <c:v>9.7045627630497344E-2</c:v>
                </c:pt>
                <c:pt idx="149">
                  <c:v>9.6585409110029954E-2</c:v>
                </c:pt>
                <c:pt idx="150">
                  <c:v>9.7301805471153052E-2</c:v>
                </c:pt>
                <c:pt idx="151">
                  <c:v>9.7627507932614835E-2</c:v>
                </c:pt>
                <c:pt idx="152">
                  <c:v>9.8058396362152758E-2</c:v>
                </c:pt>
                <c:pt idx="153">
                  <c:v>9.8174910863422962E-2</c:v>
                </c:pt>
                <c:pt idx="154">
                  <c:v>9.8459265281244712E-2</c:v>
                </c:pt>
                <c:pt idx="155">
                  <c:v>9.8894629045040455E-2</c:v>
                </c:pt>
                <c:pt idx="156">
                  <c:v>9.8736787198808851E-2</c:v>
                </c:pt>
                <c:pt idx="157">
                  <c:v>9.8787729929535315E-2</c:v>
                </c:pt>
                <c:pt idx="158">
                  <c:v>9.8958389972153435E-2</c:v>
                </c:pt>
                <c:pt idx="159">
                  <c:v>9.9648510276308125E-2</c:v>
                </c:pt>
                <c:pt idx="160">
                  <c:v>9.9522831103028092E-2</c:v>
                </c:pt>
                <c:pt idx="161">
                  <c:v>0.10064516631772998</c:v>
                </c:pt>
                <c:pt idx="162">
                  <c:v>0.10137258236584572</c:v>
                </c:pt>
                <c:pt idx="163">
                  <c:v>0.10253475586277702</c:v>
                </c:pt>
                <c:pt idx="164">
                  <c:v>0.10327586852188757</c:v>
                </c:pt>
                <c:pt idx="165">
                  <c:v>0.10401286090251678</c:v>
                </c:pt>
                <c:pt idx="166">
                  <c:v>0.10253870658761501</c:v>
                </c:pt>
                <c:pt idx="167">
                  <c:v>0.10207420750067665</c:v>
                </c:pt>
                <c:pt idx="168">
                  <c:v>0.10148744573118949</c:v>
                </c:pt>
                <c:pt idx="169">
                  <c:v>0.10240240971375539</c:v>
                </c:pt>
                <c:pt idx="170">
                  <c:v>0.10253947039796137</c:v>
                </c:pt>
                <c:pt idx="171">
                  <c:v>0.10315140126139505</c:v>
                </c:pt>
                <c:pt idx="172">
                  <c:v>0.10309894361895423</c:v>
                </c:pt>
                <c:pt idx="173">
                  <c:v>0.10256978177127128</c:v>
                </c:pt>
                <c:pt idx="174">
                  <c:v>9.7965735678715887E-2</c:v>
                </c:pt>
                <c:pt idx="175">
                  <c:v>9.6039799383824009E-2</c:v>
                </c:pt>
                <c:pt idx="176">
                  <c:v>9.5680689668270008E-2</c:v>
                </c:pt>
                <c:pt idx="177">
                  <c:v>9.7001466318654431E-2</c:v>
                </c:pt>
                <c:pt idx="178">
                  <c:v>9.8191159945078557E-2</c:v>
                </c:pt>
                <c:pt idx="179">
                  <c:v>9.9218926696615167E-2</c:v>
                </c:pt>
                <c:pt idx="180">
                  <c:v>9.939520130449464E-2</c:v>
                </c:pt>
                <c:pt idx="181">
                  <c:v>0.10152991419441178</c:v>
                </c:pt>
                <c:pt idx="182">
                  <c:v>0.10232498277844955</c:v>
                </c:pt>
                <c:pt idx="183">
                  <c:v>0.10314024256850039</c:v>
                </c:pt>
                <c:pt idx="184">
                  <c:v>0.10463874608718805</c:v>
                </c:pt>
                <c:pt idx="185">
                  <c:v>0.10686242033758882</c:v>
                </c:pt>
                <c:pt idx="186">
                  <c:v>0.10869967339511384</c:v>
                </c:pt>
                <c:pt idx="187">
                  <c:v>0.10971446664780364</c:v>
                </c:pt>
                <c:pt idx="188">
                  <c:v>0.11146131919483361</c:v>
                </c:pt>
                <c:pt idx="189">
                  <c:v>0.11284335681115011</c:v>
                </c:pt>
                <c:pt idx="190">
                  <c:v>0.11587831789958244</c:v>
                </c:pt>
                <c:pt idx="191">
                  <c:v>0.11775176804318953</c:v>
                </c:pt>
                <c:pt idx="192">
                  <c:v>0.11668988222548415</c:v>
                </c:pt>
                <c:pt idx="193">
                  <c:v>0.11877427757776786</c:v>
                </c:pt>
                <c:pt idx="194">
                  <c:v>0.11755026296700909</c:v>
                </c:pt>
                <c:pt idx="195">
                  <c:v>0.11761908785534331</c:v>
                </c:pt>
                <c:pt idx="196">
                  <c:v>0.11849302564021646</c:v>
                </c:pt>
                <c:pt idx="197">
                  <c:v>0.11945367763615486</c:v>
                </c:pt>
                <c:pt idx="198">
                  <c:v>0.120374616304372</c:v>
                </c:pt>
                <c:pt idx="199">
                  <c:v>0.12234356526089751</c:v>
                </c:pt>
                <c:pt idx="200">
                  <c:v>0.1232186646458403</c:v>
                </c:pt>
                <c:pt idx="201">
                  <c:v>0.12381199488967089</c:v>
                </c:pt>
                <c:pt idx="202">
                  <c:v>0.12426763088870024</c:v>
                </c:pt>
                <c:pt idx="203">
                  <c:v>0.12526635903589006</c:v>
                </c:pt>
                <c:pt idx="204">
                  <c:v>0.12498567881715238</c:v>
                </c:pt>
                <c:pt idx="205">
                  <c:v>0.12548463980495442</c:v>
                </c:pt>
                <c:pt idx="206">
                  <c:v>0.12603159609610193</c:v>
                </c:pt>
                <c:pt idx="207">
                  <c:v>0.12722505143347168</c:v>
                </c:pt>
                <c:pt idx="208">
                  <c:v>0.12821948388688542</c:v>
                </c:pt>
                <c:pt idx="209">
                  <c:v>0.12917658863307502</c:v>
                </c:pt>
                <c:pt idx="210">
                  <c:v>0.1297873046483202</c:v>
                </c:pt>
                <c:pt idx="211">
                  <c:v>0.13159303762321292</c:v>
                </c:pt>
                <c:pt idx="212">
                  <c:v>0.12898882961908936</c:v>
                </c:pt>
                <c:pt idx="213">
                  <c:v>0.12881119490409432</c:v>
                </c:pt>
                <c:pt idx="214">
                  <c:v>0.12842280175497436</c:v>
                </c:pt>
                <c:pt idx="215">
                  <c:v>0.12804545283167465</c:v>
                </c:pt>
                <c:pt idx="216">
                  <c:v>0.12738810173342763</c:v>
                </c:pt>
                <c:pt idx="217">
                  <c:v>0.12791423919715728</c:v>
                </c:pt>
                <c:pt idx="218">
                  <c:v>0.12806946122589258</c:v>
                </c:pt>
                <c:pt idx="219">
                  <c:v>0.12873354577095714</c:v>
                </c:pt>
                <c:pt idx="220">
                  <c:v>0.12895089565635343</c:v>
                </c:pt>
                <c:pt idx="221">
                  <c:v>0.12915594552190732</c:v>
                </c:pt>
                <c:pt idx="222">
                  <c:v>0.13043501477843297</c:v>
                </c:pt>
                <c:pt idx="223">
                  <c:v>0.13154708367935694</c:v>
                </c:pt>
                <c:pt idx="224">
                  <c:v>0.13152024128313849</c:v>
                </c:pt>
                <c:pt idx="225">
                  <c:v>0.1319422821226279</c:v>
                </c:pt>
                <c:pt idx="226">
                  <c:v>0.13210661258037459</c:v>
                </c:pt>
                <c:pt idx="227">
                  <c:v>0.13276049961590952</c:v>
                </c:pt>
                <c:pt idx="228">
                  <c:v>0.13195040284374077</c:v>
                </c:pt>
                <c:pt idx="229">
                  <c:v>0.13188262270522885</c:v>
                </c:pt>
                <c:pt idx="230">
                  <c:v>0.13285071763334197</c:v>
                </c:pt>
                <c:pt idx="231">
                  <c:v>0.13390890632632668</c:v>
                </c:pt>
                <c:pt idx="232">
                  <c:v>0.13490671249988836</c:v>
                </c:pt>
                <c:pt idx="233">
                  <c:v>0.13585548812385376</c:v>
                </c:pt>
                <c:pt idx="234">
                  <c:v>0.13689526539231678</c:v>
                </c:pt>
                <c:pt idx="235">
                  <c:v>0.13770968638479453</c:v>
                </c:pt>
                <c:pt idx="236">
                  <c:v>0.13918646699326509</c:v>
                </c:pt>
                <c:pt idx="237">
                  <c:v>0.13751481402703783</c:v>
                </c:pt>
                <c:pt idx="238">
                  <c:v>0.13668754553021503</c:v>
                </c:pt>
                <c:pt idx="239">
                  <c:v>0.1366337668345716</c:v>
                </c:pt>
                <c:pt idx="240">
                  <c:v>0.13598019201081352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9-4786-A7FE-139C0342251E}"/>
            </c:ext>
          </c:extLst>
        </c:ser>
        <c:ser>
          <c:idx val="3"/>
          <c:order val="3"/>
          <c:tx>
            <c:strRef>
              <c:f>share_of_debt!$E$1</c:f>
              <c:strCache>
                <c:ptCount val="1"/>
                <c:pt idx="0">
                  <c:v>Other Marketable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share_of_debt!$A$2:$A$242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share_of_debt!$E$2:$E$242</c:f>
              <c:numCache>
                <c:formatCode>0.00%</c:formatCode>
                <c:ptCount val="241"/>
                <c:pt idx="0">
                  <c:v>4.2110537751049504E-2</c:v>
                </c:pt>
                <c:pt idx="1">
                  <c:v>4.2250834574983194E-2</c:v>
                </c:pt>
                <c:pt idx="2">
                  <c:v>4.194129902833401E-2</c:v>
                </c:pt>
                <c:pt idx="3">
                  <c:v>4.4028490998553257E-2</c:v>
                </c:pt>
                <c:pt idx="4">
                  <c:v>4.3477107455909519E-2</c:v>
                </c:pt>
                <c:pt idx="5">
                  <c:v>4.3231684160725072E-2</c:v>
                </c:pt>
                <c:pt idx="6">
                  <c:v>4.5676073417926608E-2</c:v>
                </c:pt>
                <c:pt idx="7">
                  <c:v>4.5908960849565555E-2</c:v>
                </c:pt>
                <c:pt idx="8">
                  <c:v>4.5932870835835804E-2</c:v>
                </c:pt>
                <c:pt idx="9">
                  <c:v>4.8275785332077291E-2</c:v>
                </c:pt>
                <c:pt idx="10">
                  <c:v>4.7972254860808639E-2</c:v>
                </c:pt>
                <c:pt idx="11">
                  <c:v>4.8153229691439793E-2</c:v>
                </c:pt>
                <c:pt idx="12">
                  <c:v>5.0016569299960088E-2</c:v>
                </c:pt>
                <c:pt idx="13">
                  <c:v>4.9508414966743824E-2</c:v>
                </c:pt>
                <c:pt idx="14">
                  <c:v>4.8984089426952926E-2</c:v>
                </c:pt>
                <c:pt idx="15">
                  <c:v>4.8802485056778609E-2</c:v>
                </c:pt>
                <c:pt idx="16">
                  <c:v>4.8471116866026537E-2</c:v>
                </c:pt>
                <c:pt idx="17">
                  <c:v>4.8217138376844763E-2</c:v>
                </c:pt>
                <c:pt idx="18">
                  <c:v>5.0347974061858987E-2</c:v>
                </c:pt>
                <c:pt idx="19">
                  <c:v>5.0850652617664936E-2</c:v>
                </c:pt>
                <c:pt idx="20">
                  <c:v>5.0951188836349207E-2</c:v>
                </c:pt>
                <c:pt idx="21">
                  <c:v>5.2621676198546442E-2</c:v>
                </c:pt>
                <c:pt idx="22">
                  <c:v>5.2299687435428524E-2</c:v>
                </c:pt>
                <c:pt idx="23">
                  <c:v>5.2279529248674225E-2</c:v>
                </c:pt>
                <c:pt idx="24">
                  <c:v>5.3248338948964385E-2</c:v>
                </c:pt>
                <c:pt idx="25">
                  <c:v>5.2973058309815135E-2</c:v>
                </c:pt>
                <c:pt idx="26">
                  <c:v>5.2625097923039384E-2</c:v>
                </c:pt>
                <c:pt idx="27">
                  <c:v>5.2610109503453573E-2</c:v>
                </c:pt>
                <c:pt idx="28">
                  <c:v>5.1912236097639633E-2</c:v>
                </c:pt>
                <c:pt idx="29">
                  <c:v>5.1714061208176225E-2</c:v>
                </c:pt>
                <c:pt idx="30">
                  <c:v>5.3774300677260599E-2</c:v>
                </c:pt>
                <c:pt idx="31">
                  <c:v>5.4138398466934211E-2</c:v>
                </c:pt>
                <c:pt idx="32">
                  <c:v>5.3884117057050193E-2</c:v>
                </c:pt>
                <c:pt idx="33">
                  <c:v>5.5346889245012729E-2</c:v>
                </c:pt>
                <c:pt idx="34">
                  <c:v>5.5504727635701974E-2</c:v>
                </c:pt>
                <c:pt idx="35">
                  <c:v>5.3720905732802735E-2</c:v>
                </c:pt>
                <c:pt idx="36">
                  <c:v>5.2028099983735698E-2</c:v>
                </c:pt>
                <c:pt idx="37">
                  <c:v>5.1536281805699094E-2</c:v>
                </c:pt>
                <c:pt idx="38">
                  <c:v>5.0854210336926262E-2</c:v>
                </c:pt>
                <c:pt idx="39">
                  <c:v>4.9915278272238128E-2</c:v>
                </c:pt>
                <c:pt idx="40">
                  <c:v>4.8313251595658045E-2</c:v>
                </c:pt>
                <c:pt idx="41">
                  <c:v>4.7373276522301111E-2</c:v>
                </c:pt>
                <c:pt idx="42">
                  <c:v>4.8391991328161889E-2</c:v>
                </c:pt>
                <c:pt idx="43">
                  <c:v>4.8139787666180482E-2</c:v>
                </c:pt>
                <c:pt idx="44">
                  <c:v>4.7140211663588484E-2</c:v>
                </c:pt>
                <c:pt idx="45">
                  <c:v>4.7986629844642407E-2</c:v>
                </c:pt>
                <c:pt idx="46">
                  <c:v>4.7772774861908757E-2</c:v>
                </c:pt>
                <c:pt idx="47">
                  <c:v>4.7327149320789463E-2</c:v>
                </c:pt>
                <c:pt idx="48">
                  <c:v>4.8684964237726169E-2</c:v>
                </c:pt>
                <c:pt idx="49">
                  <c:v>4.7835650104984355E-2</c:v>
                </c:pt>
                <c:pt idx="50">
                  <c:v>4.7109076376396726E-2</c:v>
                </c:pt>
                <c:pt idx="51">
                  <c:v>4.6926433987339797E-2</c:v>
                </c:pt>
                <c:pt idx="52">
                  <c:v>4.6893330406243647E-2</c:v>
                </c:pt>
                <c:pt idx="53">
                  <c:v>4.5808710527511044E-2</c:v>
                </c:pt>
                <c:pt idx="54">
                  <c:v>4.4261325363336747E-2</c:v>
                </c:pt>
                <c:pt idx="55">
                  <c:v>4.4266876511876385E-2</c:v>
                </c:pt>
                <c:pt idx="56">
                  <c:v>4.3532039233693531E-2</c:v>
                </c:pt>
                <c:pt idx="57">
                  <c:v>4.4354298780623795E-2</c:v>
                </c:pt>
                <c:pt idx="58">
                  <c:v>4.4155629834629541E-2</c:v>
                </c:pt>
                <c:pt idx="59">
                  <c:v>4.4543256327973881E-2</c:v>
                </c:pt>
                <c:pt idx="60">
                  <c:v>4.4985015014591158E-2</c:v>
                </c:pt>
                <c:pt idx="61">
                  <c:v>4.5133959352141081E-2</c:v>
                </c:pt>
                <c:pt idx="62">
                  <c:v>4.4658461148917264E-2</c:v>
                </c:pt>
                <c:pt idx="63">
                  <c:v>4.4303325678473955E-2</c:v>
                </c:pt>
                <c:pt idx="64">
                  <c:v>4.4846283751162029E-2</c:v>
                </c:pt>
                <c:pt idx="65">
                  <c:v>4.5625336827768523E-2</c:v>
                </c:pt>
                <c:pt idx="66">
                  <c:v>4.519072191186474E-2</c:v>
                </c:pt>
                <c:pt idx="67">
                  <c:v>4.6292981599489136E-2</c:v>
                </c:pt>
                <c:pt idx="68">
                  <c:v>4.6988830319633315E-2</c:v>
                </c:pt>
                <c:pt idx="69">
                  <c:v>4.8105437757944423E-2</c:v>
                </c:pt>
                <c:pt idx="70">
                  <c:v>4.7820318490039468E-2</c:v>
                </c:pt>
                <c:pt idx="71">
                  <c:v>4.8283816333330211E-2</c:v>
                </c:pt>
                <c:pt idx="72">
                  <c:v>4.8261867126806857E-2</c:v>
                </c:pt>
                <c:pt idx="73">
                  <c:v>4.8723995443092465E-2</c:v>
                </c:pt>
                <c:pt idx="74">
                  <c:v>4.9083613226146912E-2</c:v>
                </c:pt>
                <c:pt idx="75">
                  <c:v>4.9108238587335561E-2</c:v>
                </c:pt>
                <c:pt idx="76">
                  <c:v>4.9163032951996845E-2</c:v>
                </c:pt>
                <c:pt idx="77">
                  <c:v>4.9895648490401186E-2</c:v>
                </c:pt>
                <c:pt idx="78">
                  <c:v>4.9581337008643159E-2</c:v>
                </c:pt>
                <c:pt idx="79">
                  <c:v>5.0536119249713143E-2</c:v>
                </c:pt>
                <c:pt idx="80">
                  <c:v>5.0785224165670544E-2</c:v>
                </c:pt>
                <c:pt idx="81">
                  <c:v>4.9583923995371371E-2</c:v>
                </c:pt>
                <c:pt idx="82">
                  <c:v>5.0141736206556424E-2</c:v>
                </c:pt>
                <c:pt idx="83">
                  <c:v>5.0719792054326834E-2</c:v>
                </c:pt>
                <c:pt idx="84">
                  <c:v>5.0802760884778524E-2</c:v>
                </c:pt>
                <c:pt idx="85">
                  <c:v>5.149119502111487E-2</c:v>
                </c:pt>
                <c:pt idx="86">
                  <c:v>5.2149286679944042E-2</c:v>
                </c:pt>
                <c:pt idx="87">
                  <c:v>5.2820850233811084E-2</c:v>
                </c:pt>
                <c:pt idx="88">
                  <c:v>5.2421980421214529E-2</c:v>
                </c:pt>
                <c:pt idx="89">
                  <c:v>5.3060877618353243E-2</c:v>
                </c:pt>
                <c:pt idx="90">
                  <c:v>5.3401221686618983E-2</c:v>
                </c:pt>
                <c:pt idx="91">
                  <c:v>5.4620411521449856E-2</c:v>
                </c:pt>
                <c:pt idx="92">
                  <c:v>5.4914327626861915E-2</c:v>
                </c:pt>
                <c:pt idx="93">
                  <c:v>5.4382741998124651E-2</c:v>
                </c:pt>
                <c:pt idx="94">
                  <c:v>5.5472315319898803E-2</c:v>
                </c:pt>
                <c:pt idx="95">
                  <c:v>5.6282940811322034E-2</c:v>
                </c:pt>
                <c:pt idx="96">
                  <c:v>5.5933532983846949E-2</c:v>
                </c:pt>
                <c:pt idx="97">
                  <c:v>5.6556582431308164E-2</c:v>
                </c:pt>
                <c:pt idx="98">
                  <c:v>5.69154845968321E-2</c:v>
                </c:pt>
                <c:pt idx="99">
                  <c:v>5.7196406945749109E-2</c:v>
                </c:pt>
                <c:pt idx="100">
                  <c:v>5.7892157105891122E-2</c:v>
                </c:pt>
                <c:pt idx="101">
                  <c:v>5.9113974415719792E-2</c:v>
                </c:pt>
                <c:pt idx="102">
                  <c:v>6.055465365774261E-2</c:v>
                </c:pt>
                <c:pt idx="103">
                  <c:v>6.2364238810939901E-2</c:v>
                </c:pt>
                <c:pt idx="104">
                  <c:v>6.322345980153013E-2</c:v>
                </c:pt>
                <c:pt idx="105">
                  <c:v>6.3571823335735508E-2</c:v>
                </c:pt>
                <c:pt idx="106">
                  <c:v>6.5101366616216641E-2</c:v>
                </c:pt>
                <c:pt idx="107">
                  <c:v>6.6277203164711779E-2</c:v>
                </c:pt>
                <c:pt idx="108">
                  <c:v>6.6998719576688751E-2</c:v>
                </c:pt>
                <c:pt idx="109">
                  <c:v>6.8226227141730864E-2</c:v>
                </c:pt>
                <c:pt idx="110">
                  <c:v>6.9187279410157579E-2</c:v>
                </c:pt>
                <c:pt idx="111">
                  <c:v>6.8648921173094776E-2</c:v>
                </c:pt>
                <c:pt idx="112">
                  <c:v>7.0097137135454429E-2</c:v>
                </c:pt>
                <c:pt idx="113">
                  <c:v>7.1277167931940499E-2</c:v>
                </c:pt>
                <c:pt idx="114">
                  <c:v>7.2050466172752667E-2</c:v>
                </c:pt>
                <c:pt idx="115">
                  <c:v>7.3785525289618736E-2</c:v>
                </c:pt>
                <c:pt idx="116">
                  <c:v>7.4962318515714443E-2</c:v>
                </c:pt>
                <c:pt idx="117">
                  <c:v>7.5768050420580102E-2</c:v>
                </c:pt>
                <c:pt idx="118">
                  <c:v>7.759888746264583E-2</c:v>
                </c:pt>
                <c:pt idx="119">
                  <c:v>7.9049191639845875E-2</c:v>
                </c:pt>
                <c:pt idx="120">
                  <c:v>7.9494300686555233E-2</c:v>
                </c:pt>
                <c:pt idx="121">
                  <c:v>7.8730305670530895E-2</c:v>
                </c:pt>
                <c:pt idx="122">
                  <c:v>7.9851533590736712E-2</c:v>
                </c:pt>
                <c:pt idx="123">
                  <c:v>7.9072884411333977E-2</c:v>
                </c:pt>
                <c:pt idx="124">
                  <c:v>7.8236206588979326E-2</c:v>
                </c:pt>
                <c:pt idx="125">
                  <c:v>7.9130358403815729E-2</c:v>
                </c:pt>
                <c:pt idx="126">
                  <c:v>7.8182284316670375E-2</c:v>
                </c:pt>
                <c:pt idx="127">
                  <c:v>7.8362981314673411E-2</c:v>
                </c:pt>
                <c:pt idx="128">
                  <c:v>7.9046643954554061E-2</c:v>
                </c:pt>
                <c:pt idx="129">
                  <c:v>7.8539759664010486E-2</c:v>
                </c:pt>
                <c:pt idx="130">
                  <c:v>7.8593596013718764E-2</c:v>
                </c:pt>
                <c:pt idx="131">
                  <c:v>7.9553723892887562E-2</c:v>
                </c:pt>
                <c:pt idx="132">
                  <c:v>7.767317845912089E-2</c:v>
                </c:pt>
                <c:pt idx="133">
                  <c:v>7.8527470434498967E-2</c:v>
                </c:pt>
                <c:pt idx="134">
                  <c:v>7.9856668344814447E-2</c:v>
                </c:pt>
                <c:pt idx="135">
                  <c:v>7.8327484839848388E-2</c:v>
                </c:pt>
                <c:pt idx="136">
                  <c:v>7.9306746657675509E-2</c:v>
                </c:pt>
                <c:pt idx="137">
                  <c:v>8.1472532197970127E-2</c:v>
                </c:pt>
                <c:pt idx="138">
                  <c:v>8.0073479804977157E-2</c:v>
                </c:pt>
                <c:pt idx="139">
                  <c:v>8.0214817753048534E-2</c:v>
                </c:pt>
                <c:pt idx="140">
                  <c:v>8.1344985052344568E-2</c:v>
                </c:pt>
                <c:pt idx="141">
                  <c:v>8.005816461065296E-2</c:v>
                </c:pt>
                <c:pt idx="142">
                  <c:v>8.1505110241253453E-2</c:v>
                </c:pt>
                <c:pt idx="143">
                  <c:v>8.1040252982618757E-2</c:v>
                </c:pt>
                <c:pt idx="144">
                  <c:v>7.9438158015381413E-2</c:v>
                </c:pt>
                <c:pt idx="145">
                  <c:v>8.039485398371865E-2</c:v>
                </c:pt>
                <c:pt idx="146">
                  <c:v>8.207963872369381E-2</c:v>
                </c:pt>
                <c:pt idx="147">
                  <c:v>8.0683247098681188E-2</c:v>
                </c:pt>
                <c:pt idx="148">
                  <c:v>8.0384238305329717E-2</c:v>
                </c:pt>
                <c:pt idx="149">
                  <c:v>8.0336097783609006E-2</c:v>
                </c:pt>
                <c:pt idx="150">
                  <c:v>7.8635698682243377E-2</c:v>
                </c:pt>
                <c:pt idx="151">
                  <c:v>7.9869626829268084E-2</c:v>
                </c:pt>
                <c:pt idx="152">
                  <c:v>8.0861917208090509E-2</c:v>
                </c:pt>
                <c:pt idx="153">
                  <c:v>7.9390627316261411E-2</c:v>
                </c:pt>
                <c:pt idx="154">
                  <c:v>8.0512770360600741E-2</c:v>
                </c:pt>
                <c:pt idx="155">
                  <c:v>8.1609128764793357E-2</c:v>
                </c:pt>
                <c:pt idx="156">
                  <c:v>8.0123152053954136E-2</c:v>
                </c:pt>
                <c:pt idx="157">
                  <c:v>8.1100530590513698E-2</c:v>
                </c:pt>
                <c:pt idx="158">
                  <c:v>8.2221617648647161E-2</c:v>
                </c:pt>
                <c:pt idx="159">
                  <c:v>8.0719805272617545E-2</c:v>
                </c:pt>
                <c:pt idx="160">
                  <c:v>8.122636762625679E-2</c:v>
                </c:pt>
                <c:pt idx="161">
                  <c:v>8.2967295343747777E-2</c:v>
                </c:pt>
                <c:pt idx="162">
                  <c:v>8.0468264876802448E-2</c:v>
                </c:pt>
                <c:pt idx="163">
                  <c:v>8.2284745619821437E-2</c:v>
                </c:pt>
                <c:pt idx="164">
                  <c:v>8.4050834818295256E-2</c:v>
                </c:pt>
                <c:pt idx="165">
                  <c:v>8.3070660948838859E-2</c:v>
                </c:pt>
                <c:pt idx="166">
                  <c:v>8.2585212763631954E-2</c:v>
                </c:pt>
                <c:pt idx="167">
                  <c:v>8.312426547615874E-2</c:v>
                </c:pt>
                <c:pt idx="168">
                  <c:v>8.2058613704715719E-2</c:v>
                </c:pt>
                <c:pt idx="169">
                  <c:v>8.3164906222673446E-2</c:v>
                </c:pt>
                <c:pt idx="170">
                  <c:v>8.434774472238922E-2</c:v>
                </c:pt>
                <c:pt idx="171">
                  <c:v>8.2734327149370304E-2</c:v>
                </c:pt>
                <c:pt idx="172">
                  <c:v>8.3132356595108148E-2</c:v>
                </c:pt>
                <c:pt idx="173">
                  <c:v>8.373046735539369E-2</c:v>
                </c:pt>
                <c:pt idx="174">
                  <c:v>7.7019211257813205E-2</c:v>
                </c:pt>
                <c:pt idx="175">
                  <c:v>7.5845653092559875E-2</c:v>
                </c:pt>
                <c:pt idx="176">
                  <c:v>7.4725055177127298E-2</c:v>
                </c:pt>
                <c:pt idx="177">
                  <c:v>7.2698897676327118E-2</c:v>
                </c:pt>
                <c:pt idx="178">
                  <c:v>7.35332313083676E-2</c:v>
                </c:pt>
                <c:pt idx="179">
                  <c:v>7.4549904795831068E-2</c:v>
                </c:pt>
                <c:pt idx="180">
                  <c:v>7.4830070585460359E-2</c:v>
                </c:pt>
                <c:pt idx="181">
                  <c:v>7.4435967031491107E-2</c:v>
                </c:pt>
                <c:pt idx="182">
                  <c:v>7.514233611876972E-2</c:v>
                </c:pt>
                <c:pt idx="183">
                  <c:v>7.3981686298676214E-2</c:v>
                </c:pt>
                <c:pt idx="184">
                  <c:v>7.4099194273147331E-2</c:v>
                </c:pt>
                <c:pt idx="185">
                  <c:v>7.5198601129187678E-2</c:v>
                </c:pt>
                <c:pt idx="186">
                  <c:v>7.3502684246147185E-2</c:v>
                </c:pt>
                <c:pt idx="187">
                  <c:v>7.5181914023926419E-2</c:v>
                </c:pt>
                <c:pt idx="188">
                  <c:v>7.6330042668741466E-2</c:v>
                </c:pt>
                <c:pt idx="189">
                  <c:v>7.6105634402514569E-2</c:v>
                </c:pt>
                <c:pt idx="190">
                  <c:v>7.697006477009781E-2</c:v>
                </c:pt>
                <c:pt idx="191">
                  <c:v>7.8725717513438737E-2</c:v>
                </c:pt>
                <c:pt idx="192">
                  <c:v>7.8192595101290174E-2</c:v>
                </c:pt>
                <c:pt idx="193">
                  <c:v>7.8781826418499915E-2</c:v>
                </c:pt>
                <c:pt idx="194">
                  <c:v>7.8940851545522828E-2</c:v>
                </c:pt>
                <c:pt idx="195">
                  <c:v>7.6177436107517607E-2</c:v>
                </c:pt>
                <c:pt idx="196">
                  <c:v>7.6728718782927002E-2</c:v>
                </c:pt>
                <c:pt idx="197">
                  <c:v>7.8194286570038032E-2</c:v>
                </c:pt>
                <c:pt idx="198">
                  <c:v>7.7726435405882574E-2</c:v>
                </c:pt>
                <c:pt idx="199">
                  <c:v>7.8245867468714994E-2</c:v>
                </c:pt>
                <c:pt idx="200">
                  <c:v>7.9736759305908109E-2</c:v>
                </c:pt>
                <c:pt idx="201">
                  <c:v>7.9123932055449334E-2</c:v>
                </c:pt>
                <c:pt idx="202">
                  <c:v>7.8661575498287922E-2</c:v>
                </c:pt>
                <c:pt idx="203">
                  <c:v>7.9904403964735415E-2</c:v>
                </c:pt>
                <c:pt idx="204">
                  <c:v>7.8075875429772776E-2</c:v>
                </c:pt>
                <c:pt idx="205">
                  <c:v>7.9003688745021269E-2</c:v>
                </c:pt>
                <c:pt idx="206">
                  <c:v>8.0526677401471944E-2</c:v>
                </c:pt>
                <c:pt idx="207">
                  <c:v>7.7351294453251618E-2</c:v>
                </c:pt>
                <c:pt idx="208">
                  <c:v>7.8214341836517196E-2</c:v>
                </c:pt>
                <c:pt idx="209">
                  <c:v>7.9847004167757946E-2</c:v>
                </c:pt>
                <c:pt idx="210">
                  <c:v>7.9027413248419318E-2</c:v>
                </c:pt>
                <c:pt idx="211">
                  <c:v>7.8691300233459105E-2</c:v>
                </c:pt>
                <c:pt idx="212">
                  <c:v>7.8110225237581196E-2</c:v>
                </c:pt>
                <c:pt idx="213">
                  <c:v>7.4674322368602108E-2</c:v>
                </c:pt>
                <c:pt idx="214">
                  <c:v>7.5170287701822325E-2</c:v>
                </c:pt>
                <c:pt idx="215">
                  <c:v>7.5883795321805461E-2</c:v>
                </c:pt>
                <c:pt idx="216">
                  <c:v>7.3924835022682073E-2</c:v>
                </c:pt>
                <c:pt idx="217">
                  <c:v>7.4902588979599199E-2</c:v>
                </c:pt>
                <c:pt idx="218">
                  <c:v>7.597221933300051E-2</c:v>
                </c:pt>
                <c:pt idx="219">
                  <c:v>7.304121135582621E-2</c:v>
                </c:pt>
                <c:pt idx="220">
                  <c:v>7.3474474131487069E-2</c:v>
                </c:pt>
                <c:pt idx="221">
                  <c:v>7.3970733990951137E-2</c:v>
                </c:pt>
                <c:pt idx="222">
                  <c:v>7.3417131994139573E-2</c:v>
                </c:pt>
                <c:pt idx="223">
                  <c:v>7.5035249911528865E-2</c:v>
                </c:pt>
                <c:pt idx="224">
                  <c:v>7.6263773055148878E-2</c:v>
                </c:pt>
                <c:pt idx="225">
                  <c:v>7.3716651458481719E-2</c:v>
                </c:pt>
                <c:pt idx="226">
                  <c:v>7.4435154677345725E-2</c:v>
                </c:pt>
                <c:pt idx="227">
                  <c:v>7.5337930276146492E-2</c:v>
                </c:pt>
                <c:pt idx="228">
                  <c:v>7.2779299134992842E-2</c:v>
                </c:pt>
                <c:pt idx="229">
                  <c:v>7.3834665207032718E-2</c:v>
                </c:pt>
                <c:pt idx="230">
                  <c:v>7.5008073750869986E-2</c:v>
                </c:pt>
                <c:pt idx="231">
                  <c:v>7.1719344066266066E-2</c:v>
                </c:pt>
                <c:pt idx="232">
                  <c:v>7.284617366246772E-2</c:v>
                </c:pt>
                <c:pt idx="233">
                  <c:v>7.4481625274021135E-2</c:v>
                </c:pt>
                <c:pt idx="234">
                  <c:v>7.3191422377356721E-2</c:v>
                </c:pt>
                <c:pt idx="235">
                  <c:v>7.4567731442204063E-2</c:v>
                </c:pt>
                <c:pt idx="236">
                  <c:v>7.620468865100942E-2</c:v>
                </c:pt>
                <c:pt idx="237">
                  <c:v>7.2877868416735769E-2</c:v>
                </c:pt>
                <c:pt idx="238">
                  <c:v>7.3284032160868429E-2</c:v>
                </c:pt>
                <c:pt idx="239">
                  <c:v>7.3932246498982029E-2</c:v>
                </c:pt>
                <c:pt idx="240">
                  <c:v>7.1687226803192922E-2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9-4786-A7FE-139C0342251E}"/>
            </c:ext>
          </c:extLst>
        </c:ser>
        <c:ser>
          <c:idx val="4"/>
          <c:order val="4"/>
          <c:tx>
            <c:strRef>
              <c:f>share_of_debt!$F$1</c:f>
              <c:strCache>
                <c:ptCount val="1"/>
                <c:pt idx="0">
                  <c:v>Total Nonmarketable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share_of_debt!$A$2:$A$242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share_of_debt!$F$2:$F$242</c:f>
              <c:numCache>
                <c:formatCode>0.00%</c:formatCode>
                <c:ptCount val="241"/>
                <c:pt idx="0">
                  <c:v>0.48533306096631479</c:v>
                </c:pt>
                <c:pt idx="1">
                  <c:v>0.48281053101845928</c:v>
                </c:pt>
                <c:pt idx="2">
                  <c:v>0.48791335362083127</c:v>
                </c:pt>
                <c:pt idx="3">
                  <c:v>0.48818998062858776</c:v>
                </c:pt>
                <c:pt idx="4">
                  <c:v>0.48275331070246469</c:v>
                </c:pt>
                <c:pt idx="5">
                  <c:v>0.4815054483427455</c:v>
                </c:pt>
                <c:pt idx="6">
                  <c:v>0.48739230870170797</c:v>
                </c:pt>
                <c:pt idx="7">
                  <c:v>0.48912797505707933</c:v>
                </c:pt>
                <c:pt idx="8">
                  <c:v>0.49477476216990096</c:v>
                </c:pt>
                <c:pt idx="9">
                  <c:v>0.49310344946131557</c:v>
                </c:pt>
                <c:pt idx="10">
                  <c:v>0.4897645765186277</c:v>
                </c:pt>
                <c:pt idx="11">
                  <c:v>0.49417515400321577</c:v>
                </c:pt>
                <c:pt idx="12">
                  <c:v>0.49466414152021049</c:v>
                </c:pt>
                <c:pt idx="13">
                  <c:v>0.49254175481881474</c:v>
                </c:pt>
                <c:pt idx="14">
                  <c:v>0.49978739397419381</c:v>
                </c:pt>
                <c:pt idx="15">
                  <c:v>0.50072795421309435</c:v>
                </c:pt>
                <c:pt idx="16">
                  <c:v>0.49777789688309498</c:v>
                </c:pt>
                <c:pt idx="17">
                  <c:v>0.49503323721571052</c:v>
                </c:pt>
                <c:pt idx="18">
                  <c:v>0.50087096409566378</c:v>
                </c:pt>
                <c:pt idx="19">
                  <c:v>0.5041028255000426</c:v>
                </c:pt>
                <c:pt idx="20">
                  <c:v>0.51068334008058947</c:v>
                </c:pt>
                <c:pt idx="21">
                  <c:v>0.50703030734727417</c:v>
                </c:pt>
                <c:pt idx="22">
                  <c:v>0.50073565950815513</c:v>
                </c:pt>
                <c:pt idx="23">
                  <c:v>0.50618282667638981</c:v>
                </c:pt>
                <c:pt idx="24">
                  <c:v>0.50824011678137038</c:v>
                </c:pt>
                <c:pt idx="25">
                  <c:v>0.5034332128731821</c:v>
                </c:pt>
                <c:pt idx="26">
                  <c:v>0.50845147294749626</c:v>
                </c:pt>
                <c:pt idx="27">
                  <c:v>0.50932211504700731</c:v>
                </c:pt>
                <c:pt idx="28">
                  <c:v>0.50188481456390388</c:v>
                </c:pt>
                <c:pt idx="29">
                  <c:v>0.49856274678229334</c:v>
                </c:pt>
                <c:pt idx="30">
                  <c:v>0.50492841410748479</c:v>
                </c:pt>
                <c:pt idx="31">
                  <c:v>0.50098157807940291</c:v>
                </c:pt>
                <c:pt idx="32">
                  <c:v>0.50522315719126665</c:v>
                </c:pt>
                <c:pt idx="33">
                  <c:v>0.49693451635453967</c:v>
                </c:pt>
                <c:pt idx="34">
                  <c:v>0.49180859423899004</c:v>
                </c:pt>
                <c:pt idx="35">
                  <c:v>0.47769379876096213</c:v>
                </c:pt>
                <c:pt idx="36">
                  <c:v>0.45817011054307388</c:v>
                </c:pt>
                <c:pt idx="37">
                  <c:v>0.45384396353670814</c:v>
                </c:pt>
                <c:pt idx="38">
                  <c:v>0.45815423679994971</c:v>
                </c:pt>
                <c:pt idx="39">
                  <c:v>0.45919178259940929</c:v>
                </c:pt>
                <c:pt idx="40">
                  <c:v>0.4472454325590341</c:v>
                </c:pt>
                <c:pt idx="41">
                  <c:v>0.43685153808822436</c:v>
                </c:pt>
                <c:pt idx="42">
                  <c:v>0.43379107270871919</c:v>
                </c:pt>
                <c:pt idx="43">
                  <c:v>0.42991541754131801</c:v>
                </c:pt>
                <c:pt idx="44">
                  <c:v>0.42728864545545098</c:v>
                </c:pt>
                <c:pt idx="45">
                  <c:v>0.41874874214338886</c:v>
                </c:pt>
                <c:pt idx="46">
                  <c:v>0.41256957218884394</c:v>
                </c:pt>
                <c:pt idx="47">
                  <c:v>0.41143297393230777</c:v>
                </c:pt>
                <c:pt idx="48">
                  <c:v>0.41582612704813599</c:v>
                </c:pt>
                <c:pt idx="49">
                  <c:v>0.40769880309977752</c:v>
                </c:pt>
                <c:pt idx="50">
                  <c:v>0.40928516053868452</c:v>
                </c:pt>
                <c:pt idx="51">
                  <c:v>0.4114532593574492</c:v>
                </c:pt>
                <c:pt idx="52">
                  <c:v>0.4046349804557583</c:v>
                </c:pt>
                <c:pt idx="53">
                  <c:v>0.39270598201297235</c:v>
                </c:pt>
                <c:pt idx="54">
                  <c:v>0.38980325804953142</c:v>
                </c:pt>
                <c:pt idx="55">
                  <c:v>0.38746465011483444</c:v>
                </c:pt>
                <c:pt idx="56">
                  <c:v>0.38626449196188317</c:v>
                </c:pt>
                <c:pt idx="57">
                  <c:v>0.38215582807025672</c:v>
                </c:pt>
                <c:pt idx="58">
                  <c:v>0.37511667789778258</c:v>
                </c:pt>
                <c:pt idx="59">
                  <c:v>0.37335485632439208</c:v>
                </c:pt>
                <c:pt idx="60">
                  <c:v>0.37502174990671244</c:v>
                </c:pt>
                <c:pt idx="61">
                  <c:v>0.36884574218055671</c:v>
                </c:pt>
                <c:pt idx="62">
                  <c:v>0.36804815774945926</c:v>
                </c:pt>
                <c:pt idx="63">
                  <c:v>0.36560240365089386</c:v>
                </c:pt>
                <c:pt idx="64">
                  <c:v>0.36256681464672641</c:v>
                </c:pt>
                <c:pt idx="65">
                  <c:v>0.36000928409913541</c:v>
                </c:pt>
                <c:pt idx="66">
                  <c:v>0.36052584606842403</c:v>
                </c:pt>
                <c:pt idx="67">
                  <c:v>0.35430844261742134</c:v>
                </c:pt>
                <c:pt idx="68">
                  <c:v>0.34918831448295595</c:v>
                </c:pt>
                <c:pt idx="69">
                  <c:v>0.34615891108349706</c:v>
                </c:pt>
                <c:pt idx="70">
                  <c:v>0.35156533403673579</c:v>
                </c:pt>
                <c:pt idx="71">
                  <c:v>0.34926814465048595</c:v>
                </c:pt>
                <c:pt idx="72">
                  <c:v>0.34995857198641811</c:v>
                </c:pt>
                <c:pt idx="73">
                  <c:v>0.34626138422141894</c:v>
                </c:pt>
                <c:pt idx="74">
                  <c:v>0.34724290158332949</c:v>
                </c:pt>
                <c:pt idx="75">
                  <c:v>0.34430727810277723</c:v>
                </c:pt>
                <c:pt idx="76">
                  <c:v>0.34002394866963354</c:v>
                </c:pt>
                <c:pt idx="77">
                  <c:v>0.33652719166369566</c:v>
                </c:pt>
                <c:pt idx="78">
                  <c:v>0.33725256833214662</c:v>
                </c:pt>
                <c:pt idx="79">
                  <c:v>0.33508457717956203</c:v>
                </c:pt>
                <c:pt idx="80">
                  <c:v>0.33644722627206541</c:v>
                </c:pt>
                <c:pt idx="81">
                  <c:v>0.3342627441989181</c:v>
                </c:pt>
                <c:pt idx="82">
                  <c:v>0.32834795225706565</c:v>
                </c:pt>
                <c:pt idx="83">
                  <c:v>0.33091028177106296</c:v>
                </c:pt>
                <c:pt idx="84">
                  <c:v>0.33047451809883177</c:v>
                </c:pt>
                <c:pt idx="85">
                  <c:v>0.32601785507398878</c:v>
                </c:pt>
                <c:pt idx="86">
                  <c:v>0.32736664300580426</c:v>
                </c:pt>
                <c:pt idx="87">
                  <c:v>0.32363016609144751</c:v>
                </c:pt>
                <c:pt idx="88">
                  <c:v>0.32233734644966233</c:v>
                </c:pt>
                <c:pt idx="89">
                  <c:v>0.32038949435001518</c:v>
                </c:pt>
                <c:pt idx="90">
                  <c:v>0.32159574231929294</c:v>
                </c:pt>
                <c:pt idx="91">
                  <c:v>0.31910913959411275</c:v>
                </c:pt>
                <c:pt idx="92">
                  <c:v>0.31922661089979959</c:v>
                </c:pt>
                <c:pt idx="93">
                  <c:v>0.31395151084533746</c:v>
                </c:pt>
                <c:pt idx="94">
                  <c:v>0.30781877478696767</c:v>
                </c:pt>
                <c:pt idx="95">
                  <c:v>0.30720349690064386</c:v>
                </c:pt>
                <c:pt idx="96">
                  <c:v>0.31831909443652839</c:v>
                </c:pt>
                <c:pt idx="97">
                  <c:v>0.31512259204997706</c:v>
                </c:pt>
                <c:pt idx="98">
                  <c:v>0.31596046609417683</c:v>
                </c:pt>
                <c:pt idx="99">
                  <c:v>0.31617948170669946</c:v>
                </c:pt>
                <c:pt idx="100">
                  <c:v>0.31218657939841093</c:v>
                </c:pt>
                <c:pt idx="101">
                  <c:v>0.31053147297171235</c:v>
                </c:pt>
                <c:pt idx="102">
                  <c:v>0.31367365124341584</c:v>
                </c:pt>
                <c:pt idx="103">
                  <c:v>0.31218558741514346</c:v>
                </c:pt>
                <c:pt idx="104">
                  <c:v>0.31466642225165814</c:v>
                </c:pt>
                <c:pt idx="105">
                  <c:v>0.31233233203953642</c:v>
                </c:pt>
                <c:pt idx="106">
                  <c:v>0.31009338446027745</c:v>
                </c:pt>
                <c:pt idx="107">
                  <c:v>0.31024669435765101</c:v>
                </c:pt>
                <c:pt idx="108">
                  <c:v>0.31078420293284864</c:v>
                </c:pt>
                <c:pt idx="109">
                  <c:v>0.31013484119031587</c:v>
                </c:pt>
                <c:pt idx="110">
                  <c:v>0.30995601990526633</c:v>
                </c:pt>
                <c:pt idx="111">
                  <c:v>0.30963977139243154</c:v>
                </c:pt>
                <c:pt idx="112">
                  <c:v>0.30764343530378008</c:v>
                </c:pt>
                <c:pt idx="113">
                  <c:v>0.30345049440495941</c:v>
                </c:pt>
                <c:pt idx="114">
                  <c:v>0.30337629865055782</c:v>
                </c:pt>
                <c:pt idx="115">
                  <c:v>0.30104544466023109</c:v>
                </c:pt>
                <c:pt idx="116">
                  <c:v>0.29974134017266024</c:v>
                </c:pt>
                <c:pt idx="117">
                  <c:v>0.29407724468411706</c:v>
                </c:pt>
                <c:pt idx="118">
                  <c:v>0.29224599703782322</c:v>
                </c:pt>
                <c:pt idx="119">
                  <c:v>0.29182843354919569</c:v>
                </c:pt>
                <c:pt idx="120">
                  <c:v>0.29471538262254815</c:v>
                </c:pt>
                <c:pt idx="121">
                  <c:v>0.30300006198418344</c:v>
                </c:pt>
                <c:pt idx="122">
                  <c:v>0.30205948307418506</c:v>
                </c:pt>
                <c:pt idx="123">
                  <c:v>0.30631259523086213</c:v>
                </c:pt>
                <c:pt idx="124">
                  <c:v>0.30392606829501462</c:v>
                </c:pt>
                <c:pt idx="125">
                  <c:v>0.30204084058442932</c:v>
                </c:pt>
                <c:pt idx="126">
                  <c:v>0.30396097275262868</c:v>
                </c:pt>
                <c:pt idx="127">
                  <c:v>0.30479011746719165</c:v>
                </c:pt>
                <c:pt idx="128">
                  <c:v>0.30703336857076519</c:v>
                </c:pt>
                <c:pt idx="129">
                  <c:v>0.30541305901877891</c:v>
                </c:pt>
                <c:pt idx="130">
                  <c:v>0.30297975145875844</c:v>
                </c:pt>
                <c:pt idx="131">
                  <c:v>0.30208482748477772</c:v>
                </c:pt>
                <c:pt idx="132">
                  <c:v>0.30474335897554811</c:v>
                </c:pt>
                <c:pt idx="133">
                  <c:v>0.30211426702370942</c:v>
                </c:pt>
                <c:pt idx="134">
                  <c:v>0.30312931091015544</c:v>
                </c:pt>
                <c:pt idx="135">
                  <c:v>0.30463063475504248</c:v>
                </c:pt>
                <c:pt idx="136">
                  <c:v>0.3036468111233328</c:v>
                </c:pt>
                <c:pt idx="137">
                  <c:v>0.29626251906117673</c:v>
                </c:pt>
                <c:pt idx="138">
                  <c:v>0.29707470895213106</c:v>
                </c:pt>
                <c:pt idx="139">
                  <c:v>0.2954401549657994</c:v>
                </c:pt>
                <c:pt idx="140">
                  <c:v>0.29404224402929763</c:v>
                </c:pt>
                <c:pt idx="141">
                  <c:v>0.29149719344223873</c:v>
                </c:pt>
                <c:pt idx="142">
                  <c:v>0.2898012324757131</c:v>
                </c:pt>
                <c:pt idx="143">
                  <c:v>0.29859907414053205</c:v>
                </c:pt>
                <c:pt idx="144">
                  <c:v>0.30176366981916436</c:v>
                </c:pt>
                <c:pt idx="145">
                  <c:v>0.2988214483328549</c:v>
                </c:pt>
                <c:pt idx="146">
                  <c:v>0.29339691092107079</c:v>
                </c:pt>
                <c:pt idx="147">
                  <c:v>0.29175679089462919</c:v>
                </c:pt>
                <c:pt idx="148">
                  <c:v>0.29621343654105214</c:v>
                </c:pt>
                <c:pt idx="149">
                  <c:v>0.29137084975236144</c:v>
                </c:pt>
                <c:pt idx="150">
                  <c:v>0.2951513299656644</c:v>
                </c:pt>
                <c:pt idx="151">
                  <c:v>0.29348580939719121</c:v>
                </c:pt>
                <c:pt idx="152">
                  <c:v>0.29311836327590352</c:v>
                </c:pt>
                <c:pt idx="153">
                  <c:v>0.29220387147083338</c:v>
                </c:pt>
                <c:pt idx="154">
                  <c:v>0.28692181553025653</c:v>
                </c:pt>
                <c:pt idx="155">
                  <c:v>0.28992362323830773</c:v>
                </c:pt>
                <c:pt idx="156">
                  <c:v>0.2923401319343808</c:v>
                </c:pt>
                <c:pt idx="157">
                  <c:v>0.28786991962649428</c:v>
                </c:pt>
                <c:pt idx="158">
                  <c:v>0.28924006232122518</c:v>
                </c:pt>
                <c:pt idx="159">
                  <c:v>0.28943923940465832</c:v>
                </c:pt>
                <c:pt idx="160">
                  <c:v>0.28694093071630228</c:v>
                </c:pt>
                <c:pt idx="161">
                  <c:v>0.27642162972062395</c:v>
                </c:pt>
                <c:pt idx="162">
                  <c:v>0.27904711699995499</c:v>
                </c:pt>
                <c:pt idx="163">
                  <c:v>0.2762669593517515</c:v>
                </c:pt>
                <c:pt idx="164">
                  <c:v>0.27663374709429606</c:v>
                </c:pt>
                <c:pt idx="165">
                  <c:v>0.27491265104593743</c:v>
                </c:pt>
                <c:pt idx="166">
                  <c:v>0.28112326637753343</c:v>
                </c:pt>
                <c:pt idx="167">
                  <c:v>0.28046781029438922</c:v>
                </c:pt>
                <c:pt idx="168">
                  <c:v>0.28225703043761124</c:v>
                </c:pt>
                <c:pt idx="169">
                  <c:v>0.27944177536606501</c:v>
                </c:pt>
                <c:pt idx="170">
                  <c:v>0.28098518163752223</c:v>
                </c:pt>
                <c:pt idx="171">
                  <c:v>0.28004922516510067</c:v>
                </c:pt>
                <c:pt idx="172">
                  <c:v>0.27729368494248574</c:v>
                </c:pt>
                <c:pt idx="173">
                  <c:v>0.27542955114486722</c:v>
                </c:pt>
                <c:pt idx="174">
                  <c:v>0.2578090621593363</c:v>
                </c:pt>
                <c:pt idx="175">
                  <c:v>0.25301619865580216</c:v>
                </c:pt>
                <c:pt idx="176">
                  <c:v>0.24818581970265763</c:v>
                </c:pt>
                <c:pt idx="177">
                  <c:v>0.24569657072826015</c:v>
                </c:pt>
                <c:pt idx="178">
                  <c:v>0.2446080896787699</c:v>
                </c:pt>
                <c:pt idx="179">
                  <c:v>0.24384321202215836</c:v>
                </c:pt>
                <c:pt idx="180">
                  <c:v>0.24666048011050898</c:v>
                </c:pt>
                <c:pt idx="181">
                  <c:v>0.24607620886690212</c:v>
                </c:pt>
                <c:pt idx="182">
                  <c:v>0.243889888408548</c:v>
                </c:pt>
                <c:pt idx="183">
                  <c:v>0.242422046129767</c:v>
                </c:pt>
                <c:pt idx="184">
                  <c:v>0.24169436616337009</c:v>
                </c:pt>
                <c:pt idx="185">
                  <c:v>0.23973885337345285</c:v>
                </c:pt>
                <c:pt idx="186">
                  <c:v>0.23843582910964614</c:v>
                </c:pt>
                <c:pt idx="187">
                  <c:v>0.24035174095997366</c:v>
                </c:pt>
                <c:pt idx="188">
                  <c:v>0.23801420092567863</c:v>
                </c:pt>
                <c:pt idx="189">
                  <c:v>0.23671189164141732</c:v>
                </c:pt>
                <c:pt idx="190">
                  <c:v>0.22848195728599838</c:v>
                </c:pt>
                <c:pt idx="191">
                  <c:v>0.23040678663316608</c:v>
                </c:pt>
                <c:pt idx="192">
                  <c:v>0.23441619916622428</c:v>
                </c:pt>
                <c:pt idx="193">
                  <c:v>0.22680165860304097</c:v>
                </c:pt>
                <c:pt idx="194">
                  <c:v>0.23726481618378212</c:v>
                </c:pt>
                <c:pt idx="195">
                  <c:v>0.23635203476010022</c:v>
                </c:pt>
                <c:pt idx="196">
                  <c:v>0.23421288879435567</c:v>
                </c:pt>
                <c:pt idx="197">
                  <c:v>0.23403364929769149</c:v>
                </c:pt>
                <c:pt idx="198">
                  <c:v>0.23439449135522142</c:v>
                </c:pt>
                <c:pt idx="199">
                  <c:v>0.23582140009227745</c:v>
                </c:pt>
                <c:pt idx="200">
                  <c:v>0.23740059969886765</c:v>
                </c:pt>
                <c:pt idx="201">
                  <c:v>0.23665098796632605</c:v>
                </c:pt>
                <c:pt idx="202">
                  <c:v>0.23471357513364471</c:v>
                </c:pt>
                <c:pt idx="203">
                  <c:v>0.23391665835642447</c:v>
                </c:pt>
                <c:pt idx="204">
                  <c:v>0.23992391990604722</c:v>
                </c:pt>
                <c:pt idx="205">
                  <c:v>0.23747319773602166</c:v>
                </c:pt>
                <c:pt idx="206">
                  <c:v>0.23807968323093762</c:v>
                </c:pt>
                <c:pt idx="207">
                  <c:v>0.23294792635923653</c:v>
                </c:pt>
                <c:pt idx="208">
                  <c:v>0.22812740605026924</c:v>
                </c:pt>
                <c:pt idx="209">
                  <c:v>0.22493794325706204</c:v>
                </c:pt>
                <c:pt idx="210">
                  <c:v>0.22798847681211903</c:v>
                </c:pt>
                <c:pt idx="211">
                  <c:v>0.22680436355767475</c:v>
                </c:pt>
                <c:pt idx="212">
                  <c:v>0.23028459014038677</c:v>
                </c:pt>
                <c:pt idx="213">
                  <c:v>0.22909884765118169</c:v>
                </c:pt>
                <c:pt idx="214">
                  <c:v>0.2259388872023339</c:v>
                </c:pt>
                <c:pt idx="215">
                  <c:v>0.22352267486107175</c:v>
                </c:pt>
                <c:pt idx="216">
                  <c:v>0.22837414432018835</c:v>
                </c:pt>
                <c:pt idx="217">
                  <c:v>0.22452920545455857</c:v>
                </c:pt>
                <c:pt idx="218">
                  <c:v>0.22439560686811766</c:v>
                </c:pt>
                <c:pt idx="219">
                  <c:v>0.22464327085591027</c:v>
                </c:pt>
                <c:pt idx="220">
                  <c:v>0.22198990943776314</c:v>
                </c:pt>
                <c:pt idx="221">
                  <c:v>0.22075143926555524</c:v>
                </c:pt>
                <c:pt idx="222">
                  <c:v>0.22239446109205799</c:v>
                </c:pt>
                <c:pt idx="223">
                  <c:v>0.21994764080190116</c:v>
                </c:pt>
                <c:pt idx="224">
                  <c:v>0.22340725622714011</c:v>
                </c:pt>
                <c:pt idx="225">
                  <c:v>0.22055103585054717</c:v>
                </c:pt>
                <c:pt idx="226">
                  <c:v>0.21727333624888251</c:v>
                </c:pt>
                <c:pt idx="227">
                  <c:v>0.21814204397085243</c:v>
                </c:pt>
                <c:pt idx="228">
                  <c:v>0.22143186722741273</c:v>
                </c:pt>
                <c:pt idx="229">
                  <c:v>0.21792400303972512</c:v>
                </c:pt>
                <c:pt idx="230">
                  <c:v>0.21916737484875307</c:v>
                </c:pt>
                <c:pt idx="231">
                  <c:v>0.21262588860803336</c:v>
                </c:pt>
                <c:pt idx="232">
                  <c:v>0.20956923821143483</c:v>
                </c:pt>
                <c:pt idx="233">
                  <c:v>0.21061452915989945</c:v>
                </c:pt>
                <c:pt idx="234">
                  <c:v>0.21090993636305369</c:v>
                </c:pt>
                <c:pt idx="235">
                  <c:v>0.21060816578240668</c:v>
                </c:pt>
                <c:pt idx="236">
                  <c:v>0.20861294727105442</c:v>
                </c:pt>
                <c:pt idx="237">
                  <c:v>0.21526738744439772</c:v>
                </c:pt>
                <c:pt idx="238">
                  <c:v>0.21106843279855872</c:v>
                </c:pt>
                <c:pt idx="239">
                  <c:v>0.21050359751160924</c:v>
                </c:pt>
                <c:pt idx="240">
                  <c:v>0.21139616494285823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9-4786-A7FE-139C03422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372223"/>
        <c:axId val="1130361663"/>
      </c:lineChart>
      <c:dateAx>
        <c:axId val="1130372223"/>
        <c:scaling>
          <c:orientation val="minMax"/>
        </c:scaling>
        <c:delete val="0"/>
        <c:axPos val="b"/>
        <c:numFmt formatCode="m/d/yyyy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61663"/>
        <c:crosses val="autoZero"/>
        <c:auto val="1"/>
        <c:lblOffset val="100"/>
        <c:baseTimeUnit val="months"/>
      </c:dateAx>
      <c:valAx>
        <c:axId val="11303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Marketable Debt Outstanding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share_of_marketable!$B$1</c:f>
              <c:strCache>
                <c:ptCount val="1"/>
                <c:pt idx="0">
                  <c:v>Bills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share_of_marketable!$A$2:$A$242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share_of_marketable!$B$2:$B$242</c:f>
              <c:numCache>
                <c:formatCode>0.00%</c:formatCode>
                <c:ptCount val="241"/>
                <c:pt idx="0">
                  <c:v>0.22670755372235205</c:v>
                </c:pt>
                <c:pt idx="1">
                  <c:v>0.23581170525280234</c:v>
                </c:pt>
                <c:pt idx="2">
                  <c:v>0.23037195099715452</c:v>
                </c:pt>
                <c:pt idx="3">
                  <c:v>0.22795904665074093</c:v>
                </c:pt>
                <c:pt idx="4">
                  <c:v>0.23367497219270381</c:v>
                </c:pt>
                <c:pt idx="5">
                  <c:v>0.24008157705895347</c:v>
                </c:pt>
                <c:pt idx="6">
                  <c:v>0.2253236052461404</c:v>
                </c:pt>
                <c:pt idx="7">
                  <c:v>0.22356211475030843</c:v>
                </c:pt>
                <c:pt idx="8">
                  <c:v>0.21549195001014712</c:v>
                </c:pt>
                <c:pt idx="9">
                  <c:v>0.21789821508876214</c:v>
                </c:pt>
                <c:pt idx="10">
                  <c:v>0.22149265777003588</c:v>
                </c:pt>
                <c:pt idx="11">
                  <c:v>0.21183414660769406</c:v>
                </c:pt>
                <c:pt idx="12">
                  <c:v>0.21427457491423646</c:v>
                </c:pt>
                <c:pt idx="13">
                  <c:v>0.22575524134554936</c:v>
                </c:pt>
                <c:pt idx="14">
                  <c:v>0.21746489523614501</c:v>
                </c:pt>
                <c:pt idx="15">
                  <c:v>0.21439627968003228</c:v>
                </c:pt>
                <c:pt idx="16">
                  <c:v>0.22276854452022654</c:v>
                </c:pt>
                <c:pt idx="17">
                  <c:v>0.23118042604490399</c:v>
                </c:pt>
                <c:pt idx="18">
                  <c:v>0.21396292032631048</c:v>
                </c:pt>
                <c:pt idx="19">
                  <c:v>0.20991814645489976</c:v>
                </c:pt>
                <c:pt idx="20">
                  <c:v>0.20028378169814329</c:v>
                </c:pt>
                <c:pt idx="21">
                  <c:v>0.20258526794630743</c:v>
                </c:pt>
                <c:pt idx="22">
                  <c:v>0.22553867018149776</c:v>
                </c:pt>
                <c:pt idx="23">
                  <c:v>0.21538948200270139</c:v>
                </c:pt>
                <c:pt idx="24">
                  <c:v>0.2101073600054465</c:v>
                </c:pt>
                <c:pt idx="25">
                  <c:v>0.22782085602803614</c:v>
                </c:pt>
                <c:pt idx="26">
                  <c:v>0.22128420508809343</c:v>
                </c:pt>
                <c:pt idx="27">
                  <c:v>0.21716574452526305</c:v>
                </c:pt>
                <c:pt idx="28">
                  <c:v>0.2414287245676788</c:v>
                </c:pt>
                <c:pt idx="29">
                  <c:v>0.24478015010602963</c:v>
                </c:pt>
                <c:pt idx="30">
                  <c:v>0.22093754945136659</c:v>
                </c:pt>
                <c:pt idx="31">
                  <c:v>0.23889041182090376</c:v>
                </c:pt>
                <c:pt idx="32">
                  <c:v>0.22580083092336167</c:v>
                </c:pt>
                <c:pt idx="33">
                  <c:v>0.23553647962120733</c:v>
                </c:pt>
                <c:pt idx="34">
                  <c:v>0.2503508547740983</c:v>
                </c:pt>
                <c:pt idx="35">
                  <c:v>0.28453304496825754</c:v>
                </c:pt>
                <c:pt idx="36">
                  <c:v>0.3333244070956049</c:v>
                </c:pt>
                <c:pt idx="37">
                  <c:v>0.34412177854169729</c:v>
                </c:pt>
                <c:pt idx="38">
                  <c:v>0.32196981187613793</c:v>
                </c:pt>
                <c:pt idx="39">
                  <c:v>0.31279808233552081</c:v>
                </c:pt>
                <c:pt idx="40">
                  <c:v>0.33024579251034653</c:v>
                </c:pt>
                <c:pt idx="41">
                  <c:v>0.32453340430363808</c:v>
                </c:pt>
                <c:pt idx="42">
                  <c:v>0.31343875016377509</c:v>
                </c:pt>
                <c:pt idx="43">
                  <c:v>0.32000543266191317</c:v>
                </c:pt>
                <c:pt idx="44">
                  <c:v>0.30345273559870717</c:v>
                </c:pt>
                <c:pt idx="45">
                  <c:v>0.29788428995732047</c:v>
                </c:pt>
                <c:pt idx="46">
                  <c:v>0.29808663634321614</c:v>
                </c:pt>
                <c:pt idx="47">
                  <c:v>0.28424874324018751</c:v>
                </c:pt>
                <c:pt idx="48">
                  <c:v>0.26750215044786402</c:v>
                </c:pt>
                <c:pt idx="49">
                  <c:v>0.25792468749621777</c:v>
                </c:pt>
                <c:pt idx="50">
                  <c:v>0.24661141131821215</c:v>
                </c:pt>
                <c:pt idx="51">
                  <c:v>0.23378409198735062</c:v>
                </c:pt>
                <c:pt idx="52">
                  <c:v>0.23445395514361728</c:v>
                </c:pt>
                <c:pt idx="53">
                  <c:v>0.23765223347584843</c:v>
                </c:pt>
                <c:pt idx="54">
                  <c:v>0.23382671129184812</c:v>
                </c:pt>
                <c:pt idx="55">
                  <c:v>0.23315242443677303</c:v>
                </c:pt>
                <c:pt idx="56">
                  <c:v>0.21999947587788327</c:v>
                </c:pt>
                <c:pt idx="57">
                  <c:v>0.21891864763586824</c:v>
                </c:pt>
                <c:pt idx="58">
                  <c:v>0.2172081773521666</c:v>
                </c:pt>
                <c:pt idx="59">
                  <c:v>0.21044769626779886</c:v>
                </c:pt>
                <c:pt idx="60">
                  <c:v>0.20701374238464676</c:v>
                </c:pt>
                <c:pt idx="61">
                  <c:v>0.20294900834092289</c:v>
                </c:pt>
                <c:pt idx="62">
                  <c:v>0.19998598278682686</c:v>
                </c:pt>
                <c:pt idx="63">
                  <c:v>0.19638617866692978</c:v>
                </c:pt>
                <c:pt idx="64">
                  <c:v>0.19213902537330271</c:v>
                </c:pt>
                <c:pt idx="65">
                  <c:v>0.18597932549897617</c:v>
                </c:pt>
                <c:pt idx="66">
                  <c:v>0.17933344028805917</c:v>
                </c:pt>
                <c:pt idx="67">
                  <c:v>0.17042382855616561</c:v>
                </c:pt>
                <c:pt idx="68">
                  <c:v>0.16406562010406897</c:v>
                </c:pt>
                <c:pt idx="69">
                  <c:v>0.15915500254649045</c:v>
                </c:pt>
                <c:pt idx="70">
                  <c:v>0.15685155485083552</c:v>
                </c:pt>
                <c:pt idx="71">
                  <c:v>0.15351428689475177</c:v>
                </c:pt>
                <c:pt idx="72">
                  <c:v>0.15210567313371931</c:v>
                </c:pt>
                <c:pt idx="73">
                  <c:v>0.15311090570760522</c:v>
                </c:pt>
                <c:pt idx="74">
                  <c:v>0.15301753800125786</c:v>
                </c:pt>
                <c:pt idx="75">
                  <c:v>0.15150058531662025</c:v>
                </c:pt>
                <c:pt idx="76">
                  <c:v>0.15753954933029307</c:v>
                </c:pt>
                <c:pt idx="77">
                  <c:v>0.1619645097082808</c:v>
                </c:pt>
                <c:pt idx="78">
                  <c:v>0.15513593249599211</c:v>
                </c:pt>
                <c:pt idx="79">
                  <c:v>0.15309885614856489</c:v>
                </c:pt>
                <c:pt idx="80">
                  <c:v>0.15173977835980745</c:v>
                </c:pt>
                <c:pt idx="81">
                  <c:v>0.14904690748545923</c:v>
                </c:pt>
                <c:pt idx="82">
                  <c:v>0.15459715662641488</c:v>
                </c:pt>
                <c:pt idx="83">
                  <c:v>0.15032979053232448</c:v>
                </c:pt>
                <c:pt idx="84">
                  <c:v>0.14897904923724425</c:v>
                </c:pt>
                <c:pt idx="85">
                  <c:v>0.15363205427299795</c:v>
                </c:pt>
                <c:pt idx="86">
                  <c:v>0.14737544159817498</c:v>
                </c:pt>
                <c:pt idx="87">
                  <c:v>0.14466050603092168</c:v>
                </c:pt>
                <c:pt idx="88">
                  <c:v>0.15404100322815584</c:v>
                </c:pt>
                <c:pt idx="89">
                  <c:v>0.15712857023872043</c:v>
                </c:pt>
                <c:pt idx="90">
                  <c:v>0.14846149203068743</c:v>
                </c:pt>
                <c:pt idx="91">
                  <c:v>0.14099289280371832</c:v>
                </c:pt>
                <c:pt idx="92">
                  <c:v>0.13777527942145884</c:v>
                </c:pt>
                <c:pt idx="93">
                  <c:v>0.13549519166355833</c:v>
                </c:pt>
                <c:pt idx="94">
                  <c:v>0.14137224462806466</c:v>
                </c:pt>
                <c:pt idx="95">
                  <c:v>0.1319378501250307</c:v>
                </c:pt>
                <c:pt idx="96">
                  <c:v>0.13210448271762962</c:v>
                </c:pt>
                <c:pt idx="97">
                  <c:v>0.13746654835384228</c:v>
                </c:pt>
                <c:pt idx="98">
                  <c:v>0.13412194764182678</c:v>
                </c:pt>
                <c:pt idx="99">
                  <c:v>0.12566057026621472</c:v>
                </c:pt>
                <c:pt idx="100">
                  <c:v>0.13436955134689718</c:v>
                </c:pt>
                <c:pt idx="101">
                  <c:v>0.13612703137728602</c:v>
                </c:pt>
                <c:pt idx="102">
                  <c:v>0.12141392178597007</c:v>
                </c:pt>
                <c:pt idx="103">
                  <c:v>0.12026345133026457</c:v>
                </c:pt>
                <c:pt idx="104">
                  <c:v>0.1148594495282569</c:v>
                </c:pt>
                <c:pt idx="105">
                  <c:v>0.11592546733057411</c:v>
                </c:pt>
                <c:pt idx="106">
                  <c:v>0.11857619244095721</c:v>
                </c:pt>
                <c:pt idx="107">
                  <c:v>0.11476782277302451</c:v>
                </c:pt>
                <c:pt idx="108">
                  <c:v>0.11437303887908988</c:v>
                </c:pt>
                <c:pt idx="109">
                  <c:v>0.11592267751160971</c:v>
                </c:pt>
                <c:pt idx="110">
                  <c:v>0.1164594336876511</c:v>
                </c:pt>
                <c:pt idx="111">
                  <c:v>0.1131821938745652</c:v>
                </c:pt>
                <c:pt idx="112">
                  <c:v>0.11717181292427628</c:v>
                </c:pt>
                <c:pt idx="113">
                  <c:v>0.11688723463263129</c:v>
                </c:pt>
                <c:pt idx="114">
                  <c:v>0.11331573407003126</c:v>
                </c:pt>
                <c:pt idx="115">
                  <c:v>0.11404131700766192</c:v>
                </c:pt>
                <c:pt idx="116">
                  <c:v>0.10974598323410246</c:v>
                </c:pt>
                <c:pt idx="117">
                  <c:v>0.11238119167182219</c:v>
                </c:pt>
                <c:pt idx="118">
                  <c:v>0.1108449510681401</c:v>
                </c:pt>
                <c:pt idx="119">
                  <c:v>0.10564986228711185</c:v>
                </c:pt>
                <c:pt idx="120">
                  <c:v>9.9429517366578374E-2</c:v>
                </c:pt>
                <c:pt idx="121">
                  <c:v>0.11476154947924798</c:v>
                </c:pt>
                <c:pt idx="122">
                  <c:v>0.11463679784214509</c:v>
                </c:pt>
                <c:pt idx="123">
                  <c:v>0.1120584044710027</c:v>
                </c:pt>
                <c:pt idx="124">
                  <c:v>0.11657616596530838</c:v>
                </c:pt>
                <c:pt idx="125">
                  <c:v>0.12032892318198207</c:v>
                </c:pt>
                <c:pt idx="126">
                  <c:v>0.11433443485678554</c:v>
                </c:pt>
                <c:pt idx="127">
                  <c:v>0.11378304644472591</c:v>
                </c:pt>
                <c:pt idx="128">
                  <c:v>0.11227533032987702</c:v>
                </c:pt>
                <c:pt idx="129">
                  <c:v>0.11485895573228551</c:v>
                </c:pt>
                <c:pt idx="130">
                  <c:v>0.12007796618572031</c:v>
                </c:pt>
                <c:pt idx="131">
                  <c:v>0.1205630474489035</c:v>
                </c:pt>
                <c:pt idx="132">
                  <c:v>0.12730150956472067</c:v>
                </c:pt>
                <c:pt idx="133">
                  <c:v>0.13453712344302571</c:v>
                </c:pt>
                <c:pt idx="134">
                  <c:v>0.13058894286360767</c:v>
                </c:pt>
                <c:pt idx="135">
                  <c:v>0.12709241320180301</c:v>
                </c:pt>
                <c:pt idx="136">
                  <c:v>0.12612218077829787</c:v>
                </c:pt>
                <c:pt idx="137">
                  <c:v>0.12579666019132399</c:v>
                </c:pt>
                <c:pt idx="138">
                  <c:v>0.12487079765480311</c:v>
                </c:pt>
                <c:pt idx="139">
                  <c:v>0.12500908045880527</c:v>
                </c:pt>
                <c:pt idx="140">
                  <c:v>0.12262880543500891</c:v>
                </c:pt>
                <c:pt idx="141">
                  <c:v>0.12503092312329969</c:v>
                </c:pt>
                <c:pt idx="142">
                  <c:v>0.12402274642728073</c:v>
                </c:pt>
                <c:pt idx="143">
                  <c:v>0.12689878017086467</c:v>
                </c:pt>
                <c:pt idx="144">
                  <c:v>0.13002456308931615</c:v>
                </c:pt>
                <c:pt idx="145">
                  <c:v>0.13651285255754284</c:v>
                </c:pt>
                <c:pt idx="146">
                  <c:v>0.13507599888302571</c:v>
                </c:pt>
                <c:pt idx="147">
                  <c:v>0.13551505484993306</c:v>
                </c:pt>
                <c:pt idx="148">
                  <c:v>0.14157068715993759</c:v>
                </c:pt>
                <c:pt idx="149">
                  <c:v>0.15316222436231791</c:v>
                </c:pt>
                <c:pt idx="150">
                  <c:v>0.14606078102733033</c:v>
                </c:pt>
                <c:pt idx="151">
                  <c:v>0.14618946724871545</c:v>
                </c:pt>
                <c:pt idx="152">
                  <c:v>0.14403432999754059</c:v>
                </c:pt>
                <c:pt idx="153">
                  <c:v>0.14622816254627874</c:v>
                </c:pt>
                <c:pt idx="154">
                  <c:v>0.15298313428143845</c:v>
                </c:pt>
                <c:pt idx="155">
                  <c:v>0.14661144482863203</c:v>
                </c:pt>
                <c:pt idx="156">
                  <c:v>0.14702543781543106</c:v>
                </c:pt>
                <c:pt idx="157">
                  <c:v>0.15354006067995649</c:v>
                </c:pt>
                <c:pt idx="158">
                  <c:v>0.14982370353321084</c:v>
                </c:pt>
                <c:pt idx="159">
                  <c:v>0.14718869170359736</c:v>
                </c:pt>
                <c:pt idx="160">
                  <c:v>0.1519398265336302</c:v>
                </c:pt>
                <c:pt idx="161">
                  <c:v>0.15559640021207635</c:v>
                </c:pt>
                <c:pt idx="162">
                  <c:v>0.15011689408550866</c:v>
                </c:pt>
                <c:pt idx="163">
                  <c:v>0.14766383243262809</c:v>
                </c:pt>
                <c:pt idx="164">
                  <c:v>0.14129358301988171</c:v>
                </c:pt>
                <c:pt idx="165">
                  <c:v>0.13814362793902044</c:v>
                </c:pt>
                <c:pt idx="166">
                  <c:v>0.14442405579584219</c:v>
                </c:pt>
                <c:pt idx="167">
                  <c:v>0.14540334284214276</c:v>
                </c:pt>
                <c:pt idx="168">
                  <c:v>0.14872574657233106</c:v>
                </c:pt>
                <c:pt idx="169">
                  <c:v>0.15126092188983459</c:v>
                </c:pt>
                <c:pt idx="170">
                  <c:v>0.14487738271322412</c:v>
                </c:pt>
                <c:pt idx="171">
                  <c:v>0.14379727658462479</c:v>
                </c:pt>
                <c:pt idx="172">
                  <c:v>0.1515843174085062</c:v>
                </c:pt>
                <c:pt idx="173">
                  <c:v>0.1548371071813498</c:v>
                </c:pt>
                <c:pt idx="174">
                  <c:v>0.21589656302532109</c:v>
                </c:pt>
                <c:pt idx="175">
                  <c:v>0.24073986825821359</c:v>
                </c:pt>
                <c:pt idx="176">
                  <c:v>0.25518110196076887</c:v>
                </c:pt>
                <c:pt idx="177">
                  <c:v>0.25384723385379632</c:v>
                </c:pt>
                <c:pt idx="178">
                  <c:v>0.25143802760820327</c:v>
                </c:pt>
                <c:pt idx="179">
                  <c:v>0.24681827483008495</c:v>
                </c:pt>
                <c:pt idx="180">
                  <c:v>0.24387458066118059</c:v>
                </c:pt>
                <c:pt idx="181">
                  <c:v>0.23891192878781123</c:v>
                </c:pt>
                <c:pt idx="182">
                  <c:v>0.23660854500772804</c:v>
                </c:pt>
                <c:pt idx="183">
                  <c:v>0.23540112527935364</c:v>
                </c:pt>
                <c:pt idx="184">
                  <c:v>0.22964899618456161</c:v>
                </c:pt>
                <c:pt idx="185">
                  <c:v>0.21830076166145121</c:v>
                </c:pt>
                <c:pt idx="186">
                  <c:v>0.21158975229275281</c:v>
                </c:pt>
                <c:pt idx="187">
                  <c:v>0.20433270389839819</c:v>
                </c:pt>
                <c:pt idx="188">
                  <c:v>0.19665518259156314</c:v>
                </c:pt>
                <c:pt idx="189">
                  <c:v>0.1908942414962769</c:v>
                </c:pt>
                <c:pt idx="190">
                  <c:v>0.18411810022094852</c:v>
                </c:pt>
                <c:pt idx="191">
                  <c:v>0.16975954662476087</c:v>
                </c:pt>
                <c:pt idx="192">
                  <c:v>0.17405077070871069</c:v>
                </c:pt>
                <c:pt idx="193">
                  <c:v>0.1693881041171087</c:v>
                </c:pt>
                <c:pt idx="194">
                  <c:v>0.16689022963159741</c:v>
                </c:pt>
                <c:pt idx="195">
                  <c:v>0.17282904788437062</c:v>
                </c:pt>
                <c:pt idx="196">
                  <c:v>0.17481498100669327</c:v>
                </c:pt>
                <c:pt idx="197">
                  <c:v>0.1687254985295914</c:v>
                </c:pt>
                <c:pt idx="198">
                  <c:v>0.16460936284251929</c:v>
                </c:pt>
                <c:pt idx="199">
                  <c:v>0.15758779941901652</c:v>
                </c:pt>
                <c:pt idx="200">
                  <c:v>0.15116628727611059</c:v>
                </c:pt>
                <c:pt idx="201">
                  <c:v>0.15050200118609944</c:v>
                </c:pt>
                <c:pt idx="202">
                  <c:v>0.15733837084676053</c:v>
                </c:pt>
                <c:pt idx="203">
                  <c:v>0.15381958030282744</c:v>
                </c:pt>
                <c:pt idx="204">
                  <c:v>0.15439933831754959</c:v>
                </c:pt>
                <c:pt idx="205">
                  <c:v>0.15913770860475726</c:v>
                </c:pt>
                <c:pt idx="206">
                  <c:v>0.15444838289504276</c:v>
                </c:pt>
                <c:pt idx="207">
                  <c:v>0.16325170880530915</c:v>
                </c:pt>
                <c:pt idx="208">
                  <c:v>0.1671066726476767</c:v>
                </c:pt>
                <c:pt idx="209">
                  <c:v>0.16687689978474782</c:v>
                </c:pt>
                <c:pt idx="210">
                  <c:v>0.1623436783734149</c:v>
                </c:pt>
                <c:pt idx="211">
                  <c:v>0.16414795471708574</c:v>
                </c:pt>
                <c:pt idx="212">
                  <c:v>0.17948168156198221</c:v>
                </c:pt>
                <c:pt idx="213">
                  <c:v>0.18977306808967512</c:v>
                </c:pt>
                <c:pt idx="214">
                  <c:v>0.19915258016496057</c:v>
                </c:pt>
                <c:pt idx="215">
                  <c:v>0.2042584354141086</c:v>
                </c:pt>
                <c:pt idx="216">
                  <c:v>0.20985657131198274</c:v>
                </c:pt>
                <c:pt idx="217">
                  <c:v>0.21586347445534182</c:v>
                </c:pt>
                <c:pt idx="218">
                  <c:v>0.21522235523031216</c:v>
                </c:pt>
                <c:pt idx="219">
                  <c:v>0.21803735156178361</c:v>
                </c:pt>
                <c:pt idx="220">
                  <c:v>0.22414221184086011</c:v>
                </c:pt>
                <c:pt idx="221">
                  <c:v>0.22495458727641521</c:v>
                </c:pt>
                <c:pt idx="222">
                  <c:v>0.21794646676081381</c:v>
                </c:pt>
                <c:pt idx="223">
                  <c:v>0.21694934997843374</c:v>
                </c:pt>
                <c:pt idx="224">
                  <c:v>0.21315457762202977</c:v>
                </c:pt>
                <c:pt idx="225">
                  <c:v>0.21620132501984585</c:v>
                </c:pt>
                <c:pt idx="226">
                  <c:v>0.22183772616140907</c:v>
                </c:pt>
                <c:pt idx="227">
                  <c:v>0.2165568233682964</c:v>
                </c:pt>
                <c:pt idx="228">
                  <c:v>0.22102920248139865</c:v>
                </c:pt>
                <c:pt idx="229">
                  <c:v>0.22640221529542801</c:v>
                </c:pt>
                <c:pt idx="230">
                  <c:v>0.21876717787727859</c:v>
                </c:pt>
                <c:pt idx="231">
                  <c:v>0.22370903010230675</c:v>
                </c:pt>
                <c:pt idx="232">
                  <c:v>0.22243360052033143</c:v>
                </c:pt>
                <c:pt idx="233">
                  <c:v>0.21534052439991602</c:v>
                </c:pt>
                <c:pt idx="234">
                  <c:v>0.21206851734920826</c:v>
                </c:pt>
                <c:pt idx="235">
                  <c:v>0.20998059602209929</c:v>
                </c:pt>
                <c:pt idx="236">
                  <c:v>0.20183560480941268</c:v>
                </c:pt>
                <c:pt idx="237">
                  <c:v>0.20696988672370795</c:v>
                </c:pt>
                <c:pt idx="238">
                  <c:v>0.2165824530946189</c:v>
                </c:pt>
                <c:pt idx="239">
                  <c:v>0.21528207193260937</c:v>
                </c:pt>
                <c:pt idx="240">
                  <c:v>0.21978366084579418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4-4C8C-BB38-F83406648C48}"/>
            </c:ext>
          </c:extLst>
        </c:ser>
        <c:ser>
          <c:idx val="1"/>
          <c:order val="1"/>
          <c:tx>
            <c:strRef>
              <c:f>share_of_marketable!$C$1</c:f>
              <c:strCache>
                <c:ptCount val="1"/>
                <c:pt idx="0">
                  <c:v>Notes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share_of_marketable!$A$2:$A$242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share_of_marketable!$C$2:$C$242</c:f>
              <c:numCache>
                <c:formatCode>0.00%</c:formatCode>
                <c:ptCount val="241"/>
                <c:pt idx="0">
                  <c:v>0.56543315254756055</c:v>
                </c:pt>
                <c:pt idx="1">
                  <c:v>0.55905560874924887</c:v>
                </c:pt>
                <c:pt idx="2">
                  <c:v>0.56424870040106689</c:v>
                </c:pt>
                <c:pt idx="3">
                  <c:v>0.56285987902052992</c:v>
                </c:pt>
                <c:pt idx="4">
                  <c:v>0.55913563024849577</c:v>
                </c:pt>
                <c:pt idx="5">
                  <c:v>0.55519008027883809</c:v>
                </c:pt>
                <c:pt idx="6">
                  <c:v>0.56260200487591461</c:v>
                </c:pt>
                <c:pt idx="7">
                  <c:v>0.56403097043442252</c:v>
                </c:pt>
                <c:pt idx="8">
                  <c:v>0.57061289892237399</c:v>
                </c:pt>
                <c:pt idx="9">
                  <c:v>0.56464293066941018</c:v>
                </c:pt>
                <c:pt idx="10">
                  <c:v>0.56141473181469459</c:v>
                </c:pt>
                <c:pt idx="11">
                  <c:v>0.56870509842246242</c:v>
                </c:pt>
                <c:pt idx="12">
                  <c:v>0.56348600611111821</c:v>
                </c:pt>
                <c:pt idx="13">
                  <c:v>0.55554804809628766</c:v>
                </c:pt>
                <c:pt idx="14">
                  <c:v>0.56238677378915369</c:v>
                </c:pt>
                <c:pt idx="15">
                  <c:v>0.56579021429617227</c:v>
                </c:pt>
                <c:pt idx="16">
                  <c:v>0.55811648386229762</c:v>
                </c:pt>
                <c:pt idx="17">
                  <c:v>0.55238486096833284</c:v>
                </c:pt>
                <c:pt idx="18">
                  <c:v>0.56267067095420797</c:v>
                </c:pt>
                <c:pt idx="19">
                  <c:v>0.56254542136409769</c:v>
                </c:pt>
                <c:pt idx="20">
                  <c:v>0.56946718585671885</c:v>
                </c:pt>
                <c:pt idx="21">
                  <c:v>0.56639131273656829</c:v>
                </c:pt>
                <c:pt idx="22">
                  <c:v>0.54491383561220741</c:v>
                </c:pt>
                <c:pt idx="23">
                  <c:v>0.55259996195641414</c:v>
                </c:pt>
                <c:pt idx="24">
                  <c:v>0.55593811882580191</c:v>
                </c:pt>
                <c:pt idx="25">
                  <c:v>0.54256201075940513</c:v>
                </c:pt>
                <c:pt idx="26">
                  <c:v>0.54853739230113496</c:v>
                </c:pt>
                <c:pt idx="27">
                  <c:v>0.55239621670897476</c:v>
                </c:pt>
                <c:pt idx="28">
                  <c:v>0.53168007585161337</c:v>
                </c:pt>
                <c:pt idx="29">
                  <c:v>0.53125428887559545</c:v>
                </c:pt>
                <c:pt idx="30">
                  <c:v>0.54727222375738227</c:v>
                </c:pt>
                <c:pt idx="31">
                  <c:v>0.52859922543548998</c:v>
                </c:pt>
                <c:pt idx="32">
                  <c:v>0.54156965255424205</c:v>
                </c:pt>
                <c:pt idx="33">
                  <c:v>0.53394592153835896</c:v>
                </c:pt>
                <c:pt idx="34">
                  <c:v>0.52152098182721074</c:v>
                </c:pt>
                <c:pt idx="35">
                  <c:v>0.50129316595369722</c:v>
                </c:pt>
                <c:pt idx="36">
                  <c:v>0.46891871682708181</c:v>
                </c:pt>
                <c:pt idx="37">
                  <c:v>0.45939105214422904</c:v>
                </c:pt>
                <c:pt idx="38">
                  <c:v>0.48161052453496833</c:v>
                </c:pt>
                <c:pt idx="39">
                  <c:v>0.49148704917876218</c:v>
                </c:pt>
                <c:pt idx="40">
                  <c:v>0.48100013348113885</c:v>
                </c:pt>
                <c:pt idx="41">
                  <c:v>0.49231211574883782</c:v>
                </c:pt>
                <c:pt idx="42">
                  <c:v>0.50357609288750127</c:v>
                </c:pt>
                <c:pt idx="43">
                  <c:v>0.49754706714487434</c:v>
                </c:pt>
                <c:pt idx="44">
                  <c:v>0.516890995290751</c:v>
                </c:pt>
                <c:pt idx="45">
                  <c:v>0.52301296995324809</c:v>
                </c:pt>
                <c:pt idx="46">
                  <c:v>0.52435646770517141</c:v>
                </c:pt>
                <c:pt idx="47">
                  <c:v>0.5383610187694996</c:v>
                </c:pt>
                <c:pt idx="48">
                  <c:v>0.5495718968203549</c:v>
                </c:pt>
                <c:pt idx="49">
                  <c:v>0.56306850051741542</c:v>
                </c:pt>
                <c:pt idx="50">
                  <c:v>0.5749206323907381</c:v>
                </c:pt>
                <c:pt idx="51">
                  <c:v>0.58526813338506778</c:v>
                </c:pt>
                <c:pt idx="52">
                  <c:v>0.58562166979816466</c:v>
                </c:pt>
                <c:pt idx="53">
                  <c:v>0.58863381773780887</c:v>
                </c:pt>
                <c:pt idx="54">
                  <c:v>0.59538246688502083</c:v>
                </c:pt>
                <c:pt idx="55">
                  <c:v>0.59484411412024396</c:v>
                </c:pt>
                <c:pt idx="56">
                  <c:v>0.60949484215164029</c:v>
                </c:pt>
                <c:pt idx="57">
                  <c:v>0.60905730161101468</c:v>
                </c:pt>
                <c:pt idx="58">
                  <c:v>0.61256736681717738</c:v>
                </c:pt>
                <c:pt idx="59">
                  <c:v>0.61846136169920063</c:v>
                </c:pt>
                <c:pt idx="60">
                  <c:v>0.61998347244121221</c:v>
                </c:pt>
                <c:pt idx="61">
                  <c:v>0.62501245702134067</c:v>
                </c:pt>
                <c:pt idx="62">
                  <c:v>0.62863417913543218</c:v>
                </c:pt>
                <c:pt idx="63">
                  <c:v>0.63272397355537002</c:v>
                </c:pt>
                <c:pt idx="64">
                  <c:v>0.63557583595697764</c:v>
                </c:pt>
                <c:pt idx="65">
                  <c:v>0.64031946744100565</c:v>
                </c:pt>
                <c:pt idx="66">
                  <c:v>0.6461374705802273</c:v>
                </c:pt>
                <c:pt idx="67">
                  <c:v>0.65370209598159623</c:v>
                </c:pt>
                <c:pt idx="68">
                  <c:v>0.65897118655445908</c:v>
                </c:pt>
                <c:pt idx="69">
                  <c:v>0.66160247760607283</c:v>
                </c:pt>
                <c:pt idx="70">
                  <c:v>0.66360041058729313</c:v>
                </c:pt>
                <c:pt idx="71">
                  <c:v>0.66626453761005955</c:v>
                </c:pt>
                <c:pt idx="72">
                  <c:v>0.66762127870847354</c:v>
                </c:pt>
                <c:pt idx="73">
                  <c:v>0.66599990790190899</c:v>
                </c:pt>
                <c:pt idx="74">
                  <c:v>0.66470101916134283</c:v>
                </c:pt>
                <c:pt idx="75">
                  <c:v>0.66653853889183179</c:v>
                </c:pt>
                <c:pt idx="76">
                  <c:v>0.66075313084920584</c:v>
                </c:pt>
                <c:pt idx="77">
                  <c:v>0.65547466337037519</c:v>
                </c:pt>
                <c:pt idx="78">
                  <c:v>0.66185560110620212</c:v>
                </c:pt>
                <c:pt idx="79">
                  <c:v>0.66196771833284995</c:v>
                </c:pt>
                <c:pt idx="80">
                  <c:v>0.66182945114158775</c:v>
                </c:pt>
                <c:pt idx="81">
                  <c:v>0.66625052503988957</c:v>
                </c:pt>
                <c:pt idx="82">
                  <c:v>0.66057193526919211</c:v>
                </c:pt>
                <c:pt idx="83">
                  <c:v>0.66240610863708316</c:v>
                </c:pt>
                <c:pt idx="84">
                  <c:v>0.6638980302034152</c:v>
                </c:pt>
                <c:pt idx="85">
                  <c:v>0.65874079235730987</c:v>
                </c:pt>
                <c:pt idx="86">
                  <c:v>0.66289526397992193</c:v>
                </c:pt>
                <c:pt idx="87">
                  <c:v>0.66450308358698895</c:v>
                </c:pt>
                <c:pt idx="88">
                  <c:v>0.65636980246687493</c:v>
                </c:pt>
                <c:pt idx="89">
                  <c:v>0.65230607680495101</c:v>
                </c:pt>
                <c:pt idx="90">
                  <c:v>0.65937878990465726</c:v>
                </c:pt>
                <c:pt idx="91">
                  <c:v>0.66374684560830444</c:v>
                </c:pt>
                <c:pt idx="92">
                  <c:v>0.66535473502216003</c:v>
                </c:pt>
                <c:pt idx="93">
                  <c:v>0.66879337191348498</c:v>
                </c:pt>
                <c:pt idx="94">
                  <c:v>0.66169570435364156</c:v>
                </c:pt>
                <c:pt idx="95">
                  <c:v>0.66901061434105458</c:v>
                </c:pt>
                <c:pt idx="96">
                  <c:v>0.66791595335628395</c:v>
                </c:pt>
                <c:pt idx="97">
                  <c:v>0.66163713565107263</c:v>
                </c:pt>
                <c:pt idx="98">
                  <c:v>0.66403618334903225</c:v>
                </c:pt>
                <c:pt idx="99">
                  <c:v>0.67051820556270214</c:v>
                </c:pt>
                <c:pt idx="100">
                  <c:v>0.66181342541265709</c:v>
                </c:pt>
                <c:pt idx="101">
                  <c:v>0.65863769344441581</c:v>
                </c:pt>
                <c:pt idx="102">
                  <c:v>0.66859402538347767</c:v>
                </c:pt>
                <c:pt idx="103">
                  <c:v>0.66629941952433691</c:v>
                </c:pt>
                <c:pt idx="104">
                  <c:v>0.66940940536970905</c:v>
                </c:pt>
                <c:pt idx="105">
                  <c:v>0.66787985101775682</c:v>
                </c:pt>
                <c:pt idx="106">
                  <c:v>0.66283822365886158</c:v>
                </c:pt>
                <c:pt idx="107">
                  <c:v>0.6643580088686285</c:v>
                </c:pt>
                <c:pt idx="108">
                  <c:v>0.66326945649595359</c:v>
                </c:pt>
                <c:pt idx="109">
                  <c:v>0.6593348441183996</c:v>
                </c:pt>
                <c:pt idx="110">
                  <c:v>0.65736755205031994</c:v>
                </c:pt>
                <c:pt idx="111">
                  <c:v>0.66007519876212251</c:v>
                </c:pt>
                <c:pt idx="112">
                  <c:v>0.65472575746965889</c:v>
                </c:pt>
                <c:pt idx="113">
                  <c:v>0.65363487124649189</c:v>
                </c:pt>
                <c:pt idx="114">
                  <c:v>0.65509631954241898</c:v>
                </c:pt>
                <c:pt idx="115">
                  <c:v>0.65137316391583477</c:v>
                </c:pt>
                <c:pt idx="116">
                  <c:v>0.65339610113377167</c:v>
                </c:pt>
                <c:pt idx="117">
                  <c:v>0.65050062352425941</c:v>
                </c:pt>
                <c:pt idx="118">
                  <c:v>0.64910496884665336</c:v>
                </c:pt>
                <c:pt idx="119">
                  <c:v>0.65137849764475819</c:v>
                </c:pt>
                <c:pt idx="120">
                  <c:v>0.65497500790091623</c:v>
                </c:pt>
                <c:pt idx="121">
                  <c:v>0.6418360043047675</c:v>
                </c:pt>
                <c:pt idx="122">
                  <c:v>0.64035100297077951</c:v>
                </c:pt>
                <c:pt idx="123">
                  <c:v>0.64219088466610386</c:v>
                </c:pt>
                <c:pt idx="124">
                  <c:v>0.63968386521349319</c:v>
                </c:pt>
                <c:pt idx="125">
                  <c:v>0.63536445725090207</c:v>
                </c:pt>
                <c:pt idx="126">
                  <c:v>0.64061204203524336</c:v>
                </c:pt>
                <c:pt idx="127">
                  <c:v>0.64118114766844958</c:v>
                </c:pt>
                <c:pt idx="128">
                  <c:v>0.64081141492841409</c:v>
                </c:pt>
                <c:pt idx="129">
                  <c:v>0.63890100263487914</c:v>
                </c:pt>
                <c:pt idx="130">
                  <c:v>0.63381026257134487</c:v>
                </c:pt>
                <c:pt idx="131">
                  <c:v>0.63181631591490095</c:v>
                </c:pt>
                <c:pt idx="132">
                  <c:v>0.62753765483087542</c:v>
                </c:pt>
                <c:pt idx="133">
                  <c:v>0.6209863492629013</c:v>
                </c:pt>
                <c:pt idx="134">
                  <c:v>0.62199932972671124</c:v>
                </c:pt>
                <c:pt idx="135">
                  <c:v>0.62598311981056576</c:v>
                </c:pt>
                <c:pt idx="136">
                  <c:v>0.62484216370003576</c:v>
                </c:pt>
                <c:pt idx="137">
                  <c:v>0.62308151064048678</c:v>
                </c:pt>
                <c:pt idx="138">
                  <c:v>0.62483830078735481</c:v>
                </c:pt>
                <c:pt idx="139">
                  <c:v>0.62476474098558232</c:v>
                </c:pt>
                <c:pt idx="140">
                  <c:v>0.62517355652742901</c:v>
                </c:pt>
                <c:pt idx="141">
                  <c:v>0.62462315002231772</c:v>
                </c:pt>
                <c:pt idx="142">
                  <c:v>0.62358289123452959</c:v>
                </c:pt>
                <c:pt idx="143">
                  <c:v>0.62011464567293995</c:v>
                </c:pt>
                <c:pt idx="144">
                  <c:v>0.61863051617132703</c:v>
                </c:pt>
                <c:pt idx="145">
                  <c:v>0.61165156621975081</c:v>
                </c:pt>
                <c:pt idx="146">
                  <c:v>0.61116011522599134</c:v>
                </c:pt>
                <c:pt idx="147">
                  <c:v>0.61243223513959144</c:v>
                </c:pt>
                <c:pt idx="148">
                  <c:v>0.60632182010277447</c:v>
                </c:pt>
                <c:pt idx="149">
                  <c:v>0.59717050350837331</c:v>
                </c:pt>
                <c:pt idx="150">
                  <c:v>0.60432889602941298</c:v>
                </c:pt>
                <c:pt idx="151">
                  <c:v>0.60258113478202402</c:v>
                </c:pt>
                <c:pt idx="152">
                  <c:v>0.60285354447121164</c:v>
                </c:pt>
                <c:pt idx="153">
                  <c:v>0.60290081538600526</c:v>
                </c:pt>
                <c:pt idx="154">
                  <c:v>0.59603171494588492</c:v>
                </c:pt>
                <c:pt idx="155">
                  <c:v>0.59918527239432751</c:v>
                </c:pt>
                <c:pt idx="156">
                  <c:v>0.60022610586518599</c:v>
                </c:pt>
                <c:pt idx="157">
                  <c:v>0.59385403840696915</c:v>
                </c:pt>
                <c:pt idx="158">
                  <c:v>0.59526602646408633</c:v>
                </c:pt>
                <c:pt idx="159">
                  <c:v>0.59897191052582432</c:v>
                </c:pt>
                <c:pt idx="160">
                  <c:v>0.59457598608921924</c:v>
                </c:pt>
                <c:pt idx="161">
                  <c:v>0.59064746543745605</c:v>
                </c:pt>
                <c:pt idx="162">
                  <c:v>0.59766019359920852</c:v>
                </c:pt>
                <c:pt idx="163">
                  <c:v>0.59696645096985956</c:v>
                </c:pt>
                <c:pt idx="164">
                  <c:v>0.59974119350209787</c:v>
                </c:pt>
                <c:pt idx="165">
                  <c:v>0.60384120487143711</c:v>
                </c:pt>
                <c:pt idx="166">
                  <c:v>0.59805763724992533</c:v>
                </c:pt>
                <c:pt idx="167">
                  <c:v>0.59720930610470468</c:v>
                </c:pt>
                <c:pt idx="168">
                  <c:v>0.59554751233217074</c:v>
                </c:pt>
                <c:pt idx="169">
                  <c:v>0.59120636306732088</c:v>
                </c:pt>
                <c:pt idx="170">
                  <c:v>0.5952013884781997</c:v>
                </c:pt>
                <c:pt idx="171">
                  <c:v>0.59801044845964257</c:v>
                </c:pt>
                <c:pt idx="172">
                  <c:v>0.59072968160609829</c:v>
                </c:pt>
                <c:pt idx="173">
                  <c:v>0.5880446934482072</c:v>
                </c:pt>
                <c:pt idx="174">
                  <c:v>0.54833533739961371</c:v>
                </c:pt>
                <c:pt idx="175">
                  <c:v>0.52915413457414207</c:v>
                </c:pt>
                <c:pt idx="176">
                  <c:v>0.51815950624909224</c:v>
                </c:pt>
                <c:pt idx="177">
                  <c:v>0.52117651795767295</c:v>
                </c:pt>
                <c:pt idx="178">
                  <c:v>0.52123045228004283</c:v>
                </c:pt>
                <c:pt idx="179">
                  <c:v>0.52337643312572268</c:v>
                </c:pt>
                <c:pt idx="180">
                  <c:v>0.52485483377931996</c:v>
                </c:pt>
                <c:pt idx="181">
                  <c:v>0.5276879805194179</c:v>
                </c:pt>
                <c:pt idx="182">
                  <c:v>0.52868052107159647</c:v>
                </c:pt>
                <c:pt idx="183">
                  <c:v>0.53079861753581425</c:v>
                </c:pt>
                <c:pt idx="184">
                  <c:v>0.53464401129842987</c:v>
                </c:pt>
                <c:pt idx="185">
                  <c:v>0.54222754854534705</c:v>
                </c:pt>
                <c:pt idx="186">
                  <c:v>0.54916271465080591</c:v>
                </c:pt>
                <c:pt idx="187">
                  <c:v>0.5522699362427308</c:v>
                </c:pt>
                <c:pt idx="188">
                  <c:v>0.55689486769584529</c:v>
                </c:pt>
                <c:pt idx="189">
                  <c:v>0.5615596626789221</c:v>
                </c:pt>
                <c:pt idx="190">
                  <c:v>0.56592224622216347</c:v>
                </c:pt>
                <c:pt idx="191">
                  <c:v>0.57494000227409026</c:v>
                </c:pt>
                <c:pt idx="192">
                  <c:v>0.57139515289294718</c:v>
                </c:pt>
                <c:pt idx="193">
                  <c:v>0.57510680455289553</c:v>
                </c:pt>
                <c:pt idx="194">
                  <c:v>0.57549596326772456</c:v>
                </c:pt>
                <c:pt idx="195">
                  <c:v>0.5733936563871872</c:v>
                </c:pt>
                <c:pt idx="196">
                  <c:v>0.57025549410774279</c:v>
                </c:pt>
                <c:pt idx="197">
                  <c:v>0.57323710331973121</c:v>
                </c:pt>
                <c:pt idx="198">
                  <c:v>0.57663980792206659</c:v>
                </c:pt>
                <c:pt idx="199">
                  <c:v>0.57992193801647363</c:v>
                </c:pt>
                <c:pt idx="200">
                  <c:v>0.58269735873304429</c:v>
                </c:pt>
                <c:pt idx="201">
                  <c:v>0.58364853317501975</c:v>
                </c:pt>
                <c:pt idx="202">
                  <c:v>0.57749397454284168</c:v>
                </c:pt>
                <c:pt idx="203">
                  <c:v>0.57836260948288709</c:v>
                </c:pt>
                <c:pt idx="204">
                  <c:v>0.5784411502006197</c:v>
                </c:pt>
                <c:pt idx="205">
                  <c:v>0.5726903032856574</c:v>
                </c:pt>
                <c:pt idx="206">
                  <c:v>0.57444941902911861</c:v>
                </c:pt>
                <c:pt idx="207">
                  <c:v>0.57004365396214707</c:v>
                </c:pt>
                <c:pt idx="208">
                  <c:v>0.56544786116850065</c:v>
                </c:pt>
                <c:pt idx="209">
                  <c:v>0.56343683318365723</c:v>
                </c:pt>
                <c:pt idx="210">
                  <c:v>0.56717497306526188</c:v>
                </c:pt>
                <c:pt idx="211">
                  <c:v>0.56388421729018923</c:v>
                </c:pt>
                <c:pt idx="212">
                  <c:v>0.55145906328494454</c:v>
                </c:pt>
                <c:pt idx="213">
                  <c:v>0.54626894371338586</c:v>
                </c:pt>
                <c:pt idx="214">
                  <c:v>0.5378280198280343</c:v>
                </c:pt>
                <c:pt idx="215">
                  <c:v>0.53310769035525274</c:v>
                </c:pt>
                <c:pt idx="216">
                  <c:v>0.52924893523075578</c:v>
                </c:pt>
                <c:pt idx="217">
                  <c:v>0.52259627205820403</c:v>
                </c:pt>
                <c:pt idx="218">
                  <c:v>0.52170321872759851</c:v>
                </c:pt>
                <c:pt idx="219">
                  <c:v>0.52172789822112131</c:v>
                </c:pt>
                <c:pt idx="220">
                  <c:v>0.51567431207908565</c:v>
                </c:pt>
                <c:pt idx="221">
                  <c:v>0.51437548700961455</c:v>
                </c:pt>
                <c:pt idx="222">
                  <c:v>0.51989984255841726</c:v>
                </c:pt>
                <c:pt idx="223">
                  <c:v>0.51821929156764546</c:v>
                </c:pt>
                <c:pt idx="224">
                  <c:v>0.51928689056781407</c:v>
                </c:pt>
                <c:pt idx="225">
                  <c:v>0.51994697584353633</c:v>
                </c:pt>
                <c:pt idx="226">
                  <c:v>0.51428756913912999</c:v>
                </c:pt>
                <c:pt idx="227">
                  <c:v>0.51728430686853932</c:v>
                </c:pt>
                <c:pt idx="228">
                  <c:v>0.5160141038639775</c:v>
                </c:pt>
                <c:pt idx="229">
                  <c:v>0.51055775278847904</c:v>
                </c:pt>
                <c:pt idx="230">
                  <c:v>0.51503135372999198</c:v>
                </c:pt>
                <c:pt idx="231">
                  <c:v>0.51513398312672753</c:v>
                </c:pt>
                <c:pt idx="232">
                  <c:v>0.51473137811453484</c:v>
                </c:pt>
                <c:pt idx="233">
                  <c:v>0.51820269223159321</c:v>
                </c:pt>
                <c:pt idx="234">
                  <c:v>0.52169230736403671</c:v>
                </c:pt>
                <c:pt idx="235">
                  <c:v>0.52110679476982946</c:v>
                </c:pt>
                <c:pt idx="236">
                  <c:v>0.52599522727011194</c:v>
                </c:pt>
                <c:pt idx="237">
                  <c:v>0.52492264352789486</c:v>
                </c:pt>
                <c:pt idx="238">
                  <c:v>0.51727079043078483</c:v>
                </c:pt>
                <c:pt idx="239">
                  <c:v>0.51800866177609128</c:v>
                </c:pt>
                <c:pt idx="240">
                  <c:v>0.51688079653798347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4-4C8C-BB38-F83406648C48}"/>
            </c:ext>
          </c:extLst>
        </c:ser>
        <c:ser>
          <c:idx val="2"/>
          <c:order val="2"/>
          <c:tx>
            <c:strRef>
              <c:f>share_of_marketable!$D$1</c:f>
              <c:strCache>
                <c:ptCount val="1"/>
                <c:pt idx="0">
                  <c:v>Bonds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share_of_marketable!$A$2:$A$242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share_of_marketable!$D$2:$D$242</c:f>
              <c:numCache>
                <c:formatCode>0.00%</c:formatCode>
                <c:ptCount val="241"/>
                <c:pt idx="0">
                  <c:v>0.12603836379614558</c:v>
                </c:pt>
                <c:pt idx="1">
                  <c:v>0.12343954043142288</c:v>
                </c:pt>
                <c:pt idx="2">
                  <c:v>0.12347658986124284</c:v>
                </c:pt>
                <c:pt idx="3">
                  <c:v>0.12315602824475903</c:v>
                </c:pt>
                <c:pt idx="4">
                  <c:v>0.12313449973252788</c:v>
                </c:pt>
                <c:pt idx="5">
                  <c:v>0.12134911705174831</c:v>
                </c:pt>
                <c:pt idx="6">
                  <c:v>0.12296906782894908</c:v>
                </c:pt>
                <c:pt idx="7">
                  <c:v>0.1225429985934033</c:v>
                </c:pt>
                <c:pt idx="8">
                  <c:v>0.12297952097521807</c:v>
                </c:pt>
                <c:pt idx="9">
                  <c:v>0.12222091016670211</c:v>
                </c:pt>
                <c:pt idx="10">
                  <c:v>0.12307276652930305</c:v>
                </c:pt>
                <c:pt idx="11">
                  <c:v>0.12426331642459275</c:v>
                </c:pt>
                <c:pt idx="12">
                  <c:v>0.12326253368012893</c:v>
                </c:pt>
                <c:pt idx="13">
                  <c:v>0.12113513433478432</c:v>
                </c:pt>
                <c:pt idx="14">
                  <c:v>0.12222181421902398</c:v>
                </c:pt>
                <c:pt idx="15">
                  <c:v>0.12206622481989632</c:v>
                </c:pt>
                <c:pt idx="16">
                  <c:v>0.12260166293352158</c:v>
                </c:pt>
                <c:pt idx="17">
                  <c:v>0.12094894653555219</c:v>
                </c:pt>
                <c:pt idx="18">
                  <c:v>0.12249477226973041</c:v>
                </c:pt>
                <c:pt idx="19">
                  <c:v>0.12499372046940019</c:v>
                </c:pt>
                <c:pt idx="20">
                  <c:v>0.12612180153348088</c:v>
                </c:pt>
                <c:pt idx="21">
                  <c:v>0.12427917726162736</c:v>
                </c:pt>
                <c:pt idx="22">
                  <c:v>0.12479399351784982</c:v>
                </c:pt>
                <c:pt idx="23">
                  <c:v>0.12614236823200439</c:v>
                </c:pt>
                <c:pt idx="24">
                  <c:v>0.12567334418365991</c:v>
                </c:pt>
                <c:pt idx="25">
                  <c:v>0.12293853926828872</c:v>
                </c:pt>
                <c:pt idx="26">
                  <c:v>0.12311855678282445</c:v>
                </c:pt>
                <c:pt idx="27">
                  <c:v>0.12321879959321699</c:v>
                </c:pt>
                <c:pt idx="28">
                  <c:v>0.12267386669174782</c:v>
                </c:pt>
                <c:pt idx="29">
                  <c:v>0.12083389125046511</c:v>
                </c:pt>
                <c:pt idx="30">
                  <c:v>0.12317098422188355</c:v>
                </c:pt>
                <c:pt idx="31">
                  <c:v>0.12402058343131339</c:v>
                </c:pt>
                <c:pt idx="32">
                  <c:v>0.12372364033439345</c:v>
                </c:pt>
                <c:pt idx="33">
                  <c:v>0.12049832198279133</c:v>
                </c:pt>
                <c:pt idx="34">
                  <c:v>0.11890804081006846</c:v>
                </c:pt>
                <c:pt idx="35">
                  <c:v>0.11132050951643152</c:v>
                </c:pt>
                <c:pt idx="36">
                  <c:v>0.10173393419811408</c:v>
                </c:pt>
                <c:pt idx="37">
                  <c:v>0.10212534162206668</c:v>
                </c:pt>
                <c:pt idx="38">
                  <c:v>0.10256599933471648</c:v>
                </c:pt>
                <c:pt idx="39">
                  <c:v>0.10341730963545084</c:v>
                </c:pt>
                <c:pt idx="40">
                  <c:v>0.10134954686126839</c:v>
                </c:pt>
                <c:pt idx="41">
                  <c:v>9.903231294159015E-2</c:v>
                </c:pt>
                <c:pt idx="42">
                  <c:v>9.7518487322606179E-2</c:v>
                </c:pt>
                <c:pt idx="43">
                  <c:v>9.8004262913296641E-2</c:v>
                </c:pt>
                <c:pt idx="44">
                  <c:v>9.7345675319229788E-2</c:v>
                </c:pt>
                <c:pt idx="45">
                  <c:v>9.6545263833177741E-2</c:v>
                </c:pt>
                <c:pt idx="46">
                  <c:v>9.6231903918230111E-2</c:v>
                </c:pt>
                <c:pt idx="47">
                  <c:v>9.6979442833546647E-2</c:v>
                </c:pt>
                <c:pt idx="48">
                  <c:v>9.9586100520113241E-2</c:v>
                </c:pt>
                <c:pt idx="49">
                  <c:v>9.8244439133957404E-2</c:v>
                </c:pt>
                <c:pt idx="50">
                  <c:v>9.8718676762096932E-2</c:v>
                </c:pt>
                <c:pt idx="51">
                  <c:v>0.10121505206402237</c:v>
                </c:pt>
                <c:pt idx="52">
                  <c:v>0.1011603750466936</c:v>
                </c:pt>
                <c:pt idx="53">
                  <c:v>9.8283087999419302E-2</c:v>
                </c:pt>
                <c:pt idx="54">
                  <c:v>9.8254666972718327E-2</c:v>
                </c:pt>
                <c:pt idx="55">
                  <c:v>9.9735180893663941E-2</c:v>
                </c:pt>
                <c:pt idx="56">
                  <c:v>9.957604100371939E-2</c:v>
                </c:pt>
                <c:pt idx="57">
                  <c:v>0.10023523927644679</c:v>
                </c:pt>
                <c:pt idx="58">
                  <c:v>9.9562256548265088E-2</c:v>
                </c:pt>
                <c:pt idx="59">
                  <c:v>0.10000883635082153</c:v>
                </c:pt>
                <c:pt idx="60">
                  <c:v>0.10102426473445064</c:v>
                </c:pt>
                <c:pt idx="61">
                  <c:v>0.10052834708378891</c:v>
                </c:pt>
                <c:pt idx="62">
                  <c:v>0.10071233121538714</c:v>
                </c:pt>
                <c:pt idx="63">
                  <c:v>0.1010545805360913</c:v>
                </c:pt>
                <c:pt idx="64">
                  <c:v>0.10193066101581591</c:v>
                </c:pt>
                <c:pt idx="65">
                  <c:v>0.1024105762899377</c:v>
                </c:pt>
                <c:pt idx="66">
                  <c:v>0.10386052241322158</c:v>
                </c:pt>
                <c:pt idx="67">
                  <c:v>0.10417888126278832</c:v>
                </c:pt>
                <c:pt idx="68">
                  <c:v>0.10476283738733605</c:v>
                </c:pt>
                <c:pt idx="69">
                  <c:v>0.10566892746635659</c:v>
                </c:pt>
                <c:pt idx="70">
                  <c:v>0.10580072280022938</c:v>
                </c:pt>
                <c:pt idx="71">
                  <c:v>0.10602192439598371</c:v>
                </c:pt>
                <c:pt idx="72">
                  <c:v>0.10602875379908103</c:v>
                </c:pt>
                <c:pt idx="73">
                  <c:v>0.10635787637285134</c:v>
                </c:pt>
                <c:pt idx="74">
                  <c:v>0.10708714262189141</c:v>
                </c:pt>
                <c:pt idx="75">
                  <c:v>0.10706567420193298</c:v>
                </c:pt>
                <c:pt idx="76">
                  <c:v>0.10721517294199699</c:v>
                </c:pt>
                <c:pt idx="77">
                  <c:v>0.10735706896249499</c:v>
                </c:pt>
                <c:pt idx="78">
                  <c:v>0.10819665327034009</c:v>
                </c:pt>
                <c:pt idx="79">
                  <c:v>0.10892959478271634</c:v>
                </c:pt>
                <c:pt idx="80">
                  <c:v>0.10989545894243276</c:v>
                </c:pt>
                <c:pt idx="81">
                  <c:v>0.11022284106938067</c:v>
                </c:pt>
                <c:pt idx="82">
                  <c:v>0.11017657424945157</c:v>
                </c:pt>
                <c:pt idx="83">
                  <c:v>0.11145993592673696</c:v>
                </c:pt>
                <c:pt idx="84">
                  <c:v>0.11124415727957931</c:v>
                </c:pt>
                <c:pt idx="85">
                  <c:v>0.11122869770026521</c:v>
                </c:pt>
                <c:pt idx="86">
                  <c:v>0.11219926095317351</c:v>
                </c:pt>
                <c:pt idx="87">
                  <c:v>0.11274178287841423</c:v>
                </c:pt>
                <c:pt idx="88">
                  <c:v>0.11223215609298468</c:v>
                </c:pt>
                <c:pt idx="89">
                  <c:v>0.11248993008215555</c:v>
                </c:pt>
                <c:pt idx="90">
                  <c:v>0.11344379550876869</c:v>
                </c:pt>
                <c:pt idx="91">
                  <c:v>0.11504122106672499</c:v>
                </c:pt>
                <c:pt idx="92">
                  <c:v>0.11620536425053907</c:v>
                </c:pt>
                <c:pt idx="93">
                  <c:v>0.11644190539442217</c:v>
                </c:pt>
                <c:pt idx="94">
                  <c:v>0.11679073354348578</c:v>
                </c:pt>
                <c:pt idx="95">
                  <c:v>0.11781131483486396</c:v>
                </c:pt>
                <c:pt idx="96">
                  <c:v>0.11792719524837983</c:v>
                </c:pt>
                <c:pt idx="97">
                  <c:v>0.11831717617950377</c:v>
                </c:pt>
                <c:pt idx="98">
                  <c:v>0.11863690529622739</c:v>
                </c:pt>
                <c:pt idx="99">
                  <c:v>0.12017879839465054</c:v>
                </c:pt>
                <c:pt idx="100">
                  <c:v>0.11964862033947289</c:v>
                </c:pt>
                <c:pt idx="101">
                  <c:v>0.11949680837618054</c:v>
                </c:pt>
                <c:pt idx="102">
                  <c:v>0.12176193640350631</c:v>
                </c:pt>
                <c:pt idx="103">
                  <c:v>0.12276697500226141</c:v>
                </c:pt>
                <c:pt idx="104">
                  <c:v>0.12347904794191779</c:v>
                </c:pt>
                <c:pt idx="105">
                  <c:v>0.12374911306620191</c:v>
                </c:pt>
                <c:pt idx="106">
                  <c:v>0.12422300619785417</c:v>
                </c:pt>
                <c:pt idx="107">
                  <c:v>0.12478590429114954</c:v>
                </c:pt>
                <c:pt idx="108">
                  <c:v>0.12514742925844452</c:v>
                </c:pt>
                <c:pt idx="109">
                  <c:v>0.12584456147931741</c:v>
                </c:pt>
                <c:pt idx="110">
                  <c:v>0.12590798564652028</c:v>
                </c:pt>
                <c:pt idx="111">
                  <c:v>0.12730333156441923</c:v>
                </c:pt>
                <c:pt idx="112">
                  <c:v>0.12685815648183876</c:v>
                </c:pt>
                <c:pt idx="113">
                  <c:v>0.12714896886561844</c:v>
                </c:pt>
                <c:pt idx="114">
                  <c:v>0.12815985409687908</c:v>
                </c:pt>
                <c:pt idx="115">
                  <c:v>0.12901996445507169</c:v>
                </c:pt>
                <c:pt idx="116">
                  <c:v>0.12980844546320594</c:v>
                </c:pt>
                <c:pt idx="117">
                  <c:v>0.12978625669986449</c:v>
                </c:pt>
                <c:pt idx="118">
                  <c:v>0.13040903653353567</c:v>
                </c:pt>
                <c:pt idx="119">
                  <c:v>0.13134728018890512</c:v>
                </c:pt>
                <c:pt idx="120">
                  <c:v>0.13288310482126395</c:v>
                </c:pt>
                <c:pt idx="121">
                  <c:v>0.13044647394623646</c:v>
                </c:pt>
                <c:pt idx="122">
                  <c:v>0.13060197130339496</c:v>
                </c:pt>
                <c:pt idx="123">
                  <c:v>0.13176149343195306</c:v>
                </c:pt>
                <c:pt idx="124">
                  <c:v>0.13134356518438248</c:v>
                </c:pt>
                <c:pt idx="125">
                  <c:v>0.13093271031134404</c:v>
                </c:pt>
                <c:pt idx="126">
                  <c:v>0.132728961693973</c:v>
                </c:pt>
                <c:pt idx="127">
                  <c:v>0.13231735454781418</c:v>
                </c:pt>
                <c:pt idx="128">
                  <c:v>0.13284334088233346</c:v>
                </c:pt>
                <c:pt idx="129">
                  <c:v>0.13316598156872003</c:v>
                </c:pt>
                <c:pt idx="130">
                  <c:v>0.1333552248180592</c:v>
                </c:pt>
                <c:pt idx="131">
                  <c:v>0.1336329673236292</c:v>
                </c:pt>
                <c:pt idx="132">
                  <c:v>0.13344212070702333</c:v>
                </c:pt>
                <c:pt idx="133">
                  <c:v>0.13195456743167405</c:v>
                </c:pt>
                <c:pt idx="134">
                  <c:v>0.13281848996255569</c:v>
                </c:pt>
                <c:pt idx="135">
                  <c:v>0.13428291451967672</c:v>
                </c:pt>
                <c:pt idx="136">
                  <c:v>0.13514697385193719</c:v>
                </c:pt>
                <c:pt idx="137">
                  <c:v>0.13535062981515569</c:v>
                </c:pt>
                <c:pt idx="138">
                  <c:v>0.13637626393595573</c:v>
                </c:pt>
                <c:pt idx="139">
                  <c:v>0.13637521427144353</c:v>
                </c:pt>
                <c:pt idx="140">
                  <c:v>0.13697121781006</c:v>
                </c:pt>
                <c:pt idx="141">
                  <c:v>0.13734967070740561</c:v>
                </c:pt>
                <c:pt idx="142">
                  <c:v>0.13763056103594881</c:v>
                </c:pt>
                <c:pt idx="143">
                  <c:v>0.13744601811356469</c:v>
                </c:pt>
                <c:pt idx="144">
                  <c:v>0.13757519180702288</c:v>
                </c:pt>
                <c:pt idx="145">
                  <c:v>0.13717883110881746</c:v>
                </c:pt>
                <c:pt idx="146">
                  <c:v>0.13760299491741462</c:v>
                </c:pt>
                <c:pt idx="147">
                  <c:v>0.13813245484756714</c:v>
                </c:pt>
                <c:pt idx="148">
                  <c:v>0.13789070816234519</c:v>
                </c:pt>
                <c:pt idx="149">
                  <c:v>0.136298949988547</c:v>
                </c:pt>
                <c:pt idx="150">
                  <c:v>0.13804637733999359</c:v>
                </c:pt>
                <c:pt idx="151">
                  <c:v>0.13818194911176182</c:v>
                </c:pt>
                <c:pt idx="152">
                  <c:v>0.13871968271319812</c:v>
                </c:pt>
                <c:pt idx="153">
                  <c:v>0.13870506902522212</c:v>
                </c:pt>
                <c:pt idx="154">
                  <c:v>0.13807639530363758</c:v>
                </c:pt>
                <c:pt idx="155">
                  <c:v>0.1392732187811403</c:v>
                </c:pt>
                <c:pt idx="156">
                  <c:v>0.13952576888202672</c:v>
                </c:pt>
                <c:pt idx="157">
                  <c:v>0.13872146768146951</c:v>
                </c:pt>
                <c:pt idx="158">
                  <c:v>0.13922899241526662</c:v>
                </c:pt>
                <c:pt idx="159">
                  <c:v>0.14023925299902271</c:v>
                </c:pt>
                <c:pt idx="160">
                  <c:v>0.13957165035850932</c:v>
                </c:pt>
                <c:pt idx="161">
                  <c:v>0.13909365472662391</c:v>
                </c:pt>
                <c:pt idx="162">
                  <c:v>0.14060915542873564</c:v>
                </c:pt>
                <c:pt idx="163">
                  <c:v>0.14167483050233115</c:v>
                </c:pt>
                <c:pt idx="164">
                  <c:v>0.14277120076729774</c:v>
                </c:pt>
                <c:pt idx="165">
                  <c:v>0.14344874112936748</c:v>
                </c:pt>
                <c:pt idx="166">
                  <c:v>0.14263739775095438</c:v>
                </c:pt>
                <c:pt idx="167">
                  <c:v>0.14186191417860758</c:v>
                </c:pt>
                <c:pt idx="168">
                  <c:v>0.14139804384090421</c:v>
                </c:pt>
                <c:pt idx="169">
                  <c:v>0.14211538528448409</c:v>
                </c:pt>
                <c:pt idx="170">
                  <c:v>0.14261106694781345</c:v>
                </c:pt>
                <c:pt idx="171">
                  <c:v>0.14327563059439702</c:v>
                </c:pt>
                <c:pt idx="172">
                  <c:v>0.14265676315662096</c:v>
                </c:pt>
                <c:pt idx="173">
                  <c:v>0.14155943281062358</c:v>
                </c:pt>
                <c:pt idx="174">
                  <c:v>0.13199532719132617</c:v>
                </c:pt>
                <c:pt idx="175">
                  <c:v>0.12857012322221778</c:v>
                </c:pt>
                <c:pt idx="176">
                  <c:v>0.12726640727955998</c:v>
                </c:pt>
                <c:pt idx="177">
                  <c:v>0.12859740219415422</c:v>
                </c:pt>
                <c:pt idx="178">
                  <c:v>0.12998704196252678</c:v>
                </c:pt>
                <c:pt idx="179">
                  <c:v>0.13121475370465466</c:v>
                </c:pt>
                <c:pt idx="180">
                  <c:v>0.13193944918630451</c:v>
                </c:pt>
                <c:pt idx="181">
                  <c:v>0.13466866994848231</c:v>
                </c:pt>
                <c:pt idx="182">
                  <c:v>0.13533078890573844</c:v>
                </c:pt>
                <c:pt idx="183">
                  <c:v>0.13614471902406036</c:v>
                </c:pt>
                <c:pt idx="184">
                  <c:v>0.13799020001707102</c:v>
                </c:pt>
                <c:pt idx="185">
                  <c:v>0.14056014937993583</c:v>
                </c:pt>
                <c:pt idx="186">
                  <c:v>0.14273211960860269</c:v>
                </c:pt>
                <c:pt idx="187">
                  <c:v>0.14442798405995264</c:v>
                </c:pt>
                <c:pt idx="188">
                  <c:v>0.14627742318851564</c:v>
                </c:pt>
                <c:pt idx="189">
                  <c:v>0.14783848402121028</c:v>
                </c:pt>
                <c:pt idx="190">
                  <c:v>0.15019521447865605</c:v>
                </c:pt>
                <c:pt idx="191">
                  <c:v>0.15300521285793697</c:v>
                </c:pt>
                <c:pt idx="192">
                  <c:v>0.15241947661170513</c:v>
                </c:pt>
                <c:pt idx="193">
                  <c:v>0.15361424945257665</c:v>
                </c:pt>
                <c:pt idx="194">
                  <c:v>0.15411674387284152</c:v>
                </c:pt>
                <c:pt idx="195">
                  <c:v>0.15402264927979484</c:v>
                </c:pt>
                <c:pt idx="196">
                  <c:v>0.15473363798675416</c:v>
                </c:pt>
                <c:pt idx="197">
                  <c:v>0.15595159960568603</c:v>
                </c:pt>
                <c:pt idx="198">
                  <c:v>0.15722799812899105</c:v>
                </c:pt>
                <c:pt idx="199">
                  <c:v>0.16009813743129617</c:v>
                </c:pt>
                <c:pt idx="200">
                  <c:v>0.16157718534421117</c:v>
                </c:pt>
                <c:pt idx="201">
                  <c:v>0.1621957884766462</c:v>
                </c:pt>
                <c:pt idx="202">
                  <c:v>0.16238055040686419</c:v>
                </c:pt>
                <c:pt idx="203">
                  <c:v>0.16351531514461581</c:v>
                </c:pt>
                <c:pt idx="204">
                  <c:v>0.16443837938131534</c:v>
                </c:pt>
                <c:pt idx="205">
                  <c:v>0.16456423489952696</c:v>
                </c:pt>
                <c:pt idx="206">
                  <c:v>0.16541309215126077</c:v>
                </c:pt>
                <c:pt idx="207">
                  <c:v>0.16586233878790718</c:v>
                </c:pt>
                <c:pt idx="208">
                  <c:v>0.16611482891337845</c:v>
                </c:pt>
                <c:pt idx="209">
                  <c:v>0.16666612371132847</c:v>
                </c:pt>
                <c:pt idx="210">
                  <c:v>0.16811576090520911</c:v>
                </c:pt>
                <c:pt idx="211">
                  <c:v>0.17019371478699324</c:v>
                </c:pt>
                <c:pt idx="212">
                  <c:v>0.16757989766973097</c:v>
                </c:pt>
                <c:pt idx="213">
                  <c:v>0.16709171404352682</c:v>
                </c:pt>
                <c:pt idx="214">
                  <c:v>0.16590783289812833</c:v>
                </c:pt>
                <c:pt idx="215">
                  <c:v>0.1649055918133405</c:v>
                </c:pt>
                <c:pt idx="216">
                  <c:v>0.16509050441447123</c:v>
                </c:pt>
                <c:pt idx="217">
                  <c:v>0.16495042765877099</c:v>
                </c:pt>
                <c:pt idx="218">
                  <c:v>0.16512214520697768</c:v>
                </c:pt>
                <c:pt idx="219">
                  <c:v>0.16603138373357576</c:v>
                </c:pt>
                <c:pt idx="220">
                  <c:v>0.16574450282921879</c:v>
                </c:pt>
                <c:pt idx="221">
                  <c:v>0.16574420851782762</c:v>
                </c:pt>
                <c:pt idx="222">
                  <c:v>0.16773932018638668</c:v>
                </c:pt>
                <c:pt idx="223">
                  <c:v>0.16863878079936984</c:v>
                </c:pt>
                <c:pt idx="224">
                  <c:v>0.16935548566187189</c:v>
                </c:pt>
                <c:pt idx="225">
                  <c:v>0.16927635828807031</c:v>
                </c:pt>
                <c:pt idx="226">
                  <c:v>0.16877745284320658</c:v>
                </c:pt>
                <c:pt idx="227">
                  <c:v>0.16980130289926995</c:v>
                </c:pt>
                <c:pt idx="228">
                  <c:v>0.16947829905887304</c:v>
                </c:pt>
                <c:pt idx="229">
                  <c:v>0.16863147301629269</c:v>
                </c:pt>
                <c:pt idx="230">
                  <c:v>0.1701398140319875</c:v>
                </c:pt>
                <c:pt idx="231">
                  <c:v>0.17007024283487621</c:v>
                </c:pt>
                <c:pt idx="232">
                  <c:v>0.17067492691532568</c:v>
                </c:pt>
                <c:pt idx="233">
                  <c:v>0.17210284853516489</c:v>
                </c:pt>
                <c:pt idx="234">
                  <c:v>0.17348496920790174</c:v>
                </c:pt>
                <c:pt idx="235">
                  <c:v>0.17445035585057117</c:v>
                </c:pt>
                <c:pt idx="236">
                  <c:v>0.17587660363321253</c:v>
                </c:pt>
                <c:pt idx="237">
                  <c:v>0.17523779065635278</c:v>
                </c:pt>
                <c:pt idx="238">
                  <c:v>0.17325652973309671</c:v>
                </c:pt>
                <c:pt idx="239">
                  <c:v>0.17306445197943121</c:v>
                </c:pt>
                <c:pt idx="240">
                  <c:v>0.1724315631827486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74-4C8C-BB38-F83406648C48}"/>
            </c:ext>
          </c:extLst>
        </c:ser>
        <c:ser>
          <c:idx val="3"/>
          <c:order val="3"/>
          <c:tx>
            <c:strRef>
              <c:f>share_of_marketable!$E$1</c:f>
              <c:strCache>
                <c:ptCount val="1"/>
                <c:pt idx="0">
                  <c:v>Other Marketable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share_of_marketable!$A$2:$A$242</c:f>
              <c:numCache>
                <c:formatCode>m/d/yyyy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share_of_marketable!$E$2:$E$242</c:f>
              <c:numCache>
                <c:formatCode>0.00%</c:formatCode>
                <c:ptCount val="241"/>
                <c:pt idx="0">
                  <c:v>8.1820929933941869E-2</c:v>
                </c:pt>
                <c:pt idx="1">
                  <c:v>8.1693145566525807E-2</c:v>
                </c:pt>
                <c:pt idx="2">
                  <c:v>8.1902758740535778E-2</c:v>
                </c:pt>
                <c:pt idx="3">
                  <c:v>8.6025046083970103E-2</c:v>
                </c:pt>
                <c:pt idx="4">
                  <c:v>8.4054897826272568E-2</c:v>
                </c:pt>
                <c:pt idx="5">
                  <c:v>8.3379225610460142E-2</c:v>
                </c:pt>
                <c:pt idx="6">
                  <c:v>8.9105322048995933E-2</c:v>
                </c:pt>
                <c:pt idx="7">
                  <c:v>8.9863916221865792E-2</c:v>
                </c:pt>
                <c:pt idx="8">
                  <c:v>9.0915630092260891E-2</c:v>
                </c:pt>
                <c:pt idx="9">
                  <c:v>9.5237944075125563E-2</c:v>
                </c:pt>
                <c:pt idx="10">
                  <c:v>9.40198438859665E-2</c:v>
                </c:pt>
                <c:pt idx="11">
                  <c:v>9.5197438545250757E-2</c:v>
                </c:pt>
                <c:pt idx="12">
                  <c:v>9.8976885294516398E-2</c:v>
                </c:pt>
                <c:pt idx="13">
                  <c:v>9.756157622337866E-2</c:v>
                </c:pt>
                <c:pt idx="14">
                  <c:v>9.7926516755677304E-2</c:v>
                </c:pt>
                <c:pt idx="15">
                  <c:v>9.7747281203899028E-2</c:v>
                </c:pt>
                <c:pt idx="16">
                  <c:v>9.6513308683954205E-2</c:v>
                </c:pt>
                <c:pt idx="17">
                  <c:v>9.5485766451211068E-2</c:v>
                </c:pt>
                <c:pt idx="18">
                  <c:v>0.10087163644975107</c:v>
                </c:pt>
                <c:pt idx="19">
                  <c:v>0.10254271171160238</c:v>
                </c:pt>
                <c:pt idx="20">
                  <c:v>0.10412723091165703</c:v>
                </c:pt>
                <c:pt idx="21">
                  <c:v>0.10674424205549683</c:v>
                </c:pt>
                <c:pt idx="22">
                  <c:v>0.10475350068844504</c:v>
                </c:pt>
                <c:pt idx="23">
                  <c:v>0.10586818780888001</c:v>
                </c:pt>
                <c:pt idx="24">
                  <c:v>0.10828117698509154</c:v>
                </c:pt>
                <c:pt idx="25">
                  <c:v>0.10667859394427004</c:v>
                </c:pt>
                <c:pt idx="26">
                  <c:v>0.10705984582794713</c:v>
                </c:pt>
                <c:pt idx="27">
                  <c:v>0.10721923917254524</c:v>
                </c:pt>
                <c:pt idx="28">
                  <c:v>0.10421733288895992</c:v>
                </c:pt>
                <c:pt idx="29">
                  <c:v>0.10313166976790969</c:v>
                </c:pt>
                <c:pt idx="30">
                  <c:v>0.10861924256936756</c:v>
                </c:pt>
                <c:pt idx="31">
                  <c:v>0.10848977931229283</c:v>
                </c:pt>
                <c:pt idx="32">
                  <c:v>0.10890587618800265</c:v>
                </c:pt>
                <c:pt idx="33">
                  <c:v>0.11001927685764232</c:v>
                </c:pt>
                <c:pt idx="34">
                  <c:v>0.10922012258862263</c:v>
                </c:pt>
                <c:pt idx="35">
                  <c:v>0.10285327956161376</c:v>
                </c:pt>
                <c:pt idx="36">
                  <c:v>9.6022941879199186E-2</c:v>
                </c:pt>
                <c:pt idx="37">
                  <c:v>9.436182769200703E-2</c:v>
                </c:pt>
                <c:pt idx="38">
                  <c:v>9.3853664254177321E-2</c:v>
                </c:pt>
                <c:pt idx="39">
                  <c:v>9.2297558850266179E-2</c:v>
                </c:pt>
                <c:pt idx="40">
                  <c:v>8.7404527147246155E-2</c:v>
                </c:pt>
                <c:pt idx="41">
                  <c:v>8.4122167005933862E-2</c:v>
                </c:pt>
                <c:pt idx="42">
                  <c:v>8.5466669626117472E-2</c:v>
                </c:pt>
                <c:pt idx="43">
                  <c:v>8.4443237279915886E-2</c:v>
                </c:pt>
                <c:pt idx="44">
                  <c:v>8.2310593791312073E-2</c:v>
                </c:pt>
                <c:pt idx="45">
                  <c:v>8.2557476256253703E-2</c:v>
                </c:pt>
                <c:pt idx="46">
                  <c:v>8.1324992033382296E-2</c:v>
                </c:pt>
                <c:pt idx="47">
                  <c:v>8.041079515676626E-2</c:v>
                </c:pt>
                <c:pt idx="48">
                  <c:v>8.3339852211667953E-2</c:v>
                </c:pt>
                <c:pt idx="49">
                  <c:v>8.0762372852409461E-2</c:v>
                </c:pt>
                <c:pt idx="50">
                  <c:v>7.9749279528952915E-2</c:v>
                </c:pt>
                <c:pt idx="51">
                  <c:v>7.9732722563559219E-2</c:v>
                </c:pt>
                <c:pt idx="52">
                  <c:v>7.8764000011524532E-2</c:v>
                </c:pt>
                <c:pt idx="53">
                  <c:v>7.5430860786923334E-2</c:v>
                </c:pt>
                <c:pt idx="54">
                  <c:v>7.2536154850412732E-2</c:v>
                </c:pt>
                <c:pt idx="55">
                  <c:v>7.2268280549319025E-2</c:v>
                </c:pt>
                <c:pt idx="56">
                  <c:v>7.0929640966756941E-2</c:v>
                </c:pt>
                <c:pt idx="57">
                  <c:v>7.1788811476670281E-2</c:v>
                </c:pt>
                <c:pt idx="58">
                  <c:v>7.066219928239087E-2</c:v>
                </c:pt>
                <c:pt idx="59">
                  <c:v>7.1082105682179111E-2</c:v>
                </c:pt>
                <c:pt idx="60">
                  <c:v>7.1978520439690399E-2</c:v>
                </c:pt>
                <c:pt idx="61">
                  <c:v>7.1510187553947502E-2</c:v>
                </c:pt>
                <c:pt idx="62">
                  <c:v>7.0667506862353791E-2</c:v>
                </c:pt>
                <c:pt idx="63">
                  <c:v>6.9835267241608892E-2</c:v>
                </c:pt>
                <c:pt idx="64">
                  <c:v>7.0354477653903832E-2</c:v>
                </c:pt>
                <c:pt idx="65">
                  <c:v>7.129063077008041E-2</c:v>
                </c:pt>
                <c:pt idx="66">
                  <c:v>7.0668566718491962E-2</c:v>
                </c:pt>
                <c:pt idx="67">
                  <c:v>7.1695194199449919E-2</c:v>
                </c:pt>
                <c:pt idx="68">
                  <c:v>7.2200355954135861E-2</c:v>
                </c:pt>
                <c:pt idx="69">
                  <c:v>7.3573592381079994E-2</c:v>
                </c:pt>
                <c:pt idx="70">
                  <c:v>7.3747311761642023E-2</c:v>
                </c:pt>
                <c:pt idx="71">
                  <c:v>7.4199251099204958E-2</c:v>
                </c:pt>
                <c:pt idx="72">
                  <c:v>7.4244294358726134E-2</c:v>
                </c:pt>
                <c:pt idx="73">
                  <c:v>7.4531310017634494E-2</c:v>
                </c:pt>
                <c:pt idx="74">
                  <c:v>7.5194300215507826E-2</c:v>
                </c:pt>
                <c:pt idx="75">
                  <c:v>7.4895201589614893E-2</c:v>
                </c:pt>
                <c:pt idx="76">
                  <c:v>7.4492146878504209E-2</c:v>
                </c:pt>
                <c:pt idx="77">
                  <c:v>7.5203757958848844E-2</c:v>
                </c:pt>
                <c:pt idx="78">
                  <c:v>7.4811813127465585E-2</c:v>
                </c:pt>
                <c:pt idx="79">
                  <c:v>7.6003830735868708E-2</c:v>
                </c:pt>
                <c:pt idx="80">
                  <c:v>7.6535311556172173E-2</c:v>
                </c:pt>
                <c:pt idx="81">
                  <c:v>7.4479726405270438E-2</c:v>
                </c:pt>
                <c:pt idx="82">
                  <c:v>7.465433385494151E-2</c:v>
                </c:pt>
                <c:pt idx="83">
                  <c:v>7.5804164903855345E-2</c:v>
                </c:pt>
                <c:pt idx="84">
                  <c:v>7.5878763279761133E-2</c:v>
                </c:pt>
                <c:pt idx="85">
                  <c:v>7.6398455669427004E-2</c:v>
                </c:pt>
                <c:pt idx="86">
                  <c:v>7.753003346872947E-2</c:v>
                </c:pt>
                <c:pt idx="87">
                  <c:v>7.8094627503675212E-2</c:v>
                </c:pt>
                <c:pt idx="88">
                  <c:v>7.7357038211984613E-2</c:v>
                </c:pt>
                <c:pt idx="89">
                  <c:v>7.8075422874173073E-2</c:v>
                </c:pt>
                <c:pt idx="90">
                  <c:v>7.8715922555886567E-2</c:v>
                </c:pt>
                <c:pt idx="91">
                  <c:v>8.0219040521252283E-2</c:v>
                </c:pt>
                <c:pt idx="92">
                  <c:v>8.066462130584208E-2</c:v>
                </c:pt>
                <c:pt idx="93">
                  <c:v>7.9269531028534443E-2</c:v>
                </c:pt>
                <c:pt idx="94">
                  <c:v>8.0141317474807891E-2</c:v>
                </c:pt>
                <c:pt idx="95">
                  <c:v>8.1240220699050722E-2</c:v>
                </c:pt>
                <c:pt idx="96">
                  <c:v>8.2052368677706586E-2</c:v>
                </c:pt>
                <c:pt idx="97">
                  <c:v>8.2579139815581223E-2</c:v>
                </c:pt>
                <c:pt idx="98">
                  <c:v>8.3204963712913721E-2</c:v>
                </c:pt>
                <c:pt idx="99">
                  <c:v>8.3642425776432591E-2</c:v>
                </c:pt>
                <c:pt idx="100">
                  <c:v>8.4168402900972911E-2</c:v>
                </c:pt>
                <c:pt idx="101">
                  <c:v>8.5738466802117635E-2</c:v>
                </c:pt>
                <c:pt idx="102">
                  <c:v>8.8230116427045882E-2</c:v>
                </c:pt>
                <c:pt idx="103">
                  <c:v>9.067015414313713E-2</c:v>
                </c:pt>
                <c:pt idx="104">
                  <c:v>9.2252097160116286E-2</c:v>
                </c:pt>
                <c:pt idx="105">
                  <c:v>9.2445568585467222E-2</c:v>
                </c:pt>
                <c:pt idx="106">
                  <c:v>9.4362577702326977E-2</c:v>
                </c:pt>
                <c:pt idx="107">
                  <c:v>9.6088264067197351E-2</c:v>
                </c:pt>
                <c:pt idx="108">
                  <c:v>9.7210075366511994E-2</c:v>
                </c:pt>
                <c:pt idx="109">
                  <c:v>9.889791689067326E-2</c:v>
                </c:pt>
                <c:pt idx="110">
                  <c:v>0.10026502861550864</c:v>
                </c:pt>
                <c:pt idx="111">
                  <c:v>9.9439275798893098E-2</c:v>
                </c:pt>
                <c:pt idx="112">
                  <c:v>0.10124427312422601</c:v>
                </c:pt>
                <c:pt idx="113">
                  <c:v>0.1023289252552583</c:v>
                </c:pt>
                <c:pt idx="114">
                  <c:v>0.10342809229067064</c:v>
                </c:pt>
                <c:pt idx="115">
                  <c:v>0.10556555462143156</c:v>
                </c:pt>
                <c:pt idx="116">
                  <c:v>0.10704947016892002</c:v>
                </c:pt>
                <c:pt idx="117">
                  <c:v>0.10733192810405383</c:v>
                </c:pt>
                <c:pt idx="118">
                  <c:v>0.10964104355167086</c:v>
                </c:pt>
                <c:pt idx="119">
                  <c:v>0.11162435987922492</c:v>
                </c:pt>
                <c:pt idx="120">
                  <c:v>0.11271236991124135</c:v>
                </c:pt>
                <c:pt idx="121">
                  <c:v>0.11295597226974809</c:v>
                </c:pt>
                <c:pt idx="122">
                  <c:v>0.11441022788368045</c:v>
                </c:pt>
                <c:pt idx="123">
                  <c:v>0.11398921743094051</c:v>
                </c:pt>
                <c:pt idx="124">
                  <c:v>0.11239640363681609</c:v>
                </c:pt>
                <c:pt idx="125">
                  <c:v>0.11337390925577188</c:v>
                </c:pt>
                <c:pt idx="126">
                  <c:v>0.11232456141399814</c:v>
                </c:pt>
                <c:pt idx="127">
                  <c:v>0.11271845133901019</c:v>
                </c:pt>
                <c:pt idx="128">
                  <c:v>0.11406991385937532</c:v>
                </c:pt>
                <c:pt idx="129">
                  <c:v>0.11307406006411543</c:v>
                </c:pt>
                <c:pt idx="130">
                  <c:v>0.11275654642487559</c:v>
                </c:pt>
                <c:pt idx="131">
                  <c:v>0.11398766931256633</c:v>
                </c:pt>
                <c:pt idx="132">
                  <c:v>0.11171871489738067</c:v>
                </c:pt>
                <c:pt idx="133">
                  <c:v>0.11252195986239893</c:v>
                </c:pt>
                <c:pt idx="134">
                  <c:v>0.11459323744712548</c:v>
                </c:pt>
                <c:pt idx="135">
                  <c:v>0.11264155246795453</c:v>
                </c:pt>
                <c:pt idx="136">
                  <c:v>0.11388868166972922</c:v>
                </c:pt>
                <c:pt idx="137">
                  <c:v>0.11577119935303361</c:v>
                </c:pt>
                <c:pt idx="138">
                  <c:v>0.11391463762188637</c:v>
                </c:pt>
                <c:pt idx="139">
                  <c:v>0.11385096428416899</c:v>
                </c:pt>
                <c:pt idx="140">
                  <c:v>0.11522642022750204</c:v>
                </c:pt>
                <c:pt idx="141">
                  <c:v>0.11299625614697695</c:v>
                </c:pt>
                <c:pt idx="142">
                  <c:v>0.11476380130224098</c:v>
                </c:pt>
                <c:pt idx="143">
                  <c:v>0.1155405560426308</c:v>
                </c:pt>
                <c:pt idx="144">
                  <c:v>0.11376972893233395</c:v>
                </c:pt>
                <c:pt idx="145">
                  <c:v>0.11465675011388886</c:v>
                </c:pt>
                <c:pt idx="146">
                  <c:v>0.11616089097356833</c:v>
                </c:pt>
                <c:pt idx="147">
                  <c:v>0.11392025516290845</c:v>
                </c:pt>
                <c:pt idx="148">
                  <c:v>0.11421678457494279</c:v>
                </c:pt>
                <c:pt idx="149">
                  <c:v>0.1133683221407618</c:v>
                </c:pt>
                <c:pt idx="150">
                  <c:v>0.11156394560326309</c:v>
                </c:pt>
                <c:pt idx="151">
                  <c:v>0.11304744885749875</c:v>
                </c:pt>
                <c:pt idx="152">
                  <c:v>0.11439244281804968</c:v>
                </c:pt>
                <c:pt idx="153">
                  <c:v>0.11216595304249388</c:v>
                </c:pt>
                <c:pt idx="154">
                  <c:v>0.11290875546903904</c:v>
                </c:pt>
                <c:pt idx="155">
                  <c:v>0.11493006399590025</c:v>
                </c:pt>
                <c:pt idx="156">
                  <c:v>0.11322268743735624</c:v>
                </c:pt>
                <c:pt idx="157">
                  <c:v>0.11388443323160484</c:v>
                </c:pt>
                <c:pt idx="158">
                  <c:v>0.11568127758743622</c:v>
                </c:pt>
                <c:pt idx="159">
                  <c:v>0.11360014477155569</c:v>
                </c:pt>
                <c:pt idx="160">
                  <c:v>0.11391253701864111</c:v>
                </c:pt>
                <c:pt idx="161">
                  <c:v>0.11466247962384379</c:v>
                </c:pt>
                <c:pt idx="162">
                  <c:v>0.11161375688654719</c:v>
                </c:pt>
                <c:pt idx="163">
                  <c:v>0.11369488609518112</c:v>
                </c:pt>
                <c:pt idx="164">
                  <c:v>0.11619402271072267</c:v>
                </c:pt>
                <c:pt idx="165">
                  <c:v>0.11456642606017488</c:v>
                </c:pt>
                <c:pt idx="166">
                  <c:v>0.11488090920327801</c:v>
                </c:pt>
                <c:pt idx="167">
                  <c:v>0.11552543687454496</c:v>
                </c:pt>
                <c:pt idx="168">
                  <c:v>0.11432869725459412</c:v>
                </c:pt>
                <c:pt idx="169">
                  <c:v>0.11541732975836032</c:v>
                </c:pt>
                <c:pt idx="170">
                  <c:v>0.11731016186076265</c:v>
                </c:pt>
                <c:pt idx="171">
                  <c:v>0.11491664436133572</c:v>
                </c:pt>
                <c:pt idx="172">
                  <c:v>0.1150292378287745</c:v>
                </c:pt>
                <c:pt idx="173">
                  <c:v>0.11555876655981945</c:v>
                </c:pt>
                <c:pt idx="174">
                  <c:v>0.10377277238373903</c:v>
                </c:pt>
                <c:pt idx="175">
                  <c:v>0.10153587394542651</c:v>
                </c:pt>
                <c:pt idx="176">
                  <c:v>9.9392984510578986E-2</c:v>
                </c:pt>
                <c:pt idx="177">
                  <c:v>9.6378845994376572E-2</c:v>
                </c:pt>
                <c:pt idx="178">
                  <c:v>9.7344478149227129E-2</c:v>
                </c:pt>
                <c:pt idx="179">
                  <c:v>9.8590538339537792E-2</c:v>
                </c:pt>
                <c:pt idx="180">
                  <c:v>9.9331136373195003E-2</c:v>
                </c:pt>
                <c:pt idx="181">
                  <c:v>9.8731420744288576E-2</c:v>
                </c:pt>
                <c:pt idx="182">
                  <c:v>9.9380145014937207E-2</c:v>
                </c:pt>
                <c:pt idx="183">
                  <c:v>9.7655538160771785E-2</c:v>
                </c:pt>
                <c:pt idx="184">
                  <c:v>9.7716792499937519E-2</c:v>
                </c:pt>
                <c:pt idx="185">
                  <c:v>9.8911540413265969E-2</c:v>
                </c:pt>
                <c:pt idx="186">
                  <c:v>9.6515413447838636E-2</c:v>
                </c:pt>
                <c:pt idx="187">
                  <c:v>9.8969375798918388E-2</c:v>
                </c:pt>
                <c:pt idx="188">
                  <c:v>0.10017252652407584</c:v>
                </c:pt>
                <c:pt idx="189">
                  <c:v>9.9707611803590654E-2</c:v>
                </c:pt>
                <c:pt idx="190">
                  <c:v>9.9764439078231959E-2</c:v>
                </c:pt>
                <c:pt idx="191">
                  <c:v>0.102295238243212</c:v>
                </c:pt>
                <c:pt idx="192">
                  <c:v>0.10213459978663697</c:v>
                </c:pt>
                <c:pt idx="193">
                  <c:v>0.10189084187741917</c:v>
                </c:pt>
                <c:pt idx="194">
                  <c:v>0.10349706322783651</c:v>
                </c:pt>
                <c:pt idx="195">
                  <c:v>9.9754646448647372E-2</c:v>
                </c:pt>
                <c:pt idx="196">
                  <c:v>0.10019588689880973</c:v>
                </c:pt>
                <c:pt idx="197">
                  <c:v>0.10208579854499135</c:v>
                </c:pt>
                <c:pt idx="198">
                  <c:v>0.10152283110642314</c:v>
                </c:pt>
                <c:pt idx="199">
                  <c:v>0.10239212513321373</c:v>
                </c:pt>
                <c:pt idx="200">
                  <c:v>0.10455916864663412</c:v>
                </c:pt>
                <c:pt idx="201">
                  <c:v>0.1036536771622346</c:v>
                </c:pt>
                <c:pt idx="202">
                  <c:v>0.10278710420353369</c:v>
                </c:pt>
                <c:pt idx="203">
                  <c:v>0.10430249506966971</c:v>
                </c:pt>
                <c:pt idx="204">
                  <c:v>0.10272113210051535</c:v>
                </c:pt>
                <c:pt idx="205">
                  <c:v>0.10360775321005843</c:v>
                </c:pt>
                <c:pt idx="206">
                  <c:v>0.10568910592457781</c:v>
                </c:pt>
                <c:pt idx="207">
                  <c:v>0.10084229844463655</c:v>
                </c:pt>
                <c:pt idx="208">
                  <c:v>0.10133063727044421</c:v>
                </c:pt>
                <c:pt idx="209">
                  <c:v>0.10302014332026657</c:v>
                </c:pt>
                <c:pt idx="210">
                  <c:v>0.10236558765611418</c:v>
                </c:pt>
                <c:pt idx="211">
                  <c:v>0.10177411320573178</c:v>
                </c:pt>
                <c:pt idx="212">
                  <c:v>0.10147935748334225</c:v>
                </c:pt>
                <c:pt idx="213">
                  <c:v>9.6866274153412119E-2</c:v>
                </c:pt>
                <c:pt idx="214">
                  <c:v>9.7111567108876778E-2</c:v>
                </c:pt>
                <c:pt idx="215">
                  <c:v>9.772828241729814E-2</c:v>
                </c:pt>
                <c:pt idx="216">
                  <c:v>9.5803989042790277E-2</c:v>
                </c:pt>
                <c:pt idx="217">
                  <c:v>9.6589825827683246E-2</c:v>
                </c:pt>
                <c:pt idx="218">
                  <c:v>9.7952280835111608E-2</c:v>
                </c:pt>
                <c:pt idx="219">
                  <c:v>9.4203366483519402E-2</c:v>
                </c:pt>
                <c:pt idx="220">
                  <c:v>9.4438973250835348E-2</c:v>
                </c:pt>
                <c:pt idx="221">
                  <c:v>9.4925717196142512E-2</c:v>
                </c:pt>
                <c:pt idx="222">
                  <c:v>9.4414370494382227E-2</c:v>
                </c:pt>
                <c:pt idx="223">
                  <c:v>9.6192577654550929E-2</c:v>
                </c:pt>
                <c:pt idx="224">
                  <c:v>9.8203046148284179E-2</c:v>
                </c:pt>
                <c:pt idx="225">
                  <c:v>9.4575340848547518E-2</c:v>
                </c:pt>
                <c:pt idx="226">
                  <c:v>9.5097251856254381E-2</c:v>
                </c:pt>
                <c:pt idx="227">
                  <c:v>9.6357566863894406E-2</c:v>
                </c:pt>
                <c:pt idx="228">
                  <c:v>9.3478394595750941E-2</c:v>
                </c:pt>
                <c:pt idx="229">
                  <c:v>9.4408558899800349E-2</c:v>
                </c:pt>
                <c:pt idx="230">
                  <c:v>9.606165436074196E-2</c:v>
                </c:pt>
                <c:pt idx="231">
                  <c:v>9.1086743936089454E-2</c:v>
                </c:pt>
                <c:pt idx="232">
                  <c:v>9.2160094449807967E-2</c:v>
                </c:pt>
                <c:pt idx="233">
                  <c:v>9.4353934833325825E-2</c:v>
                </c:pt>
                <c:pt idx="234">
                  <c:v>9.2754206078853263E-2</c:v>
                </c:pt>
                <c:pt idx="235">
                  <c:v>9.446225335749997E-2</c:v>
                </c:pt>
                <c:pt idx="236">
                  <c:v>9.6292564287262752E-2</c:v>
                </c:pt>
                <c:pt idx="237">
                  <c:v>9.2869679092044397E-2</c:v>
                </c:pt>
                <c:pt idx="238">
                  <c:v>9.2890226741499535E-2</c:v>
                </c:pt>
                <c:pt idx="239">
                  <c:v>9.3644814311868163E-2</c:v>
                </c:pt>
                <c:pt idx="240">
                  <c:v>9.0903979433473642E-2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74-4C8C-BB38-F83406648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584608"/>
        <c:axId val="1994611488"/>
      </c:lineChart>
      <c:dateAx>
        <c:axId val="1994584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1488"/>
        <c:crosses val="autoZero"/>
        <c:auto val="1"/>
        <c:lblOffset val="100"/>
        <c:baseTimeUnit val="months"/>
      </c:dateAx>
      <c:valAx>
        <c:axId val="19946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8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 v. Intragovernmental Share of National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public_vs_intragovernmental!$E$1</c:f>
              <c:strCache>
                <c:ptCount val="1"/>
                <c:pt idx="0">
                  <c:v>Public 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public_vs_intragovernmental!$A$2:$A$242</c:f>
              <c:numCache>
                <c:formatCode>[$-409]mmm\-yy;@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public_vs_intragovernmental!$E$2:$E$242</c:f>
              <c:numCache>
                <c:formatCode>0.00%</c:formatCode>
                <c:ptCount val="241"/>
                <c:pt idx="0">
                  <c:v>0.57935026108477639</c:v>
                </c:pt>
                <c:pt idx="1">
                  <c:v>0.58195944865213112</c:v>
                </c:pt>
                <c:pt idx="2">
                  <c:v>0.57706015933801547</c:v>
                </c:pt>
                <c:pt idx="3">
                  <c:v>0.57645152664353871</c:v>
                </c:pt>
                <c:pt idx="4">
                  <c:v>0.57692659184016803</c:v>
                </c:pt>
                <c:pt idx="5">
                  <c:v>0.58205638640088297</c:v>
                </c:pt>
                <c:pt idx="6">
                  <c:v>0.57684434452866395</c:v>
                </c:pt>
                <c:pt idx="7">
                  <c:v>0.57528366235190853</c:v>
                </c:pt>
                <c:pt idx="8">
                  <c:v>0.56973641729343316</c:v>
                </c:pt>
                <c:pt idx="9">
                  <c:v>0.57076435716919871</c:v>
                </c:pt>
                <c:pt idx="10">
                  <c:v>0.57365423482250011</c:v>
                </c:pt>
                <c:pt idx="11">
                  <c:v>0.56931177852976722</c:v>
                </c:pt>
                <c:pt idx="12">
                  <c:v>0.5685489250940462</c:v>
                </c:pt>
                <c:pt idx="13">
                  <c:v>0.57099806436425138</c:v>
                </c:pt>
                <c:pt idx="14">
                  <c:v>0.56462223182884852</c:v>
                </c:pt>
                <c:pt idx="15">
                  <c:v>0.56433262765151682</c:v>
                </c:pt>
                <c:pt idx="16">
                  <c:v>0.56721900472401787</c:v>
                </c:pt>
                <c:pt idx="17">
                  <c:v>0.5710882558956466</c:v>
                </c:pt>
                <c:pt idx="18">
                  <c:v>0.56639854681165269</c:v>
                </c:pt>
                <c:pt idx="19">
                  <c:v>0.56414950074289183</c:v>
                </c:pt>
                <c:pt idx="20">
                  <c:v>0.55742799506709595</c:v>
                </c:pt>
                <c:pt idx="21">
                  <c:v>0.56017373735897036</c:v>
                </c:pt>
                <c:pt idx="22">
                  <c:v>0.56597119231402548</c:v>
                </c:pt>
                <c:pt idx="23">
                  <c:v>0.56055727586308124</c:v>
                </c:pt>
                <c:pt idx="24">
                  <c:v>0.55810452020199808</c:v>
                </c:pt>
                <c:pt idx="25">
                  <c:v>0.56250816776885515</c:v>
                </c:pt>
                <c:pt idx="26">
                  <c:v>0.55652910463214356</c:v>
                </c:pt>
                <c:pt idx="27">
                  <c:v>0.55555968214700002</c:v>
                </c:pt>
                <c:pt idx="28">
                  <c:v>0.56206190470536155</c:v>
                </c:pt>
                <c:pt idx="29">
                  <c:v>0.56519874935773073</c:v>
                </c:pt>
                <c:pt idx="30">
                  <c:v>0.55922830645088528</c:v>
                </c:pt>
                <c:pt idx="31">
                  <c:v>0.56223370836097308</c:v>
                </c:pt>
                <c:pt idx="32">
                  <c:v>0.55679111603356735</c:v>
                </c:pt>
                <c:pt idx="33">
                  <c:v>0.56370483268463745</c:v>
                </c:pt>
                <c:pt idx="34">
                  <c:v>0.5680322196712364</c:v>
                </c:pt>
                <c:pt idx="35">
                  <c:v>0.57943654706294179</c:v>
                </c:pt>
                <c:pt idx="36">
                  <c:v>0.59605989873059861</c:v>
                </c:pt>
                <c:pt idx="37">
                  <c:v>0.59998928912545635</c:v>
                </c:pt>
                <c:pt idx="38">
                  <c:v>0.59527427080986184</c:v>
                </c:pt>
                <c:pt idx="39">
                  <c:v>0.5941733481926833</c:v>
                </c:pt>
                <c:pt idx="40">
                  <c:v>0.6048611693922441</c:v>
                </c:pt>
                <c:pt idx="41">
                  <c:v>0.61414393617133645</c:v>
                </c:pt>
                <c:pt idx="42">
                  <c:v>0.61669869735195171</c:v>
                </c:pt>
                <c:pt idx="43">
                  <c:v>0.61999377966196467</c:v>
                </c:pt>
                <c:pt idx="44">
                  <c:v>0.62145873770723481</c:v>
                </c:pt>
                <c:pt idx="45">
                  <c:v>0.62862491958797706</c:v>
                </c:pt>
                <c:pt idx="46">
                  <c:v>0.63355861211423248</c:v>
                </c:pt>
                <c:pt idx="47">
                  <c:v>0.63408656850690293</c:v>
                </c:pt>
                <c:pt idx="48">
                  <c:v>0.62959976118979222</c:v>
                </c:pt>
                <c:pt idx="49">
                  <c:v>0.63670077773649381</c:v>
                </c:pt>
                <c:pt idx="50">
                  <c:v>0.63445594066115418</c:v>
                </c:pt>
                <c:pt idx="51">
                  <c:v>0.63195047047138486</c:v>
                </c:pt>
                <c:pt idx="52">
                  <c:v>0.63799259321396318</c:v>
                </c:pt>
                <c:pt idx="53">
                  <c:v>0.64902442122690762</c:v>
                </c:pt>
                <c:pt idx="54">
                  <c:v>0.65137112722835167</c:v>
                </c:pt>
                <c:pt idx="55">
                  <c:v>0.65379210216502959</c:v>
                </c:pt>
                <c:pt idx="56">
                  <c:v>0.65397793861963482</c:v>
                </c:pt>
                <c:pt idx="57">
                  <c:v>0.65739818399961913</c:v>
                </c:pt>
                <c:pt idx="58">
                  <c:v>0.6637391765162165</c:v>
                </c:pt>
                <c:pt idx="59">
                  <c:v>0.66531918262131928</c:v>
                </c:pt>
                <c:pt idx="60">
                  <c:v>0.66354491916828595</c:v>
                </c:pt>
                <c:pt idx="61">
                  <c:v>0.66915634381580102</c:v>
                </c:pt>
                <c:pt idx="62">
                  <c:v>0.66954238793970544</c:v>
                </c:pt>
                <c:pt idx="63">
                  <c:v>0.67124637600546644</c:v>
                </c:pt>
                <c:pt idx="64">
                  <c:v>0.6738781516989536</c:v>
                </c:pt>
                <c:pt idx="65">
                  <c:v>0.67635357696792575</c:v>
                </c:pt>
                <c:pt idx="66">
                  <c:v>0.67575589510026124</c:v>
                </c:pt>
                <c:pt idx="67">
                  <c:v>0.67784459778070527</c:v>
                </c:pt>
                <c:pt idx="68">
                  <c:v>0.67922775072418828</c:v>
                </c:pt>
                <c:pt idx="69">
                  <c:v>0.68020814119453865</c:v>
                </c:pt>
                <c:pt idx="70">
                  <c:v>0.68265141043421673</c:v>
                </c:pt>
                <c:pt idx="71">
                  <c:v>0.68470575056248628</c:v>
                </c:pt>
                <c:pt idx="72">
                  <c:v>0.68402123860792108</c:v>
                </c:pt>
                <c:pt idx="73">
                  <c:v>0.68759860883812129</c:v>
                </c:pt>
                <c:pt idx="74">
                  <c:v>0.68631045404908386</c:v>
                </c:pt>
                <c:pt idx="75">
                  <c:v>0.68847861819486733</c:v>
                </c:pt>
                <c:pt idx="76">
                  <c:v>0.69230238037461922</c:v>
                </c:pt>
                <c:pt idx="77">
                  <c:v>0.69610895934532258</c:v>
                </c:pt>
                <c:pt idx="78">
                  <c:v>0.69562930185967464</c:v>
                </c:pt>
                <c:pt idx="79">
                  <c:v>0.69789302764722172</c:v>
                </c:pt>
                <c:pt idx="80">
                  <c:v>0.69657263039434092</c:v>
                </c:pt>
                <c:pt idx="81">
                  <c:v>0.69805550751682333</c:v>
                </c:pt>
                <c:pt idx="82">
                  <c:v>0.70384537552733495</c:v>
                </c:pt>
                <c:pt idx="83">
                  <c:v>0.7014450840586981</c:v>
                </c:pt>
                <c:pt idx="84">
                  <c:v>0.70175681332188089</c:v>
                </c:pt>
                <c:pt idx="85">
                  <c:v>0.70577395461588088</c:v>
                </c:pt>
                <c:pt idx="86">
                  <c:v>0.70478359044263916</c:v>
                </c:pt>
                <c:pt idx="87">
                  <c:v>0.70343938213298074</c:v>
                </c:pt>
                <c:pt idx="88">
                  <c:v>0.70846956284657991</c:v>
                </c:pt>
                <c:pt idx="89">
                  <c:v>0.71054907398315903</c:v>
                </c:pt>
                <c:pt idx="90">
                  <c:v>0.70968319961469473</c:v>
                </c:pt>
                <c:pt idx="91">
                  <c:v>0.71075196036508848</c:v>
                </c:pt>
                <c:pt idx="92">
                  <c:v>0.7110207047076158</c:v>
                </c:pt>
                <c:pt idx="93">
                  <c:v>0.71194865468574242</c:v>
                </c:pt>
                <c:pt idx="94">
                  <c:v>0.71493305353288683</c:v>
                </c:pt>
                <c:pt idx="95">
                  <c:v>0.71550650547412165</c:v>
                </c:pt>
                <c:pt idx="96">
                  <c:v>0.71038043007984486</c:v>
                </c:pt>
                <c:pt idx="97">
                  <c:v>0.7133076471420694</c:v>
                </c:pt>
                <c:pt idx="98">
                  <c:v>0.71204745807860281</c:v>
                </c:pt>
                <c:pt idx="99">
                  <c:v>0.71174054640736073</c:v>
                </c:pt>
                <c:pt idx="100">
                  <c:v>0.7153631329304645</c:v>
                </c:pt>
                <c:pt idx="101">
                  <c:v>0.71695676297618049</c:v>
                </c:pt>
                <c:pt idx="102">
                  <c:v>0.71413960260937248</c:v>
                </c:pt>
                <c:pt idx="103">
                  <c:v>0.71576526224714154</c:v>
                </c:pt>
                <c:pt idx="104">
                  <c:v>0.71300973743964102</c:v>
                </c:pt>
                <c:pt idx="105">
                  <c:v>0.71529258366994686</c:v>
                </c:pt>
                <c:pt idx="106">
                  <c:v>0.71736368735096767</c:v>
                </c:pt>
                <c:pt idx="107">
                  <c:v>0.71728682472364402</c:v>
                </c:pt>
                <c:pt idx="108">
                  <c:v>0.71678324285477057</c:v>
                </c:pt>
                <c:pt idx="109">
                  <c:v>0.71770548200912809</c:v>
                </c:pt>
                <c:pt idx="110">
                  <c:v>0.7179114974986045</c:v>
                </c:pt>
                <c:pt idx="111">
                  <c:v>0.71810191126985157</c:v>
                </c:pt>
                <c:pt idx="112">
                  <c:v>0.72010027939620647</c:v>
                </c:pt>
                <c:pt idx="113">
                  <c:v>0.72115242132152446</c:v>
                </c:pt>
                <c:pt idx="114">
                  <c:v>0.71910964973596103</c:v>
                </c:pt>
                <c:pt idx="115">
                  <c:v>0.71904439621983818</c:v>
                </c:pt>
                <c:pt idx="116">
                  <c:v>0.72038426839900249</c:v>
                </c:pt>
                <c:pt idx="117">
                  <c:v>0.72364120495480366</c:v>
                </c:pt>
                <c:pt idx="118">
                  <c:v>0.72280561158793533</c:v>
                </c:pt>
                <c:pt idx="119">
                  <c:v>0.72305234753253733</c:v>
                </c:pt>
                <c:pt idx="120">
                  <c:v>0.71947722408691805</c:v>
                </c:pt>
                <c:pt idx="121">
                  <c:v>0.72176959915316741</c:v>
                </c:pt>
                <c:pt idx="122">
                  <c:v>0.72256595091917752</c:v>
                </c:pt>
                <c:pt idx="123">
                  <c:v>0.7183126763985761</c:v>
                </c:pt>
                <c:pt idx="124">
                  <c:v>0.72077705115237345</c:v>
                </c:pt>
                <c:pt idx="125">
                  <c:v>0.72280934384816586</c:v>
                </c:pt>
                <c:pt idx="126">
                  <c:v>0.72136946579929728</c:v>
                </c:pt>
                <c:pt idx="127">
                  <c:v>0.72078780964434586</c:v>
                </c:pt>
                <c:pt idx="128">
                  <c:v>0.71886475229204805</c:v>
                </c:pt>
                <c:pt idx="129">
                  <c:v>0.72052908788269632</c:v>
                </c:pt>
                <c:pt idx="130">
                  <c:v>0.72290621066103367</c:v>
                </c:pt>
                <c:pt idx="131">
                  <c:v>0.72411496414856047</c:v>
                </c:pt>
                <c:pt idx="132">
                  <c:v>0.72133222081150827</c:v>
                </c:pt>
                <c:pt idx="133">
                  <c:v>0.72406523477746521</c:v>
                </c:pt>
                <c:pt idx="134">
                  <c:v>0.7225793411697683</c:v>
                </c:pt>
                <c:pt idx="135">
                  <c:v>0.72106888585830387</c:v>
                </c:pt>
                <c:pt idx="136">
                  <c:v>0.72202777455271905</c:v>
                </c:pt>
                <c:pt idx="137">
                  <c:v>0.7240440291252227</c:v>
                </c:pt>
                <c:pt idx="138">
                  <c:v>0.72020818378860552</c:v>
                </c:pt>
                <c:pt idx="139">
                  <c:v>0.72049875766919191</c:v>
                </c:pt>
                <c:pt idx="140">
                  <c:v>0.72393595810015909</c:v>
                </c:pt>
                <c:pt idx="141">
                  <c:v>0.72365887195239298</c:v>
                </c:pt>
                <c:pt idx="142">
                  <c:v>0.72471152019979124</c:v>
                </c:pt>
                <c:pt idx="143">
                  <c:v>0.72479630056871469</c:v>
                </c:pt>
                <c:pt idx="144">
                  <c:v>0.72160768896163463</c:v>
                </c:pt>
                <c:pt idx="145">
                  <c:v>0.7245484105783988</c:v>
                </c:pt>
                <c:pt idx="146">
                  <c:v>0.72292507623100244</c:v>
                </c:pt>
                <c:pt idx="147">
                  <c:v>0.72232676768742288</c:v>
                </c:pt>
                <c:pt idx="148">
                  <c:v>0.72644932303004661</c:v>
                </c:pt>
                <c:pt idx="149">
                  <c:v>0.73154439085283796</c:v>
                </c:pt>
                <c:pt idx="150">
                  <c:v>0.72788031417314158</c:v>
                </c:pt>
                <c:pt idx="151">
                  <c:v>0.72956994272842057</c:v>
                </c:pt>
                <c:pt idx="152">
                  <c:v>0.72972462063196242</c:v>
                </c:pt>
                <c:pt idx="153">
                  <c:v>0.73051417061736512</c:v>
                </c:pt>
                <c:pt idx="154">
                  <c:v>0.73561208487470919</c:v>
                </c:pt>
                <c:pt idx="155">
                  <c:v>0.73252985422014583</c:v>
                </c:pt>
                <c:pt idx="156">
                  <c:v>0.73002761802145399</c:v>
                </c:pt>
                <c:pt idx="157">
                  <c:v>0.73429058391871926</c:v>
                </c:pt>
                <c:pt idx="158">
                  <c:v>0.73275672970809269</c:v>
                </c:pt>
                <c:pt idx="159">
                  <c:v>0.73245914539248191</c:v>
                </c:pt>
                <c:pt idx="160">
                  <c:v>0.73481850340317811</c:v>
                </c:pt>
                <c:pt idx="161">
                  <c:v>0.73563104085787823</c:v>
                </c:pt>
                <c:pt idx="162">
                  <c:v>0.73511138660012254</c:v>
                </c:pt>
                <c:pt idx="163">
                  <c:v>0.73558390663696738</c:v>
                </c:pt>
                <c:pt idx="164">
                  <c:v>0.73505945209285239</c:v>
                </c:pt>
                <c:pt idx="165">
                  <c:v>0.73612356471544416</c:v>
                </c:pt>
                <c:pt idx="166">
                  <c:v>0.73893458577945026</c:v>
                </c:pt>
                <c:pt idx="167">
                  <c:v>0.7398562729259488</c:v>
                </c:pt>
                <c:pt idx="168">
                  <c:v>0.73804797539255129</c:v>
                </c:pt>
                <c:pt idx="169">
                  <c:v>0.7412581460714821</c:v>
                </c:pt>
                <c:pt idx="170">
                  <c:v>0.74006121171652972</c:v>
                </c:pt>
                <c:pt idx="171">
                  <c:v>0.74116317009403121</c:v>
                </c:pt>
                <c:pt idx="172">
                  <c:v>0.74383086830637868</c:v>
                </c:pt>
                <c:pt idx="173">
                  <c:v>0.74618428209420962</c:v>
                </c:pt>
                <c:pt idx="174">
                  <c:v>0.76293296191518156</c:v>
                </c:pt>
                <c:pt idx="175">
                  <c:v>0.76954018505593957</c:v>
                </c:pt>
                <c:pt idx="176">
                  <c:v>0.77539340434514481</c:v>
                </c:pt>
                <c:pt idx="177">
                  <c:v>0.77792410777622278</c:v>
                </c:pt>
                <c:pt idx="178">
                  <c:v>0.77901029844610381</c:v>
                </c:pt>
                <c:pt idx="179">
                  <c:v>0.78005741040063181</c:v>
                </c:pt>
                <c:pt idx="180">
                  <c:v>0.77746836302529543</c:v>
                </c:pt>
                <c:pt idx="181">
                  <c:v>0.77786370898952073</c:v>
                </c:pt>
                <c:pt idx="182">
                  <c:v>0.77960850383806557</c:v>
                </c:pt>
                <c:pt idx="183">
                  <c:v>0.7789909430657157</c:v>
                </c:pt>
                <c:pt idx="184">
                  <c:v>0.77970944568594636</c:v>
                </c:pt>
                <c:pt idx="185">
                  <c:v>0.78154748947338615</c:v>
                </c:pt>
                <c:pt idx="186">
                  <c:v>0.78283154482576389</c:v>
                </c:pt>
                <c:pt idx="187">
                  <c:v>0.78091184850646445</c:v>
                </c:pt>
                <c:pt idx="188">
                  <c:v>0.78269415101482365</c:v>
                </c:pt>
                <c:pt idx="189">
                  <c:v>0.78390480519189421</c:v>
                </c:pt>
                <c:pt idx="190">
                  <c:v>0.78285772232268047</c:v>
                </c:pt>
                <c:pt idx="191">
                  <c:v>0.78381102496285804</c:v>
                </c:pt>
                <c:pt idx="192">
                  <c:v>0.78305281208366406</c:v>
                </c:pt>
                <c:pt idx="193">
                  <c:v>0.78337905354981063</c:v>
                </c:pt>
                <c:pt idx="194">
                  <c:v>0.78142889925804881</c:v>
                </c:pt>
                <c:pt idx="195">
                  <c:v>0.78258293313259286</c:v>
                </c:pt>
                <c:pt idx="196">
                  <c:v>0.78495485349773997</c:v>
                </c:pt>
                <c:pt idx="197">
                  <c:v>0.78549387968967699</c:v>
                </c:pt>
                <c:pt idx="198">
                  <c:v>0.78511632395328201</c:v>
                </c:pt>
                <c:pt idx="199">
                  <c:v>0.78376032320610456</c:v>
                </c:pt>
                <c:pt idx="200">
                  <c:v>0.7822462917975167</c:v>
                </c:pt>
                <c:pt idx="201">
                  <c:v>0.78288917221912357</c:v>
                </c:pt>
                <c:pt idx="202">
                  <c:v>0.78444182298618692</c:v>
                </c:pt>
                <c:pt idx="203">
                  <c:v>0.78564654709903503</c:v>
                </c:pt>
                <c:pt idx="204">
                  <c:v>0.77957317680692073</c:v>
                </c:pt>
                <c:pt idx="205">
                  <c:v>0.78162558592358478</c:v>
                </c:pt>
                <c:pt idx="206">
                  <c:v>0.78032576893362104</c:v>
                </c:pt>
                <c:pt idx="207">
                  <c:v>0.7815612310434159</c:v>
                </c:pt>
                <c:pt idx="208">
                  <c:v>0.78225667713864389</c:v>
                </c:pt>
                <c:pt idx="209">
                  <c:v>0.78495681516604265</c:v>
                </c:pt>
                <c:pt idx="210">
                  <c:v>0.78216074383738343</c:v>
                </c:pt>
                <c:pt idx="211">
                  <c:v>0.78280981970594421</c:v>
                </c:pt>
                <c:pt idx="212">
                  <c:v>0.78751027659045081</c:v>
                </c:pt>
                <c:pt idx="213">
                  <c:v>0.78840585009546871</c:v>
                </c:pt>
                <c:pt idx="214">
                  <c:v>0.79127217902121116</c:v>
                </c:pt>
                <c:pt idx="215">
                  <c:v>0.79385765499024308</c:v>
                </c:pt>
                <c:pt idx="216">
                  <c:v>0.78862176817300911</c:v>
                </c:pt>
                <c:pt idx="217">
                  <c:v>0.79235150315528591</c:v>
                </c:pt>
                <c:pt idx="218">
                  <c:v>0.79227453572305218</c:v>
                </c:pt>
                <c:pt idx="219">
                  <c:v>0.79177979035623058</c:v>
                </c:pt>
                <c:pt idx="220">
                  <c:v>0.79429736178221633</c:v>
                </c:pt>
                <c:pt idx="221">
                  <c:v>0.79543836937300016</c:v>
                </c:pt>
                <c:pt idx="222">
                  <c:v>0.7938574882315742</c:v>
                </c:pt>
                <c:pt idx="223">
                  <c:v>0.79633988101609932</c:v>
                </c:pt>
                <c:pt idx="224">
                  <c:v>0.79275342494388146</c:v>
                </c:pt>
                <c:pt idx="225">
                  <c:v>0.79563295831021252</c:v>
                </c:pt>
                <c:pt idx="226">
                  <c:v>0.79895506953644657</c:v>
                </c:pt>
                <c:pt idx="227">
                  <c:v>0.79818335092763715</c:v>
                </c:pt>
                <c:pt idx="228">
                  <c:v>0.79473926323734112</c:v>
                </c:pt>
                <c:pt idx="229">
                  <c:v>0.7978196646574014</c:v>
                </c:pt>
                <c:pt idx="230">
                  <c:v>0.79619289153607042</c:v>
                </c:pt>
                <c:pt idx="231">
                  <c:v>0.79821489870975426</c:v>
                </c:pt>
                <c:pt idx="232">
                  <c:v>0.79832330414573904</c:v>
                </c:pt>
                <c:pt idx="233">
                  <c:v>0.79828964053247764</c:v>
                </c:pt>
                <c:pt idx="234">
                  <c:v>0.79673644844432201</c:v>
                </c:pt>
                <c:pt idx="235">
                  <c:v>0.79944241046310172</c:v>
                </c:pt>
                <c:pt idx="236">
                  <c:v>0.7995670437403487</c:v>
                </c:pt>
                <c:pt idx="237">
                  <c:v>0.79993908510369982</c:v>
                </c:pt>
                <c:pt idx="238">
                  <c:v>0.80400057555869575</c:v>
                </c:pt>
                <c:pt idx="239">
                  <c:v>0.80445630460511619</c:v>
                </c:pt>
                <c:pt idx="240">
                  <c:v>0.80364440229137213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D-4333-8BC8-470FA830E7C9}"/>
            </c:ext>
          </c:extLst>
        </c:ser>
        <c:ser>
          <c:idx val="1"/>
          <c:order val="1"/>
          <c:tx>
            <c:strRef>
              <c:f>public_vs_intragovernmental!$F$1</c:f>
              <c:strCache>
                <c:ptCount val="1"/>
                <c:pt idx="0">
                  <c:v>Intragovernmental share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public_vs_intragovernmental!$A$2:$A$242</c:f>
              <c:numCache>
                <c:formatCode>[$-409]mmm\-yy;@</c:formatCode>
                <c:ptCount val="241"/>
                <c:pt idx="0">
                  <c:v>38656</c:v>
                </c:pt>
                <c:pt idx="1">
                  <c:v>38686</c:v>
                </c:pt>
                <c:pt idx="2">
                  <c:v>38717</c:v>
                </c:pt>
                <c:pt idx="3">
                  <c:v>38748</c:v>
                </c:pt>
                <c:pt idx="4">
                  <c:v>38776</c:v>
                </c:pt>
                <c:pt idx="5">
                  <c:v>38807</c:v>
                </c:pt>
                <c:pt idx="6">
                  <c:v>38837</c:v>
                </c:pt>
                <c:pt idx="7">
                  <c:v>38868</c:v>
                </c:pt>
                <c:pt idx="8">
                  <c:v>38898</c:v>
                </c:pt>
                <c:pt idx="9">
                  <c:v>38929</c:v>
                </c:pt>
                <c:pt idx="10">
                  <c:v>38960</c:v>
                </c:pt>
                <c:pt idx="11">
                  <c:v>38990</c:v>
                </c:pt>
                <c:pt idx="12">
                  <c:v>39021</c:v>
                </c:pt>
                <c:pt idx="13">
                  <c:v>39051</c:v>
                </c:pt>
                <c:pt idx="14">
                  <c:v>39082</c:v>
                </c:pt>
                <c:pt idx="15">
                  <c:v>39113</c:v>
                </c:pt>
                <c:pt idx="16">
                  <c:v>39141</c:v>
                </c:pt>
                <c:pt idx="17">
                  <c:v>39172</c:v>
                </c:pt>
                <c:pt idx="18">
                  <c:v>39202</c:v>
                </c:pt>
                <c:pt idx="19">
                  <c:v>39233</c:v>
                </c:pt>
                <c:pt idx="20">
                  <c:v>39263</c:v>
                </c:pt>
                <c:pt idx="21">
                  <c:v>39294</c:v>
                </c:pt>
                <c:pt idx="22">
                  <c:v>39325</c:v>
                </c:pt>
                <c:pt idx="23">
                  <c:v>39355</c:v>
                </c:pt>
                <c:pt idx="24">
                  <c:v>39386</c:v>
                </c:pt>
                <c:pt idx="25">
                  <c:v>39416</c:v>
                </c:pt>
                <c:pt idx="26">
                  <c:v>39447</c:v>
                </c:pt>
                <c:pt idx="27">
                  <c:v>39478</c:v>
                </c:pt>
                <c:pt idx="28">
                  <c:v>39507</c:v>
                </c:pt>
                <c:pt idx="29">
                  <c:v>39538</c:v>
                </c:pt>
                <c:pt idx="30">
                  <c:v>39568</c:v>
                </c:pt>
                <c:pt idx="31">
                  <c:v>39599</c:v>
                </c:pt>
                <c:pt idx="32">
                  <c:v>39629</c:v>
                </c:pt>
                <c:pt idx="33">
                  <c:v>39660</c:v>
                </c:pt>
                <c:pt idx="34">
                  <c:v>39691</c:v>
                </c:pt>
                <c:pt idx="35">
                  <c:v>39721</c:v>
                </c:pt>
                <c:pt idx="36">
                  <c:v>39752</c:v>
                </c:pt>
                <c:pt idx="37">
                  <c:v>39782</c:v>
                </c:pt>
                <c:pt idx="38">
                  <c:v>39813</c:v>
                </c:pt>
                <c:pt idx="39">
                  <c:v>39844</c:v>
                </c:pt>
                <c:pt idx="40">
                  <c:v>39872</c:v>
                </c:pt>
                <c:pt idx="41">
                  <c:v>39903</c:v>
                </c:pt>
                <c:pt idx="42">
                  <c:v>39933</c:v>
                </c:pt>
                <c:pt idx="43">
                  <c:v>39964</c:v>
                </c:pt>
                <c:pt idx="44">
                  <c:v>39994</c:v>
                </c:pt>
                <c:pt idx="45">
                  <c:v>40025</c:v>
                </c:pt>
                <c:pt idx="46">
                  <c:v>40056</c:v>
                </c:pt>
                <c:pt idx="47">
                  <c:v>40086</c:v>
                </c:pt>
                <c:pt idx="48">
                  <c:v>40117</c:v>
                </c:pt>
                <c:pt idx="49">
                  <c:v>40147</c:v>
                </c:pt>
                <c:pt idx="50">
                  <c:v>40178</c:v>
                </c:pt>
                <c:pt idx="51">
                  <c:v>40209</c:v>
                </c:pt>
                <c:pt idx="52">
                  <c:v>40237</c:v>
                </c:pt>
                <c:pt idx="53">
                  <c:v>40268</c:v>
                </c:pt>
                <c:pt idx="54">
                  <c:v>40298</c:v>
                </c:pt>
                <c:pt idx="55">
                  <c:v>40329</c:v>
                </c:pt>
                <c:pt idx="56">
                  <c:v>40359</c:v>
                </c:pt>
                <c:pt idx="57">
                  <c:v>40390</c:v>
                </c:pt>
                <c:pt idx="58">
                  <c:v>40421</c:v>
                </c:pt>
                <c:pt idx="59">
                  <c:v>40451</c:v>
                </c:pt>
                <c:pt idx="60">
                  <c:v>40482</c:v>
                </c:pt>
                <c:pt idx="61">
                  <c:v>40512</c:v>
                </c:pt>
                <c:pt idx="62">
                  <c:v>40543</c:v>
                </c:pt>
                <c:pt idx="63">
                  <c:v>40574</c:v>
                </c:pt>
                <c:pt idx="64">
                  <c:v>40602</c:v>
                </c:pt>
                <c:pt idx="65">
                  <c:v>40633</c:v>
                </c:pt>
                <c:pt idx="66">
                  <c:v>40663</c:v>
                </c:pt>
                <c:pt idx="67">
                  <c:v>40694</c:v>
                </c:pt>
                <c:pt idx="68">
                  <c:v>40724</c:v>
                </c:pt>
                <c:pt idx="69">
                  <c:v>40755</c:v>
                </c:pt>
                <c:pt idx="70">
                  <c:v>40786</c:v>
                </c:pt>
                <c:pt idx="71">
                  <c:v>40816</c:v>
                </c:pt>
                <c:pt idx="72">
                  <c:v>40847</c:v>
                </c:pt>
                <c:pt idx="73">
                  <c:v>40877</c:v>
                </c:pt>
                <c:pt idx="74">
                  <c:v>40908</c:v>
                </c:pt>
                <c:pt idx="75">
                  <c:v>40939</c:v>
                </c:pt>
                <c:pt idx="76">
                  <c:v>40968</c:v>
                </c:pt>
                <c:pt idx="77">
                  <c:v>40999</c:v>
                </c:pt>
                <c:pt idx="78">
                  <c:v>41029</c:v>
                </c:pt>
                <c:pt idx="79">
                  <c:v>41060</c:v>
                </c:pt>
                <c:pt idx="80">
                  <c:v>41090</c:v>
                </c:pt>
                <c:pt idx="81">
                  <c:v>41121</c:v>
                </c:pt>
                <c:pt idx="82">
                  <c:v>41152</c:v>
                </c:pt>
                <c:pt idx="83">
                  <c:v>41182</c:v>
                </c:pt>
                <c:pt idx="84">
                  <c:v>41213</c:v>
                </c:pt>
                <c:pt idx="85">
                  <c:v>41243</c:v>
                </c:pt>
                <c:pt idx="86">
                  <c:v>41274</c:v>
                </c:pt>
                <c:pt idx="87">
                  <c:v>41305</c:v>
                </c:pt>
                <c:pt idx="88">
                  <c:v>41333</c:v>
                </c:pt>
                <c:pt idx="89">
                  <c:v>41364</c:v>
                </c:pt>
                <c:pt idx="90">
                  <c:v>41394</c:v>
                </c:pt>
                <c:pt idx="91">
                  <c:v>41425</c:v>
                </c:pt>
                <c:pt idx="92">
                  <c:v>41455</c:v>
                </c:pt>
                <c:pt idx="93">
                  <c:v>41486</c:v>
                </c:pt>
                <c:pt idx="94">
                  <c:v>41517</c:v>
                </c:pt>
                <c:pt idx="95">
                  <c:v>41547</c:v>
                </c:pt>
                <c:pt idx="96">
                  <c:v>41578</c:v>
                </c:pt>
                <c:pt idx="97">
                  <c:v>41608</c:v>
                </c:pt>
                <c:pt idx="98">
                  <c:v>41639</c:v>
                </c:pt>
                <c:pt idx="99">
                  <c:v>41670</c:v>
                </c:pt>
                <c:pt idx="100">
                  <c:v>41698</c:v>
                </c:pt>
                <c:pt idx="101">
                  <c:v>41729</c:v>
                </c:pt>
                <c:pt idx="102">
                  <c:v>41759</c:v>
                </c:pt>
                <c:pt idx="103">
                  <c:v>41790</c:v>
                </c:pt>
                <c:pt idx="104">
                  <c:v>41820</c:v>
                </c:pt>
                <c:pt idx="105">
                  <c:v>41851</c:v>
                </c:pt>
                <c:pt idx="106">
                  <c:v>41882</c:v>
                </c:pt>
                <c:pt idx="107">
                  <c:v>41912</c:v>
                </c:pt>
                <c:pt idx="108">
                  <c:v>41943</c:v>
                </c:pt>
                <c:pt idx="109">
                  <c:v>41973</c:v>
                </c:pt>
                <c:pt idx="110">
                  <c:v>42004</c:v>
                </c:pt>
                <c:pt idx="111">
                  <c:v>42035</c:v>
                </c:pt>
                <c:pt idx="112">
                  <c:v>42063</c:v>
                </c:pt>
                <c:pt idx="113">
                  <c:v>42094</c:v>
                </c:pt>
                <c:pt idx="114">
                  <c:v>42124</c:v>
                </c:pt>
                <c:pt idx="115">
                  <c:v>42155</c:v>
                </c:pt>
                <c:pt idx="116">
                  <c:v>42185</c:v>
                </c:pt>
                <c:pt idx="117">
                  <c:v>42216</c:v>
                </c:pt>
                <c:pt idx="118">
                  <c:v>42247</c:v>
                </c:pt>
                <c:pt idx="119">
                  <c:v>42277</c:v>
                </c:pt>
                <c:pt idx="120">
                  <c:v>42308</c:v>
                </c:pt>
                <c:pt idx="121">
                  <c:v>42338</c:v>
                </c:pt>
                <c:pt idx="122">
                  <c:v>42369</c:v>
                </c:pt>
                <c:pt idx="123">
                  <c:v>42400</c:v>
                </c:pt>
                <c:pt idx="124">
                  <c:v>42429</c:v>
                </c:pt>
                <c:pt idx="125">
                  <c:v>42460</c:v>
                </c:pt>
                <c:pt idx="126">
                  <c:v>42490</c:v>
                </c:pt>
                <c:pt idx="127">
                  <c:v>42521</c:v>
                </c:pt>
                <c:pt idx="128">
                  <c:v>42551</c:v>
                </c:pt>
                <c:pt idx="129">
                  <c:v>42582</c:v>
                </c:pt>
                <c:pt idx="130">
                  <c:v>42613</c:v>
                </c:pt>
                <c:pt idx="131">
                  <c:v>42643</c:v>
                </c:pt>
                <c:pt idx="132">
                  <c:v>42674</c:v>
                </c:pt>
                <c:pt idx="133">
                  <c:v>42704</c:v>
                </c:pt>
                <c:pt idx="134">
                  <c:v>42735</c:v>
                </c:pt>
                <c:pt idx="135">
                  <c:v>42766</c:v>
                </c:pt>
                <c:pt idx="136">
                  <c:v>42794</c:v>
                </c:pt>
                <c:pt idx="137">
                  <c:v>42825</c:v>
                </c:pt>
                <c:pt idx="138">
                  <c:v>42855</c:v>
                </c:pt>
                <c:pt idx="139">
                  <c:v>42886</c:v>
                </c:pt>
                <c:pt idx="140">
                  <c:v>42916</c:v>
                </c:pt>
                <c:pt idx="141">
                  <c:v>42947</c:v>
                </c:pt>
                <c:pt idx="142">
                  <c:v>42978</c:v>
                </c:pt>
                <c:pt idx="143">
                  <c:v>43008</c:v>
                </c:pt>
                <c:pt idx="144">
                  <c:v>43039</c:v>
                </c:pt>
                <c:pt idx="145">
                  <c:v>43069</c:v>
                </c:pt>
                <c:pt idx="146">
                  <c:v>43100</c:v>
                </c:pt>
                <c:pt idx="147">
                  <c:v>43131</c:v>
                </c:pt>
                <c:pt idx="148">
                  <c:v>43159</c:v>
                </c:pt>
                <c:pt idx="149">
                  <c:v>43190</c:v>
                </c:pt>
                <c:pt idx="150">
                  <c:v>43220</c:v>
                </c:pt>
                <c:pt idx="151">
                  <c:v>43251</c:v>
                </c:pt>
                <c:pt idx="152">
                  <c:v>43281</c:v>
                </c:pt>
                <c:pt idx="153">
                  <c:v>43312</c:v>
                </c:pt>
                <c:pt idx="154">
                  <c:v>43343</c:v>
                </c:pt>
                <c:pt idx="155">
                  <c:v>43373</c:v>
                </c:pt>
                <c:pt idx="156">
                  <c:v>43404</c:v>
                </c:pt>
                <c:pt idx="157">
                  <c:v>43434</c:v>
                </c:pt>
                <c:pt idx="158">
                  <c:v>43465</c:v>
                </c:pt>
                <c:pt idx="159">
                  <c:v>43496</c:v>
                </c:pt>
                <c:pt idx="160">
                  <c:v>43524</c:v>
                </c:pt>
                <c:pt idx="161">
                  <c:v>43555</c:v>
                </c:pt>
                <c:pt idx="162">
                  <c:v>43585</c:v>
                </c:pt>
                <c:pt idx="163">
                  <c:v>43616</c:v>
                </c:pt>
                <c:pt idx="164">
                  <c:v>43646</c:v>
                </c:pt>
                <c:pt idx="165">
                  <c:v>43677</c:v>
                </c:pt>
                <c:pt idx="166">
                  <c:v>43708</c:v>
                </c:pt>
                <c:pt idx="167">
                  <c:v>43738</c:v>
                </c:pt>
                <c:pt idx="168">
                  <c:v>43769</c:v>
                </c:pt>
                <c:pt idx="169">
                  <c:v>43799</c:v>
                </c:pt>
                <c:pt idx="170">
                  <c:v>43830</c:v>
                </c:pt>
                <c:pt idx="171">
                  <c:v>43861</c:v>
                </c:pt>
                <c:pt idx="172">
                  <c:v>43890</c:v>
                </c:pt>
                <c:pt idx="173">
                  <c:v>43921</c:v>
                </c:pt>
                <c:pt idx="174">
                  <c:v>43951</c:v>
                </c:pt>
                <c:pt idx="175">
                  <c:v>43982</c:v>
                </c:pt>
                <c:pt idx="176">
                  <c:v>44012</c:v>
                </c:pt>
                <c:pt idx="177">
                  <c:v>44043</c:v>
                </c:pt>
                <c:pt idx="178">
                  <c:v>44074</c:v>
                </c:pt>
                <c:pt idx="179">
                  <c:v>44104</c:v>
                </c:pt>
                <c:pt idx="180">
                  <c:v>44135</c:v>
                </c:pt>
                <c:pt idx="181">
                  <c:v>44165</c:v>
                </c:pt>
                <c:pt idx="182">
                  <c:v>44196</c:v>
                </c:pt>
                <c:pt idx="183">
                  <c:v>44227</c:v>
                </c:pt>
                <c:pt idx="184">
                  <c:v>44255</c:v>
                </c:pt>
                <c:pt idx="185">
                  <c:v>44286</c:v>
                </c:pt>
                <c:pt idx="186">
                  <c:v>44316</c:v>
                </c:pt>
                <c:pt idx="187">
                  <c:v>44347</c:v>
                </c:pt>
                <c:pt idx="188">
                  <c:v>44377</c:v>
                </c:pt>
                <c:pt idx="189">
                  <c:v>44408</c:v>
                </c:pt>
                <c:pt idx="190">
                  <c:v>44439</c:v>
                </c:pt>
                <c:pt idx="191">
                  <c:v>44469</c:v>
                </c:pt>
                <c:pt idx="192">
                  <c:v>44500</c:v>
                </c:pt>
                <c:pt idx="193">
                  <c:v>44530</c:v>
                </c:pt>
                <c:pt idx="194">
                  <c:v>44561</c:v>
                </c:pt>
                <c:pt idx="195">
                  <c:v>44592</c:v>
                </c:pt>
                <c:pt idx="196">
                  <c:v>44620</c:v>
                </c:pt>
                <c:pt idx="197">
                  <c:v>44651</c:v>
                </c:pt>
                <c:pt idx="198">
                  <c:v>44681</c:v>
                </c:pt>
                <c:pt idx="199">
                  <c:v>44712</c:v>
                </c:pt>
                <c:pt idx="200">
                  <c:v>44742</c:v>
                </c:pt>
                <c:pt idx="201">
                  <c:v>44773</c:v>
                </c:pt>
                <c:pt idx="202">
                  <c:v>44804</c:v>
                </c:pt>
                <c:pt idx="203">
                  <c:v>44834</c:v>
                </c:pt>
                <c:pt idx="204">
                  <c:v>44865</c:v>
                </c:pt>
                <c:pt idx="205">
                  <c:v>44895</c:v>
                </c:pt>
                <c:pt idx="206">
                  <c:v>44926</c:v>
                </c:pt>
                <c:pt idx="207">
                  <c:v>44957</c:v>
                </c:pt>
                <c:pt idx="208">
                  <c:v>44985</c:v>
                </c:pt>
                <c:pt idx="209">
                  <c:v>45016</c:v>
                </c:pt>
                <c:pt idx="210">
                  <c:v>45046</c:v>
                </c:pt>
                <c:pt idx="211">
                  <c:v>45077</c:v>
                </c:pt>
                <c:pt idx="212">
                  <c:v>45107</c:v>
                </c:pt>
                <c:pt idx="213">
                  <c:v>45138</c:v>
                </c:pt>
                <c:pt idx="214">
                  <c:v>45169</c:v>
                </c:pt>
                <c:pt idx="215">
                  <c:v>45199</c:v>
                </c:pt>
                <c:pt idx="216">
                  <c:v>45230</c:v>
                </c:pt>
                <c:pt idx="217">
                  <c:v>45260</c:v>
                </c:pt>
                <c:pt idx="218">
                  <c:v>45291</c:v>
                </c:pt>
                <c:pt idx="219">
                  <c:v>45322</c:v>
                </c:pt>
                <c:pt idx="220">
                  <c:v>45351</c:v>
                </c:pt>
                <c:pt idx="221">
                  <c:v>45382</c:v>
                </c:pt>
                <c:pt idx="222">
                  <c:v>45412</c:v>
                </c:pt>
                <c:pt idx="223">
                  <c:v>45443</c:v>
                </c:pt>
                <c:pt idx="224">
                  <c:v>45473</c:v>
                </c:pt>
                <c:pt idx="225">
                  <c:v>45504</c:v>
                </c:pt>
                <c:pt idx="226">
                  <c:v>45535</c:v>
                </c:pt>
                <c:pt idx="227">
                  <c:v>45565</c:v>
                </c:pt>
                <c:pt idx="228">
                  <c:v>45596</c:v>
                </c:pt>
                <c:pt idx="229">
                  <c:v>45626</c:v>
                </c:pt>
                <c:pt idx="230">
                  <c:v>45657</c:v>
                </c:pt>
                <c:pt idx="231">
                  <c:v>45688</c:v>
                </c:pt>
                <c:pt idx="232">
                  <c:v>45716</c:v>
                </c:pt>
                <c:pt idx="233">
                  <c:v>45747</c:v>
                </c:pt>
                <c:pt idx="234">
                  <c:v>45777</c:v>
                </c:pt>
                <c:pt idx="235">
                  <c:v>45808</c:v>
                </c:pt>
                <c:pt idx="236">
                  <c:v>45838</c:v>
                </c:pt>
                <c:pt idx="237">
                  <c:v>45869</c:v>
                </c:pt>
                <c:pt idx="238">
                  <c:v>45900</c:v>
                </c:pt>
                <c:pt idx="239">
                  <c:v>45930</c:v>
                </c:pt>
                <c:pt idx="240">
                  <c:v>45961</c:v>
                </c:pt>
              </c:numCache>
            </c:numRef>
          </c:cat>
          <c:val>
            <c:numRef>
              <c:f>public_vs_intragovernmental!$F$2:$F$242</c:f>
              <c:numCache>
                <c:formatCode>0.00%</c:formatCode>
                <c:ptCount val="241"/>
                <c:pt idx="0">
                  <c:v>0.42064972471337309</c:v>
                </c:pt>
                <c:pt idx="1">
                  <c:v>0.41804066083437352</c:v>
                </c:pt>
                <c:pt idx="2">
                  <c:v>0.42293968277525462</c:v>
                </c:pt>
                <c:pt idx="3">
                  <c:v>0.4235484671339666</c:v>
                </c:pt>
                <c:pt idx="4">
                  <c:v>0.42307340199287902</c:v>
                </c:pt>
                <c:pt idx="5">
                  <c:v>0.41794372696458759</c:v>
                </c:pt>
                <c:pt idx="6">
                  <c:v>0.42315564936773115</c:v>
                </c:pt>
                <c:pt idx="7">
                  <c:v>0.42471633537448766</c:v>
                </c:pt>
                <c:pt idx="8">
                  <c:v>0.43026369921430557</c:v>
                </c:pt>
                <c:pt idx="9">
                  <c:v>0.42923562471217058</c:v>
                </c:pt>
                <c:pt idx="10">
                  <c:v>0.42634574932318808</c:v>
                </c:pt>
                <c:pt idx="11">
                  <c:v>0.4306881941984913</c:v>
                </c:pt>
                <c:pt idx="12">
                  <c:v>0.43145107490595369</c:v>
                </c:pt>
                <c:pt idx="13">
                  <c:v>0.42900181980446761</c:v>
                </c:pt>
                <c:pt idx="14">
                  <c:v>0.43537799857995552</c:v>
                </c:pt>
                <c:pt idx="15">
                  <c:v>0.43566737234848307</c:v>
                </c:pt>
                <c:pt idx="16">
                  <c:v>0.43278099527598213</c:v>
                </c:pt>
                <c:pt idx="17">
                  <c:v>0.42891174094039192</c:v>
                </c:pt>
                <c:pt idx="18">
                  <c:v>0.43360145318834736</c:v>
                </c:pt>
                <c:pt idx="19">
                  <c:v>0.43585060232663747</c:v>
                </c:pt>
                <c:pt idx="20">
                  <c:v>0.44257199478368237</c:v>
                </c:pt>
                <c:pt idx="21">
                  <c:v>0.43982636451690965</c:v>
                </c:pt>
                <c:pt idx="22">
                  <c:v>0.43402868665082828</c:v>
                </c:pt>
                <c:pt idx="23">
                  <c:v>0.4394427141454153</c:v>
                </c:pt>
                <c:pt idx="24">
                  <c:v>0.44189558002835211</c:v>
                </c:pt>
                <c:pt idx="25">
                  <c:v>0.43749182086420479</c:v>
                </c:pt>
                <c:pt idx="26">
                  <c:v>0.44347098454161094</c:v>
                </c:pt>
                <c:pt idx="27">
                  <c:v>0.44444027899180694</c:v>
                </c:pt>
                <c:pt idx="28">
                  <c:v>0.43793804592538377</c:v>
                </c:pt>
                <c:pt idx="29">
                  <c:v>0.43480145291840749</c:v>
                </c:pt>
                <c:pt idx="30">
                  <c:v>0.44077179048267817</c:v>
                </c:pt>
                <c:pt idx="31">
                  <c:v>0.43776628194662637</c:v>
                </c:pt>
                <c:pt idx="32">
                  <c:v>0.44320897762419381</c:v>
                </c:pt>
                <c:pt idx="33">
                  <c:v>0.43629513518343099</c:v>
                </c:pt>
                <c:pt idx="34">
                  <c:v>0.43196773324641996</c:v>
                </c:pt>
                <c:pt idx="35">
                  <c:v>0.42056344385949762</c:v>
                </c:pt>
                <c:pt idx="36">
                  <c:v>0.4039401581780801</c:v>
                </c:pt>
                <c:pt idx="37">
                  <c:v>0.40001069387433064</c:v>
                </c:pt>
                <c:pt idx="38">
                  <c:v>0.40472572919014094</c:v>
                </c:pt>
                <c:pt idx="39">
                  <c:v>0.40582665180731203</c:v>
                </c:pt>
                <c:pt idx="40">
                  <c:v>0.39513883060775407</c:v>
                </c:pt>
                <c:pt idx="41">
                  <c:v>0.3858560638286635</c:v>
                </c:pt>
                <c:pt idx="42">
                  <c:v>0.38330130264804374</c:v>
                </c:pt>
                <c:pt idx="43">
                  <c:v>0.38000622033803799</c:v>
                </c:pt>
                <c:pt idx="44">
                  <c:v>0.37854126229276525</c:v>
                </c:pt>
                <c:pt idx="45">
                  <c:v>0.3713749947169086</c:v>
                </c:pt>
                <c:pt idx="46">
                  <c:v>0.36644147253920278</c:v>
                </c:pt>
                <c:pt idx="47">
                  <c:v>0.36591351545736006</c:v>
                </c:pt>
                <c:pt idx="48">
                  <c:v>0.37040023881020934</c:v>
                </c:pt>
                <c:pt idx="49">
                  <c:v>0.36329913970790273</c:v>
                </c:pt>
                <c:pt idx="50">
                  <c:v>0.36554405933884271</c:v>
                </c:pt>
                <c:pt idx="51">
                  <c:v>0.36804952138439107</c:v>
                </c:pt>
                <c:pt idx="52">
                  <c:v>0.36200739874749133</c:v>
                </c:pt>
                <c:pt idx="53">
                  <c:v>0.35097557799020174</c:v>
                </c:pt>
                <c:pt idx="54">
                  <c:v>0.34862887199937542</c:v>
                </c:pt>
                <c:pt idx="55">
                  <c:v>0.34620789706529725</c:v>
                </c:pt>
                <c:pt idx="56">
                  <c:v>0.34602206138036135</c:v>
                </c:pt>
                <c:pt idx="57">
                  <c:v>0.34260180920163058</c:v>
                </c:pt>
                <c:pt idx="58">
                  <c:v>0.33626082348378655</c:v>
                </c:pt>
                <c:pt idx="59">
                  <c:v>0.33468081737868149</c:v>
                </c:pt>
                <c:pt idx="60">
                  <c:v>0.33645515399089393</c:v>
                </c:pt>
                <c:pt idx="61">
                  <c:v>0.33084365618420108</c:v>
                </c:pt>
                <c:pt idx="62">
                  <c:v>0.33045761206029456</c:v>
                </c:pt>
                <c:pt idx="63">
                  <c:v>0.32875357908929725</c:v>
                </c:pt>
                <c:pt idx="64">
                  <c:v>0.32612184830104929</c:v>
                </c:pt>
                <c:pt idx="65">
                  <c:v>0.32364635295555233</c:v>
                </c:pt>
                <c:pt idx="66">
                  <c:v>0.32424410489973809</c:v>
                </c:pt>
                <c:pt idx="67">
                  <c:v>0.32215540221929267</c:v>
                </c:pt>
                <c:pt idx="68">
                  <c:v>0.32077217955581688</c:v>
                </c:pt>
                <c:pt idx="69">
                  <c:v>0.31979192852895089</c:v>
                </c:pt>
                <c:pt idx="70">
                  <c:v>0.31734858956578188</c:v>
                </c:pt>
                <c:pt idx="71">
                  <c:v>0.31529424943751777</c:v>
                </c:pt>
                <c:pt idx="72">
                  <c:v>0.31597876139207348</c:v>
                </c:pt>
                <c:pt idx="73">
                  <c:v>0.31240139116187338</c:v>
                </c:pt>
                <c:pt idx="74">
                  <c:v>0.3136895459509188</c:v>
                </c:pt>
                <c:pt idx="75">
                  <c:v>0.31152138180513272</c:v>
                </c:pt>
                <c:pt idx="76">
                  <c:v>0.30769761962538089</c:v>
                </c:pt>
                <c:pt idx="77">
                  <c:v>0.30389104065468003</c:v>
                </c:pt>
                <c:pt idx="78">
                  <c:v>0.30437071088537127</c:v>
                </c:pt>
                <c:pt idx="79">
                  <c:v>0.30210699074132191</c:v>
                </c:pt>
                <c:pt idx="80">
                  <c:v>0.30342735876302274</c:v>
                </c:pt>
                <c:pt idx="81">
                  <c:v>0.30194449248317973</c:v>
                </c:pt>
                <c:pt idx="82">
                  <c:v>0.29615462447266766</c:v>
                </c:pt>
                <c:pt idx="83">
                  <c:v>0.29855497818361632</c:v>
                </c:pt>
                <c:pt idx="84">
                  <c:v>0.29824312518306634</c:v>
                </c:pt>
                <c:pt idx="85">
                  <c:v>0.29422604538411978</c:v>
                </c:pt>
                <c:pt idx="86">
                  <c:v>0.29521647041152366</c:v>
                </c:pt>
                <c:pt idx="87">
                  <c:v>0.29656067871724801</c:v>
                </c:pt>
                <c:pt idx="88">
                  <c:v>0.29153043715341959</c:v>
                </c:pt>
                <c:pt idx="89">
                  <c:v>0.28945092601683919</c:v>
                </c:pt>
                <c:pt idx="90">
                  <c:v>0.29031685980709387</c:v>
                </c:pt>
                <c:pt idx="91">
                  <c:v>0.289247979893548</c:v>
                </c:pt>
                <c:pt idx="92">
                  <c:v>0.28897929529238359</c:v>
                </c:pt>
                <c:pt idx="93">
                  <c:v>0.28805134531425214</c:v>
                </c:pt>
                <c:pt idx="94">
                  <c:v>0.28506694646710845</c:v>
                </c:pt>
                <c:pt idx="95">
                  <c:v>0.28449349452587358</c:v>
                </c:pt>
                <c:pt idx="96">
                  <c:v>0.28961956992015808</c:v>
                </c:pt>
                <c:pt idx="97">
                  <c:v>0.28669231894330471</c:v>
                </c:pt>
                <c:pt idx="98">
                  <c:v>0.28795254192139264</c:v>
                </c:pt>
                <c:pt idx="99">
                  <c:v>0.28825946321508428</c:v>
                </c:pt>
                <c:pt idx="100">
                  <c:v>0.28463687243058361</c:v>
                </c:pt>
                <c:pt idx="101">
                  <c:v>0.2830432433452702</c:v>
                </c:pt>
                <c:pt idx="102">
                  <c:v>0.28586039739062918</c:v>
                </c:pt>
                <c:pt idx="103">
                  <c:v>0.2842347377528579</c:v>
                </c:pt>
                <c:pt idx="104">
                  <c:v>0.28699029427909556</c:v>
                </c:pt>
                <c:pt idx="105">
                  <c:v>0.28470739111935156</c:v>
                </c:pt>
                <c:pt idx="106">
                  <c:v>0.28263635369693418</c:v>
                </c:pt>
                <c:pt idx="107">
                  <c:v>0.28271318404964607</c:v>
                </c:pt>
                <c:pt idx="108">
                  <c:v>0.28321675714523153</c:v>
                </c:pt>
                <c:pt idx="109">
                  <c:v>0.28229454433359391</c:v>
                </c:pt>
                <c:pt idx="110">
                  <c:v>0.28208850250139672</c:v>
                </c:pt>
                <c:pt idx="111">
                  <c:v>0.28189809843646263</c:v>
                </c:pt>
                <c:pt idx="112">
                  <c:v>0.27989972060387008</c:v>
                </c:pt>
                <c:pt idx="113">
                  <c:v>0.27884760957385185</c:v>
                </c:pt>
                <c:pt idx="114">
                  <c:v>0.2808903273189029</c:v>
                </c:pt>
                <c:pt idx="115">
                  <c:v>0.28095559230811157</c:v>
                </c:pt>
                <c:pt idx="116">
                  <c:v>0.27961568591209257</c:v>
                </c:pt>
                <c:pt idx="117">
                  <c:v>0.27635879504519911</c:v>
                </c:pt>
                <c:pt idx="118">
                  <c:v>0.27719438841206845</c:v>
                </c:pt>
                <c:pt idx="119">
                  <c:v>0.27694761622223013</c:v>
                </c:pt>
                <c:pt idx="120">
                  <c:v>0.28052277591308145</c:v>
                </c:pt>
                <c:pt idx="121">
                  <c:v>0.27823044333822888</c:v>
                </c:pt>
                <c:pt idx="122">
                  <c:v>0.27743404909803032</c:v>
                </c:pt>
                <c:pt idx="123">
                  <c:v>0.28168732016474946</c:v>
                </c:pt>
                <c:pt idx="124">
                  <c:v>0.27922294873187148</c:v>
                </c:pt>
                <c:pt idx="125">
                  <c:v>0.27719065615183153</c:v>
                </c:pt>
                <c:pt idx="126">
                  <c:v>0.27863058631827686</c:v>
                </c:pt>
                <c:pt idx="127">
                  <c:v>0.2792121903556577</c:v>
                </c:pt>
                <c:pt idx="128">
                  <c:v>0.28113524775954685</c:v>
                </c:pt>
                <c:pt idx="129">
                  <c:v>0.27947086064439652</c:v>
                </c:pt>
                <c:pt idx="130">
                  <c:v>0.27709384059395797</c:v>
                </c:pt>
                <c:pt idx="131">
                  <c:v>0.27588508694106278</c:v>
                </c:pt>
                <c:pt idx="132">
                  <c:v>0.27866777918849073</c:v>
                </c:pt>
                <c:pt idx="133">
                  <c:v>0.27593476522253785</c:v>
                </c:pt>
                <c:pt idx="134">
                  <c:v>0.27742070888823356</c:v>
                </c:pt>
                <c:pt idx="135">
                  <c:v>0.27893111414169514</c:v>
                </c:pt>
                <c:pt idx="136">
                  <c:v>0.27797222544728289</c:v>
                </c:pt>
                <c:pt idx="137">
                  <c:v>0.27595597087478024</c:v>
                </c:pt>
                <c:pt idx="138">
                  <c:v>0.27979181621139487</c:v>
                </c:pt>
                <c:pt idx="139">
                  <c:v>0.27950124233080698</c:v>
                </c:pt>
                <c:pt idx="140">
                  <c:v>0.27606404189984252</c:v>
                </c:pt>
                <c:pt idx="141">
                  <c:v>0.27634112804761052</c:v>
                </c:pt>
                <c:pt idx="142">
                  <c:v>0.2752884798002061</c:v>
                </c:pt>
                <c:pt idx="143">
                  <c:v>0.27520369943128392</c:v>
                </c:pt>
                <c:pt idx="144">
                  <c:v>0.27839231103836543</c:v>
                </c:pt>
                <c:pt idx="145">
                  <c:v>0.27545158942160514</c:v>
                </c:pt>
                <c:pt idx="146">
                  <c:v>0.27707487497124478</c:v>
                </c:pt>
                <c:pt idx="147">
                  <c:v>0.27767323231257957</c:v>
                </c:pt>
                <c:pt idx="148">
                  <c:v>0.27355062902136684</c:v>
                </c:pt>
                <c:pt idx="149">
                  <c:v>0.26845560914716293</c:v>
                </c:pt>
                <c:pt idx="150">
                  <c:v>0.27211968582686125</c:v>
                </c:pt>
                <c:pt idx="151">
                  <c:v>0.27043005727158043</c:v>
                </c:pt>
                <c:pt idx="152">
                  <c:v>0.27027533218725525</c:v>
                </c:pt>
                <c:pt idx="153">
                  <c:v>0.26948582938263438</c:v>
                </c:pt>
                <c:pt idx="154">
                  <c:v>0.26438791512529281</c:v>
                </c:pt>
                <c:pt idx="155">
                  <c:v>0.26747019682438344</c:v>
                </c:pt>
                <c:pt idx="156">
                  <c:v>0.26997238197854506</c:v>
                </c:pt>
                <c:pt idx="157">
                  <c:v>0.26570941608128035</c:v>
                </c:pt>
                <c:pt idx="158">
                  <c:v>0.26724327029190587</c:v>
                </c:pt>
                <c:pt idx="159">
                  <c:v>0.26754085460752092</c:v>
                </c:pt>
                <c:pt idx="160">
                  <c:v>0.26518149659681872</c:v>
                </c:pt>
                <c:pt idx="161">
                  <c:v>0.26436895914212277</c:v>
                </c:pt>
                <c:pt idx="162">
                  <c:v>0.2648886587973282</c:v>
                </c:pt>
                <c:pt idx="163">
                  <c:v>0.26441609336303123</c:v>
                </c:pt>
                <c:pt idx="164">
                  <c:v>0.26494054790714494</c:v>
                </c:pt>
                <c:pt idx="165">
                  <c:v>0.26387643528455801</c:v>
                </c:pt>
                <c:pt idx="166">
                  <c:v>0.26106541422055107</c:v>
                </c:pt>
                <c:pt idx="167">
                  <c:v>0.26014368305881097</c:v>
                </c:pt>
                <c:pt idx="168">
                  <c:v>0.26195198114507612</c:v>
                </c:pt>
                <c:pt idx="169">
                  <c:v>0.25874181059382567</c:v>
                </c:pt>
                <c:pt idx="170">
                  <c:v>0.25993874518258947</c:v>
                </c:pt>
                <c:pt idx="171">
                  <c:v>0.25883682990596923</c:v>
                </c:pt>
                <c:pt idx="172">
                  <c:v>0.25616913169362265</c:v>
                </c:pt>
                <c:pt idx="173">
                  <c:v>0.25381571790579116</c:v>
                </c:pt>
                <c:pt idx="174">
                  <c:v>0.23706703808481872</c:v>
                </c:pt>
                <c:pt idx="175">
                  <c:v>0.23045985378465067</c:v>
                </c:pt>
                <c:pt idx="176">
                  <c:v>0.22460659565485738</c:v>
                </c:pt>
                <c:pt idx="177">
                  <c:v>0.22207592992412478</c:v>
                </c:pt>
                <c:pt idx="178">
                  <c:v>0.22098970155389547</c:v>
                </c:pt>
                <c:pt idx="179">
                  <c:v>0.21994258959936536</c:v>
                </c:pt>
                <c:pt idx="180">
                  <c:v>0.22253164342382659</c:v>
                </c:pt>
                <c:pt idx="181">
                  <c:v>0.22213629101047966</c:v>
                </c:pt>
                <c:pt idx="182">
                  <c:v>0.22039149616193329</c:v>
                </c:pt>
                <c:pt idx="183">
                  <c:v>0.22100905693428369</c:v>
                </c:pt>
                <c:pt idx="184">
                  <c:v>0.22029055431405442</c:v>
                </c:pt>
                <c:pt idx="185">
                  <c:v>0.21845254607260273</c:v>
                </c:pt>
                <c:pt idx="186">
                  <c:v>0.21716845517423641</c:v>
                </c:pt>
                <c:pt idx="187">
                  <c:v>0.21908818695577775</c:v>
                </c:pt>
                <c:pt idx="188">
                  <c:v>0.21730584898517638</c:v>
                </c:pt>
                <c:pt idx="189">
                  <c:v>0.21609519480810482</c:v>
                </c:pt>
                <c:pt idx="190">
                  <c:v>0.21714234803218577</c:v>
                </c:pt>
                <c:pt idx="191">
                  <c:v>0.21618893986169443</c:v>
                </c:pt>
                <c:pt idx="192">
                  <c:v>0.21694722250792034</c:v>
                </c:pt>
                <c:pt idx="193">
                  <c:v>0.21662091185767512</c:v>
                </c:pt>
                <c:pt idx="194">
                  <c:v>0.21857113450609938</c:v>
                </c:pt>
                <c:pt idx="195">
                  <c:v>0.2174170668674078</c:v>
                </c:pt>
                <c:pt idx="196">
                  <c:v>0.2150451465022587</c:v>
                </c:pt>
                <c:pt idx="197">
                  <c:v>0.21450612031032201</c:v>
                </c:pt>
                <c:pt idx="198">
                  <c:v>0.21488364312399</c:v>
                </c:pt>
                <c:pt idx="199">
                  <c:v>0.2162396440066002</c:v>
                </c:pt>
                <c:pt idx="200">
                  <c:v>0.21775370820248305</c:v>
                </c:pt>
                <c:pt idx="201">
                  <c:v>0.21711082859800274</c:v>
                </c:pt>
                <c:pt idx="202">
                  <c:v>0.21555817701381308</c:v>
                </c:pt>
                <c:pt idx="203">
                  <c:v>0.21435345290096555</c:v>
                </c:pt>
                <c:pt idx="204">
                  <c:v>0.2204268231930771</c:v>
                </c:pt>
                <c:pt idx="205">
                  <c:v>0.21837441407641436</c:v>
                </c:pt>
                <c:pt idx="206">
                  <c:v>0.21967423424909754</c:v>
                </c:pt>
                <c:pt idx="207">
                  <c:v>0.21843880392719728</c:v>
                </c:pt>
                <c:pt idx="208">
                  <c:v>0.21774332286135567</c:v>
                </c:pt>
                <c:pt idx="209">
                  <c:v>0.2150431848339561</c:v>
                </c:pt>
                <c:pt idx="210">
                  <c:v>0.21783925616261435</c:v>
                </c:pt>
                <c:pt idx="211">
                  <c:v>0.21719018029405676</c:v>
                </c:pt>
                <c:pt idx="212">
                  <c:v>0.21248972340955061</c:v>
                </c:pt>
                <c:pt idx="213">
                  <c:v>0.21159414990453282</c:v>
                </c:pt>
                <c:pt idx="214">
                  <c:v>0.20872782097878911</c:v>
                </c:pt>
                <c:pt idx="215">
                  <c:v>0.20614234500975753</c:v>
                </c:pt>
                <c:pt idx="216">
                  <c:v>0.21137823182698806</c:v>
                </c:pt>
                <c:pt idx="217">
                  <c:v>0.20764849684471351</c:v>
                </c:pt>
                <c:pt idx="218">
                  <c:v>0.2077254642769476</c:v>
                </c:pt>
                <c:pt idx="219">
                  <c:v>0.20822020964376711</c:v>
                </c:pt>
                <c:pt idx="220">
                  <c:v>0.20570263821778656</c:v>
                </c:pt>
                <c:pt idx="221">
                  <c:v>0.20456163062699736</c:v>
                </c:pt>
                <c:pt idx="222">
                  <c:v>0.20614251176842635</c:v>
                </c:pt>
                <c:pt idx="223">
                  <c:v>0.20366011898390199</c:v>
                </c:pt>
                <c:pt idx="224">
                  <c:v>0.20724660376565315</c:v>
                </c:pt>
                <c:pt idx="225">
                  <c:v>0.2043670701759443</c:v>
                </c:pt>
                <c:pt idx="226">
                  <c:v>0.20104495882747597</c:v>
                </c:pt>
                <c:pt idx="227">
                  <c:v>0.20181664907236366</c:v>
                </c:pt>
                <c:pt idx="228">
                  <c:v>0.20526073676265602</c:v>
                </c:pt>
                <c:pt idx="229">
                  <c:v>0.20218033534259855</c:v>
                </c:pt>
                <c:pt idx="230">
                  <c:v>0.2038071084639291</c:v>
                </c:pt>
                <c:pt idx="231">
                  <c:v>0.20178510129024488</c:v>
                </c:pt>
                <c:pt idx="232">
                  <c:v>0.20167669585425974</c:v>
                </c:pt>
                <c:pt idx="233">
                  <c:v>0.20171035946752378</c:v>
                </c:pt>
                <c:pt idx="234">
                  <c:v>0.20326355155567902</c:v>
                </c:pt>
                <c:pt idx="235">
                  <c:v>0.20055758953689995</c:v>
                </c:pt>
                <c:pt idx="236">
                  <c:v>0.20043298387521313</c:v>
                </c:pt>
                <c:pt idx="237">
                  <c:v>0.20006094198410121</c:v>
                </c:pt>
                <c:pt idx="238">
                  <c:v>0.1959994244413038</c:v>
                </c:pt>
                <c:pt idx="239">
                  <c:v>0.19554372196409323</c:v>
                </c:pt>
                <c:pt idx="240">
                  <c:v>0.19635559770862751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D-4333-8BC8-470FA830E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490799"/>
        <c:axId val="1806486959"/>
      </c:lineChart>
      <c:dateAx>
        <c:axId val="1806490799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86959"/>
        <c:crosses val="autoZero"/>
        <c:auto val="1"/>
        <c:lblOffset val="100"/>
        <c:baseTimeUnit val="months"/>
      </c:dateAx>
      <c:valAx>
        <c:axId val="18064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49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[totaldebtoutstanding.xlsx]pvt_total_debt!PivotTable1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National Debt Outstanding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pvt_total_debt!$B$3</c:f>
              <c:strCache>
                <c:ptCount val="1"/>
                <c:pt idx="0">
                  <c:v>  Bills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pvt_total_debt!$A$4:$A$245</c:f>
              <c:strCache>
                <c:ptCount val="241"/>
                <c:pt idx="0">
                  <c:v>10/31/2005</c:v>
                </c:pt>
                <c:pt idx="1">
                  <c:v>11/30/2005</c:v>
                </c:pt>
                <c:pt idx="2">
                  <c:v>12/31/2005</c:v>
                </c:pt>
                <c:pt idx="3">
                  <c:v>1/31/2006</c:v>
                </c:pt>
                <c:pt idx="4">
                  <c:v>2/28/2006</c:v>
                </c:pt>
                <c:pt idx="5">
                  <c:v>3/31/2006</c:v>
                </c:pt>
                <c:pt idx="6">
                  <c:v>4/30/2006</c:v>
                </c:pt>
                <c:pt idx="7">
                  <c:v>5/31/2006</c:v>
                </c:pt>
                <c:pt idx="8">
                  <c:v>6/30/2006</c:v>
                </c:pt>
                <c:pt idx="9">
                  <c:v>7/31/2006</c:v>
                </c:pt>
                <c:pt idx="10">
                  <c:v>8/31/2006</c:v>
                </c:pt>
                <c:pt idx="11">
                  <c:v>9/30/2006</c:v>
                </c:pt>
                <c:pt idx="12">
                  <c:v>10/31/2006</c:v>
                </c:pt>
                <c:pt idx="13">
                  <c:v>11/30/2006</c:v>
                </c:pt>
                <c:pt idx="14">
                  <c:v>12/31/2006</c:v>
                </c:pt>
                <c:pt idx="15">
                  <c:v>1/31/2007</c:v>
                </c:pt>
                <c:pt idx="16">
                  <c:v>2/28/2007</c:v>
                </c:pt>
                <c:pt idx="17">
                  <c:v>3/31/2007</c:v>
                </c:pt>
                <c:pt idx="18">
                  <c:v>4/30/2007</c:v>
                </c:pt>
                <c:pt idx="19">
                  <c:v>5/31/2007</c:v>
                </c:pt>
                <c:pt idx="20">
                  <c:v>6/30/2007</c:v>
                </c:pt>
                <c:pt idx="21">
                  <c:v>7/31/2007</c:v>
                </c:pt>
                <c:pt idx="22">
                  <c:v>8/31/2007</c:v>
                </c:pt>
                <c:pt idx="23">
                  <c:v>9/30/2007</c:v>
                </c:pt>
                <c:pt idx="24">
                  <c:v>10/31/2007</c:v>
                </c:pt>
                <c:pt idx="25">
                  <c:v>11/30/2007</c:v>
                </c:pt>
                <c:pt idx="26">
                  <c:v>12/31/2007</c:v>
                </c:pt>
                <c:pt idx="27">
                  <c:v>1/31/2008</c:v>
                </c:pt>
                <c:pt idx="28">
                  <c:v>2/29/2008</c:v>
                </c:pt>
                <c:pt idx="29">
                  <c:v>3/31/2008</c:v>
                </c:pt>
                <c:pt idx="30">
                  <c:v>4/30/2008</c:v>
                </c:pt>
                <c:pt idx="31">
                  <c:v>5/31/2008</c:v>
                </c:pt>
                <c:pt idx="32">
                  <c:v>6/30/2008</c:v>
                </c:pt>
                <c:pt idx="33">
                  <c:v>7/31/2008</c:v>
                </c:pt>
                <c:pt idx="34">
                  <c:v>8/31/2008</c:v>
                </c:pt>
                <c:pt idx="35">
                  <c:v>9/30/2008</c:v>
                </c:pt>
                <c:pt idx="36">
                  <c:v>10/31/2008</c:v>
                </c:pt>
                <c:pt idx="37">
                  <c:v>11/30/2008</c:v>
                </c:pt>
                <c:pt idx="38">
                  <c:v>12/31/2008</c:v>
                </c:pt>
                <c:pt idx="39">
                  <c:v>1/31/2009</c:v>
                </c:pt>
                <c:pt idx="40">
                  <c:v>2/28/2009</c:v>
                </c:pt>
                <c:pt idx="41">
                  <c:v>3/31/2009</c:v>
                </c:pt>
                <c:pt idx="42">
                  <c:v>4/30/2009</c:v>
                </c:pt>
                <c:pt idx="43">
                  <c:v>5/31/2009</c:v>
                </c:pt>
                <c:pt idx="44">
                  <c:v>6/30/2009</c:v>
                </c:pt>
                <c:pt idx="45">
                  <c:v>7/31/2009</c:v>
                </c:pt>
                <c:pt idx="46">
                  <c:v>8/31/2009</c:v>
                </c:pt>
                <c:pt idx="47">
                  <c:v>9/30/2009</c:v>
                </c:pt>
                <c:pt idx="48">
                  <c:v>10/31/2009</c:v>
                </c:pt>
                <c:pt idx="49">
                  <c:v>11/30/2009</c:v>
                </c:pt>
                <c:pt idx="50">
                  <c:v>12/31/2009</c:v>
                </c:pt>
                <c:pt idx="51">
                  <c:v>1/31/2010</c:v>
                </c:pt>
                <c:pt idx="52">
                  <c:v>2/28/2010</c:v>
                </c:pt>
                <c:pt idx="53">
                  <c:v>3/31/2010</c:v>
                </c:pt>
                <c:pt idx="54">
                  <c:v>4/30/2010</c:v>
                </c:pt>
                <c:pt idx="55">
                  <c:v>5/31/2010</c:v>
                </c:pt>
                <c:pt idx="56">
                  <c:v>6/30/2010</c:v>
                </c:pt>
                <c:pt idx="57">
                  <c:v>7/31/2010</c:v>
                </c:pt>
                <c:pt idx="58">
                  <c:v>8/31/2010</c:v>
                </c:pt>
                <c:pt idx="59">
                  <c:v>9/30/2010</c:v>
                </c:pt>
                <c:pt idx="60">
                  <c:v>10/31/2010</c:v>
                </c:pt>
                <c:pt idx="61">
                  <c:v>11/30/2010</c:v>
                </c:pt>
                <c:pt idx="62">
                  <c:v>12/31/2010</c:v>
                </c:pt>
                <c:pt idx="63">
                  <c:v>1/31/2011</c:v>
                </c:pt>
                <c:pt idx="64">
                  <c:v>2/28/2011</c:v>
                </c:pt>
                <c:pt idx="65">
                  <c:v>3/31/2011</c:v>
                </c:pt>
                <c:pt idx="66">
                  <c:v>4/30/2011</c:v>
                </c:pt>
                <c:pt idx="67">
                  <c:v>5/31/2011</c:v>
                </c:pt>
                <c:pt idx="68">
                  <c:v>6/30/2011</c:v>
                </c:pt>
                <c:pt idx="69">
                  <c:v>7/31/2011</c:v>
                </c:pt>
                <c:pt idx="70">
                  <c:v>8/31/2011</c:v>
                </c:pt>
                <c:pt idx="71">
                  <c:v>9/30/2011</c:v>
                </c:pt>
                <c:pt idx="72">
                  <c:v>10/31/2011</c:v>
                </c:pt>
                <c:pt idx="73">
                  <c:v>11/30/2011</c:v>
                </c:pt>
                <c:pt idx="74">
                  <c:v>12/31/2011</c:v>
                </c:pt>
                <c:pt idx="75">
                  <c:v>1/31/2012</c:v>
                </c:pt>
                <c:pt idx="76">
                  <c:v>2/29/2012</c:v>
                </c:pt>
                <c:pt idx="77">
                  <c:v>3/31/2012</c:v>
                </c:pt>
                <c:pt idx="78">
                  <c:v>4/30/2012</c:v>
                </c:pt>
                <c:pt idx="79">
                  <c:v>5/31/2012</c:v>
                </c:pt>
                <c:pt idx="80">
                  <c:v>6/30/2012</c:v>
                </c:pt>
                <c:pt idx="81">
                  <c:v>7/31/2012</c:v>
                </c:pt>
                <c:pt idx="82">
                  <c:v>8/31/2012</c:v>
                </c:pt>
                <c:pt idx="83">
                  <c:v>9/30/2012</c:v>
                </c:pt>
                <c:pt idx="84">
                  <c:v>10/31/2012</c:v>
                </c:pt>
                <c:pt idx="85">
                  <c:v>11/30/2012</c:v>
                </c:pt>
                <c:pt idx="86">
                  <c:v>12/31/2012</c:v>
                </c:pt>
                <c:pt idx="87">
                  <c:v>1/31/2013</c:v>
                </c:pt>
                <c:pt idx="88">
                  <c:v>2/28/2013</c:v>
                </c:pt>
                <c:pt idx="89">
                  <c:v>3/31/2013</c:v>
                </c:pt>
                <c:pt idx="90">
                  <c:v>4/30/2013</c:v>
                </c:pt>
                <c:pt idx="91">
                  <c:v>5/31/2013</c:v>
                </c:pt>
                <c:pt idx="92">
                  <c:v>6/30/2013</c:v>
                </c:pt>
                <c:pt idx="93">
                  <c:v>7/31/2013</c:v>
                </c:pt>
                <c:pt idx="94">
                  <c:v>8/31/2013</c:v>
                </c:pt>
                <c:pt idx="95">
                  <c:v>9/30/2013</c:v>
                </c:pt>
                <c:pt idx="96">
                  <c:v>10/31/2013</c:v>
                </c:pt>
                <c:pt idx="97">
                  <c:v>11/30/2013</c:v>
                </c:pt>
                <c:pt idx="98">
                  <c:v>12/31/2013</c:v>
                </c:pt>
                <c:pt idx="99">
                  <c:v>1/31/2014</c:v>
                </c:pt>
                <c:pt idx="100">
                  <c:v>2/28/2014</c:v>
                </c:pt>
                <c:pt idx="101">
                  <c:v>3/31/2014</c:v>
                </c:pt>
                <c:pt idx="102">
                  <c:v>4/30/2014</c:v>
                </c:pt>
                <c:pt idx="103">
                  <c:v>5/31/2014</c:v>
                </c:pt>
                <c:pt idx="104">
                  <c:v>6/30/2014</c:v>
                </c:pt>
                <c:pt idx="105">
                  <c:v>7/31/2014</c:v>
                </c:pt>
                <c:pt idx="106">
                  <c:v>8/31/2014</c:v>
                </c:pt>
                <c:pt idx="107">
                  <c:v>9/30/2014</c:v>
                </c:pt>
                <c:pt idx="108">
                  <c:v>10/31/2014</c:v>
                </c:pt>
                <c:pt idx="109">
                  <c:v>11/30/2014</c:v>
                </c:pt>
                <c:pt idx="110">
                  <c:v>12/31/2014</c:v>
                </c:pt>
                <c:pt idx="111">
                  <c:v>1/31/2015</c:v>
                </c:pt>
                <c:pt idx="112">
                  <c:v>2/28/2015</c:v>
                </c:pt>
                <c:pt idx="113">
                  <c:v>3/31/2015</c:v>
                </c:pt>
                <c:pt idx="114">
                  <c:v>4/30/2015</c:v>
                </c:pt>
                <c:pt idx="115">
                  <c:v>5/31/2015</c:v>
                </c:pt>
                <c:pt idx="116">
                  <c:v>6/30/2015</c:v>
                </c:pt>
                <c:pt idx="117">
                  <c:v>7/31/2015</c:v>
                </c:pt>
                <c:pt idx="118">
                  <c:v>8/31/2015</c:v>
                </c:pt>
                <c:pt idx="119">
                  <c:v>9/30/2015</c:v>
                </c:pt>
                <c:pt idx="120">
                  <c:v>10/31/2015</c:v>
                </c:pt>
                <c:pt idx="121">
                  <c:v>11/30/2015</c:v>
                </c:pt>
                <c:pt idx="122">
                  <c:v>12/31/2015</c:v>
                </c:pt>
                <c:pt idx="123">
                  <c:v>1/31/2016</c:v>
                </c:pt>
                <c:pt idx="124">
                  <c:v>2/29/2016</c:v>
                </c:pt>
                <c:pt idx="125">
                  <c:v>3/31/2016</c:v>
                </c:pt>
                <c:pt idx="126">
                  <c:v>4/30/2016</c:v>
                </c:pt>
                <c:pt idx="127">
                  <c:v>5/31/2016</c:v>
                </c:pt>
                <c:pt idx="128">
                  <c:v>6/30/2016</c:v>
                </c:pt>
                <c:pt idx="129">
                  <c:v>7/31/2016</c:v>
                </c:pt>
                <c:pt idx="130">
                  <c:v>8/31/2016</c:v>
                </c:pt>
                <c:pt idx="131">
                  <c:v>9/30/2016</c:v>
                </c:pt>
                <c:pt idx="132">
                  <c:v>10/31/2016</c:v>
                </c:pt>
                <c:pt idx="133">
                  <c:v>11/30/2016</c:v>
                </c:pt>
                <c:pt idx="134">
                  <c:v>12/31/2016</c:v>
                </c:pt>
                <c:pt idx="135">
                  <c:v>1/31/2017</c:v>
                </c:pt>
                <c:pt idx="136">
                  <c:v>2/28/2017</c:v>
                </c:pt>
                <c:pt idx="137">
                  <c:v>3/31/2017</c:v>
                </c:pt>
                <c:pt idx="138">
                  <c:v>4/30/2017</c:v>
                </c:pt>
                <c:pt idx="139">
                  <c:v>5/31/2017</c:v>
                </c:pt>
                <c:pt idx="140">
                  <c:v>6/30/2017</c:v>
                </c:pt>
                <c:pt idx="141">
                  <c:v>7/31/2017</c:v>
                </c:pt>
                <c:pt idx="142">
                  <c:v>8/31/2017</c:v>
                </c:pt>
                <c:pt idx="143">
                  <c:v>9/30/2017</c:v>
                </c:pt>
                <c:pt idx="144">
                  <c:v>10/31/2017</c:v>
                </c:pt>
                <c:pt idx="145">
                  <c:v>11/30/2017</c:v>
                </c:pt>
                <c:pt idx="146">
                  <c:v>12/31/2017</c:v>
                </c:pt>
                <c:pt idx="147">
                  <c:v>1/31/2018</c:v>
                </c:pt>
                <c:pt idx="148">
                  <c:v>2/28/2018</c:v>
                </c:pt>
                <c:pt idx="149">
                  <c:v>3/31/2018</c:v>
                </c:pt>
                <c:pt idx="150">
                  <c:v>4/30/2018</c:v>
                </c:pt>
                <c:pt idx="151">
                  <c:v>5/31/2018</c:v>
                </c:pt>
                <c:pt idx="152">
                  <c:v>6/30/2018</c:v>
                </c:pt>
                <c:pt idx="153">
                  <c:v>7/31/2018</c:v>
                </c:pt>
                <c:pt idx="154">
                  <c:v>8/31/2018</c:v>
                </c:pt>
                <c:pt idx="155">
                  <c:v>9/30/2018</c:v>
                </c:pt>
                <c:pt idx="156">
                  <c:v>10/31/2018</c:v>
                </c:pt>
                <c:pt idx="157">
                  <c:v>11/30/2018</c:v>
                </c:pt>
                <c:pt idx="158">
                  <c:v>12/31/2018</c:v>
                </c:pt>
                <c:pt idx="159">
                  <c:v>1/31/2019</c:v>
                </c:pt>
                <c:pt idx="160">
                  <c:v>2/28/2019</c:v>
                </c:pt>
                <c:pt idx="161">
                  <c:v>3/31/2019</c:v>
                </c:pt>
                <c:pt idx="162">
                  <c:v>4/30/2019</c:v>
                </c:pt>
                <c:pt idx="163">
                  <c:v>5/31/2019</c:v>
                </c:pt>
                <c:pt idx="164">
                  <c:v>6/30/2019</c:v>
                </c:pt>
                <c:pt idx="165">
                  <c:v>7/31/2019</c:v>
                </c:pt>
                <c:pt idx="166">
                  <c:v>8/31/2019</c:v>
                </c:pt>
                <c:pt idx="167">
                  <c:v>9/30/2019</c:v>
                </c:pt>
                <c:pt idx="168">
                  <c:v>10/31/2019</c:v>
                </c:pt>
                <c:pt idx="169">
                  <c:v>11/30/2019</c:v>
                </c:pt>
                <c:pt idx="170">
                  <c:v>12/31/2019</c:v>
                </c:pt>
                <c:pt idx="171">
                  <c:v>1/31/2020</c:v>
                </c:pt>
                <c:pt idx="172">
                  <c:v>2/29/2020</c:v>
                </c:pt>
                <c:pt idx="173">
                  <c:v>3/31/2020</c:v>
                </c:pt>
                <c:pt idx="174">
                  <c:v>4/30/2020</c:v>
                </c:pt>
                <c:pt idx="175">
                  <c:v>5/31/2020</c:v>
                </c:pt>
                <c:pt idx="176">
                  <c:v>6/30/2020</c:v>
                </c:pt>
                <c:pt idx="177">
                  <c:v>7/31/2020</c:v>
                </c:pt>
                <c:pt idx="178">
                  <c:v>8/31/2020</c:v>
                </c:pt>
                <c:pt idx="179">
                  <c:v>9/30/2020</c:v>
                </c:pt>
                <c:pt idx="180">
                  <c:v>10/31/2020</c:v>
                </c:pt>
                <c:pt idx="181">
                  <c:v>11/30/2020</c:v>
                </c:pt>
                <c:pt idx="182">
                  <c:v>12/31/2020</c:v>
                </c:pt>
                <c:pt idx="183">
                  <c:v>1/31/2021</c:v>
                </c:pt>
                <c:pt idx="184">
                  <c:v>2/28/2021</c:v>
                </c:pt>
                <c:pt idx="185">
                  <c:v>3/31/2021</c:v>
                </c:pt>
                <c:pt idx="186">
                  <c:v>4/30/2021</c:v>
                </c:pt>
                <c:pt idx="187">
                  <c:v>5/31/2021</c:v>
                </c:pt>
                <c:pt idx="188">
                  <c:v>6/30/2021</c:v>
                </c:pt>
                <c:pt idx="189">
                  <c:v>7/31/2021</c:v>
                </c:pt>
                <c:pt idx="190">
                  <c:v>8/31/2021</c:v>
                </c:pt>
                <c:pt idx="191">
                  <c:v>9/30/2021</c:v>
                </c:pt>
                <c:pt idx="192">
                  <c:v>10/31/2021</c:v>
                </c:pt>
                <c:pt idx="193">
                  <c:v>11/30/2021</c:v>
                </c:pt>
                <c:pt idx="194">
                  <c:v>12/31/2021</c:v>
                </c:pt>
                <c:pt idx="195">
                  <c:v>1/31/2022</c:v>
                </c:pt>
                <c:pt idx="196">
                  <c:v>2/28/2022</c:v>
                </c:pt>
                <c:pt idx="197">
                  <c:v>3/31/2022</c:v>
                </c:pt>
                <c:pt idx="198">
                  <c:v>4/30/2022</c:v>
                </c:pt>
                <c:pt idx="199">
                  <c:v>5/31/2022</c:v>
                </c:pt>
                <c:pt idx="200">
                  <c:v>6/30/2022</c:v>
                </c:pt>
                <c:pt idx="201">
                  <c:v>7/31/2022</c:v>
                </c:pt>
                <c:pt idx="202">
                  <c:v>8/31/2022</c:v>
                </c:pt>
                <c:pt idx="203">
                  <c:v>9/30/2022</c:v>
                </c:pt>
                <c:pt idx="204">
                  <c:v>10/31/2022</c:v>
                </c:pt>
                <c:pt idx="205">
                  <c:v>11/30/2022</c:v>
                </c:pt>
                <c:pt idx="206">
                  <c:v>12/31/2022</c:v>
                </c:pt>
                <c:pt idx="207">
                  <c:v>1/31/2023</c:v>
                </c:pt>
                <c:pt idx="208">
                  <c:v>2/28/2023</c:v>
                </c:pt>
                <c:pt idx="209">
                  <c:v>3/31/2023</c:v>
                </c:pt>
                <c:pt idx="210">
                  <c:v>4/30/2023</c:v>
                </c:pt>
                <c:pt idx="211">
                  <c:v>5/31/2023</c:v>
                </c:pt>
                <c:pt idx="212">
                  <c:v>6/30/2023</c:v>
                </c:pt>
                <c:pt idx="213">
                  <c:v>7/31/2023</c:v>
                </c:pt>
                <c:pt idx="214">
                  <c:v>8/31/2023</c:v>
                </c:pt>
                <c:pt idx="215">
                  <c:v>9/30/2023</c:v>
                </c:pt>
                <c:pt idx="216">
                  <c:v>10/31/2023</c:v>
                </c:pt>
                <c:pt idx="217">
                  <c:v>11/30/2023</c:v>
                </c:pt>
                <c:pt idx="218">
                  <c:v>12/31/2023</c:v>
                </c:pt>
                <c:pt idx="219">
                  <c:v>1/31/2024</c:v>
                </c:pt>
                <c:pt idx="220">
                  <c:v>2/29/2024</c:v>
                </c:pt>
                <c:pt idx="221">
                  <c:v>3/31/2024</c:v>
                </c:pt>
                <c:pt idx="222">
                  <c:v>4/30/2024</c:v>
                </c:pt>
                <c:pt idx="223">
                  <c:v>5/31/2024</c:v>
                </c:pt>
                <c:pt idx="224">
                  <c:v>6/30/2024</c:v>
                </c:pt>
                <c:pt idx="225">
                  <c:v>7/31/2024</c:v>
                </c:pt>
                <c:pt idx="226">
                  <c:v>8/31/2024</c:v>
                </c:pt>
                <c:pt idx="227">
                  <c:v>9/30/2024</c:v>
                </c:pt>
                <c:pt idx="228">
                  <c:v>10/31/2024</c:v>
                </c:pt>
                <c:pt idx="229">
                  <c:v>11/30/2024</c:v>
                </c:pt>
                <c:pt idx="230">
                  <c:v>12/31/2024</c:v>
                </c:pt>
                <c:pt idx="231">
                  <c:v>1/31/2025</c:v>
                </c:pt>
                <c:pt idx="232">
                  <c:v>2/28/2025</c:v>
                </c:pt>
                <c:pt idx="233">
                  <c:v>3/31/2025</c:v>
                </c:pt>
                <c:pt idx="234">
                  <c:v>4/30/2025</c:v>
                </c:pt>
                <c:pt idx="235">
                  <c:v>5/31/2025</c:v>
                </c:pt>
                <c:pt idx="236">
                  <c:v>6/30/2025</c:v>
                </c:pt>
                <c:pt idx="237">
                  <c:v>7/31/2025</c:v>
                </c:pt>
                <c:pt idx="238">
                  <c:v>8/31/2025</c:v>
                </c:pt>
                <c:pt idx="239">
                  <c:v>9/30/2025</c:v>
                </c:pt>
                <c:pt idx="240">
                  <c:v>10/31/2025</c:v>
                </c:pt>
              </c:strCache>
            </c:strRef>
          </c:cat>
          <c:val>
            <c:numRef>
              <c:f>pvt_total_debt!$B$4:$B$245</c:f>
              <c:numCache>
                <c:formatCode>"$"#,##0.00</c:formatCode>
                <c:ptCount val="241"/>
                <c:pt idx="0">
                  <c:v>936595.96400000004</c:v>
                </c:pt>
                <c:pt idx="1">
                  <c:v>986934.11899999995</c:v>
                </c:pt>
                <c:pt idx="2">
                  <c:v>963866.81499999994</c:v>
                </c:pt>
                <c:pt idx="3">
                  <c:v>956249.82200000004</c:v>
                </c:pt>
                <c:pt idx="4">
                  <c:v>999561.12800000003</c:v>
                </c:pt>
                <c:pt idx="5">
                  <c:v>1042049.982</c:v>
                </c:pt>
                <c:pt idx="6">
                  <c:v>965107.24800000002</c:v>
                </c:pt>
                <c:pt idx="7">
                  <c:v>954441.12199999997</c:v>
                </c:pt>
                <c:pt idx="8">
                  <c:v>916706.52300000004</c:v>
                </c:pt>
                <c:pt idx="9">
                  <c:v>932693.75199999998</c:v>
                </c:pt>
                <c:pt idx="10">
                  <c:v>962312.91799999995</c:v>
                </c:pt>
                <c:pt idx="11">
                  <c:v>911530.57299999997</c:v>
                </c:pt>
                <c:pt idx="12">
                  <c:v>929516.57</c:v>
                </c:pt>
                <c:pt idx="13">
                  <c:v>989036.22199999995</c:v>
                </c:pt>
                <c:pt idx="14">
                  <c:v>944223.52899999998</c:v>
                </c:pt>
                <c:pt idx="15">
                  <c:v>932075.37</c:v>
                </c:pt>
                <c:pt idx="16">
                  <c:v>982088.78899999999</c:v>
                </c:pt>
                <c:pt idx="17">
                  <c:v>1033096.039</c:v>
                </c:pt>
                <c:pt idx="18">
                  <c:v>944086.87</c:v>
                </c:pt>
                <c:pt idx="19">
                  <c:v>919078.94200000004</c:v>
                </c:pt>
                <c:pt idx="20">
                  <c:v>869051.6</c:v>
                </c:pt>
                <c:pt idx="21">
                  <c:v>892068.28500000003</c:v>
                </c:pt>
                <c:pt idx="22">
                  <c:v>1014066.795</c:v>
                </c:pt>
                <c:pt idx="23">
                  <c:v>958081.26699999999</c:v>
                </c:pt>
                <c:pt idx="24">
                  <c:v>938072.72199999995</c:v>
                </c:pt>
                <c:pt idx="25">
                  <c:v>1035049.336</c:v>
                </c:pt>
                <c:pt idx="26">
                  <c:v>1003874.672</c:v>
                </c:pt>
                <c:pt idx="27">
                  <c:v>984387.57499999995</c:v>
                </c:pt>
                <c:pt idx="28">
                  <c:v>1125392.7830000001</c:v>
                </c:pt>
                <c:pt idx="29">
                  <c:v>1158388.0460000001</c:v>
                </c:pt>
                <c:pt idx="30">
                  <c:v>1025716.2554</c:v>
                </c:pt>
                <c:pt idx="31">
                  <c:v>1119245.4436000001</c:v>
                </c:pt>
                <c:pt idx="32">
                  <c:v>1060456.8025</c:v>
                </c:pt>
                <c:pt idx="33">
                  <c:v>1135785.9504</c:v>
                </c:pt>
                <c:pt idx="34">
                  <c:v>1227192.348</c:v>
                </c:pt>
                <c:pt idx="35">
                  <c:v>1489808.2461999999</c:v>
                </c:pt>
                <c:pt idx="36">
                  <c:v>1909735.6562999999</c:v>
                </c:pt>
                <c:pt idx="37">
                  <c:v>2003705.9193</c:v>
                </c:pt>
                <c:pt idx="38">
                  <c:v>1866666.324</c:v>
                </c:pt>
                <c:pt idx="39">
                  <c:v>1798562.7548</c:v>
                </c:pt>
                <c:pt idx="40">
                  <c:v>1985567.0541999999</c:v>
                </c:pt>
                <c:pt idx="41">
                  <c:v>2033565.5160000001</c:v>
                </c:pt>
                <c:pt idx="42">
                  <c:v>1994533.33</c:v>
                </c:pt>
                <c:pt idx="43">
                  <c:v>2065401.3322999999</c:v>
                </c:pt>
                <c:pt idx="44">
                  <c:v>2006462.8655999999</c:v>
                </c:pt>
                <c:pt idx="45">
                  <c:v>2020483.8473</c:v>
                </c:pt>
                <c:pt idx="46">
                  <c:v>2068494.4820999999</c:v>
                </c:pt>
                <c:pt idx="47">
                  <c:v>1992507.9058999999</c:v>
                </c:pt>
                <c:pt idx="48">
                  <c:v>1858506.7152</c:v>
                </c:pt>
                <c:pt idx="49">
                  <c:v>1850499.4236999999</c:v>
                </c:pt>
                <c:pt idx="50">
                  <c:v>1793480.4983000001</c:v>
                </c:pt>
                <c:pt idx="51">
                  <c:v>1689452.68</c:v>
                </c:pt>
                <c:pt idx="52">
                  <c:v>1736455.3439</c:v>
                </c:pt>
                <c:pt idx="53">
                  <c:v>1843478.1791000001</c:v>
                </c:pt>
                <c:pt idx="54">
                  <c:v>1847529.9140000001</c:v>
                </c:pt>
                <c:pt idx="55">
                  <c:v>1855517.8015000001</c:v>
                </c:pt>
                <c:pt idx="56">
                  <c:v>1782525.5611</c:v>
                </c:pt>
                <c:pt idx="57">
                  <c:v>1790503.3211000001</c:v>
                </c:pt>
                <c:pt idx="58">
                  <c:v>1825518.2359</c:v>
                </c:pt>
                <c:pt idx="59">
                  <c:v>1788452.9038</c:v>
                </c:pt>
                <c:pt idx="60">
                  <c:v>1768460.2339000001</c:v>
                </c:pt>
                <c:pt idx="61">
                  <c:v>1775456.0445000001</c:v>
                </c:pt>
                <c:pt idx="62">
                  <c:v>1772527.8811999999</c:v>
                </c:pt>
                <c:pt idx="63">
                  <c:v>1760544.1584000001</c:v>
                </c:pt>
                <c:pt idx="64">
                  <c:v>1738515.1597</c:v>
                </c:pt>
                <c:pt idx="65">
                  <c:v>1698500.8334999999</c:v>
                </c:pt>
                <c:pt idx="66">
                  <c:v>1638492.5634000001</c:v>
                </c:pt>
                <c:pt idx="67">
                  <c:v>1578504.8411999999</c:v>
                </c:pt>
                <c:pt idx="68">
                  <c:v>1531494.871</c:v>
                </c:pt>
                <c:pt idx="69">
                  <c:v>1492496.7899</c:v>
                </c:pt>
                <c:pt idx="70">
                  <c:v>1493509.9842999999</c:v>
                </c:pt>
                <c:pt idx="71">
                  <c:v>1477505.2662</c:v>
                </c:pt>
                <c:pt idx="72">
                  <c:v>1482502.8165</c:v>
                </c:pt>
                <c:pt idx="73">
                  <c:v>1512477.9716</c:v>
                </c:pt>
                <c:pt idx="74">
                  <c:v>1520517.2592</c:v>
                </c:pt>
                <c:pt idx="75">
                  <c:v>1525445.6916</c:v>
                </c:pt>
                <c:pt idx="76">
                  <c:v>1610416.1174999999</c:v>
                </c:pt>
                <c:pt idx="77">
                  <c:v>1674435.3526000001</c:v>
                </c:pt>
                <c:pt idx="78">
                  <c:v>1613425.568</c:v>
                </c:pt>
                <c:pt idx="79">
                  <c:v>1605420.9405</c:v>
                </c:pt>
                <c:pt idx="80">
                  <c:v>1596401.8578999999</c:v>
                </c:pt>
                <c:pt idx="81">
                  <c:v>1580992.2901000001</c:v>
                </c:pt>
                <c:pt idx="82">
                  <c:v>1663005.4136999999</c:v>
                </c:pt>
                <c:pt idx="83">
                  <c:v>1616008.8097999999</c:v>
                </c:pt>
                <c:pt idx="84">
                  <c:v>1622004.6351000001</c:v>
                </c:pt>
                <c:pt idx="85">
                  <c:v>1694989.2453000001</c:v>
                </c:pt>
                <c:pt idx="86">
                  <c:v>1628970.5789999999</c:v>
                </c:pt>
                <c:pt idx="87">
                  <c:v>1607947.9669000001</c:v>
                </c:pt>
                <c:pt idx="88">
                  <c:v>1741950.0837999999</c:v>
                </c:pt>
                <c:pt idx="89">
                  <c:v>1790952.2896</c:v>
                </c:pt>
                <c:pt idx="90">
                  <c:v>1694949.3496999999</c:v>
                </c:pt>
                <c:pt idx="91">
                  <c:v>1606939.8532</c:v>
                </c:pt>
                <c:pt idx="92">
                  <c:v>1569949.7052</c:v>
                </c:pt>
                <c:pt idx="93">
                  <c:v>1555957.7714</c:v>
                </c:pt>
                <c:pt idx="94">
                  <c:v>1637964.1410000001</c:v>
                </c:pt>
                <c:pt idx="95">
                  <c:v>1529971.7638000001</c:v>
                </c:pt>
                <c:pt idx="96">
                  <c:v>1544961.5736</c:v>
                </c:pt>
                <c:pt idx="97">
                  <c:v>1620955.6969999999</c:v>
                </c:pt>
                <c:pt idx="98">
                  <c:v>1591951.6288000001</c:v>
                </c:pt>
                <c:pt idx="99">
                  <c:v>1485976.6554</c:v>
                </c:pt>
                <c:pt idx="100">
                  <c:v>1613972.1987000001</c:v>
                </c:pt>
                <c:pt idx="101">
                  <c:v>1651968.5286000001</c:v>
                </c:pt>
                <c:pt idx="102">
                  <c:v>1458970.5999</c:v>
                </c:pt>
                <c:pt idx="103">
                  <c:v>1448984.1529000001</c:v>
                </c:pt>
                <c:pt idx="104">
                  <c:v>1387986.4894999999</c:v>
                </c:pt>
                <c:pt idx="105">
                  <c:v>1409986.5554</c:v>
                </c:pt>
                <c:pt idx="106">
                  <c:v>1451997.6675</c:v>
                </c:pt>
                <c:pt idx="107">
                  <c:v>1410980.0164999999</c:v>
                </c:pt>
                <c:pt idx="108">
                  <c:v>1413945.199</c:v>
                </c:pt>
                <c:pt idx="109">
                  <c:v>1439922.0847</c:v>
                </c:pt>
                <c:pt idx="110">
                  <c:v>1457885.0944000001</c:v>
                </c:pt>
                <c:pt idx="111">
                  <c:v>1412886.9066999999</c:v>
                </c:pt>
                <c:pt idx="112">
                  <c:v>1472887.7398999999</c:v>
                </c:pt>
                <c:pt idx="113">
                  <c:v>1477899.5856000001</c:v>
                </c:pt>
                <c:pt idx="114">
                  <c:v>1432934.6255000001</c:v>
                </c:pt>
                <c:pt idx="115">
                  <c:v>1446958.3382999999</c:v>
                </c:pt>
                <c:pt idx="116">
                  <c:v>1394991.4998999999</c:v>
                </c:pt>
                <c:pt idx="117">
                  <c:v>1439988.7150000001</c:v>
                </c:pt>
                <c:pt idx="118">
                  <c:v>1423975.0643</c:v>
                </c:pt>
                <c:pt idx="119">
                  <c:v>1357997.0004</c:v>
                </c:pt>
                <c:pt idx="120">
                  <c:v>1272997.9737</c:v>
                </c:pt>
                <c:pt idx="121">
                  <c:v>1505974.838</c:v>
                </c:pt>
                <c:pt idx="122">
                  <c:v>1513957.2205999999</c:v>
                </c:pt>
                <c:pt idx="123">
                  <c:v>1477933.7185</c:v>
                </c:pt>
                <c:pt idx="124">
                  <c:v>1551947.1177999999</c:v>
                </c:pt>
                <c:pt idx="125">
                  <c:v>1617959.5922999999</c:v>
                </c:pt>
                <c:pt idx="126">
                  <c:v>1526955.9099000001</c:v>
                </c:pt>
                <c:pt idx="127">
                  <c:v>1523956.9109</c:v>
                </c:pt>
                <c:pt idx="128">
                  <c:v>1507947.0490000001</c:v>
                </c:pt>
                <c:pt idx="129">
                  <c:v>1549932.3032</c:v>
                </c:pt>
                <c:pt idx="130">
                  <c:v>1632948.8173</c:v>
                </c:pt>
                <c:pt idx="131">
                  <c:v>1646964.0462</c:v>
                </c:pt>
                <c:pt idx="132">
                  <c:v>1752948.7932</c:v>
                </c:pt>
                <c:pt idx="133">
                  <c:v>1872954.4948</c:v>
                </c:pt>
                <c:pt idx="134">
                  <c:v>1817963.28</c:v>
                </c:pt>
                <c:pt idx="135">
                  <c:v>1761978.8089999999</c:v>
                </c:pt>
                <c:pt idx="136">
                  <c:v>1752962.9443000001</c:v>
                </c:pt>
                <c:pt idx="137">
                  <c:v>1756960.3962000001</c:v>
                </c:pt>
                <c:pt idx="138">
                  <c:v>1741990.8498</c:v>
                </c:pt>
                <c:pt idx="139">
                  <c:v>1747958.689</c:v>
                </c:pt>
                <c:pt idx="140">
                  <c:v>1717958.0643</c:v>
                </c:pt>
                <c:pt idx="141">
                  <c:v>1757956.5041</c:v>
                </c:pt>
                <c:pt idx="142">
                  <c:v>1747922.415</c:v>
                </c:pt>
                <c:pt idx="143">
                  <c:v>1801936.2261999999</c:v>
                </c:pt>
                <c:pt idx="144">
                  <c:v>1855928.7075</c:v>
                </c:pt>
                <c:pt idx="145">
                  <c:v>1970909.9183</c:v>
                </c:pt>
                <c:pt idx="146">
                  <c:v>1955932.5582999999</c:v>
                </c:pt>
                <c:pt idx="147">
                  <c:v>1966939.3541000001</c:v>
                </c:pt>
                <c:pt idx="148">
                  <c:v>2077966.3355</c:v>
                </c:pt>
                <c:pt idx="149">
                  <c:v>2288968.9572999999</c:v>
                </c:pt>
                <c:pt idx="150">
                  <c:v>2168986.9803999998</c:v>
                </c:pt>
                <c:pt idx="151">
                  <c:v>2183982.1354999999</c:v>
                </c:pt>
                <c:pt idx="152">
                  <c:v>2157980.7514</c:v>
                </c:pt>
                <c:pt idx="153">
                  <c:v>2205896.0077</c:v>
                </c:pt>
                <c:pt idx="154">
                  <c:v>2340923.0734000001</c:v>
                </c:pt>
                <c:pt idx="155">
                  <c:v>2239936.2821</c:v>
                </c:pt>
                <c:pt idx="156">
                  <c:v>2258001.4007000001</c:v>
                </c:pt>
                <c:pt idx="157">
                  <c:v>2389100.0967999999</c:v>
                </c:pt>
                <c:pt idx="158">
                  <c:v>2339992.5847</c:v>
                </c:pt>
                <c:pt idx="159">
                  <c:v>2299064.8783999998</c:v>
                </c:pt>
                <c:pt idx="160">
                  <c:v>2396041.9429000001</c:v>
                </c:pt>
                <c:pt idx="161">
                  <c:v>2480035.1888000001</c:v>
                </c:pt>
                <c:pt idx="162">
                  <c:v>2383993.1211000001</c:v>
                </c:pt>
                <c:pt idx="163">
                  <c:v>2353946.2359000002</c:v>
                </c:pt>
                <c:pt idx="164">
                  <c:v>2250933.8631000002</c:v>
                </c:pt>
                <c:pt idx="165">
                  <c:v>2205896.8459999999</c:v>
                </c:pt>
                <c:pt idx="166">
                  <c:v>2331915.1312000002</c:v>
                </c:pt>
                <c:pt idx="167">
                  <c:v>2376957.9278000002</c:v>
                </c:pt>
                <c:pt idx="168">
                  <c:v>2456075.3764</c:v>
                </c:pt>
                <c:pt idx="169">
                  <c:v>2515128.0787999998</c:v>
                </c:pt>
                <c:pt idx="170">
                  <c:v>2416864.2230000002</c:v>
                </c:pt>
                <c:pt idx="171">
                  <c:v>2404290.7659</c:v>
                </c:pt>
                <c:pt idx="172">
                  <c:v>2564583.1002000002</c:v>
                </c:pt>
                <c:pt idx="173">
                  <c:v>2657439.3487</c:v>
                </c:pt>
                <c:pt idx="174">
                  <c:v>4001773.2059999998</c:v>
                </c:pt>
                <c:pt idx="175">
                  <c:v>4629918.6409999998</c:v>
                </c:pt>
                <c:pt idx="176">
                  <c:v>5079626.0735999998</c:v>
                </c:pt>
                <c:pt idx="177">
                  <c:v>5078940.9177000001</c:v>
                </c:pt>
                <c:pt idx="178">
                  <c:v>5076721.4434000002</c:v>
                </c:pt>
                <c:pt idx="179">
                  <c:v>5028907.6507999999</c:v>
                </c:pt>
                <c:pt idx="180">
                  <c:v>4985339.5272000004</c:v>
                </c:pt>
                <c:pt idx="181">
                  <c:v>4943663.5075000003</c:v>
                </c:pt>
                <c:pt idx="182">
                  <c:v>4964139.8545000004</c:v>
                </c:pt>
                <c:pt idx="183">
                  <c:v>4954950.1574999997</c:v>
                </c:pt>
                <c:pt idx="184">
                  <c:v>4859032.8505999995</c:v>
                </c:pt>
                <c:pt idx="185">
                  <c:v>4669038.5120999999</c:v>
                </c:pt>
                <c:pt idx="186">
                  <c:v>4540050.4091999996</c:v>
                </c:pt>
                <c:pt idx="187">
                  <c:v>4377077.6848999998</c:v>
                </c:pt>
                <c:pt idx="188">
                  <c:v>4275091.9676000001</c:v>
                </c:pt>
                <c:pt idx="189">
                  <c:v>4142126.6849000002</c:v>
                </c:pt>
                <c:pt idx="190">
                  <c:v>4038112.7478</c:v>
                </c:pt>
                <c:pt idx="191">
                  <c:v>3714118.5682999999</c:v>
                </c:pt>
                <c:pt idx="192">
                  <c:v>3852105.9434000002</c:v>
                </c:pt>
                <c:pt idx="193">
                  <c:v>3786096.3273999998</c:v>
                </c:pt>
                <c:pt idx="194">
                  <c:v>3770065.5680999998</c:v>
                </c:pt>
                <c:pt idx="195">
                  <c:v>3961051.3703000001</c:v>
                </c:pt>
                <c:pt idx="196">
                  <c:v>4055001.6864999998</c:v>
                </c:pt>
                <c:pt idx="197">
                  <c:v>3928960.8736</c:v>
                </c:pt>
                <c:pt idx="198">
                  <c:v>3827928.1022999999</c:v>
                </c:pt>
                <c:pt idx="199">
                  <c:v>3672923.3171000001</c:v>
                </c:pt>
                <c:pt idx="200">
                  <c:v>3523925.3166</c:v>
                </c:pt>
                <c:pt idx="201">
                  <c:v>3514936.0011999998</c:v>
                </c:pt>
                <c:pt idx="202">
                  <c:v>3724979.3820000002</c:v>
                </c:pt>
                <c:pt idx="203">
                  <c:v>3644620.2004</c:v>
                </c:pt>
                <c:pt idx="204">
                  <c:v>3665978.4493</c:v>
                </c:pt>
                <c:pt idx="205">
                  <c:v>3811905.1513999999</c:v>
                </c:pt>
                <c:pt idx="206">
                  <c:v>3697386.1438000002</c:v>
                </c:pt>
                <c:pt idx="207">
                  <c:v>3938873.4478000002</c:v>
                </c:pt>
                <c:pt idx="208">
                  <c:v>4057778.6239999998</c:v>
                </c:pt>
                <c:pt idx="209">
                  <c:v>4068832.8519000001</c:v>
                </c:pt>
                <c:pt idx="210">
                  <c:v>3942645.4053000002</c:v>
                </c:pt>
                <c:pt idx="211">
                  <c:v>3993421.1839999999</c:v>
                </c:pt>
                <c:pt idx="212">
                  <c:v>4466697.7315999996</c:v>
                </c:pt>
                <c:pt idx="213">
                  <c:v>4770514.5957000004</c:v>
                </c:pt>
                <c:pt idx="214">
                  <c:v>5073922.4118999997</c:v>
                </c:pt>
                <c:pt idx="215">
                  <c:v>5260406.9243999999</c:v>
                </c:pt>
                <c:pt idx="216">
                  <c:v>5456998.4133000001</c:v>
                </c:pt>
                <c:pt idx="217">
                  <c:v>5671149.2182</c:v>
                </c:pt>
                <c:pt idx="218">
                  <c:v>5675781.0635000002</c:v>
                </c:pt>
                <c:pt idx="219">
                  <c:v>5780243.7895</c:v>
                </c:pt>
                <c:pt idx="220">
                  <c:v>6011236.3775000004</c:v>
                </c:pt>
                <c:pt idx="221">
                  <c:v>6062865.3366</c:v>
                </c:pt>
                <c:pt idx="222">
                  <c:v>5866762.4480999997</c:v>
                </c:pt>
                <c:pt idx="223">
                  <c:v>5866780.3756999997</c:v>
                </c:pt>
                <c:pt idx="224">
                  <c:v>5765830.0899</c:v>
                </c:pt>
                <c:pt idx="225">
                  <c:v>5915782.1836999999</c:v>
                </c:pt>
                <c:pt idx="226">
                  <c:v>6121801.8453000002</c:v>
                </c:pt>
                <c:pt idx="227">
                  <c:v>6004760.6776999999</c:v>
                </c:pt>
                <c:pt idx="228">
                  <c:v>6186777.7925000004</c:v>
                </c:pt>
                <c:pt idx="229">
                  <c:v>6389763.2319999998</c:v>
                </c:pt>
                <c:pt idx="230">
                  <c:v>6186882.0707</c:v>
                </c:pt>
                <c:pt idx="231">
                  <c:v>6379924.9601999996</c:v>
                </c:pt>
                <c:pt idx="232">
                  <c:v>6367951.7093000002</c:v>
                </c:pt>
                <c:pt idx="233">
                  <c:v>6155950.4395000003</c:v>
                </c:pt>
                <c:pt idx="234">
                  <c:v>6060018.6605000002</c:v>
                </c:pt>
                <c:pt idx="235">
                  <c:v>6003024.2416000003</c:v>
                </c:pt>
                <c:pt idx="236">
                  <c:v>5784061.0517999995</c:v>
                </c:pt>
                <c:pt idx="237">
                  <c:v>5995910.2789000003</c:v>
                </c:pt>
                <c:pt idx="238">
                  <c:v>6369006.6390000004</c:v>
                </c:pt>
                <c:pt idx="239">
                  <c:v>6397045.0500999996</c:v>
                </c:pt>
                <c:pt idx="240">
                  <c:v>6593194.1854999997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D-4F9F-A9A4-C04021827B30}"/>
            </c:ext>
          </c:extLst>
        </c:ser>
        <c:ser>
          <c:idx val="1"/>
          <c:order val="1"/>
          <c:tx>
            <c:strRef>
              <c:f>pvt_total_debt!$C$3</c:f>
              <c:strCache>
                <c:ptCount val="1"/>
                <c:pt idx="0">
                  <c:v> Notes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pvt_total_debt!$A$4:$A$245</c:f>
              <c:strCache>
                <c:ptCount val="241"/>
                <c:pt idx="0">
                  <c:v>10/31/2005</c:v>
                </c:pt>
                <c:pt idx="1">
                  <c:v>11/30/2005</c:v>
                </c:pt>
                <c:pt idx="2">
                  <c:v>12/31/2005</c:v>
                </c:pt>
                <c:pt idx="3">
                  <c:v>1/31/2006</c:v>
                </c:pt>
                <c:pt idx="4">
                  <c:v>2/28/2006</c:v>
                </c:pt>
                <c:pt idx="5">
                  <c:v>3/31/2006</c:v>
                </c:pt>
                <c:pt idx="6">
                  <c:v>4/30/2006</c:v>
                </c:pt>
                <c:pt idx="7">
                  <c:v>5/31/2006</c:v>
                </c:pt>
                <c:pt idx="8">
                  <c:v>6/30/2006</c:v>
                </c:pt>
                <c:pt idx="9">
                  <c:v>7/31/2006</c:v>
                </c:pt>
                <c:pt idx="10">
                  <c:v>8/31/2006</c:v>
                </c:pt>
                <c:pt idx="11">
                  <c:v>9/30/2006</c:v>
                </c:pt>
                <c:pt idx="12">
                  <c:v>10/31/2006</c:v>
                </c:pt>
                <c:pt idx="13">
                  <c:v>11/30/2006</c:v>
                </c:pt>
                <c:pt idx="14">
                  <c:v>12/31/2006</c:v>
                </c:pt>
                <c:pt idx="15">
                  <c:v>1/31/2007</c:v>
                </c:pt>
                <c:pt idx="16">
                  <c:v>2/28/2007</c:v>
                </c:pt>
                <c:pt idx="17">
                  <c:v>3/31/2007</c:v>
                </c:pt>
                <c:pt idx="18">
                  <c:v>4/30/2007</c:v>
                </c:pt>
                <c:pt idx="19">
                  <c:v>5/31/2007</c:v>
                </c:pt>
                <c:pt idx="20">
                  <c:v>6/30/2007</c:v>
                </c:pt>
                <c:pt idx="21">
                  <c:v>7/31/2007</c:v>
                </c:pt>
                <c:pt idx="22">
                  <c:v>8/31/2007</c:v>
                </c:pt>
                <c:pt idx="23">
                  <c:v>9/30/2007</c:v>
                </c:pt>
                <c:pt idx="24">
                  <c:v>10/31/2007</c:v>
                </c:pt>
                <c:pt idx="25">
                  <c:v>11/30/2007</c:v>
                </c:pt>
                <c:pt idx="26">
                  <c:v>12/31/2007</c:v>
                </c:pt>
                <c:pt idx="27">
                  <c:v>1/31/2008</c:v>
                </c:pt>
                <c:pt idx="28">
                  <c:v>2/29/2008</c:v>
                </c:pt>
                <c:pt idx="29">
                  <c:v>3/31/2008</c:v>
                </c:pt>
                <c:pt idx="30">
                  <c:v>4/30/2008</c:v>
                </c:pt>
                <c:pt idx="31">
                  <c:v>5/31/2008</c:v>
                </c:pt>
                <c:pt idx="32">
                  <c:v>6/30/2008</c:v>
                </c:pt>
                <c:pt idx="33">
                  <c:v>7/31/2008</c:v>
                </c:pt>
                <c:pt idx="34">
                  <c:v>8/31/2008</c:v>
                </c:pt>
                <c:pt idx="35">
                  <c:v>9/30/2008</c:v>
                </c:pt>
                <c:pt idx="36">
                  <c:v>10/31/2008</c:v>
                </c:pt>
                <c:pt idx="37">
                  <c:v>11/30/2008</c:v>
                </c:pt>
                <c:pt idx="38">
                  <c:v>12/31/2008</c:v>
                </c:pt>
                <c:pt idx="39">
                  <c:v>1/31/2009</c:v>
                </c:pt>
                <c:pt idx="40">
                  <c:v>2/28/2009</c:v>
                </c:pt>
                <c:pt idx="41">
                  <c:v>3/31/2009</c:v>
                </c:pt>
                <c:pt idx="42">
                  <c:v>4/30/2009</c:v>
                </c:pt>
                <c:pt idx="43">
                  <c:v>5/31/2009</c:v>
                </c:pt>
                <c:pt idx="44">
                  <c:v>6/30/2009</c:v>
                </c:pt>
                <c:pt idx="45">
                  <c:v>7/31/2009</c:v>
                </c:pt>
                <c:pt idx="46">
                  <c:v>8/31/2009</c:v>
                </c:pt>
                <c:pt idx="47">
                  <c:v>9/30/2009</c:v>
                </c:pt>
                <c:pt idx="48">
                  <c:v>10/31/2009</c:v>
                </c:pt>
                <c:pt idx="49">
                  <c:v>11/30/2009</c:v>
                </c:pt>
                <c:pt idx="50">
                  <c:v>12/31/2009</c:v>
                </c:pt>
                <c:pt idx="51">
                  <c:v>1/31/2010</c:v>
                </c:pt>
                <c:pt idx="52">
                  <c:v>2/28/2010</c:v>
                </c:pt>
                <c:pt idx="53">
                  <c:v>3/31/2010</c:v>
                </c:pt>
                <c:pt idx="54">
                  <c:v>4/30/2010</c:v>
                </c:pt>
                <c:pt idx="55">
                  <c:v>5/31/2010</c:v>
                </c:pt>
                <c:pt idx="56">
                  <c:v>6/30/2010</c:v>
                </c:pt>
                <c:pt idx="57">
                  <c:v>7/31/2010</c:v>
                </c:pt>
                <c:pt idx="58">
                  <c:v>8/31/2010</c:v>
                </c:pt>
                <c:pt idx="59">
                  <c:v>9/30/2010</c:v>
                </c:pt>
                <c:pt idx="60">
                  <c:v>10/31/2010</c:v>
                </c:pt>
                <c:pt idx="61">
                  <c:v>11/30/2010</c:v>
                </c:pt>
                <c:pt idx="62">
                  <c:v>12/31/2010</c:v>
                </c:pt>
                <c:pt idx="63">
                  <c:v>1/31/2011</c:v>
                </c:pt>
                <c:pt idx="64">
                  <c:v>2/28/2011</c:v>
                </c:pt>
                <c:pt idx="65">
                  <c:v>3/31/2011</c:v>
                </c:pt>
                <c:pt idx="66">
                  <c:v>4/30/2011</c:v>
                </c:pt>
                <c:pt idx="67">
                  <c:v>5/31/2011</c:v>
                </c:pt>
                <c:pt idx="68">
                  <c:v>6/30/2011</c:v>
                </c:pt>
                <c:pt idx="69">
                  <c:v>7/31/2011</c:v>
                </c:pt>
                <c:pt idx="70">
                  <c:v>8/31/2011</c:v>
                </c:pt>
                <c:pt idx="71">
                  <c:v>9/30/2011</c:v>
                </c:pt>
                <c:pt idx="72">
                  <c:v>10/31/2011</c:v>
                </c:pt>
                <c:pt idx="73">
                  <c:v>11/30/2011</c:v>
                </c:pt>
                <c:pt idx="74">
                  <c:v>12/31/2011</c:v>
                </c:pt>
                <c:pt idx="75">
                  <c:v>1/31/2012</c:v>
                </c:pt>
                <c:pt idx="76">
                  <c:v>2/29/2012</c:v>
                </c:pt>
                <c:pt idx="77">
                  <c:v>3/31/2012</c:v>
                </c:pt>
                <c:pt idx="78">
                  <c:v>4/30/2012</c:v>
                </c:pt>
                <c:pt idx="79">
                  <c:v>5/31/2012</c:v>
                </c:pt>
                <c:pt idx="80">
                  <c:v>6/30/2012</c:v>
                </c:pt>
                <c:pt idx="81">
                  <c:v>7/31/2012</c:v>
                </c:pt>
                <c:pt idx="82">
                  <c:v>8/31/2012</c:v>
                </c:pt>
                <c:pt idx="83">
                  <c:v>9/30/2012</c:v>
                </c:pt>
                <c:pt idx="84">
                  <c:v>10/31/2012</c:v>
                </c:pt>
                <c:pt idx="85">
                  <c:v>11/30/2012</c:v>
                </c:pt>
                <c:pt idx="86">
                  <c:v>12/31/2012</c:v>
                </c:pt>
                <c:pt idx="87">
                  <c:v>1/31/2013</c:v>
                </c:pt>
                <c:pt idx="88">
                  <c:v>2/28/2013</c:v>
                </c:pt>
                <c:pt idx="89">
                  <c:v>3/31/2013</c:v>
                </c:pt>
                <c:pt idx="90">
                  <c:v>4/30/2013</c:v>
                </c:pt>
                <c:pt idx="91">
                  <c:v>5/31/2013</c:v>
                </c:pt>
                <c:pt idx="92">
                  <c:v>6/30/2013</c:v>
                </c:pt>
                <c:pt idx="93">
                  <c:v>7/31/2013</c:v>
                </c:pt>
                <c:pt idx="94">
                  <c:v>8/31/2013</c:v>
                </c:pt>
                <c:pt idx="95">
                  <c:v>9/30/2013</c:v>
                </c:pt>
                <c:pt idx="96">
                  <c:v>10/31/2013</c:v>
                </c:pt>
                <c:pt idx="97">
                  <c:v>11/30/2013</c:v>
                </c:pt>
                <c:pt idx="98">
                  <c:v>12/31/2013</c:v>
                </c:pt>
                <c:pt idx="99">
                  <c:v>1/31/2014</c:v>
                </c:pt>
                <c:pt idx="100">
                  <c:v>2/28/2014</c:v>
                </c:pt>
                <c:pt idx="101">
                  <c:v>3/31/2014</c:v>
                </c:pt>
                <c:pt idx="102">
                  <c:v>4/30/2014</c:v>
                </c:pt>
                <c:pt idx="103">
                  <c:v>5/31/2014</c:v>
                </c:pt>
                <c:pt idx="104">
                  <c:v>6/30/2014</c:v>
                </c:pt>
                <c:pt idx="105">
                  <c:v>7/31/2014</c:v>
                </c:pt>
                <c:pt idx="106">
                  <c:v>8/31/2014</c:v>
                </c:pt>
                <c:pt idx="107">
                  <c:v>9/30/2014</c:v>
                </c:pt>
                <c:pt idx="108">
                  <c:v>10/31/2014</c:v>
                </c:pt>
                <c:pt idx="109">
                  <c:v>11/30/2014</c:v>
                </c:pt>
                <c:pt idx="110">
                  <c:v>12/31/2014</c:v>
                </c:pt>
                <c:pt idx="111">
                  <c:v>1/31/2015</c:v>
                </c:pt>
                <c:pt idx="112">
                  <c:v>2/28/2015</c:v>
                </c:pt>
                <c:pt idx="113">
                  <c:v>3/31/2015</c:v>
                </c:pt>
                <c:pt idx="114">
                  <c:v>4/30/2015</c:v>
                </c:pt>
                <c:pt idx="115">
                  <c:v>5/31/2015</c:v>
                </c:pt>
                <c:pt idx="116">
                  <c:v>6/30/2015</c:v>
                </c:pt>
                <c:pt idx="117">
                  <c:v>7/31/2015</c:v>
                </c:pt>
                <c:pt idx="118">
                  <c:v>8/31/2015</c:v>
                </c:pt>
                <c:pt idx="119">
                  <c:v>9/30/2015</c:v>
                </c:pt>
                <c:pt idx="120">
                  <c:v>10/31/2015</c:v>
                </c:pt>
                <c:pt idx="121">
                  <c:v>11/30/2015</c:v>
                </c:pt>
                <c:pt idx="122">
                  <c:v>12/31/2015</c:v>
                </c:pt>
                <c:pt idx="123">
                  <c:v>1/31/2016</c:v>
                </c:pt>
                <c:pt idx="124">
                  <c:v>2/29/2016</c:v>
                </c:pt>
                <c:pt idx="125">
                  <c:v>3/31/2016</c:v>
                </c:pt>
                <c:pt idx="126">
                  <c:v>4/30/2016</c:v>
                </c:pt>
                <c:pt idx="127">
                  <c:v>5/31/2016</c:v>
                </c:pt>
                <c:pt idx="128">
                  <c:v>6/30/2016</c:v>
                </c:pt>
                <c:pt idx="129">
                  <c:v>7/31/2016</c:v>
                </c:pt>
                <c:pt idx="130">
                  <c:v>8/31/2016</c:v>
                </c:pt>
                <c:pt idx="131">
                  <c:v>9/30/2016</c:v>
                </c:pt>
                <c:pt idx="132">
                  <c:v>10/31/2016</c:v>
                </c:pt>
                <c:pt idx="133">
                  <c:v>11/30/2016</c:v>
                </c:pt>
                <c:pt idx="134">
                  <c:v>12/31/2016</c:v>
                </c:pt>
                <c:pt idx="135">
                  <c:v>1/31/2017</c:v>
                </c:pt>
                <c:pt idx="136">
                  <c:v>2/28/2017</c:v>
                </c:pt>
                <c:pt idx="137">
                  <c:v>3/31/2017</c:v>
                </c:pt>
                <c:pt idx="138">
                  <c:v>4/30/2017</c:v>
                </c:pt>
                <c:pt idx="139">
                  <c:v>5/31/2017</c:v>
                </c:pt>
                <c:pt idx="140">
                  <c:v>6/30/2017</c:v>
                </c:pt>
                <c:pt idx="141">
                  <c:v>7/31/2017</c:v>
                </c:pt>
                <c:pt idx="142">
                  <c:v>8/31/2017</c:v>
                </c:pt>
                <c:pt idx="143">
                  <c:v>9/30/2017</c:v>
                </c:pt>
                <c:pt idx="144">
                  <c:v>10/31/2017</c:v>
                </c:pt>
                <c:pt idx="145">
                  <c:v>11/30/2017</c:v>
                </c:pt>
                <c:pt idx="146">
                  <c:v>12/31/2017</c:v>
                </c:pt>
                <c:pt idx="147">
                  <c:v>1/31/2018</c:v>
                </c:pt>
                <c:pt idx="148">
                  <c:v>2/28/2018</c:v>
                </c:pt>
                <c:pt idx="149">
                  <c:v>3/31/2018</c:v>
                </c:pt>
                <c:pt idx="150">
                  <c:v>4/30/2018</c:v>
                </c:pt>
                <c:pt idx="151">
                  <c:v>5/31/2018</c:v>
                </c:pt>
                <c:pt idx="152">
                  <c:v>6/30/2018</c:v>
                </c:pt>
                <c:pt idx="153">
                  <c:v>7/31/2018</c:v>
                </c:pt>
                <c:pt idx="154">
                  <c:v>8/31/2018</c:v>
                </c:pt>
                <c:pt idx="155">
                  <c:v>9/30/2018</c:v>
                </c:pt>
                <c:pt idx="156">
                  <c:v>10/31/2018</c:v>
                </c:pt>
                <c:pt idx="157">
                  <c:v>11/30/2018</c:v>
                </c:pt>
                <c:pt idx="158">
                  <c:v>12/31/2018</c:v>
                </c:pt>
                <c:pt idx="159">
                  <c:v>1/31/2019</c:v>
                </c:pt>
                <c:pt idx="160">
                  <c:v>2/28/2019</c:v>
                </c:pt>
                <c:pt idx="161">
                  <c:v>3/31/2019</c:v>
                </c:pt>
                <c:pt idx="162">
                  <c:v>4/30/2019</c:v>
                </c:pt>
                <c:pt idx="163">
                  <c:v>5/31/2019</c:v>
                </c:pt>
                <c:pt idx="164">
                  <c:v>6/30/2019</c:v>
                </c:pt>
                <c:pt idx="165">
                  <c:v>7/31/2019</c:v>
                </c:pt>
                <c:pt idx="166">
                  <c:v>8/31/2019</c:v>
                </c:pt>
                <c:pt idx="167">
                  <c:v>9/30/2019</c:v>
                </c:pt>
                <c:pt idx="168">
                  <c:v>10/31/2019</c:v>
                </c:pt>
                <c:pt idx="169">
                  <c:v>11/30/2019</c:v>
                </c:pt>
                <c:pt idx="170">
                  <c:v>12/31/2019</c:v>
                </c:pt>
                <c:pt idx="171">
                  <c:v>1/31/2020</c:v>
                </c:pt>
                <c:pt idx="172">
                  <c:v>2/29/2020</c:v>
                </c:pt>
                <c:pt idx="173">
                  <c:v>3/31/2020</c:v>
                </c:pt>
                <c:pt idx="174">
                  <c:v>4/30/2020</c:v>
                </c:pt>
                <c:pt idx="175">
                  <c:v>5/31/2020</c:v>
                </c:pt>
                <c:pt idx="176">
                  <c:v>6/30/2020</c:v>
                </c:pt>
                <c:pt idx="177">
                  <c:v>7/31/2020</c:v>
                </c:pt>
                <c:pt idx="178">
                  <c:v>8/31/2020</c:v>
                </c:pt>
                <c:pt idx="179">
                  <c:v>9/30/2020</c:v>
                </c:pt>
                <c:pt idx="180">
                  <c:v>10/31/2020</c:v>
                </c:pt>
                <c:pt idx="181">
                  <c:v>11/30/2020</c:v>
                </c:pt>
                <c:pt idx="182">
                  <c:v>12/31/2020</c:v>
                </c:pt>
                <c:pt idx="183">
                  <c:v>1/31/2021</c:v>
                </c:pt>
                <c:pt idx="184">
                  <c:v>2/28/2021</c:v>
                </c:pt>
                <c:pt idx="185">
                  <c:v>3/31/2021</c:v>
                </c:pt>
                <c:pt idx="186">
                  <c:v>4/30/2021</c:v>
                </c:pt>
                <c:pt idx="187">
                  <c:v>5/31/2021</c:v>
                </c:pt>
                <c:pt idx="188">
                  <c:v>6/30/2021</c:v>
                </c:pt>
                <c:pt idx="189">
                  <c:v>7/31/2021</c:v>
                </c:pt>
                <c:pt idx="190">
                  <c:v>8/31/2021</c:v>
                </c:pt>
                <c:pt idx="191">
                  <c:v>9/30/2021</c:v>
                </c:pt>
                <c:pt idx="192">
                  <c:v>10/31/2021</c:v>
                </c:pt>
                <c:pt idx="193">
                  <c:v>11/30/2021</c:v>
                </c:pt>
                <c:pt idx="194">
                  <c:v>12/31/2021</c:v>
                </c:pt>
                <c:pt idx="195">
                  <c:v>1/31/2022</c:v>
                </c:pt>
                <c:pt idx="196">
                  <c:v>2/28/2022</c:v>
                </c:pt>
                <c:pt idx="197">
                  <c:v>3/31/2022</c:v>
                </c:pt>
                <c:pt idx="198">
                  <c:v>4/30/2022</c:v>
                </c:pt>
                <c:pt idx="199">
                  <c:v>5/31/2022</c:v>
                </c:pt>
                <c:pt idx="200">
                  <c:v>6/30/2022</c:v>
                </c:pt>
                <c:pt idx="201">
                  <c:v>7/31/2022</c:v>
                </c:pt>
                <c:pt idx="202">
                  <c:v>8/31/2022</c:v>
                </c:pt>
                <c:pt idx="203">
                  <c:v>9/30/2022</c:v>
                </c:pt>
                <c:pt idx="204">
                  <c:v>10/31/2022</c:v>
                </c:pt>
                <c:pt idx="205">
                  <c:v>11/30/2022</c:v>
                </c:pt>
                <c:pt idx="206">
                  <c:v>12/31/2022</c:v>
                </c:pt>
                <c:pt idx="207">
                  <c:v>1/31/2023</c:v>
                </c:pt>
                <c:pt idx="208">
                  <c:v>2/28/2023</c:v>
                </c:pt>
                <c:pt idx="209">
                  <c:v>3/31/2023</c:v>
                </c:pt>
                <c:pt idx="210">
                  <c:v>4/30/2023</c:v>
                </c:pt>
                <c:pt idx="211">
                  <c:v>5/31/2023</c:v>
                </c:pt>
                <c:pt idx="212">
                  <c:v>6/30/2023</c:v>
                </c:pt>
                <c:pt idx="213">
                  <c:v>7/31/2023</c:v>
                </c:pt>
                <c:pt idx="214">
                  <c:v>8/31/2023</c:v>
                </c:pt>
                <c:pt idx="215">
                  <c:v>9/30/2023</c:v>
                </c:pt>
                <c:pt idx="216">
                  <c:v>10/31/2023</c:v>
                </c:pt>
                <c:pt idx="217">
                  <c:v>11/30/2023</c:v>
                </c:pt>
                <c:pt idx="218">
                  <c:v>12/31/2023</c:v>
                </c:pt>
                <c:pt idx="219">
                  <c:v>1/31/2024</c:v>
                </c:pt>
                <c:pt idx="220">
                  <c:v>2/29/2024</c:v>
                </c:pt>
                <c:pt idx="221">
                  <c:v>3/31/2024</c:v>
                </c:pt>
                <c:pt idx="222">
                  <c:v>4/30/2024</c:v>
                </c:pt>
                <c:pt idx="223">
                  <c:v>5/31/2024</c:v>
                </c:pt>
                <c:pt idx="224">
                  <c:v>6/30/2024</c:v>
                </c:pt>
                <c:pt idx="225">
                  <c:v>7/31/2024</c:v>
                </c:pt>
                <c:pt idx="226">
                  <c:v>8/31/2024</c:v>
                </c:pt>
                <c:pt idx="227">
                  <c:v>9/30/2024</c:v>
                </c:pt>
                <c:pt idx="228">
                  <c:v>10/31/2024</c:v>
                </c:pt>
                <c:pt idx="229">
                  <c:v>11/30/2024</c:v>
                </c:pt>
                <c:pt idx="230">
                  <c:v>12/31/2024</c:v>
                </c:pt>
                <c:pt idx="231">
                  <c:v>1/31/2025</c:v>
                </c:pt>
                <c:pt idx="232">
                  <c:v>2/28/2025</c:v>
                </c:pt>
                <c:pt idx="233">
                  <c:v>3/31/2025</c:v>
                </c:pt>
                <c:pt idx="234">
                  <c:v>4/30/2025</c:v>
                </c:pt>
                <c:pt idx="235">
                  <c:v>5/31/2025</c:v>
                </c:pt>
                <c:pt idx="236">
                  <c:v>6/30/2025</c:v>
                </c:pt>
                <c:pt idx="237">
                  <c:v>7/31/2025</c:v>
                </c:pt>
                <c:pt idx="238">
                  <c:v>8/31/2025</c:v>
                </c:pt>
                <c:pt idx="239">
                  <c:v>9/30/2025</c:v>
                </c:pt>
                <c:pt idx="240">
                  <c:v>10/31/2025</c:v>
                </c:pt>
              </c:strCache>
            </c:strRef>
          </c:cat>
          <c:val>
            <c:numRef>
              <c:f>pvt_total_debt!$C$4:$C$245</c:f>
              <c:numCache>
                <c:formatCode>"$"#,##0.00</c:formatCode>
                <c:ptCount val="241"/>
                <c:pt idx="0">
                  <c:v>2335971.6069999998</c:v>
                </c:pt>
                <c:pt idx="1">
                  <c:v>2339795.0246000001</c:v>
                </c:pt>
                <c:pt idx="2">
                  <c:v>2360793.4706000001</c:v>
                </c:pt>
                <c:pt idx="3">
                  <c:v>2361102.4306000001</c:v>
                </c:pt>
                <c:pt idx="4">
                  <c:v>2391741.9826000002</c:v>
                </c:pt>
                <c:pt idx="5">
                  <c:v>2409746.8045999999</c:v>
                </c:pt>
                <c:pt idx="6">
                  <c:v>2409739.8585999999</c:v>
                </c:pt>
                <c:pt idx="7">
                  <c:v>2407985.5965999998</c:v>
                </c:pt>
                <c:pt idx="8">
                  <c:v>2427397.2486</c:v>
                </c:pt>
                <c:pt idx="9">
                  <c:v>2416903.3846</c:v>
                </c:pt>
                <c:pt idx="10">
                  <c:v>2439162.7886000001</c:v>
                </c:pt>
                <c:pt idx="11">
                  <c:v>2447160.1606000001</c:v>
                </c:pt>
                <c:pt idx="12">
                  <c:v>2444385.1066000001</c:v>
                </c:pt>
                <c:pt idx="13">
                  <c:v>2433862.1746</c:v>
                </c:pt>
                <c:pt idx="14">
                  <c:v>2441859.9775999999</c:v>
                </c:pt>
                <c:pt idx="15">
                  <c:v>2459740.0855999999</c:v>
                </c:pt>
                <c:pt idx="16">
                  <c:v>2460490.7436000002</c:v>
                </c:pt>
                <c:pt idx="17">
                  <c:v>2468490.1815999998</c:v>
                </c:pt>
                <c:pt idx="18">
                  <c:v>2482719.8646</c:v>
                </c:pt>
                <c:pt idx="19">
                  <c:v>2462977.4005999998</c:v>
                </c:pt>
                <c:pt idx="20">
                  <c:v>2470975.7566</c:v>
                </c:pt>
                <c:pt idx="21">
                  <c:v>2494059.5735999998</c:v>
                </c:pt>
                <c:pt idx="22">
                  <c:v>2450041.1675999998</c:v>
                </c:pt>
                <c:pt idx="23">
                  <c:v>2458038.6505999998</c:v>
                </c:pt>
                <c:pt idx="24">
                  <c:v>2482113.8316000002</c:v>
                </c:pt>
                <c:pt idx="25">
                  <c:v>2465000.1705999998</c:v>
                </c:pt>
                <c:pt idx="26">
                  <c:v>2488486.6705999998</c:v>
                </c:pt>
                <c:pt idx="27">
                  <c:v>2503949.1076000002</c:v>
                </c:pt>
                <c:pt idx="28">
                  <c:v>2478366.7365999999</c:v>
                </c:pt>
                <c:pt idx="29">
                  <c:v>2514087.0995999998</c:v>
                </c:pt>
                <c:pt idx="30">
                  <c:v>2540745.1899000001</c:v>
                </c:pt>
                <c:pt idx="31">
                  <c:v>2476584.4306999999</c:v>
                </c:pt>
                <c:pt idx="32">
                  <c:v>2543441.5795999998</c:v>
                </c:pt>
                <c:pt idx="33">
                  <c:v>2574753.0783000002</c:v>
                </c:pt>
                <c:pt idx="34">
                  <c:v>2556438.4783000001</c:v>
                </c:pt>
                <c:pt idx="35">
                  <c:v>2624759.0767000001</c:v>
                </c:pt>
                <c:pt idx="36">
                  <c:v>2686604.3240999999</c:v>
                </c:pt>
                <c:pt idx="37">
                  <c:v>2674880.3122999999</c:v>
                </c:pt>
                <c:pt idx="38">
                  <c:v>2792206.3319999999</c:v>
                </c:pt>
                <c:pt idx="39">
                  <c:v>2826009.3365000002</c:v>
                </c:pt>
                <c:pt idx="40">
                  <c:v>2891961.1990999999</c:v>
                </c:pt>
                <c:pt idx="41">
                  <c:v>3084887.1900999998</c:v>
                </c:pt>
                <c:pt idx="42">
                  <c:v>3204451.5904000001</c:v>
                </c:pt>
                <c:pt idx="43">
                  <c:v>3211302.9045000002</c:v>
                </c:pt>
                <c:pt idx="44">
                  <c:v>3417740.1154999998</c:v>
                </c:pt>
                <c:pt idx="45">
                  <c:v>3547482.3391</c:v>
                </c:pt>
                <c:pt idx="46">
                  <c:v>3638634.9734</c:v>
                </c:pt>
                <c:pt idx="47">
                  <c:v>3773767.2078999998</c:v>
                </c:pt>
                <c:pt idx="48">
                  <c:v>3818223.7376999999</c:v>
                </c:pt>
                <c:pt idx="49">
                  <c:v>4039775.8966999999</c:v>
                </c:pt>
                <c:pt idx="50">
                  <c:v>4181107.9898999999</c:v>
                </c:pt>
                <c:pt idx="51">
                  <c:v>4229470.0553000001</c:v>
                </c:pt>
                <c:pt idx="52">
                  <c:v>4337337.2712000003</c:v>
                </c:pt>
                <c:pt idx="53">
                  <c:v>4566056.8075000001</c:v>
                </c:pt>
                <c:pt idx="54">
                  <c:v>4704282.5508000003</c:v>
                </c:pt>
                <c:pt idx="55">
                  <c:v>4734001.1391000003</c:v>
                </c:pt>
                <c:pt idx="56">
                  <c:v>4938376.0173000004</c:v>
                </c:pt>
                <c:pt idx="57">
                  <c:v>4981389.8132999996</c:v>
                </c:pt>
                <c:pt idx="58">
                  <c:v>5148300.1813000003</c:v>
                </c:pt>
                <c:pt idx="59">
                  <c:v>5255885.6087999996</c:v>
                </c:pt>
                <c:pt idx="60">
                  <c:v>5296344.6003999999</c:v>
                </c:pt>
                <c:pt idx="61">
                  <c:v>5467787.9620000003</c:v>
                </c:pt>
                <c:pt idx="62">
                  <c:v>5571748.5499</c:v>
                </c:pt>
                <c:pt idx="63">
                  <c:v>5672183.7712000003</c:v>
                </c:pt>
                <c:pt idx="64">
                  <c:v>5750826.6413000003</c:v>
                </c:pt>
                <c:pt idx="65">
                  <c:v>5847871.2418</c:v>
                </c:pt>
                <c:pt idx="66">
                  <c:v>5903480.3480000002</c:v>
                </c:pt>
                <c:pt idx="67">
                  <c:v>6054739.7154000001</c:v>
                </c:pt>
                <c:pt idx="68">
                  <c:v>6151264.3032999998</c:v>
                </c:pt>
                <c:pt idx="69">
                  <c:v>6204263.5055</c:v>
                </c:pt>
                <c:pt idx="70">
                  <c:v>6318673.9828000003</c:v>
                </c:pt>
                <c:pt idx="71">
                  <c:v>6412493.4748</c:v>
                </c:pt>
                <c:pt idx="72">
                  <c:v>6506992.1827999996</c:v>
                </c:pt>
                <c:pt idx="73">
                  <c:v>6578957.8158</c:v>
                </c:pt>
                <c:pt idx="74">
                  <c:v>6605055.7670999998</c:v>
                </c:pt>
                <c:pt idx="75">
                  <c:v>6711316.2653000001</c:v>
                </c:pt>
                <c:pt idx="76">
                  <c:v>6754414.9779000003</c:v>
                </c:pt>
                <c:pt idx="77">
                  <c:v>6776484.2499000002</c:v>
                </c:pt>
                <c:pt idx="78">
                  <c:v>6883348.8925999999</c:v>
                </c:pt>
                <c:pt idx="79">
                  <c:v>6941507.3612000002</c:v>
                </c:pt>
                <c:pt idx="80">
                  <c:v>6962879.3243000004</c:v>
                </c:pt>
                <c:pt idx="81">
                  <c:v>7067150.6113999998</c:v>
                </c:pt>
                <c:pt idx="82">
                  <c:v>7105788.5439999998</c:v>
                </c:pt>
                <c:pt idx="83">
                  <c:v>7120705.1073000003</c:v>
                </c:pt>
                <c:pt idx="84">
                  <c:v>7228168.5762999998</c:v>
                </c:pt>
                <c:pt idx="85">
                  <c:v>7267744.767</c:v>
                </c:pt>
                <c:pt idx="86">
                  <c:v>7327115.4967999998</c:v>
                </c:pt>
                <c:pt idx="87">
                  <c:v>7386165.1086999997</c:v>
                </c:pt>
                <c:pt idx="88">
                  <c:v>7422461.6073000003</c:v>
                </c:pt>
                <c:pt idx="89">
                  <c:v>7434988.1755999997</c:v>
                </c:pt>
                <c:pt idx="90">
                  <c:v>7527969.9528000001</c:v>
                </c:pt>
                <c:pt idx="91">
                  <c:v>7564929.2488000002</c:v>
                </c:pt>
                <c:pt idx="92">
                  <c:v>7581719.1189000001</c:v>
                </c:pt>
                <c:pt idx="93">
                  <c:v>7680082.4568999996</c:v>
                </c:pt>
                <c:pt idx="94">
                  <c:v>7666524.9167999998</c:v>
                </c:pt>
                <c:pt idx="95">
                  <c:v>7757950.7977</c:v>
                </c:pt>
                <c:pt idx="96">
                  <c:v>7811275.2959000003</c:v>
                </c:pt>
                <c:pt idx="97">
                  <c:v>7801785.2140999902</c:v>
                </c:pt>
                <c:pt idx="98">
                  <c:v>7881733.7672999902</c:v>
                </c:pt>
                <c:pt idx="99">
                  <c:v>7929093.41709999</c:v>
                </c:pt>
                <c:pt idx="100">
                  <c:v>7949334.1953999903</c:v>
                </c:pt>
                <c:pt idx="101">
                  <c:v>7992892.5967999902</c:v>
                </c:pt>
                <c:pt idx="102">
                  <c:v>8034161.2555999896</c:v>
                </c:pt>
                <c:pt idx="103">
                  <c:v>8027852.9286999898</c:v>
                </c:pt>
                <c:pt idx="104">
                  <c:v>8089288.3816999895</c:v>
                </c:pt>
                <c:pt idx="105">
                  <c:v>8123336.7631999897</c:v>
                </c:pt>
                <c:pt idx="106">
                  <c:v>8116633.99599999</c:v>
                </c:pt>
                <c:pt idx="107">
                  <c:v>8167758.6248999899</c:v>
                </c:pt>
                <c:pt idx="108">
                  <c:v>8199717.9828999899</c:v>
                </c:pt>
                <c:pt idx="109">
                  <c:v>8189862.6190999905</c:v>
                </c:pt>
                <c:pt idx="110">
                  <c:v>8229186.1236999901</c:v>
                </c:pt>
                <c:pt idx="111">
                  <c:v>8239914.54699999</c:v>
                </c:pt>
                <c:pt idx="112">
                  <c:v>8230115.3929999899</c:v>
                </c:pt>
                <c:pt idx="113">
                  <c:v>8264432.8816999895</c:v>
                </c:pt>
                <c:pt idx="114">
                  <c:v>8284023.4589999998</c:v>
                </c:pt>
                <c:pt idx="115">
                  <c:v>8264634.7446999997</c:v>
                </c:pt>
                <c:pt idx="116">
                  <c:v>8305379.2065000003</c:v>
                </c:pt>
                <c:pt idx="117">
                  <c:v>8335145.2591000004</c:v>
                </c:pt>
                <c:pt idx="118">
                  <c:v>8338758.6069</c:v>
                </c:pt>
                <c:pt idx="119">
                  <c:v>8372656.8760000002</c:v>
                </c:pt>
                <c:pt idx="120">
                  <c:v>8385657.2973999996</c:v>
                </c:pt>
                <c:pt idx="121">
                  <c:v>8422584.7158000004</c:v>
                </c:pt>
                <c:pt idx="122">
                  <c:v>8456830.9907000009</c:v>
                </c:pt>
                <c:pt idx="123">
                  <c:v>8469829.3416000009</c:v>
                </c:pt>
                <c:pt idx="124">
                  <c:v>8515939.1089999992</c:v>
                </c:pt>
                <c:pt idx="125">
                  <c:v>8543199.6816000007</c:v>
                </c:pt>
                <c:pt idx="126">
                  <c:v>8555483.2606999893</c:v>
                </c:pt>
                <c:pt idx="127">
                  <c:v>8587680.4291999992</c:v>
                </c:pt>
                <c:pt idx="128">
                  <c:v>8606607.3399</c:v>
                </c:pt>
                <c:pt idx="129">
                  <c:v>8621472.2762999907</c:v>
                </c:pt>
                <c:pt idx="130">
                  <c:v>8619230.9175000004</c:v>
                </c:pt>
                <c:pt idx="131">
                  <c:v>8630992.4817999993</c:v>
                </c:pt>
                <c:pt idx="132">
                  <c:v>8641228.0458000004</c:v>
                </c:pt>
                <c:pt idx="133">
                  <c:v>8645042.6788999904</c:v>
                </c:pt>
                <c:pt idx="134">
                  <c:v>8659017.5004999992</c:v>
                </c:pt>
                <c:pt idx="135">
                  <c:v>8678480.2028000001</c:v>
                </c:pt>
                <c:pt idx="136">
                  <c:v>8684635.4244999904</c:v>
                </c:pt>
                <c:pt idx="137">
                  <c:v>8702373.6252999995</c:v>
                </c:pt>
                <c:pt idx="138">
                  <c:v>8716710.5761999991</c:v>
                </c:pt>
                <c:pt idx="139">
                  <c:v>8735869.0550999995</c:v>
                </c:pt>
                <c:pt idx="140">
                  <c:v>8758317.0138000008</c:v>
                </c:pt>
                <c:pt idx="141">
                  <c:v>8782310.0219000001</c:v>
                </c:pt>
                <c:pt idx="142">
                  <c:v>8788504.8880000003</c:v>
                </c:pt>
                <c:pt idx="143">
                  <c:v>8805498.7047999892</c:v>
                </c:pt>
                <c:pt idx="144">
                  <c:v>8830132.6074000001</c:v>
                </c:pt>
                <c:pt idx="145">
                  <c:v>8830744.6208999995</c:v>
                </c:pt>
                <c:pt idx="146">
                  <c:v>8849743.682</c:v>
                </c:pt>
                <c:pt idx="147">
                  <c:v>8889175.2015999891</c:v>
                </c:pt>
                <c:pt idx="148">
                  <c:v>8899556.5108000003</c:v>
                </c:pt>
                <c:pt idx="149">
                  <c:v>8924555.3232000005</c:v>
                </c:pt>
                <c:pt idx="150">
                  <c:v>8974219.4868999999</c:v>
                </c:pt>
                <c:pt idx="151">
                  <c:v>9002197.3423999995</c:v>
                </c:pt>
                <c:pt idx="152">
                  <c:v>9032196.3167000003</c:v>
                </c:pt>
                <c:pt idx="153">
                  <c:v>9094940.9371000007</c:v>
                </c:pt>
                <c:pt idx="154">
                  <c:v>9120380.4952000007</c:v>
                </c:pt>
                <c:pt idx="155">
                  <c:v>9154379.6796000004</c:v>
                </c:pt>
                <c:pt idx="156">
                  <c:v>9218210.1812999994</c:v>
                </c:pt>
                <c:pt idx="157">
                  <c:v>9240433.6325000003</c:v>
                </c:pt>
                <c:pt idx="158">
                  <c:v>9297047.4965000004</c:v>
                </c:pt>
                <c:pt idx="159">
                  <c:v>9355849.7375000007</c:v>
                </c:pt>
                <c:pt idx="160">
                  <c:v>9376271.0765999891</c:v>
                </c:pt>
                <c:pt idx="161">
                  <c:v>9414269.8446999993</c:v>
                </c:pt>
                <c:pt idx="162">
                  <c:v>9491388.6872999892</c:v>
                </c:pt>
                <c:pt idx="163">
                  <c:v>9516392.1121999901</c:v>
                </c:pt>
                <c:pt idx="164">
                  <c:v>9554416.6458000001</c:v>
                </c:pt>
                <c:pt idx="165">
                  <c:v>9642221.1373999901</c:v>
                </c:pt>
                <c:pt idx="166">
                  <c:v>9656422.1655999999</c:v>
                </c:pt>
                <c:pt idx="167">
                  <c:v>9762783.7637999896</c:v>
                </c:pt>
                <c:pt idx="168">
                  <c:v>9834945.2884</c:v>
                </c:pt>
                <c:pt idx="169">
                  <c:v>9830428.8082999997</c:v>
                </c:pt>
                <c:pt idx="170">
                  <c:v>9929230.5972999893</c:v>
                </c:pt>
                <c:pt idx="171">
                  <c:v>9998735.9517000001</c:v>
                </c:pt>
                <c:pt idx="172">
                  <c:v>9994275.0287999995</c:v>
                </c:pt>
                <c:pt idx="173">
                  <c:v>10092497.4356</c:v>
                </c:pt>
                <c:pt idx="174">
                  <c:v>10163726.695599999</c:v>
                </c:pt>
                <c:pt idx="175">
                  <c:v>10176713.185699999</c:v>
                </c:pt>
                <c:pt idx="176">
                  <c:v>10314464.974099999</c:v>
                </c:pt>
                <c:pt idx="177">
                  <c:v>10427628.862500001</c:v>
                </c:pt>
                <c:pt idx="178">
                  <c:v>10524031.8627</c:v>
                </c:pt>
                <c:pt idx="179">
                  <c:v>10663763.656099999</c:v>
                </c:pt>
                <c:pt idx="180">
                  <c:v>10729201.632200001</c:v>
                </c:pt>
                <c:pt idx="181">
                  <c:v>10919135.8752</c:v>
                </c:pt>
                <c:pt idx="182">
                  <c:v>11091924.1943</c:v>
                </c:pt>
                <c:pt idx="183">
                  <c:v>11172761.7718</c:v>
                </c:pt>
                <c:pt idx="184">
                  <c:v>11312275.940400001</c:v>
                </c:pt>
                <c:pt idx="185">
                  <c:v>11597217.010199999</c:v>
                </c:pt>
                <c:pt idx="186">
                  <c:v>11783304.155099999</c:v>
                </c:pt>
                <c:pt idx="187">
                  <c:v>11830354.9449</c:v>
                </c:pt>
                <c:pt idx="188">
                  <c:v>12106351.555600001</c:v>
                </c:pt>
                <c:pt idx="189">
                  <c:v>12185025.832699999</c:v>
                </c:pt>
                <c:pt idx="190">
                  <c:v>12411912.973200001</c:v>
                </c:pt>
                <c:pt idx="191">
                  <c:v>12578941.0997</c:v>
                </c:pt>
                <c:pt idx="192">
                  <c:v>12646164.423900001</c:v>
                </c:pt>
                <c:pt idx="193">
                  <c:v>12854561.256999999</c:v>
                </c:pt>
                <c:pt idx="194">
                  <c:v>13000506.5035</c:v>
                </c:pt>
                <c:pt idx="195">
                  <c:v>13141550.891799999</c:v>
                </c:pt>
                <c:pt idx="196">
                  <c:v>13227624.8696</c:v>
                </c:pt>
                <c:pt idx="197">
                  <c:v>13348463.450200001</c:v>
                </c:pt>
                <c:pt idx="198">
                  <c:v>13409539.3332</c:v>
                </c:pt>
                <c:pt idx="199">
                  <c:v>13516330.681</c:v>
                </c:pt>
                <c:pt idx="200">
                  <c:v>13583597.317600001</c:v>
                </c:pt>
                <c:pt idx="201">
                  <c:v>13630963.2107</c:v>
                </c:pt>
                <c:pt idx="202">
                  <c:v>13672145.814300001</c:v>
                </c:pt>
                <c:pt idx="203">
                  <c:v>13703795.352499999</c:v>
                </c:pt>
                <c:pt idx="204">
                  <c:v>13734209.057700001</c:v>
                </c:pt>
                <c:pt idx="205">
                  <c:v>13717937.353700001</c:v>
                </c:pt>
                <c:pt idx="206">
                  <c:v>13751916.8697</c:v>
                </c:pt>
                <c:pt idx="207">
                  <c:v>13753790.567399999</c:v>
                </c:pt>
                <c:pt idx="208">
                  <c:v>13730524.3871</c:v>
                </c:pt>
                <c:pt idx="209">
                  <c:v>13737852.871099999</c:v>
                </c:pt>
                <c:pt idx="210">
                  <c:v>13774295.518999999</c:v>
                </c:pt>
                <c:pt idx="211">
                  <c:v>13718277.407299999</c:v>
                </c:pt>
                <c:pt idx="212">
                  <c:v>13723968.5165</c:v>
                </c:pt>
                <c:pt idx="213">
                  <c:v>13732106.4332</c:v>
                </c:pt>
                <c:pt idx="214">
                  <c:v>13702547.2695</c:v>
                </c:pt>
                <c:pt idx="215">
                  <c:v>13729486.2761</c:v>
                </c:pt>
                <c:pt idx="216">
                  <c:v>13762307.187899999</c:v>
                </c:pt>
                <c:pt idx="217">
                  <c:v>13729610.566099999</c:v>
                </c:pt>
                <c:pt idx="218">
                  <c:v>13758204.841</c:v>
                </c:pt>
                <c:pt idx="219">
                  <c:v>13831182.693700001</c:v>
                </c:pt>
                <c:pt idx="220">
                  <c:v>13829792.0693</c:v>
                </c:pt>
                <c:pt idx="221">
                  <c:v>13863195.002800001</c:v>
                </c:pt>
                <c:pt idx="222">
                  <c:v>13994853.499700001</c:v>
                </c:pt>
                <c:pt idx="223">
                  <c:v>14013772.202500001</c:v>
                </c:pt>
                <c:pt idx="224">
                  <c:v>14046707.3817</c:v>
                </c:pt>
                <c:pt idx="225">
                  <c:v>14226985.2226</c:v>
                </c:pt>
                <c:pt idx="226">
                  <c:v>14192205.4659</c:v>
                </c:pt>
                <c:pt idx="227">
                  <c:v>14343433.823799999</c:v>
                </c:pt>
                <c:pt idx="228">
                  <c:v>14443632.6176</c:v>
                </c:pt>
                <c:pt idx="229">
                  <c:v>14409501.922599999</c:v>
                </c:pt>
                <c:pt idx="230">
                  <c:v>14565431.063100001</c:v>
                </c:pt>
                <c:pt idx="231">
                  <c:v>14691030.376800001</c:v>
                </c:pt>
                <c:pt idx="232">
                  <c:v>14736013.5853</c:v>
                </c:pt>
                <c:pt idx="233">
                  <c:v>14813886.517100001</c:v>
                </c:pt>
                <c:pt idx="234">
                  <c:v>14907753.197799999</c:v>
                </c:pt>
                <c:pt idx="235">
                  <c:v>14897646.643200001</c:v>
                </c:pt>
                <c:pt idx="236">
                  <c:v>15073596.704399999</c:v>
                </c:pt>
                <c:pt idx="237">
                  <c:v>15206990.3684</c:v>
                </c:pt>
                <c:pt idx="238">
                  <c:v>15211301.9838</c:v>
                </c:pt>
                <c:pt idx="239">
                  <c:v>15392478.881200001</c:v>
                </c:pt>
                <c:pt idx="240">
                  <c:v>15505681.5835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F9F-A9A4-C04021827B30}"/>
            </c:ext>
          </c:extLst>
        </c:ser>
        <c:ser>
          <c:idx val="2"/>
          <c:order val="2"/>
          <c:tx>
            <c:strRef>
              <c:f>pvt_total_debt!$D$3</c:f>
              <c:strCache>
                <c:ptCount val="1"/>
                <c:pt idx="0">
                  <c:v> Bonds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pvt_total_debt!$A$4:$A$245</c:f>
              <c:strCache>
                <c:ptCount val="241"/>
                <c:pt idx="0">
                  <c:v>10/31/2005</c:v>
                </c:pt>
                <c:pt idx="1">
                  <c:v>11/30/2005</c:v>
                </c:pt>
                <c:pt idx="2">
                  <c:v>12/31/2005</c:v>
                </c:pt>
                <c:pt idx="3">
                  <c:v>1/31/2006</c:v>
                </c:pt>
                <c:pt idx="4">
                  <c:v>2/28/2006</c:v>
                </c:pt>
                <c:pt idx="5">
                  <c:v>3/31/2006</c:v>
                </c:pt>
                <c:pt idx="6">
                  <c:v>4/30/2006</c:v>
                </c:pt>
                <c:pt idx="7">
                  <c:v>5/31/2006</c:v>
                </c:pt>
                <c:pt idx="8">
                  <c:v>6/30/2006</c:v>
                </c:pt>
                <c:pt idx="9">
                  <c:v>7/31/2006</c:v>
                </c:pt>
                <c:pt idx="10">
                  <c:v>8/31/2006</c:v>
                </c:pt>
                <c:pt idx="11">
                  <c:v>9/30/2006</c:v>
                </c:pt>
                <c:pt idx="12">
                  <c:v>10/31/2006</c:v>
                </c:pt>
                <c:pt idx="13">
                  <c:v>11/30/2006</c:v>
                </c:pt>
                <c:pt idx="14">
                  <c:v>12/31/2006</c:v>
                </c:pt>
                <c:pt idx="15">
                  <c:v>1/31/2007</c:v>
                </c:pt>
                <c:pt idx="16">
                  <c:v>2/28/2007</c:v>
                </c:pt>
                <c:pt idx="17">
                  <c:v>3/31/2007</c:v>
                </c:pt>
                <c:pt idx="18">
                  <c:v>4/30/2007</c:v>
                </c:pt>
                <c:pt idx="19">
                  <c:v>5/31/2007</c:v>
                </c:pt>
                <c:pt idx="20">
                  <c:v>6/30/2007</c:v>
                </c:pt>
                <c:pt idx="21">
                  <c:v>7/31/2007</c:v>
                </c:pt>
                <c:pt idx="22">
                  <c:v>8/31/2007</c:v>
                </c:pt>
                <c:pt idx="23">
                  <c:v>9/30/2007</c:v>
                </c:pt>
                <c:pt idx="24">
                  <c:v>10/31/2007</c:v>
                </c:pt>
                <c:pt idx="25">
                  <c:v>11/30/2007</c:v>
                </c:pt>
                <c:pt idx="26">
                  <c:v>12/31/2007</c:v>
                </c:pt>
                <c:pt idx="27">
                  <c:v>1/31/2008</c:v>
                </c:pt>
                <c:pt idx="28">
                  <c:v>2/29/2008</c:v>
                </c:pt>
                <c:pt idx="29">
                  <c:v>3/31/2008</c:v>
                </c:pt>
                <c:pt idx="30">
                  <c:v>4/30/2008</c:v>
                </c:pt>
                <c:pt idx="31">
                  <c:v>5/31/2008</c:v>
                </c:pt>
                <c:pt idx="32">
                  <c:v>6/30/2008</c:v>
                </c:pt>
                <c:pt idx="33">
                  <c:v>7/31/2008</c:v>
                </c:pt>
                <c:pt idx="34">
                  <c:v>8/31/2008</c:v>
                </c:pt>
                <c:pt idx="35">
                  <c:v>9/30/2008</c:v>
                </c:pt>
                <c:pt idx="36">
                  <c:v>10/31/2008</c:v>
                </c:pt>
                <c:pt idx="37">
                  <c:v>11/30/2008</c:v>
                </c:pt>
                <c:pt idx="38">
                  <c:v>12/31/2008</c:v>
                </c:pt>
                <c:pt idx="39">
                  <c:v>1/31/2009</c:v>
                </c:pt>
                <c:pt idx="40">
                  <c:v>2/28/2009</c:v>
                </c:pt>
                <c:pt idx="41">
                  <c:v>3/31/2009</c:v>
                </c:pt>
                <c:pt idx="42">
                  <c:v>4/30/2009</c:v>
                </c:pt>
                <c:pt idx="43">
                  <c:v>5/31/2009</c:v>
                </c:pt>
                <c:pt idx="44">
                  <c:v>6/30/2009</c:v>
                </c:pt>
                <c:pt idx="45">
                  <c:v>7/31/2009</c:v>
                </c:pt>
                <c:pt idx="46">
                  <c:v>8/31/2009</c:v>
                </c:pt>
                <c:pt idx="47">
                  <c:v>9/30/2009</c:v>
                </c:pt>
                <c:pt idx="48">
                  <c:v>10/31/2009</c:v>
                </c:pt>
                <c:pt idx="49">
                  <c:v>11/30/2009</c:v>
                </c:pt>
                <c:pt idx="50">
                  <c:v>12/31/2009</c:v>
                </c:pt>
                <c:pt idx="51">
                  <c:v>1/31/2010</c:v>
                </c:pt>
                <c:pt idx="52">
                  <c:v>2/28/2010</c:v>
                </c:pt>
                <c:pt idx="53">
                  <c:v>3/31/2010</c:v>
                </c:pt>
                <c:pt idx="54">
                  <c:v>4/30/2010</c:v>
                </c:pt>
                <c:pt idx="55">
                  <c:v>5/31/2010</c:v>
                </c:pt>
                <c:pt idx="56">
                  <c:v>6/30/2010</c:v>
                </c:pt>
                <c:pt idx="57">
                  <c:v>7/31/2010</c:v>
                </c:pt>
                <c:pt idx="58">
                  <c:v>8/31/2010</c:v>
                </c:pt>
                <c:pt idx="59">
                  <c:v>9/30/2010</c:v>
                </c:pt>
                <c:pt idx="60">
                  <c:v>10/31/2010</c:v>
                </c:pt>
                <c:pt idx="61">
                  <c:v>11/30/2010</c:v>
                </c:pt>
                <c:pt idx="62">
                  <c:v>12/31/2010</c:v>
                </c:pt>
                <c:pt idx="63">
                  <c:v>1/31/2011</c:v>
                </c:pt>
                <c:pt idx="64">
                  <c:v>2/28/2011</c:v>
                </c:pt>
                <c:pt idx="65">
                  <c:v>3/31/2011</c:v>
                </c:pt>
                <c:pt idx="66">
                  <c:v>4/30/2011</c:v>
                </c:pt>
                <c:pt idx="67">
                  <c:v>5/31/2011</c:v>
                </c:pt>
                <c:pt idx="68">
                  <c:v>6/30/2011</c:v>
                </c:pt>
                <c:pt idx="69">
                  <c:v>7/31/2011</c:v>
                </c:pt>
                <c:pt idx="70">
                  <c:v>8/31/2011</c:v>
                </c:pt>
                <c:pt idx="71">
                  <c:v>9/30/2011</c:v>
                </c:pt>
                <c:pt idx="72">
                  <c:v>10/31/2011</c:v>
                </c:pt>
                <c:pt idx="73">
                  <c:v>11/30/2011</c:v>
                </c:pt>
                <c:pt idx="74">
                  <c:v>12/31/2011</c:v>
                </c:pt>
                <c:pt idx="75">
                  <c:v>1/31/2012</c:v>
                </c:pt>
                <c:pt idx="76">
                  <c:v>2/29/2012</c:v>
                </c:pt>
                <c:pt idx="77">
                  <c:v>3/31/2012</c:v>
                </c:pt>
                <c:pt idx="78">
                  <c:v>4/30/2012</c:v>
                </c:pt>
                <c:pt idx="79">
                  <c:v>5/31/2012</c:v>
                </c:pt>
                <c:pt idx="80">
                  <c:v>6/30/2012</c:v>
                </c:pt>
                <c:pt idx="81">
                  <c:v>7/31/2012</c:v>
                </c:pt>
                <c:pt idx="82">
                  <c:v>8/31/2012</c:v>
                </c:pt>
                <c:pt idx="83">
                  <c:v>9/30/2012</c:v>
                </c:pt>
                <c:pt idx="84">
                  <c:v>10/31/2012</c:v>
                </c:pt>
                <c:pt idx="85">
                  <c:v>11/30/2012</c:v>
                </c:pt>
                <c:pt idx="86">
                  <c:v>12/31/2012</c:v>
                </c:pt>
                <c:pt idx="87">
                  <c:v>1/31/2013</c:v>
                </c:pt>
                <c:pt idx="88">
                  <c:v>2/28/2013</c:v>
                </c:pt>
                <c:pt idx="89">
                  <c:v>3/31/2013</c:v>
                </c:pt>
                <c:pt idx="90">
                  <c:v>4/30/2013</c:v>
                </c:pt>
                <c:pt idx="91">
                  <c:v>5/31/2013</c:v>
                </c:pt>
                <c:pt idx="92">
                  <c:v>6/30/2013</c:v>
                </c:pt>
                <c:pt idx="93">
                  <c:v>7/31/2013</c:v>
                </c:pt>
                <c:pt idx="94">
                  <c:v>8/31/2013</c:v>
                </c:pt>
                <c:pt idx="95">
                  <c:v>9/30/2013</c:v>
                </c:pt>
                <c:pt idx="96">
                  <c:v>10/31/2013</c:v>
                </c:pt>
                <c:pt idx="97">
                  <c:v>11/30/2013</c:v>
                </c:pt>
                <c:pt idx="98">
                  <c:v>12/31/2013</c:v>
                </c:pt>
                <c:pt idx="99">
                  <c:v>1/31/2014</c:v>
                </c:pt>
                <c:pt idx="100">
                  <c:v>2/28/2014</c:v>
                </c:pt>
                <c:pt idx="101">
                  <c:v>3/31/2014</c:v>
                </c:pt>
                <c:pt idx="102">
                  <c:v>4/30/2014</c:v>
                </c:pt>
                <c:pt idx="103">
                  <c:v>5/31/2014</c:v>
                </c:pt>
                <c:pt idx="104">
                  <c:v>6/30/2014</c:v>
                </c:pt>
                <c:pt idx="105">
                  <c:v>7/31/2014</c:v>
                </c:pt>
                <c:pt idx="106">
                  <c:v>8/31/2014</c:v>
                </c:pt>
                <c:pt idx="107">
                  <c:v>9/30/2014</c:v>
                </c:pt>
                <c:pt idx="108">
                  <c:v>10/31/2014</c:v>
                </c:pt>
                <c:pt idx="109">
                  <c:v>11/30/2014</c:v>
                </c:pt>
                <c:pt idx="110">
                  <c:v>12/31/2014</c:v>
                </c:pt>
                <c:pt idx="111">
                  <c:v>1/31/2015</c:v>
                </c:pt>
                <c:pt idx="112">
                  <c:v>2/28/2015</c:v>
                </c:pt>
                <c:pt idx="113">
                  <c:v>3/31/2015</c:v>
                </c:pt>
                <c:pt idx="114">
                  <c:v>4/30/2015</c:v>
                </c:pt>
                <c:pt idx="115">
                  <c:v>5/31/2015</c:v>
                </c:pt>
                <c:pt idx="116">
                  <c:v>6/30/2015</c:v>
                </c:pt>
                <c:pt idx="117">
                  <c:v>7/31/2015</c:v>
                </c:pt>
                <c:pt idx="118">
                  <c:v>8/31/2015</c:v>
                </c:pt>
                <c:pt idx="119">
                  <c:v>9/30/2015</c:v>
                </c:pt>
                <c:pt idx="120">
                  <c:v>10/31/2015</c:v>
                </c:pt>
                <c:pt idx="121">
                  <c:v>11/30/2015</c:v>
                </c:pt>
                <c:pt idx="122">
                  <c:v>12/31/2015</c:v>
                </c:pt>
                <c:pt idx="123">
                  <c:v>1/31/2016</c:v>
                </c:pt>
                <c:pt idx="124">
                  <c:v>2/29/2016</c:v>
                </c:pt>
                <c:pt idx="125">
                  <c:v>3/31/2016</c:v>
                </c:pt>
                <c:pt idx="126">
                  <c:v>4/30/2016</c:v>
                </c:pt>
                <c:pt idx="127">
                  <c:v>5/31/2016</c:v>
                </c:pt>
                <c:pt idx="128">
                  <c:v>6/30/2016</c:v>
                </c:pt>
                <c:pt idx="129">
                  <c:v>7/31/2016</c:v>
                </c:pt>
                <c:pt idx="130">
                  <c:v>8/31/2016</c:v>
                </c:pt>
                <c:pt idx="131">
                  <c:v>9/30/2016</c:v>
                </c:pt>
                <c:pt idx="132">
                  <c:v>10/31/2016</c:v>
                </c:pt>
                <c:pt idx="133">
                  <c:v>11/30/2016</c:v>
                </c:pt>
                <c:pt idx="134">
                  <c:v>12/31/2016</c:v>
                </c:pt>
                <c:pt idx="135">
                  <c:v>1/31/2017</c:v>
                </c:pt>
                <c:pt idx="136">
                  <c:v>2/28/2017</c:v>
                </c:pt>
                <c:pt idx="137">
                  <c:v>3/31/2017</c:v>
                </c:pt>
                <c:pt idx="138">
                  <c:v>4/30/2017</c:v>
                </c:pt>
                <c:pt idx="139">
                  <c:v>5/31/2017</c:v>
                </c:pt>
                <c:pt idx="140">
                  <c:v>6/30/2017</c:v>
                </c:pt>
                <c:pt idx="141">
                  <c:v>7/31/2017</c:v>
                </c:pt>
                <c:pt idx="142">
                  <c:v>8/31/2017</c:v>
                </c:pt>
                <c:pt idx="143">
                  <c:v>9/30/2017</c:v>
                </c:pt>
                <c:pt idx="144">
                  <c:v>10/31/2017</c:v>
                </c:pt>
                <c:pt idx="145">
                  <c:v>11/30/2017</c:v>
                </c:pt>
                <c:pt idx="146">
                  <c:v>12/31/2017</c:v>
                </c:pt>
                <c:pt idx="147">
                  <c:v>1/31/2018</c:v>
                </c:pt>
                <c:pt idx="148">
                  <c:v>2/28/2018</c:v>
                </c:pt>
                <c:pt idx="149">
                  <c:v>3/31/2018</c:v>
                </c:pt>
                <c:pt idx="150">
                  <c:v>4/30/2018</c:v>
                </c:pt>
                <c:pt idx="151">
                  <c:v>5/31/2018</c:v>
                </c:pt>
                <c:pt idx="152">
                  <c:v>6/30/2018</c:v>
                </c:pt>
                <c:pt idx="153">
                  <c:v>7/31/2018</c:v>
                </c:pt>
                <c:pt idx="154">
                  <c:v>8/31/2018</c:v>
                </c:pt>
                <c:pt idx="155">
                  <c:v>9/30/2018</c:v>
                </c:pt>
                <c:pt idx="156">
                  <c:v>10/31/2018</c:v>
                </c:pt>
                <c:pt idx="157">
                  <c:v>11/30/2018</c:v>
                </c:pt>
                <c:pt idx="158">
                  <c:v>12/31/2018</c:v>
                </c:pt>
                <c:pt idx="159">
                  <c:v>1/31/2019</c:v>
                </c:pt>
                <c:pt idx="160">
                  <c:v>2/28/2019</c:v>
                </c:pt>
                <c:pt idx="161">
                  <c:v>3/31/2019</c:v>
                </c:pt>
                <c:pt idx="162">
                  <c:v>4/30/2019</c:v>
                </c:pt>
                <c:pt idx="163">
                  <c:v>5/31/2019</c:v>
                </c:pt>
                <c:pt idx="164">
                  <c:v>6/30/2019</c:v>
                </c:pt>
                <c:pt idx="165">
                  <c:v>7/31/2019</c:v>
                </c:pt>
                <c:pt idx="166">
                  <c:v>8/31/2019</c:v>
                </c:pt>
                <c:pt idx="167">
                  <c:v>9/30/2019</c:v>
                </c:pt>
                <c:pt idx="168">
                  <c:v>10/31/2019</c:v>
                </c:pt>
                <c:pt idx="169">
                  <c:v>11/30/2019</c:v>
                </c:pt>
                <c:pt idx="170">
                  <c:v>12/31/2019</c:v>
                </c:pt>
                <c:pt idx="171">
                  <c:v>1/31/2020</c:v>
                </c:pt>
                <c:pt idx="172">
                  <c:v>2/29/2020</c:v>
                </c:pt>
                <c:pt idx="173">
                  <c:v>3/31/2020</c:v>
                </c:pt>
                <c:pt idx="174">
                  <c:v>4/30/2020</c:v>
                </c:pt>
                <c:pt idx="175">
                  <c:v>5/31/2020</c:v>
                </c:pt>
                <c:pt idx="176">
                  <c:v>6/30/2020</c:v>
                </c:pt>
                <c:pt idx="177">
                  <c:v>7/31/2020</c:v>
                </c:pt>
                <c:pt idx="178">
                  <c:v>8/31/2020</c:v>
                </c:pt>
                <c:pt idx="179">
                  <c:v>9/30/2020</c:v>
                </c:pt>
                <c:pt idx="180">
                  <c:v>10/31/2020</c:v>
                </c:pt>
                <c:pt idx="181">
                  <c:v>11/30/2020</c:v>
                </c:pt>
                <c:pt idx="182">
                  <c:v>12/31/2020</c:v>
                </c:pt>
                <c:pt idx="183">
                  <c:v>1/31/2021</c:v>
                </c:pt>
                <c:pt idx="184">
                  <c:v>2/28/2021</c:v>
                </c:pt>
                <c:pt idx="185">
                  <c:v>3/31/2021</c:v>
                </c:pt>
                <c:pt idx="186">
                  <c:v>4/30/2021</c:v>
                </c:pt>
                <c:pt idx="187">
                  <c:v>5/31/2021</c:v>
                </c:pt>
                <c:pt idx="188">
                  <c:v>6/30/2021</c:v>
                </c:pt>
                <c:pt idx="189">
                  <c:v>7/31/2021</c:v>
                </c:pt>
                <c:pt idx="190">
                  <c:v>8/31/2021</c:v>
                </c:pt>
                <c:pt idx="191">
                  <c:v>9/30/2021</c:v>
                </c:pt>
                <c:pt idx="192">
                  <c:v>10/31/2021</c:v>
                </c:pt>
                <c:pt idx="193">
                  <c:v>11/30/2021</c:v>
                </c:pt>
                <c:pt idx="194">
                  <c:v>12/31/2021</c:v>
                </c:pt>
                <c:pt idx="195">
                  <c:v>1/31/2022</c:v>
                </c:pt>
                <c:pt idx="196">
                  <c:v>2/28/2022</c:v>
                </c:pt>
                <c:pt idx="197">
                  <c:v>3/31/2022</c:v>
                </c:pt>
                <c:pt idx="198">
                  <c:v>4/30/2022</c:v>
                </c:pt>
                <c:pt idx="199">
                  <c:v>5/31/2022</c:v>
                </c:pt>
                <c:pt idx="200">
                  <c:v>6/30/2022</c:v>
                </c:pt>
                <c:pt idx="201">
                  <c:v>7/31/2022</c:v>
                </c:pt>
                <c:pt idx="202">
                  <c:v>8/31/2022</c:v>
                </c:pt>
                <c:pt idx="203">
                  <c:v>9/30/2022</c:v>
                </c:pt>
                <c:pt idx="204">
                  <c:v>10/31/2022</c:v>
                </c:pt>
                <c:pt idx="205">
                  <c:v>11/30/2022</c:v>
                </c:pt>
                <c:pt idx="206">
                  <c:v>12/31/2022</c:v>
                </c:pt>
                <c:pt idx="207">
                  <c:v>1/31/2023</c:v>
                </c:pt>
                <c:pt idx="208">
                  <c:v>2/28/2023</c:v>
                </c:pt>
                <c:pt idx="209">
                  <c:v>3/31/2023</c:v>
                </c:pt>
                <c:pt idx="210">
                  <c:v>4/30/2023</c:v>
                </c:pt>
                <c:pt idx="211">
                  <c:v>5/31/2023</c:v>
                </c:pt>
                <c:pt idx="212">
                  <c:v>6/30/2023</c:v>
                </c:pt>
                <c:pt idx="213">
                  <c:v>7/31/2023</c:v>
                </c:pt>
                <c:pt idx="214">
                  <c:v>8/31/2023</c:v>
                </c:pt>
                <c:pt idx="215">
                  <c:v>9/30/2023</c:v>
                </c:pt>
                <c:pt idx="216">
                  <c:v>10/31/2023</c:v>
                </c:pt>
                <c:pt idx="217">
                  <c:v>11/30/2023</c:v>
                </c:pt>
                <c:pt idx="218">
                  <c:v>12/31/2023</c:v>
                </c:pt>
                <c:pt idx="219">
                  <c:v>1/31/2024</c:v>
                </c:pt>
                <c:pt idx="220">
                  <c:v>2/29/2024</c:v>
                </c:pt>
                <c:pt idx="221">
                  <c:v>3/31/2024</c:v>
                </c:pt>
                <c:pt idx="222">
                  <c:v>4/30/2024</c:v>
                </c:pt>
                <c:pt idx="223">
                  <c:v>5/31/2024</c:v>
                </c:pt>
                <c:pt idx="224">
                  <c:v>6/30/2024</c:v>
                </c:pt>
                <c:pt idx="225">
                  <c:v>7/31/2024</c:v>
                </c:pt>
                <c:pt idx="226">
                  <c:v>8/31/2024</c:v>
                </c:pt>
                <c:pt idx="227">
                  <c:v>9/30/2024</c:v>
                </c:pt>
                <c:pt idx="228">
                  <c:v>10/31/2024</c:v>
                </c:pt>
                <c:pt idx="229">
                  <c:v>11/30/2024</c:v>
                </c:pt>
                <c:pt idx="230">
                  <c:v>12/31/2024</c:v>
                </c:pt>
                <c:pt idx="231">
                  <c:v>1/31/2025</c:v>
                </c:pt>
                <c:pt idx="232">
                  <c:v>2/28/2025</c:v>
                </c:pt>
                <c:pt idx="233">
                  <c:v>3/31/2025</c:v>
                </c:pt>
                <c:pt idx="234">
                  <c:v>4/30/2025</c:v>
                </c:pt>
                <c:pt idx="235">
                  <c:v>5/31/2025</c:v>
                </c:pt>
                <c:pt idx="236">
                  <c:v>6/30/2025</c:v>
                </c:pt>
                <c:pt idx="237">
                  <c:v>7/31/2025</c:v>
                </c:pt>
                <c:pt idx="238">
                  <c:v>8/31/2025</c:v>
                </c:pt>
                <c:pt idx="239">
                  <c:v>9/30/2025</c:v>
                </c:pt>
                <c:pt idx="240">
                  <c:v>10/31/2025</c:v>
                </c:pt>
              </c:strCache>
            </c:strRef>
          </c:cat>
          <c:val>
            <c:numRef>
              <c:f>pvt_total_debt!$D$4:$D$245</c:f>
              <c:numCache>
                <c:formatCode>"$"#,##0.00</c:formatCode>
                <c:ptCount val="241"/>
                <c:pt idx="0">
                  <c:v>520701.76270000002</c:v>
                </c:pt>
                <c:pt idx="1">
                  <c:v>516627.00099999999</c:v>
                </c:pt>
                <c:pt idx="2">
                  <c:v>516620.9987</c:v>
                </c:pt>
                <c:pt idx="3">
                  <c:v>516618.80420000001</c:v>
                </c:pt>
                <c:pt idx="4">
                  <c:v>526716.48270000005</c:v>
                </c:pt>
                <c:pt idx="5">
                  <c:v>526703.65960000001</c:v>
                </c:pt>
                <c:pt idx="6">
                  <c:v>526701.75639999995</c:v>
                </c:pt>
                <c:pt idx="7">
                  <c:v>523165.9094</c:v>
                </c:pt>
                <c:pt idx="8">
                  <c:v>523157.03240000003</c:v>
                </c:pt>
                <c:pt idx="9">
                  <c:v>523155.63589999999</c:v>
                </c:pt>
                <c:pt idx="10">
                  <c:v>534710.78579999995</c:v>
                </c:pt>
                <c:pt idx="11">
                  <c:v>534709.88430000003</c:v>
                </c:pt>
                <c:pt idx="12">
                  <c:v>534709.11124999996</c:v>
                </c:pt>
                <c:pt idx="13">
                  <c:v>530694.37014999997</c:v>
                </c:pt>
                <c:pt idx="14">
                  <c:v>530682.03315000003</c:v>
                </c:pt>
                <c:pt idx="15">
                  <c:v>530675.82065000001</c:v>
                </c:pt>
                <c:pt idx="16">
                  <c:v>540496.94915</c:v>
                </c:pt>
                <c:pt idx="17">
                  <c:v>540495.05715000001</c:v>
                </c:pt>
                <c:pt idx="18">
                  <c:v>540494.14714999998</c:v>
                </c:pt>
                <c:pt idx="19">
                  <c:v>547256.62505000003</c:v>
                </c:pt>
                <c:pt idx="20">
                  <c:v>547255.26194999996</c:v>
                </c:pt>
                <c:pt idx="21">
                  <c:v>547253.57695000002</c:v>
                </c:pt>
                <c:pt idx="22">
                  <c:v>561098.65745000006</c:v>
                </c:pt>
                <c:pt idx="23">
                  <c:v>561098.15044999996</c:v>
                </c:pt>
                <c:pt idx="24">
                  <c:v>561097.60294999997</c:v>
                </c:pt>
                <c:pt idx="25">
                  <c:v>558541.72290000005</c:v>
                </c:pt>
                <c:pt idx="26">
                  <c:v>558537.83490000002</c:v>
                </c:pt>
                <c:pt idx="27">
                  <c:v>558536.77839999995</c:v>
                </c:pt>
                <c:pt idx="28">
                  <c:v>571830.40040000004</c:v>
                </c:pt>
                <c:pt idx="29">
                  <c:v>571829.59939999995</c:v>
                </c:pt>
                <c:pt idx="30">
                  <c:v>571828.92189999996</c:v>
                </c:pt>
                <c:pt idx="31">
                  <c:v>581059.20559999999</c:v>
                </c:pt>
                <c:pt idx="32">
                  <c:v>581058.87159999995</c:v>
                </c:pt>
                <c:pt idx="33">
                  <c:v>581057.76809999999</c:v>
                </c:pt>
                <c:pt idx="34">
                  <c:v>582874.13450000004</c:v>
                </c:pt>
                <c:pt idx="35">
                  <c:v>582871.53630000004</c:v>
                </c:pt>
                <c:pt idx="36">
                  <c:v>582870.37329999998</c:v>
                </c:pt>
                <c:pt idx="37">
                  <c:v>594641.67709999997</c:v>
                </c:pt>
                <c:pt idx="38">
                  <c:v>594641.14300000004</c:v>
                </c:pt>
                <c:pt idx="39">
                  <c:v>594640.86199999996</c:v>
                </c:pt>
                <c:pt idx="40">
                  <c:v>609353.17200000002</c:v>
                </c:pt>
                <c:pt idx="41">
                  <c:v>620548.43629999994</c:v>
                </c:pt>
                <c:pt idx="42">
                  <c:v>620548.26710000006</c:v>
                </c:pt>
                <c:pt idx="43">
                  <c:v>632545.93370000005</c:v>
                </c:pt>
                <c:pt idx="44">
                  <c:v>643660.31259999995</c:v>
                </c:pt>
                <c:pt idx="45">
                  <c:v>654845.36340000003</c:v>
                </c:pt>
                <c:pt idx="46">
                  <c:v>667776.20325000002</c:v>
                </c:pt>
                <c:pt idx="47">
                  <c:v>679800.03835000005</c:v>
                </c:pt>
                <c:pt idx="48">
                  <c:v>691887.65865</c:v>
                </c:pt>
                <c:pt idx="49">
                  <c:v>704861.87175000005</c:v>
                </c:pt>
                <c:pt idx="50">
                  <c:v>717931.18024999998</c:v>
                </c:pt>
                <c:pt idx="51">
                  <c:v>731435.74274999998</c:v>
                </c:pt>
                <c:pt idx="52">
                  <c:v>749232.29055000003</c:v>
                </c:pt>
                <c:pt idx="53">
                  <c:v>762385.96814999997</c:v>
                </c:pt>
                <c:pt idx="54">
                  <c:v>776337.46554999996</c:v>
                </c:pt>
                <c:pt idx="55">
                  <c:v>793731.41425000003</c:v>
                </c:pt>
                <c:pt idx="56">
                  <c:v>806805.73285000003</c:v>
                </c:pt>
                <c:pt idx="57">
                  <c:v>819809.23395000002</c:v>
                </c:pt>
                <c:pt idx="58">
                  <c:v>836767.36829999997</c:v>
                </c:pt>
                <c:pt idx="59">
                  <c:v>849907.58724999998</c:v>
                </c:pt>
                <c:pt idx="60">
                  <c:v>863021.90755</c:v>
                </c:pt>
                <c:pt idx="61">
                  <c:v>879450.76910000003</c:v>
                </c:pt>
                <c:pt idx="62">
                  <c:v>892639.63690000004</c:v>
                </c:pt>
                <c:pt idx="63">
                  <c:v>905924.5037</c:v>
                </c:pt>
                <c:pt idx="64">
                  <c:v>922290.5085</c:v>
                </c:pt>
                <c:pt idx="65">
                  <c:v>935289.17110000004</c:v>
                </c:pt>
                <c:pt idx="66">
                  <c:v>948928.9523</c:v>
                </c:pt>
                <c:pt idx="67">
                  <c:v>964928.84719999996</c:v>
                </c:pt>
                <c:pt idx="68">
                  <c:v>977924.24780000001</c:v>
                </c:pt>
                <c:pt idx="69">
                  <c:v>990924.14635000005</c:v>
                </c:pt>
                <c:pt idx="70">
                  <c:v>1007413.8952499999</c:v>
                </c:pt>
                <c:pt idx="71">
                  <c:v>1020412.85405</c:v>
                </c:pt>
                <c:pt idx="72">
                  <c:v>1033412.64595</c:v>
                </c:pt>
                <c:pt idx="73">
                  <c:v>1050636.75495</c:v>
                </c:pt>
                <c:pt idx="74">
                  <c:v>1064112.3280499999</c:v>
                </c:pt>
                <c:pt idx="75">
                  <c:v>1078034.59035</c:v>
                </c:pt>
                <c:pt idx="76">
                  <c:v>1095985.37815</c:v>
                </c:pt>
                <c:pt idx="77">
                  <c:v>1109888.0362499999</c:v>
                </c:pt>
                <c:pt idx="78">
                  <c:v>1125253.4725500001</c:v>
                </c:pt>
                <c:pt idx="79">
                  <c:v>1142254.4681500001</c:v>
                </c:pt>
                <c:pt idx="80">
                  <c:v>1156172.2095999999</c:v>
                </c:pt>
                <c:pt idx="81">
                  <c:v>1169171.9396500001</c:v>
                </c:pt>
                <c:pt idx="82">
                  <c:v>1185172.1172499999</c:v>
                </c:pt>
                <c:pt idx="83">
                  <c:v>1198167.2944499999</c:v>
                </c:pt>
                <c:pt idx="84">
                  <c:v>1211167.20545</c:v>
                </c:pt>
                <c:pt idx="85">
                  <c:v>1227162.1782500001</c:v>
                </c:pt>
                <c:pt idx="86">
                  <c:v>1240161.1360500001</c:v>
                </c:pt>
                <c:pt idx="87">
                  <c:v>1253161.1117499999</c:v>
                </c:pt>
                <c:pt idx="88">
                  <c:v>1269160.8702499999</c:v>
                </c:pt>
                <c:pt idx="89">
                  <c:v>1282160.8287500001</c:v>
                </c:pt>
                <c:pt idx="90">
                  <c:v>1295160.6830500001</c:v>
                </c:pt>
                <c:pt idx="91">
                  <c:v>1311160.5785000001</c:v>
                </c:pt>
                <c:pt idx="92">
                  <c:v>1324160.4598000001</c:v>
                </c:pt>
                <c:pt idx="93">
                  <c:v>1337159.5360000001</c:v>
                </c:pt>
                <c:pt idx="94">
                  <c:v>1353158.3518999999</c:v>
                </c:pt>
                <c:pt idx="95">
                  <c:v>1366158.2705999999</c:v>
                </c:pt>
                <c:pt idx="96">
                  <c:v>1379158.2344</c:v>
                </c:pt>
                <c:pt idx="97">
                  <c:v>1395153.2433</c:v>
                </c:pt>
                <c:pt idx="98">
                  <c:v>1408152.9380000001</c:v>
                </c:pt>
                <c:pt idx="99">
                  <c:v>1421152.9401</c:v>
                </c:pt>
                <c:pt idx="100">
                  <c:v>1437152.5759000001</c:v>
                </c:pt>
                <c:pt idx="101">
                  <c:v>1450152.5869499999</c:v>
                </c:pt>
                <c:pt idx="102">
                  <c:v>1463152.5181499999</c:v>
                </c:pt>
                <c:pt idx="103">
                  <c:v>1479147.64885</c:v>
                </c:pt>
                <c:pt idx="104">
                  <c:v>1492147.5854499999</c:v>
                </c:pt>
                <c:pt idx="105">
                  <c:v>1505144.55265</c:v>
                </c:pt>
                <c:pt idx="106">
                  <c:v>1521144.4349499999</c:v>
                </c:pt>
                <c:pt idx="107">
                  <c:v>1534144.4408499999</c:v>
                </c:pt>
                <c:pt idx="108">
                  <c:v>1547144.4013499999</c:v>
                </c:pt>
                <c:pt idx="109">
                  <c:v>1563165.78605</c:v>
                </c:pt>
                <c:pt idx="110">
                  <c:v>1576165.79205</c:v>
                </c:pt>
                <c:pt idx="111">
                  <c:v>1589165.2581499999</c:v>
                </c:pt>
                <c:pt idx="112">
                  <c:v>1594648.2240500001</c:v>
                </c:pt>
                <c:pt idx="113">
                  <c:v>1607646.96835</c:v>
                </c:pt>
                <c:pt idx="114">
                  <c:v>1620646.0121500001</c:v>
                </c:pt>
                <c:pt idx="115">
                  <c:v>1637007.6939999999</c:v>
                </c:pt>
                <c:pt idx="116">
                  <c:v>1650007.3415000001</c:v>
                </c:pt>
                <c:pt idx="117">
                  <c:v>1663007.3256000001</c:v>
                </c:pt>
                <c:pt idx="118">
                  <c:v>1675306.0414</c:v>
                </c:pt>
                <c:pt idx="119">
                  <c:v>1688305.2059500001</c:v>
                </c:pt>
                <c:pt idx="120">
                  <c:v>1701304.8806499999</c:v>
                </c:pt>
                <c:pt idx="121">
                  <c:v>1711802.5014500001</c:v>
                </c:pt>
                <c:pt idx="122">
                  <c:v>1724802.1682500001</c:v>
                </c:pt>
                <c:pt idx="123">
                  <c:v>1737796.9538499999</c:v>
                </c:pt>
                <c:pt idx="124">
                  <c:v>1748541.5285499999</c:v>
                </c:pt>
                <c:pt idx="125">
                  <c:v>1760539.60255</c:v>
                </c:pt>
                <c:pt idx="126">
                  <c:v>1772617.9582499999</c:v>
                </c:pt>
                <c:pt idx="127">
                  <c:v>1772196.76565</c:v>
                </c:pt>
                <c:pt idx="128">
                  <c:v>1784191.8012999999</c:v>
                </c:pt>
                <c:pt idx="129">
                  <c:v>1796971.3829000001</c:v>
                </c:pt>
                <c:pt idx="130">
                  <c:v>1813507.2034</c:v>
                </c:pt>
                <c:pt idx="131">
                  <c:v>1825507.0456999999</c:v>
                </c:pt>
                <c:pt idx="132">
                  <c:v>1837505.3466</c:v>
                </c:pt>
                <c:pt idx="133">
                  <c:v>1837001.5194000001</c:v>
                </c:pt>
                <c:pt idx="134">
                  <c:v>1849001.3959999999</c:v>
                </c:pt>
                <c:pt idx="135">
                  <c:v>1861666.1989</c:v>
                </c:pt>
                <c:pt idx="136">
                  <c:v>1878397.8816</c:v>
                </c:pt>
                <c:pt idx="137">
                  <c:v>1890397.5338000001</c:v>
                </c:pt>
                <c:pt idx="138">
                  <c:v>1902496.0869</c:v>
                </c:pt>
                <c:pt idx="139">
                  <c:v>1906887.4027</c:v>
                </c:pt>
                <c:pt idx="140">
                  <c:v>1918886.8992000001</c:v>
                </c:pt>
                <c:pt idx="141">
                  <c:v>1931160.2356</c:v>
                </c:pt>
                <c:pt idx="142">
                  <c:v>1939705.0101999999</c:v>
                </c:pt>
                <c:pt idx="143">
                  <c:v>1951704.8063999999</c:v>
                </c:pt>
                <c:pt idx="144">
                  <c:v>1963703.9483</c:v>
                </c:pt>
                <c:pt idx="145">
                  <c:v>1980525.0109999999</c:v>
                </c:pt>
                <c:pt idx="146">
                  <c:v>1992524.0612999999</c:v>
                </c:pt>
                <c:pt idx="147">
                  <c:v>2004929.7239999999</c:v>
                </c:pt>
                <c:pt idx="148">
                  <c:v>2023951.8171999999</c:v>
                </c:pt>
                <c:pt idx="149">
                  <c:v>2036951.7793000001</c:v>
                </c:pt>
                <c:pt idx="150">
                  <c:v>2049973.9426</c:v>
                </c:pt>
                <c:pt idx="151">
                  <c:v>2064354.6624</c:v>
                </c:pt>
                <c:pt idx="152">
                  <c:v>2078354.5501999999</c:v>
                </c:pt>
                <c:pt idx="153">
                  <c:v>2092407.8692000001</c:v>
                </c:pt>
                <c:pt idx="154">
                  <c:v>2112822.5747000002</c:v>
                </c:pt>
                <c:pt idx="155">
                  <c:v>2127822.5328000002</c:v>
                </c:pt>
                <c:pt idx="156">
                  <c:v>2142822.2642999999</c:v>
                </c:pt>
                <c:pt idx="157">
                  <c:v>2158521.1729000001</c:v>
                </c:pt>
                <c:pt idx="158">
                  <c:v>2174521.1348000001</c:v>
                </c:pt>
                <c:pt idx="159">
                  <c:v>2190515.7075</c:v>
                </c:pt>
                <c:pt idx="160">
                  <c:v>2200999.8032</c:v>
                </c:pt>
                <c:pt idx="161">
                  <c:v>2216999.6079000002</c:v>
                </c:pt>
                <c:pt idx="162">
                  <c:v>2233001.5641999999</c:v>
                </c:pt>
                <c:pt idx="163">
                  <c:v>2258474.0521</c:v>
                </c:pt>
                <c:pt idx="164">
                  <c:v>2274473.6428499999</c:v>
                </c:pt>
                <c:pt idx="165">
                  <c:v>2290609.6382499998</c:v>
                </c:pt>
                <c:pt idx="166">
                  <c:v>2303067.20205</c:v>
                </c:pt>
                <c:pt idx="167">
                  <c:v>2319064.9882499999</c:v>
                </c:pt>
                <c:pt idx="168">
                  <c:v>2335064.7870499999</c:v>
                </c:pt>
                <c:pt idx="169">
                  <c:v>2363058.4257499999</c:v>
                </c:pt>
                <c:pt idx="170">
                  <c:v>2379057.2348500001</c:v>
                </c:pt>
                <c:pt idx="171">
                  <c:v>2395568.8438499998</c:v>
                </c:pt>
                <c:pt idx="172">
                  <c:v>2413542.04825</c:v>
                </c:pt>
                <c:pt idx="173">
                  <c:v>2429557.1893500001</c:v>
                </c:pt>
                <c:pt idx="174">
                  <c:v>2446613.12005</c:v>
                </c:pt>
                <c:pt idx="175">
                  <c:v>2472665.6805500002</c:v>
                </c:pt>
                <c:pt idx="176">
                  <c:v>2533360.64365</c:v>
                </c:pt>
                <c:pt idx="177">
                  <c:v>2572959.32675</c:v>
                </c:pt>
                <c:pt idx="178">
                  <c:v>2624535.3957500001</c:v>
                </c:pt>
                <c:pt idx="179">
                  <c:v>2673492.7924500001</c:v>
                </c:pt>
                <c:pt idx="180">
                  <c:v>2697136.165</c:v>
                </c:pt>
                <c:pt idx="181">
                  <c:v>2786619.2894000001</c:v>
                </c:pt>
                <c:pt idx="182">
                  <c:v>2839292.9035</c:v>
                </c:pt>
                <c:pt idx="183">
                  <c:v>2865705.4896</c:v>
                </c:pt>
                <c:pt idx="184">
                  <c:v>2919668.3899500002</c:v>
                </c:pt>
                <c:pt idx="185">
                  <c:v>3006314.5255499999</c:v>
                </c:pt>
                <c:pt idx="186">
                  <c:v>3062582.24235</c:v>
                </c:pt>
                <c:pt idx="187">
                  <c:v>3093839.08715</c:v>
                </c:pt>
                <c:pt idx="188">
                  <c:v>3179928.5870500002</c:v>
                </c:pt>
                <c:pt idx="189">
                  <c:v>3207879.53015</c:v>
                </c:pt>
                <c:pt idx="190">
                  <c:v>3294109.6476500002</c:v>
                </c:pt>
                <c:pt idx="191">
                  <c:v>3347555.48905</c:v>
                </c:pt>
                <c:pt idx="192">
                  <c:v>3373360.3669500002</c:v>
                </c:pt>
                <c:pt idx="193">
                  <c:v>3433525.3276499999</c:v>
                </c:pt>
                <c:pt idx="194">
                  <c:v>3481511.35525</c:v>
                </c:pt>
                <c:pt idx="195">
                  <c:v>3530029.4334499999</c:v>
                </c:pt>
                <c:pt idx="196">
                  <c:v>3589195.6134500001</c:v>
                </c:pt>
                <c:pt idx="197">
                  <c:v>3631506.4312499999</c:v>
                </c:pt>
                <c:pt idx="198">
                  <c:v>3656277.2743500001</c:v>
                </c:pt>
                <c:pt idx="199">
                  <c:v>3731432.1550500002</c:v>
                </c:pt>
                <c:pt idx="200">
                  <c:v>3766619.8216499998</c:v>
                </c:pt>
                <c:pt idx="201">
                  <c:v>3788041.4324500002</c:v>
                </c:pt>
                <c:pt idx="202">
                  <c:v>3844352.7732500001</c:v>
                </c:pt>
                <c:pt idx="203">
                  <c:v>3874352.1434499999</c:v>
                </c:pt>
                <c:pt idx="204">
                  <c:v>3904340.2751500001</c:v>
                </c:pt>
                <c:pt idx="205">
                  <c:v>3941889.45065</c:v>
                </c:pt>
                <c:pt idx="206">
                  <c:v>3959873.6060500001</c:v>
                </c:pt>
                <c:pt idx="207">
                  <c:v>4001861.70805</c:v>
                </c:pt>
                <c:pt idx="208">
                  <c:v>4033694.1141499998</c:v>
                </c:pt>
                <c:pt idx="209">
                  <c:v>4063693.6587999999</c:v>
                </c:pt>
                <c:pt idx="210">
                  <c:v>4082825.0224000001</c:v>
                </c:pt>
                <c:pt idx="211">
                  <c:v>4140503.5304</c:v>
                </c:pt>
                <c:pt idx="212">
                  <c:v>4170502.2053999999</c:v>
                </c:pt>
                <c:pt idx="213">
                  <c:v>4200350.8120999997</c:v>
                </c:pt>
                <c:pt idx="214">
                  <c:v>4226927.2682999996</c:v>
                </c:pt>
                <c:pt idx="215">
                  <c:v>4246926.2789000003</c:v>
                </c:pt>
                <c:pt idx="216">
                  <c:v>4292925.4729000004</c:v>
                </c:pt>
                <c:pt idx="217">
                  <c:v>4333565.4223999996</c:v>
                </c:pt>
                <c:pt idx="218">
                  <c:v>4354552.9642000003</c:v>
                </c:pt>
                <c:pt idx="219">
                  <c:v>4401548.0274999999</c:v>
                </c:pt>
                <c:pt idx="220">
                  <c:v>4445076.9741000002</c:v>
                </c:pt>
                <c:pt idx="221">
                  <c:v>4467056.3455999997</c:v>
                </c:pt>
                <c:pt idx="222">
                  <c:v>4515268.1727999998</c:v>
                </c:pt>
                <c:pt idx="223">
                  <c:v>4560357.9354999997</c:v>
                </c:pt>
                <c:pt idx="224">
                  <c:v>4581064.9061000003</c:v>
                </c:pt>
                <c:pt idx="225">
                  <c:v>4631803.5488</c:v>
                </c:pt>
                <c:pt idx="226">
                  <c:v>4657558.2077000001</c:v>
                </c:pt>
                <c:pt idx="227">
                  <c:v>4708307.8279999997</c:v>
                </c:pt>
                <c:pt idx="228">
                  <c:v>4743828.2596000005</c:v>
                </c:pt>
                <c:pt idx="229">
                  <c:v>4759296.1254000003</c:v>
                </c:pt>
                <c:pt idx="230">
                  <c:v>4811667.7061000001</c:v>
                </c:pt>
                <c:pt idx="231">
                  <c:v>4850208.2671999997</c:v>
                </c:pt>
                <c:pt idx="232">
                  <c:v>4886175.8746999996</c:v>
                </c:pt>
                <c:pt idx="233">
                  <c:v>4919912.8173000002</c:v>
                </c:pt>
                <c:pt idx="234">
                  <c:v>4957464.5207000002</c:v>
                </c:pt>
                <c:pt idx="235">
                  <c:v>4987268.9903999995</c:v>
                </c:pt>
                <c:pt idx="236">
                  <c:v>5040146.4793999996</c:v>
                </c:pt>
                <c:pt idx="237">
                  <c:v>5076632.5811000001</c:v>
                </c:pt>
                <c:pt idx="238">
                  <c:v>5094927.9239999996</c:v>
                </c:pt>
                <c:pt idx="239">
                  <c:v>5142560.5762</c:v>
                </c:pt>
                <c:pt idx="240">
                  <c:v>5172699.2598000001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F9F-A9A4-C04021827B30}"/>
            </c:ext>
          </c:extLst>
        </c:ser>
        <c:ser>
          <c:idx val="3"/>
          <c:order val="3"/>
          <c:tx>
            <c:strRef>
              <c:f>pvt_total_debt!$E$3</c:f>
              <c:strCache>
                <c:ptCount val="1"/>
                <c:pt idx="0">
                  <c:v> Other Marketable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pvt_total_debt!$A$4:$A$245</c:f>
              <c:strCache>
                <c:ptCount val="241"/>
                <c:pt idx="0">
                  <c:v>10/31/2005</c:v>
                </c:pt>
                <c:pt idx="1">
                  <c:v>11/30/2005</c:v>
                </c:pt>
                <c:pt idx="2">
                  <c:v>12/31/2005</c:v>
                </c:pt>
                <c:pt idx="3">
                  <c:v>1/31/2006</c:v>
                </c:pt>
                <c:pt idx="4">
                  <c:v>2/28/2006</c:v>
                </c:pt>
                <c:pt idx="5">
                  <c:v>3/31/2006</c:v>
                </c:pt>
                <c:pt idx="6">
                  <c:v>4/30/2006</c:v>
                </c:pt>
                <c:pt idx="7">
                  <c:v>5/31/2006</c:v>
                </c:pt>
                <c:pt idx="8">
                  <c:v>6/30/2006</c:v>
                </c:pt>
                <c:pt idx="9">
                  <c:v>7/31/2006</c:v>
                </c:pt>
                <c:pt idx="10">
                  <c:v>8/31/2006</c:v>
                </c:pt>
                <c:pt idx="11">
                  <c:v>9/30/2006</c:v>
                </c:pt>
                <c:pt idx="12">
                  <c:v>10/31/2006</c:v>
                </c:pt>
                <c:pt idx="13">
                  <c:v>11/30/2006</c:v>
                </c:pt>
                <c:pt idx="14">
                  <c:v>12/31/2006</c:v>
                </c:pt>
                <c:pt idx="15">
                  <c:v>1/31/2007</c:v>
                </c:pt>
                <c:pt idx="16">
                  <c:v>2/28/2007</c:v>
                </c:pt>
                <c:pt idx="17">
                  <c:v>3/31/2007</c:v>
                </c:pt>
                <c:pt idx="18">
                  <c:v>4/30/2007</c:v>
                </c:pt>
                <c:pt idx="19">
                  <c:v>5/31/2007</c:v>
                </c:pt>
                <c:pt idx="20">
                  <c:v>6/30/2007</c:v>
                </c:pt>
                <c:pt idx="21">
                  <c:v>7/31/2007</c:v>
                </c:pt>
                <c:pt idx="22">
                  <c:v>8/31/2007</c:v>
                </c:pt>
                <c:pt idx="23">
                  <c:v>9/30/2007</c:v>
                </c:pt>
                <c:pt idx="24">
                  <c:v>10/31/2007</c:v>
                </c:pt>
                <c:pt idx="25">
                  <c:v>11/30/2007</c:v>
                </c:pt>
                <c:pt idx="26">
                  <c:v>12/31/2007</c:v>
                </c:pt>
                <c:pt idx="27">
                  <c:v>1/31/2008</c:v>
                </c:pt>
                <c:pt idx="28">
                  <c:v>2/29/2008</c:v>
                </c:pt>
                <c:pt idx="29">
                  <c:v>3/31/2008</c:v>
                </c:pt>
                <c:pt idx="30">
                  <c:v>4/30/2008</c:v>
                </c:pt>
                <c:pt idx="31">
                  <c:v>5/31/2008</c:v>
                </c:pt>
                <c:pt idx="32">
                  <c:v>6/30/2008</c:v>
                </c:pt>
                <c:pt idx="33">
                  <c:v>7/31/2008</c:v>
                </c:pt>
                <c:pt idx="34">
                  <c:v>8/31/2008</c:v>
                </c:pt>
                <c:pt idx="35">
                  <c:v>9/30/2008</c:v>
                </c:pt>
                <c:pt idx="36">
                  <c:v>10/31/2008</c:v>
                </c:pt>
                <c:pt idx="37">
                  <c:v>11/30/2008</c:v>
                </c:pt>
                <c:pt idx="38">
                  <c:v>12/31/2008</c:v>
                </c:pt>
                <c:pt idx="39">
                  <c:v>1/31/2009</c:v>
                </c:pt>
                <c:pt idx="40">
                  <c:v>2/28/2009</c:v>
                </c:pt>
                <c:pt idx="41">
                  <c:v>3/31/2009</c:v>
                </c:pt>
                <c:pt idx="42">
                  <c:v>4/30/2009</c:v>
                </c:pt>
                <c:pt idx="43">
                  <c:v>5/31/2009</c:v>
                </c:pt>
                <c:pt idx="44">
                  <c:v>6/30/2009</c:v>
                </c:pt>
                <c:pt idx="45">
                  <c:v>7/31/2009</c:v>
                </c:pt>
                <c:pt idx="46">
                  <c:v>8/31/2009</c:v>
                </c:pt>
                <c:pt idx="47">
                  <c:v>9/30/2009</c:v>
                </c:pt>
                <c:pt idx="48">
                  <c:v>10/31/2009</c:v>
                </c:pt>
                <c:pt idx="49">
                  <c:v>11/30/2009</c:v>
                </c:pt>
                <c:pt idx="50">
                  <c:v>12/31/2009</c:v>
                </c:pt>
                <c:pt idx="51">
                  <c:v>1/31/2010</c:v>
                </c:pt>
                <c:pt idx="52">
                  <c:v>2/28/2010</c:v>
                </c:pt>
                <c:pt idx="53">
                  <c:v>3/31/2010</c:v>
                </c:pt>
                <c:pt idx="54">
                  <c:v>4/30/2010</c:v>
                </c:pt>
                <c:pt idx="55">
                  <c:v>5/31/2010</c:v>
                </c:pt>
                <c:pt idx="56">
                  <c:v>6/30/2010</c:v>
                </c:pt>
                <c:pt idx="57">
                  <c:v>7/31/2010</c:v>
                </c:pt>
                <c:pt idx="58">
                  <c:v>8/31/2010</c:v>
                </c:pt>
                <c:pt idx="59">
                  <c:v>9/30/2010</c:v>
                </c:pt>
                <c:pt idx="60">
                  <c:v>10/31/2010</c:v>
                </c:pt>
                <c:pt idx="61">
                  <c:v>11/30/2010</c:v>
                </c:pt>
                <c:pt idx="62">
                  <c:v>12/31/2010</c:v>
                </c:pt>
                <c:pt idx="63">
                  <c:v>1/31/2011</c:v>
                </c:pt>
                <c:pt idx="64">
                  <c:v>2/28/2011</c:v>
                </c:pt>
                <c:pt idx="65">
                  <c:v>3/31/2011</c:v>
                </c:pt>
                <c:pt idx="66">
                  <c:v>4/30/2011</c:v>
                </c:pt>
                <c:pt idx="67">
                  <c:v>5/31/2011</c:v>
                </c:pt>
                <c:pt idx="68">
                  <c:v>6/30/2011</c:v>
                </c:pt>
                <c:pt idx="69">
                  <c:v>7/31/2011</c:v>
                </c:pt>
                <c:pt idx="70">
                  <c:v>8/31/2011</c:v>
                </c:pt>
                <c:pt idx="71">
                  <c:v>9/30/2011</c:v>
                </c:pt>
                <c:pt idx="72">
                  <c:v>10/31/2011</c:v>
                </c:pt>
                <c:pt idx="73">
                  <c:v>11/30/2011</c:v>
                </c:pt>
                <c:pt idx="74">
                  <c:v>12/31/2011</c:v>
                </c:pt>
                <c:pt idx="75">
                  <c:v>1/31/2012</c:v>
                </c:pt>
                <c:pt idx="76">
                  <c:v>2/29/2012</c:v>
                </c:pt>
                <c:pt idx="77">
                  <c:v>3/31/2012</c:v>
                </c:pt>
                <c:pt idx="78">
                  <c:v>4/30/2012</c:v>
                </c:pt>
                <c:pt idx="79">
                  <c:v>5/31/2012</c:v>
                </c:pt>
                <c:pt idx="80">
                  <c:v>6/30/2012</c:v>
                </c:pt>
                <c:pt idx="81">
                  <c:v>7/31/2012</c:v>
                </c:pt>
                <c:pt idx="82">
                  <c:v>8/31/2012</c:v>
                </c:pt>
                <c:pt idx="83">
                  <c:v>9/30/2012</c:v>
                </c:pt>
                <c:pt idx="84">
                  <c:v>10/31/2012</c:v>
                </c:pt>
                <c:pt idx="85">
                  <c:v>11/30/2012</c:v>
                </c:pt>
                <c:pt idx="86">
                  <c:v>12/31/2012</c:v>
                </c:pt>
                <c:pt idx="87">
                  <c:v>1/31/2013</c:v>
                </c:pt>
                <c:pt idx="88">
                  <c:v>2/28/2013</c:v>
                </c:pt>
                <c:pt idx="89">
                  <c:v>3/31/2013</c:v>
                </c:pt>
                <c:pt idx="90">
                  <c:v>4/30/2013</c:v>
                </c:pt>
                <c:pt idx="91">
                  <c:v>5/31/2013</c:v>
                </c:pt>
                <c:pt idx="92">
                  <c:v>6/30/2013</c:v>
                </c:pt>
                <c:pt idx="93">
                  <c:v>7/31/2013</c:v>
                </c:pt>
                <c:pt idx="94">
                  <c:v>8/31/2013</c:v>
                </c:pt>
                <c:pt idx="95">
                  <c:v>9/30/2013</c:v>
                </c:pt>
                <c:pt idx="96">
                  <c:v>10/31/2013</c:v>
                </c:pt>
                <c:pt idx="97">
                  <c:v>11/30/2013</c:v>
                </c:pt>
                <c:pt idx="98">
                  <c:v>12/31/2013</c:v>
                </c:pt>
                <c:pt idx="99">
                  <c:v>1/31/2014</c:v>
                </c:pt>
                <c:pt idx="100">
                  <c:v>2/28/2014</c:v>
                </c:pt>
                <c:pt idx="101">
                  <c:v>3/31/2014</c:v>
                </c:pt>
                <c:pt idx="102">
                  <c:v>4/30/2014</c:v>
                </c:pt>
                <c:pt idx="103">
                  <c:v>5/31/2014</c:v>
                </c:pt>
                <c:pt idx="104">
                  <c:v>6/30/2014</c:v>
                </c:pt>
                <c:pt idx="105">
                  <c:v>7/31/2014</c:v>
                </c:pt>
                <c:pt idx="106">
                  <c:v>8/31/2014</c:v>
                </c:pt>
                <c:pt idx="107">
                  <c:v>9/30/2014</c:v>
                </c:pt>
                <c:pt idx="108">
                  <c:v>10/31/2014</c:v>
                </c:pt>
                <c:pt idx="109">
                  <c:v>11/30/2014</c:v>
                </c:pt>
                <c:pt idx="110">
                  <c:v>12/31/2014</c:v>
                </c:pt>
                <c:pt idx="111">
                  <c:v>1/31/2015</c:v>
                </c:pt>
                <c:pt idx="112">
                  <c:v>2/28/2015</c:v>
                </c:pt>
                <c:pt idx="113">
                  <c:v>3/31/2015</c:v>
                </c:pt>
                <c:pt idx="114">
                  <c:v>4/30/2015</c:v>
                </c:pt>
                <c:pt idx="115">
                  <c:v>5/31/2015</c:v>
                </c:pt>
                <c:pt idx="116">
                  <c:v>6/30/2015</c:v>
                </c:pt>
                <c:pt idx="117">
                  <c:v>7/31/2015</c:v>
                </c:pt>
                <c:pt idx="118">
                  <c:v>8/31/2015</c:v>
                </c:pt>
                <c:pt idx="119">
                  <c:v>9/30/2015</c:v>
                </c:pt>
                <c:pt idx="120">
                  <c:v>10/31/2015</c:v>
                </c:pt>
                <c:pt idx="121">
                  <c:v>11/30/2015</c:v>
                </c:pt>
                <c:pt idx="122">
                  <c:v>12/31/2015</c:v>
                </c:pt>
                <c:pt idx="123">
                  <c:v>1/31/2016</c:v>
                </c:pt>
                <c:pt idx="124">
                  <c:v>2/29/2016</c:v>
                </c:pt>
                <c:pt idx="125">
                  <c:v>3/31/2016</c:v>
                </c:pt>
                <c:pt idx="126">
                  <c:v>4/30/2016</c:v>
                </c:pt>
                <c:pt idx="127">
                  <c:v>5/31/2016</c:v>
                </c:pt>
                <c:pt idx="128">
                  <c:v>6/30/2016</c:v>
                </c:pt>
                <c:pt idx="129">
                  <c:v>7/31/2016</c:v>
                </c:pt>
                <c:pt idx="130">
                  <c:v>8/31/2016</c:v>
                </c:pt>
                <c:pt idx="131">
                  <c:v>9/30/2016</c:v>
                </c:pt>
                <c:pt idx="132">
                  <c:v>10/31/2016</c:v>
                </c:pt>
                <c:pt idx="133">
                  <c:v>11/30/2016</c:v>
                </c:pt>
                <c:pt idx="134">
                  <c:v>12/31/2016</c:v>
                </c:pt>
                <c:pt idx="135">
                  <c:v>1/31/2017</c:v>
                </c:pt>
                <c:pt idx="136">
                  <c:v>2/28/2017</c:v>
                </c:pt>
                <c:pt idx="137">
                  <c:v>3/31/2017</c:v>
                </c:pt>
                <c:pt idx="138">
                  <c:v>4/30/2017</c:v>
                </c:pt>
                <c:pt idx="139">
                  <c:v>5/31/2017</c:v>
                </c:pt>
                <c:pt idx="140">
                  <c:v>6/30/2017</c:v>
                </c:pt>
                <c:pt idx="141">
                  <c:v>7/31/2017</c:v>
                </c:pt>
                <c:pt idx="142">
                  <c:v>8/31/2017</c:v>
                </c:pt>
                <c:pt idx="143">
                  <c:v>9/30/2017</c:v>
                </c:pt>
                <c:pt idx="144">
                  <c:v>10/31/2017</c:v>
                </c:pt>
                <c:pt idx="145">
                  <c:v>11/30/2017</c:v>
                </c:pt>
                <c:pt idx="146">
                  <c:v>12/31/2017</c:v>
                </c:pt>
                <c:pt idx="147">
                  <c:v>1/31/2018</c:v>
                </c:pt>
                <c:pt idx="148">
                  <c:v>2/28/2018</c:v>
                </c:pt>
                <c:pt idx="149">
                  <c:v>3/31/2018</c:v>
                </c:pt>
                <c:pt idx="150">
                  <c:v>4/30/2018</c:v>
                </c:pt>
                <c:pt idx="151">
                  <c:v>5/31/2018</c:v>
                </c:pt>
                <c:pt idx="152">
                  <c:v>6/30/2018</c:v>
                </c:pt>
                <c:pt idx="153">
                  <c:v>7/31/2018</c:v>
                </c:pt>
                <c:pt idx="154">
                  <c:v>8/31/2018</c:v>
                </c:pt>
                <c:pt idx="155">
                  <c:v>9/30/2018</c:v>
                </c:pt>
                <c:pt idx="156">
                  <c:v>10/31/2018</c:v>
                </c:pt>
                <c:pt idx="157">
                  <c:v>11/30/2018</c:v>
                </c:pt>
                <c:pt idx="158">
                  <c:v>12/31/2018</c:v>
                </c:pt>
                <c:pt idx="159">
                  <c:v>1/31/2019</c:v>
                </c:pt>
                <c:pt idx="160">
                  <c:v>2/28/2019</c:v>
                </c:pt>
                <c:pt idx="161">
                  <c:v>3/31/2019</c:v>
                </c:pt>
                <c:pt idx="162">
                  <c:v>4/30/2019</c:v>
                </c:pt>
                <c:pt idx="163">
                  <c:v>5/31/2019</c:v>
                </c:pt>
                <c:pt idx="164">
                  <c:v>6/30/2019</c:v>
                </c:pt>
                <c:pt idx="165">
                  <c:v>7/31/2019</c:v>
                </c:pt>
                <c:pt idx="166">
                  <c:v>8/31/2019</c:v>
                </c:pt>
                <c:pt idx="167">
                  <c:v>9/30/2019</c:v>
                </c:pt>
                <c:pt idx="168">
                  <c:v>10/31/2019</c:v>
                </c:pt>
                <c:pt idx="169">
                  <c:v>11/30/2019</c:v>
                </c:pt>
                <c:pt idx="170">
                  <c:v>12/31/2019</c:v>
                </c:pt>
                <c:pt idx="171">
                  <c:v>1/31/2020</c:v>
                </c:pt>
                <c:pt idx="172">
                  <c:v>2/29/2020</c:v>
                </c:pt>
                <c:pt idx="173">
                  <c:v>3/31/2020</c:v>
                </c:pt>
                <c:pt idx="174">
                  <c:v>4/30/2020</c:v>
                </c:pt>
                <c:pt idx="175">
                  <c:v>5/31/2020</c:v>
                </c:pt>
                <c:pt idx="176">
                  <c:v>6/30/2020</c:v>
                </c:pt>
                <c:pt idx="177">
                  <c:v>7/31/2020</c:v>
                </c:pt>
                <c:pt idx="178">
                  <c:v>8/31/2020</c:v>
                </c:pt>
                <c:pt idx="179">
                  <c:v>9/30/2020</c:v>
                </c:pt>
                <c:pt idx="180">
                  <c:v>10/31/2020</c:v>
                </c:pt>
                <c:pt idx="181">
                  <c:v>11/30/2020</c:v>
                </c:pt>
                <c:pt idx="182">
                  <c:v>12/31/2020</c:v>
                </c:pt>
                <c:pt idx="183">
                  <c:v>1/31/2021</c:v>
                </c:pt>
                <c:pt idx="184">
                  <c:v>2/28/2021</c:v>
                </c:pt>
                <c:pt idx="185">
                  <c:v>3/31/2021</c:v>
                </c:pt>
                <c:pt idx="186">
                  <c:v>4/30/2021</c:v>
                </c:pt>
                <c:pt idx="187">
                  <c:v>5/31/2021</c:v>
                </c:pt>
                <c:pt idx="188">
                  <c:v>6/30/2021</c:v>
                </c:pt>
                <c:pt idx="189">
                  <c:v>7/31/2021</c:v>
                </c:pt>
                <c:pt idx="190">
                  <c:v>8/31/2021</c:v>
                </c:pt>
                <c:pt idx="191">
                  <c:v>9/30/2021</c:v>
                </c:pt>
                <c:pt idx="192">
                  <c:v>10/31/2021</c:v>
                </c:pt>
                <c:pt idx="193">
                  <c:v>11/30/2021</c:v>
                </c:pt>
                <c:pt idx="194">
                  <c:v>12/31/2021</c:v>
                </c:pt>
                <c:pt idx="195">
                  <c:v>1/31/2022</c:v>
                </c:pt>
                <c:pt idx="196">
                  <c:v>2/28/2022</c:v>
                </c:pt>
                <c:pt idx="197">
                  <c:v>3/31/2022</c:v>
                </c:pt>
                <c:pt idx="198">
                  <c:v>4/30/2022</c:v>
                </c:pt>
                <c:pt idx="199">
                  <c:v>5/31/2022</c:v>
                </c:pt>
                <c:pt idx="200">
                  <c:v>6/30/2022</c:v>
                </c:pt>
                <c:pt idx="201">
                  <c:v>7/31/2022</c:v>
                </c:pt>
                <c:pt idx="202">
                  <c:v>8/31/2022</c:v>
                </c:pt>
                <c:pt idx="203">
                  <c:v>9/30/2022</c:v>
                </c:pt>
                <c:pt idx="204">
                  <c:v>10/31/2022</c:v>
                </c:pt>
                <c:pt idx="205">
                  <c:v>11/30/2022</c:v>
                </c:pt>
                <c:pt idx="206">
                  <c:v>12/31/2022</c:v>
                </c:pt>
                <c:pt idx="207">
                  <c:v>1/31/2023</c:v>
                </c:pt>
                <c:pt idx="208">
                  <c:v>2/28/2023</c:v>
                </c:pt>
                <c:pt idx="209">
                  <c:v>3/31/2023</c:v>
                </c:pt>
                <c:pt idx="210">
                  <c:v>4/30/2023</c:v>
                </c:pt>
                <c:pt idx="211">
                  <c:v>5/31/2023</c:v>
                </c:pt>
                <c:pt idx="212">
                  <c:v>6/30/2023</c:v>
                </c:pt>
                <c:pt idx="213">
                  <c:v>7/31/2023</c:v>
                </c:pt>
                <c:pt idx="214">
                  <c:v>8/31/2023</c:v>
                </c:pt>
                <c:pt idx="215">
                  <c:v>9/30/2023</c:v>
                </c:pt>
                <c:pt idx="216">
                  <c:v>10/31/2023</c:v>
                </c:pt>
                <c:pt idx="217">
                  <c:v>11/30/2023</c:v>
                </c:pt>
                <c:pt idx="218">
                  <c:v>12/31/2023</c:v>
                </c:pt>
                <c:pt idx="219">
                  <c:v>1/31/2024</c:v>
                </c:pt>
                <c:pt idx="220">
                  <c:v>2/29/2024</c:v>
                </c:pt>
                <c:pt idx="221">
                  <c:v>3/31/2024</c:v>
                </c:pt>
                <c:pt idx="222">
                  <c:v>4/30/2024</c:v>
                </c:pt>
                <c:pt idx="223">
                  <c:v>5/31/2024</c:v>
                </c:pt>
                <c:pt idx="224">
                  <c:v>6/30/2024</c:v>
                </c:pt>
                <c:pt idx="225">
                  <c:v>7/31/2024</c:v>
                </c:pt>
                <c:pt idx="226">
                  <c:v>8/31/2024</c:v>
                </c:pt>
                <c:pt idx="227">
                  <c:v>9/30/2024</c:v>
                </c:pt>
                <c:pt idx="228">
                  <c:v>10/31/2024</c:v>
                </c:pt>
                <c:pt idx="229">
                  <c:v>11/30/2024</c:v>
                </c:pt>
                <c:pt idx="230">
                  <c:v>12/31/2024</c:v>
                </c:pt>
                <c:pt idx="231">
                  <c:v>1/31/2025</c:v>
                </c:pt>
                <c:pt idx="232">
                  <c:v>2/28/2025</c:v>
                </c:pt>
                <c:pt idx="233">
                  <c:v>3/31/2025</c:v>
                </c:pt>
                <c:pt idx="234">
                  <c:v>4/30/2025</c:v>
                </c:pt>
                <c:pt idx="235">
                  <c:v>5/31/2025</c:v>
                </c:pt>
                <c:pt idx="236">
                  <c:v>6/30/2025</c:v>
                </c:pt>
                <c:pt idx="237">
                  <c:v>7/31/2025</c:v>
                </c:pt>
                <c:pt idx="238">
                  <c:v>8/31/2025</c:v>
                </c:pt>
                <c:pt idx="239">
                  <c:v>9/30/2025</c:v>
                </c:pt>
                <c:pt idx="240">
                  <c:v>10/31/2025</c:v>
                </c:pt>
              </c:strCache>
            </c:strRef>
          </c:cat>
          <c:val>
            <c:numRef>
              <c:f>pvt_total_debt!$E$4:$E$245</c:f>
              <c:numCache>
                <c:formatCode>"$"#,##0.00</c:formatCode>
                <c:ptCount val="241"/>
                <c:pt idx="0">
                  <c:v>338026.46400000015</c:v>
                </c:pt>
                <c:pt idx="1">
                  <c:v>341907.33899999969</c:v>
                </c:pt>
                <c:pt idx="2">
                  <c:v>342677.79070000025</c:v>
                </c:pt>
                <c:pt idx="3">
                  <c:v>360860.58532860968</c:v>
                </c:pt>
                <c:pt idx="4">
                  <c:v>359550.73706338974</c:v>
                </c:pt>
                <c:pt idx="5">
                  <c:v>361899.1578234206</c:v>
                </c:pt>
                <c:pt idx="6">
                  <c:v>381656.38283179048</c:v>
                </c:pt>
                <c:pt idx="7">
                  <c:v>383650.94695005007</c:v>
                </c:pt>
                <c:pt idx="8">
                  <c:v>386756.67997948965</c:v>
                </c:pt>
                <c:pt idx="9">
                  <c:v>407657.47142999992</c:v>
                </c:pt>
                <c:pt idx="10">
                  <c:v>408485.37026336044</c:v>
                </c:pt>
                <c:pt idx="11">
                  <c:v>409638.28115015011</c:v>
                </c:pt>
                <c:pt idx="12">
                  <c:v>429358.70933387987</c:v>
                </c:pt>
                <c:pt idx="13">
                  <c:v>427418.35000252025</c:v>
                </c:pt>
                <c:pt idx="14">
                  <c:v>425192.86220112024</c:v>
                </c:pt>
                <c:pt idx="15">
                  <c:v>424950.62615166977</c:v>
                </c:pt>
                <c:pt idx="16">
                  <c:v>425484.83966595959</c:v>
                </c:pt>
                <c:pt idx="17">
                  <c:v>426705.53380875103</c:v>
                </c:pt>
                <c:pt idx="18">
                  <c:v>445084.53793015936</c:v>
                </c:pt>
                <c:pt idx="19">
                  <c:v>448959.98074163031</c:v>
                </c:pt>
                <c:pt idx="20">
                  <c:v>451818.59389758017</c:v>
                </c:pt>
                <c:pt idx="21">
                  <c:v>470039.86967754038</c:v>
                </c:pt>
                <c:pt idx="22">
                  <c:v>470992.6090398496</c:v>
                </c:pt>
                <c:pt idx="23">
                  <c:v>470915.88023622055</c:v>
                </c:pt>
                <c:pt idx="24">
                  <c:v>483446.26496251952</c:v>
                </c:pt>
                <c:pt idx="25">
                  <c:v>484668.56701584021</c:v>
                </c:pt>
                <c:pt idx="26">
                  <c:v>485686.1228396995</c:v>
                </c:pt>
                <c:pt idx="27">
                  <c:v>486012.59408169985</c:v>
                </c:pt>
                <c:pt idx="28">
                  <c:v>485797.34870722005</c:v>
                </c:pt>
                <c:pt idx="29">
                  <c:v>488056.29611476976</c:v>
                </c:pt>
                <c:pt idx="30">
                  <c:v>504271.56012772024</c:v>
                </c:pt>
                <c:pt idx="31">
                  <c:v>508294.5365906395</c:v>
                </c:pt>
                <c:pt idx="32">
                  <c:v>511468.34475107957</c:v>
                </c:pt>
                <c:pt idx="33">
                  <c:v>530526.52026147954</c:v>
                </c:pt>
                <c:pt idx="34">
                  <c:v>535385.02518525068</c:v>
                </c:pt>
                <c:pt idx="35">
                  <c:v>538537.32193636987</c:v>
                </c:pt>
                <c:pt idx="36">
                  <c:v>550150.04009872023</c:v>
                </c:pt>
                <c:pt idx="37">
                  <c:v>549437.33437531069</c:v>
                </c:pt>
                <c:pt idx="38">
                  <c:v>544130.12644388061</c:v>
                </c:pt>
                <c:pt idx="39">
                  <c:v>530703.22703893017</c:v>
                </c:pt>
                <c:pt idx="40">
                  <c:v>525510.25153806992</c:v>
                </c:pt>
                <c:pt idx="41">
                  <c:v>527119.66067568958</c:v>
                </c:pt>
                <c:pt idx="42">
                  <c:v>543857.8385228999</c:v>
                </c:pt>
                <c:pt idx="43">
                  <c:v>545019.41836071014</c:v>
                </c:pt>
                <c:pt idx="44">
                  <c:v>544246.69977652095</c:v>
                </c:pt>
                <c:pt idx="45">
                  <c:v>559969.26616543997</c:v>
                </c:pt>
                <c:pt idx="46">
                  <c:v>564333.57543807942</c:v>
                </c:pt>
                <c:pt idx="47">
                  <c:v>563658.23554118071</c:v>
                </c:pt>
                <c:pt idx="48">
                  <c:v>579014.69098413084</c:v>
                </c:pt>
                <c:pt idx="49">
                  <c:v>579435.51612220053</c:v>
                </c:pt>
                <c:pt idx="50">
                  <c:v>579976.31506231055</c:v>
                </c:pt>
                <c:pt idx="51">
                  <c:v>576192.59152153973</c:v>
                </c:pt>
                <c:pt idx="52">
                  <c:v>583356.20161822997</c:v>
                </c:pt>
                <c:pt idx="53">
                  <c:v>585120.29892432969</c:v>
                </c:pt>
                <c:pt idx="54">
                  <c:v>573128.34445764963</c:v>
                </c:pt>
                <c:pt idx="55">
                  <c:v>575139.12354542967</c:v>
                </c:pt>
                <c:pt idx="56">
                  <c:v>574700.90580156911</c:v>
                </c:pt>
                <c:pt idx="57">
                  <c:v>587150.09778700955</c:v>
                </c:pt>
                <c:pt idx="58">
                  <c:v>593877.88687927928</c:v>
                </c:pt>
                <c:pt idx="59">
                  <c:v>604078.83084517159</c:v>
                </c:pt>
                <c:pt idx="60">
                  <c:v>614892.27539316937</c:v>
                </c:pt>
                <c:pt idx="61">
                  <c:v>625591.59945589025</c:v>
                </c:pt>
                <c:pt idx="62">
                  <c:v>626344.52906599082</c:v>
                </c:pt>
                <c:pt idx="63">
                  <c:v>626052.5696211895</c:v>
                </c:pt>
                <c:pt idx="64">
                  <c:v>636582.42106958106</c:v>
                </c:pt>
                <c:pt idx="65">
                  <c:v>651078.79845703021</c:v>
                </c:pt>
                <c:pt idx="66">
                  <c:v>645668.31957495026</c:v>
                </c:pt>
                <c:pt idx="67">
                  <c:v>664057.43899426982</c:v>
                </c:pt>
                <c:pt idx="68">
                  <c:v>673964.93401844054</c:v>
                </c:pt>
                <c:pt idx="69">
                  <c:v>689945.95641501807</c:v>
                </c:pt>
                <c:pt idx="70">
                  <c:v>702207.55245965905</c:v>
                </c:pt>
                <c:pt idx="71">
                  <c:v>714134.08135969006</c:v>
                </c:pt>
                <c:pt idx="72">
                  <c:v>723624.3936746791</c:v>
                </c:pt>
                <c:pt idx="73">
                  <c:v>736243.86241589114</c:v>
                </c:pt>
                <c:pt idx="74">
                  <c:v>747196.9080446586</c:v>
                </c:pt>
                <c:pt idx="75">
                  <c:v>754113.01116509922</c:v>
                </c:pt>
                <c:pt idx="76">
                  <c:v>761480.8755661007</c:v>
                </c:pt>
                <c:pt idx="77">
                  <c:v>777477.92526569776</c:v>
                </c:pt>
                <c:pt idx="78">
                  <c:v>778048.58066269942</c:v>
                </c:pt>
                <c:pt idx="79">
                  <c:v>796989.24270979874</c:v>
                </c:pt>
                <c:pt idx="80">
                  <c:v>805201.6082000006</c:v>
                </c:pt>
                <c:pt idx="81">
                  <c:v>790032.31400140002</c:v>
                </c:pt>
                <c:pt idx="82">
                  <c:v>803058.50421910174</c:v>
                </c:pt>
                <c:pt idx="83">
                  <c:v>814876.39855269901</c:v>
                </c:pt>
                <c:pt idx="84">
                  <c:v>826127.6090535</c:v>
                </c:pt>
                <c:pt idx="85">
                  <c:v>842887.646917101</c:v>
                </c:pt>
                <c:pt idx="86">
                  <c:v>856955.14897109941</c:v>
                </c:pt>
                <c:pt idx="87">
                  <c:v>868046.85650350153</c:v>
                </c:pt>
                <c:pt idx="88">
                  <c:v>874780.71664010175</c:v>
                </c:pt>
                <c:pt idx="89">
                  <c:v>889904.09029720165</c:v>
                </c:pt>
                <c:pt idx="90">
                  <c:v>898680.86277589947</c:v>
                </c:pt>
                <c:pt idx="91">
                  <c:v>914281.35585899837</c:v>
                </c:pt>
                <c:pt idx="92">
                  <c:v>919173.59174269997</c:v>
                </c:pt>
                <c:pt idx="93">
                  <c:v>910290.92121100053</c:v>
                </c:pt>
                <c:pt idx="94">
                  <c:v>928531.65472180024</c:v>
                </c:pt>
                <c:pt idx="95">
                  <c:v>942074.1935437005</c:v>
                </c:pt>
                <c:pt idx="96">
                  <c:v>959602.23318750039</c:v>
                </c:pt>
                <c:pt idx="97">
                  <c:v>973743.27602140978</c:v>
                </c:pt>
                <c:pt idx="98">
                  <c:v>987595.83972601034</c:v>
                </c:pt>
                <c:pt idx="99">
                  <c:v>989098.58391931094</c:v>
                </c:pt>
                <c:pt idx="100">
                  <c:v>1010983.9686853103</c:v>
                </c:pt>
                <c:pt idx="101">
                  <c:v>1040478.4958173092</c:v>
                </c:pt>
                <c:pt idx="102">
                  <c:v>1060217.345748309</c:v>
                </c:pt>
                <c:pt idx="103">
                  <c:v>1092431.7824009098</c:v>
                </c:pt>
                <c:pt idx="104">
                  <c:v>1114794.3422346115</c:v>
                </c:pt>
                <c:pt idx="105">
                  <c:v>1124403.565612711</c:v>
                </c:pt>
                <c:pt idx="106">
                  <c:v>1155495.3815142103</c:v>
                </c:pt>
                <c:pt idx="107">
                  <c:v>1181329.5498959087</c:v>
                </c:pt>
                <c:pt idx="108">
                  <c:v>1201766.786176011</c:v>
                </c:pt>
                <c:pt idx="109">
                  <c:v>1228450.7028182093</c:v>
                </c:pt>
                <c:pt idx="110">
                  <c:v>1255157.1485414095</c:v>
                </c:pt>
                <c:pt idx="111">
                  <c:v>1241329.9829096105</c:v>
                </c:pt>
                <c:pt idx="112">
                  <c:v>1272673.3921590094</c:v>
                </c:pt>
                <c:pt idx="113">
                  <c:v>1293827.1377961095</c:v>
                </c:pt>
                <c:pt idx="114">
                  <c:v>1307900.4068500996</c:v>
                </c:pt>
                <c:pt idx="115">
                  <c:v>1339417.7084650993</c:v>
                </c:pt>
                <c:pt idx="116">
                  <c:v>1360715.8690801021</c:v>
                </c:pt>
                <c:pt idx="117">
                  <c:v>1375290.321536798</c:v>
                </c:pt>
                <c:pt idx="118">
                  <c:v>1408509.0077349003</c:v>
                </c:pt>
                <c:pt idx="119">
                  <c:v>1434791.7035198007</c:v>
                </c:pt>
                <c:pt idx="120">
                  <c:v>1443058.5836893991</c:v>
                </c:pt>
                <c:pt idx="121">
                  <c:v>1482280.8929642998</c:v>
                </c:pt>
                <c:pt idx="122">
                  <c:v>1510965.0118934996</c:v>
                </c:pt>
                <c:pt idx="123">
                  <c:v>1503399.1317466013</c:v>
                </c:pt>
                <c:pt idx="124">
                  <c:v>1496303.0670193024</c:v>
                </c:pt>
                <c:pt idx="125">
                  <c:v>1524441.4987367988</c:v>
                </c:pt>
                <c:pt idx="126">
                  <c:v>1500113.7067137118</c:v>
                </c:pt>
                <c:pt idx="127">
                  <c:v>1509698.2219357006</c:v>
                </c:pt>
                <c:pt idx="128">
                  <c:v>1532049.7341538984</c:v>
                </c:pt>
                <c:pt idx="129">
                  <c:v>1525846.5239388105</c:v>
                </c:pt>
                <c:pt idx="130">
                  <c:v>1533384.3083464</c:v>
                </c:pt>
                <c:pt idx="131">
                  <c:v>1557140.4094401002</c:v>
                </c:pt>
                <c:pt idx="132">
                  <c:v>1538372.8529759012</c:v>
                </c:pt>
                <c:pt idx="133">
                  <c:v>1566471.0608833097</c:v>
                </c:pt>
                <c:pt idx="134">
                  <c:v>1595282.8259953018</c:v>
                </c:pt>
                <c:pt idx="135">
                  <c:v>1561635.5332418997</c:v>
                </c:pt>
                <c:pt idx="136">
                  <c:v>1582930.4370589107</c:v>
                </c:pt>
                <c:pt idx="137">
                  <c:v>1616938.0965638999</c:v>
                </c:pt>
                <c:pt idx="138">
                  <c:v>1589148.6249986012</c:v>
                </c:pt>
                <c:pt idx="139">
                  <c:v>1591938.613908302</c:v>
                </c:pt>
                <c:pt idx="140">
                  <c:v>1614254.9635710996</c:v>
                </c:pt>
                <c:pt idx="141">
                  <c:v>1588746.9953063987</c:v>
                </c:pt>
                <c:pt idx="142">
                  <c:v>1617430.8867157008</c:v>
                </c:pt>
                <c:pt idx="143">
                  <c:v>1640651.8112166114</c:v>
                </c:pt>
                <c:pt idx="144">
                  <c:v>1623912.4435663</c:v>
                </c:pt>
                <c:pt idx="145">
                  <c:v>1655361.5411724988</c:v>
                </c:pt>
                <c:pt idx="146">
                  <c:v>1682037.3014831003</c:v>
                </c:pt>
                <c:pt idx="147">
                  <c:v>1653500.663503211</c:v>
                </c:pt>
                <c:pt idx="148">
                  <c:v>1676467.3397937007</c:v>
                </c:pt>
                <c:pt idx="149">
                  <c:v>1694259.6074311994</c:v>
                </c:pt>
                <c:pt idx="150">
                  <c:v>1656712.6629991997</c:v>
                </c:pt>
                <c:pt idx="151">
                  <c:v>1688860.4453875013</c:v>
                </c:pt>
                <c:pt idx="152">
                  <c:v>1713873.9751223996</c:v>
                </c:pt>
                <c:pt idx="153">
                  <c:v>1692057.2871042993</c:v>
                </c:pt>
                <c:pt idx="154">
                  <c:v>1727711.437655</c:v>
                </c:pt>
                <c:pt idx="155">
                  <c:v>1755906.7134860996</c:v>
                </c:pt>
                <c:pt idx="156">
                  <c:v>1738862.2718846016</c:v>
                </c:pt>
                <c:pt idx="157">
                  <c:v>1772054.2069132999</c:v>
                </c:pt>
                <c:pt idx="158">
                  <c:v>1806745.6975072008</c:v>
                </c:pt>
                <c:pt idx="159">
                  <c:v>1774416.9066423997</c:v>
                </c:pt>
                <c:pt idx="160">
                  <c:v>1796363.8813185096</c:v>
                </c:pt>
                <c:pt idx="161">
                  <c:v>1827593.5941616017</c:v>
                </c:pt>
                <c:pt idx="162">
                  <c:v>1772528.20382821</c:v>
                </c:pt>
                <c:pt idx="163">
                  <c:v>1812438.7316504084</c:v>
                </c:pt>
                <c:pt idx="164">
                  <c:v>1851075.291739</c:v>
                </c:pt>
                <c:pt idx="165">
                  <c:v>1829412.7762099076</c:v>
                </c:pt>
                <c:pt idx="166">
                  <c:v>1854902.4189974982</c:v>
                </c:pt>
                <c:pt idx="167">
                  <c:v>1888533.6311671101</c:v>
                </c:pt>
                <c:pt idx="168">
                  <c:v>1888038.2490219008</c:v>
                </c:pt>
                <c:pt idx="169">
                  <c:v>1919129.9592025001</c:v>
                </c:pt>
                <c:pt idx="170">
                  <c:v>1956984.0915530082</c:v>
                </c:pt>
                <c:pt idx="171">
                  <c:v>1921406.5345916003</c:v>
                </c:pt>
                <c:pt idx="172">
                  <c:v>1946125.0636473</c:v>
                </c:pt>
                <c:pt idx="173">
                  <c:v>1983312.7790461015</c:v>
                </c:pt>
                <c:pt idx="174">
                  <c:v>1923491.0191176999</c:v>
                </c:pt>
                <c:pt idx="175">
                  <c:v>1952741.9322417006</c:v>
                </c:pt>
                <c:pt idx="176">
                  <c:v>1978513.2667484023</c:v>
                </c:pt>
                <c:pt idx="177">
                  <c:v>1928334.8378082998</c:v>
                </c:pt>
                <c:pt idx="178">
                  <c:v>1965457.6689044982</c:v>
                </c:pt>
                <c:pt idx="179">
                  <c:v>2008776.3472681008</c:v>
                </c:pt>
                <c:pt idx="180">
                  <c:v>2030549.6337519996</c:v>
                </c:pt>
                <c:pt idx="181">
                  <c:v>2042991.0061572008</c:v>
                </c:pt>
                <c:pt idx="182">
                  <c:v>2085034.3278960027</c:v>
                </c:pt>
                <c:pt idx="183">
                  <c:v>2055548.050657101</c:v>
                </c:pt>
                <c:pt idx="184">
                  <c:v>2067542.6964673996</c:v>
                </c:pt>
                <c:pt idx="185">
                  <c:v>2115529.9137109034</c:v>
                </c:pt>
                <c:pt idx="186">
                  <c:v>2070917.1288773008</c:v>
                </c:pt>
                <c:pt idx="187">
                  <c:v>2120055.3706436008</c:v>
                </c:pt>
                <c:pt idx="188">
                  <c:v>2177653.0771970972</c:v>
                </c:pt>
                <c:pt idx="189">
                  <c:v>2163509.7858484015</c:v>
                </c:pt>
                <c:pt idx="190">
                  <c:v>2188052.4116612002</c:v>
                </c:pt>
                <c:pt idx="191">
                  <c:v>2238087.0552606024</c:v>
                </c:pt>
                <c:pt idx="192">
                  <c:v>2260451.3456784971</c:v>
                </c:pt>
                <c:pt idx="193">
                  <c:v>2277424.0507532023</c:v>
                </c:pt>
                <c:pt idx="194">
                  <c:v>2338008.1346647032</c:v>
                </c:pt>
                <c:pt idx="195">
                  <c:v>2286266.5960734002</c:v>
                </c:pt>
                <c:pt idx="196">
                  <c:v>2324140.0022774972</c:v>
                </c:pt>
                <c:pt idx="197">
                  <c:v>2377181.3491672017</c:v>
                </c:pt>
                <c:pt idx="198">
                  <c:v>2360874.809953101</c:v>
                </c:pt>
                <c:pt idx="199">
                  <c:v>2386469.1637023985</c:v>
                </c:pt>
                <c:pt idx="200">
                  <c:v>2437439.6442212015</c:v>
                </c:pt>
                <c:pt idx="201">
                  <c:v>2420805.2958962992</c:v>
                </c:pt>
                <c:pt idx="202">
                  <c:v>2433480.4144283012</c:v>
                </c:pt>
                <c:pt idx="203">
                  <c:v>2471356.245639503</c:v>
                </c:pt>
                <c:pt idx="204">
                  <c:v>2438957.7097389996</c:v>
                </c:pt>
                <c:pt idx="205">
                  <c:v>2481768.3479866013</c:v>
                </c:pt>
                <c:pt idx="206">
                  <c:v>2530123.1937255003</c:v>
                </c:pt>
                <c:pt idx="207">
                  <c:v>2433083.577902399</c:v>
                </c:pt>
                <c:pt idx="208">
                  <c:v>2460567.7760051005</c:v>
                </c:pt>
                <c:pt idx="209">
                  <c:v>2511862.0018087029</c:v>
                </c:pt>
                <c:pt idx="210">
                  <c:v>2486029.747982502</c:v>
                </c:pt>
                <c:pt idx="211">
                  <c:v>2475979.066319</c:v>
                </c:pt>
                <c:pt idx="212">
                  <c:v>2525481.2186420001</c:v>
                </c:pt>
                <c:pt idx="213">
                  <c:v>2435023.9964585975</c:v>
                </c:pt>
                <c:pt idx="214">
                  <c:v>2474166.0710612983</c:v>
                </c:pt>
                <c:pt idx="215">
                  <c:v>2516863.1713809967</c:v>
                </c:pt>
                <c:pt idx="216">
                  <c:v>2491235.861359302</c:v>
                </c:pt>
                <c:pt idx="217">
                  <c:v>2537600.7525630035</c:v>
                </c:pt>
                <c:pt idx="218">
                  <c:v>2583168.9282259978</c:v>
                </c:pt>
                <c:pt idx="219">
                  <c:v>2497363.0442950018</c:v>
                </c:pt>
                <c:pt idx="220">
                  <c:v>2532744.6659722961</c:v>
                </c:pt>
                <c:pt idx="221">
                  <c:v>2558391.2171268985</c:v>
                </c:pt>
                <c:pt idx="222">
                  <c:v>2541480.4452201985</c:v>
                </c:pt>
                <c:pt idx="223">
                  <c:v>2601255.6706338003</c:v>
                </c:pt>
                <c:pt idx="224">
                  <c:v>2656391.829434</c:v>
                </c:pt>
                <c:pt idx="225">
                  <c:v>2587806.1402160004</c:v>
                </c:pt>
                <c:pt idx="226">
                  <c:v>2624290.0248310007</c:v>
                </c:pt>
                <c:pt idx="227">
                  <c:v>2671835.1308614016</c:v>
                </c:pt>
                <c:pt idx="228">
                  <c:v>2616532.3372246027</c:v>
                </c:pt>
                <c:pt idx="229">
                  <c:v>2664498.3913116008</c:v>
                </c:pt>
                <c:pt idx="230">
                  <c:v>2716687.8176745996</c:v>
                </c:pt>
                <c:pt idx="231">
                  <c:v>2597689.4670520984</c:v>
                </c:pt>
                <c:pt idx="232">
                  <c:v>2638409.9776654989</c:v>
                </c:pt>
                <c:pt idx="233">
                  <c:v>2697300.6972299963</c:v>
                </c:pt>
                <c:pt idx="234">
                  <c:v>2650521.7592111006</c:v>
                </c:pt>
                <c:pt idx="235">
                  <c:v>2700531.4184437953</c:v>
                </c:pt>
                <c:pt idx="236">
                  <c:v>2759483.7451886982</c:v>
                </c:pt>
                <c:pt idx="237">
                  <c:v>2690431.3099879995</c:v>
                </c:pt>
                <c:pt idx="238">
                  <c:v>2731608.5045743026</c:v>
                </c:pt>
                <c:pt idx="239">
                  <c:v>2782628.8110455982</c:v>
                </c:pt>
                <c:pt idx="240">
                  <c:v>2726988.8322594985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D-4F9F-A9A4-C04021827B30}"/>
            </c:ext>
          </c:extLst>
        </c:ser>
        <c:ser>
          <c:idx val="4"/>
          <c:order val="4"/>
          <c:tx>
            <c:strRef>
              <c:f>pvt_total_debt!$F$3</c:f>
              <c:strCache>
                <c:ptCount val="1"/>
                <c:pt idx="0">
                  <c:v> Total Nonmarketable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pvt_total_debt!$A$4:$A$245</c:f>
              <c:strCache>
                <c:ptCount val="241"/>
                <c:pt idx="0">
                  <c:v>10/31/2005</c:v>
                </c:pt>
                <c:pt idx="1">
                  <c:v>11/30/2005</c:v>
                </c:pt>
                <c:pt idx="2">
                  <c:v>12/31/2005</c:v>
                </c:pt>
                <c:pt idx="3">
                  <c:v>1/31/2006</c:v>
                </c:pt>
                <c:pt idx="4">
                  <c:v>2/28/2006</c:v>
                </c:pt>
                <c:pt idx="5">
                  <c:v>3/31/2006</c:v>
                </c:pt>
                <c:pt idx="6">
                  <c:v>4/30/2006</c:v>
                </c:pt>
                <c:pt idx="7">
                  <c:v>5/31/2006</c:v>
                </c:pt>
                <c:pt idx="8">
                  <c:v>6/30/2006</c:v>
                </c:pt>
                <c:pt idx="9">
                  <c:v>7/31/2006</c:v>
                </c:pt>
                <c:pt idx="10">
                  <c:v>8/31/2006</c:v>
                </c:pt>
                <c:pt idx="11">
                  <c:v>9/30/2006</c:v>
                </c:pt>
                <c:pt idx="12">
                  <c:v>10/31/2006</c:v>
                </c:pt>
                <c:pt idx="13">
                  <c:v>11/30/2006</c:v>
                </c:pt>
                <c:pt idx="14">
                  <c:v>12/31/2006</c:v>
                </c:pt>
                <c:pt idx="15">
                  <c:v>1/31/2007</c:v>
                </c:pt>
                <c:pt idx="16">
                  <c:v>2/28/2007</c:v>
                </c:pt>
                <c:pt idx="17">
                  <c:v>3/31/2007</c:v>
                </c:pt>
                <c:pt idx="18">
                  <c:v>4/30/2007</c:v>
                </c:pt>
                <c:pt idx="19">
                  <c:v>5/31/2007</c:v>
                </c:pt>
                <c:pt idx="20">
                  <c:v>6/30/2007</c:v>
                </c:pt>
                <c:pt idx="21">
                  <c:v>7/31/2007</c:v>
                </c:pt>
                <c:pt idx="22">
                  <c:v>8/31/2007</c:v>
                </c:pt>
                <c:pt idx="23">
                  <c:v>9/30/2007</c:v>
                </c:pt>
                <c:pt idx="24">
                  <c:v>10/31/2007</c:v>
                </c:pt>
                <c:pt idx="25">
                  <c:v>11/30/2007</c:v>
                </c:pt>
                <c:pt idx="26">
                  <c:v>12/31/2007</c:v>
                </c:pt>
                <c:pt idx="27">
                  <c:v>1/31/2008</c:v>
                </c:pt>
                <c:pt idx="28">
                  <c:v>2/29/2008</c:v>
                </c:pt>
                <c:pt idx="29">
                  <c:v>3/31/2008</c:v>
                </c:pt>
                <c:pt idx="30">
                  <c:v>4/30/2008</c:v>
                </c:pt>
                <c:pt idx="31">
                  <c:v>5/31/2008</c:v>
                </c:pt>
                <c:pt idx="32">
                  <c:v>6/30/2008</c:v>
                </c:pt>
                <c:pt idx="33">
                  <c:v>7/31/2008</c:v>
                </c:pt>
                <c:pt idx="34">
                  <c:v>8/31/2008</c:v>
                </c:pt>
                <c:pt idx="35">
                  <c:v>9/30/2008</c:v>
                </c:pt>
                <c:pt idx="36">
                  <c:v>10/31/2008</c:v>
                </c:pt>
                <c:pt idx="37">
                  <c:v>11/30/2008</c:v>
                </c:pt>
                <c:pt idx="38">
                  <c:v>12/31/2008</c:v>
                </c:pt>
                <c:pt idx="39">
                  <c:v>1/31/2009</c:v>
                </c:pt>
                <c:pt idx="40">
                  <c:v>2/28/2009</c:v>
                </c:pt>
                <c:pt idx="41">
                  <c:v>3/31/2009</c:v>
                </c:pt>
                <c:pt idx="42">
                  <c:v>4/30/2009</c:v>
                </c:pt>
                <c:pt idx="43">
                  <c:v>5/31/2009</c:v>
                </c:pt>
                <c:pt idx="44">
                  <c:v>6/30/2009</c:v>
                </c:pt>
                <c:pt idx="45">
                  <c:v>7/31/2009</c:v>
                </c:pt>
                <c:pt idx="46">
                  <c:v>8/31/2009</c:v>
                </c:pt>
                <c:pt idx="47">
                  <c:v>9/30/2009</c:v>
                </c:pt>
                <c:pt idx="48">
                  <c:v>10/31/2009</c:v>
                </c:pt>
                <c:pt idx="49">
                  <c:v>11/30/2009</c:v>
                </c:pt>
                <c:pt idx="50">
                  <c:v>12/31/2009</c:v>
                </c:pt>
                <c:pt idx="51">
                  <c:v>1/31/2010</c:v>
                </c:pt>
                <c:pt idx="52">
                  <c:v>2/28/2010</c:v>
                </c:pt>
                <c:pt idx="53">
                  <c:v>3/31/2010</c:v>
                </c:pt>
                <c:pt idx="54">
                  <c:v>4/30/2010</c:v>
                </c:pt>
                <c:pt idx="55">
                  <c:v>5/31/2010</c:v>
                </c:pt>
                <c:pt idx="56">
                  <c:v>6/30/2010</c:v>
                </c:pt>
                <c:pt idx="57">
                  <c:v>7/31/2010</c:v>
                </c:pt>
                <c:pt idx="58">
                  <c:v>8/31/2010</c:v>
                </c:pt>
                <c:pt idx="59">
                  <c:v>9/30/2010</c:v>
                </c:pt>
                <c:pt idx="60">
                  <c:v>10/31/2010</c:v>
                </c:pt>
                <c:pt idx="61">
                  <c:v>11/30/2010</c:v>
                </c:pt>
                <c:pt idx="62">
                  <c:v>12/31/2010</c:v>
                </c:pt>
                <c:pt idx="63">
                  <c:v>1/31/2011</c:v>
                </c:pt>
                <c:pt idx="64">
                  <c:v>2/28/2011</c:v>
                </c:pt>
                <c:pt idx="65">
                  <c:v>3/31/2011</c:v>
                </c:pt>
                <c:pt idx="66">
                  <c:v>4/30/2011</c:v>
                </c:pt>
                <c:pt idx="67">
                  <c:v>5/31/2011</c:v>
                </c:pt>
                <c:pt idx="68">
                  <c:v>6/30/2011</c:v>
                </c:pt>
                <c:pt idx="69">
                  <c:v>7/31/2011</c:v>
                </c:pt>
                <c:pt idx="70">
                  <c:v>8/31/2011</c:v>
                </c:pt>
                <c:pt idx="71">
                  <c:v>9/30/2011</c:v>
                </c:pt>
                <c:pt idx="72">
                  <c:v>10/31/2011</c:v>
                </c:pt>
                <c:pt idx="73">
                  <c:v>11/30/2011</c:v>
                </c:pt>
                <c:pt idx="74">
                  <c:v>12/31/2011</c:v>
                </c:pt>
                <c:pt idx="75">
                  <c:v>1/31/2012</c:v>
                </c:pt>
                <c:pt idx="76">
                  <c:v>2/29/2012</c:v>
                </c:pt>
                <c:pt idx="77">
                  <c:v>3/31/2012</c:v>
                </c:pt>
                <c:pt idx="78">
                  <c:v>4/30/2012</c:v>
                </c:pt>
                <c:pt idx="79">
                  <c:v>5/31/2012</c:v>
                </c:pt>
                <c:pt idx="80">
                  <c:v>6/30/2012</c:v>
                </c:pt>
                <c:pt idx="81">
                  <c:v>7/31/2012</c:v>
                </c:pt>
                <c:pt idx="82">
                  <c:v>8/31/2012</c:v>
                </c:pt>
                <c:pt idx="83">
                  <c:v>9/30/2012</c:v>
                </c:pt>
                <c:pt idx="84">
                  <c:v>10/31/2012</c:v>
                </c:pt>
                <c:pt idx="85">
                  <c:v>11/30/2012</c:v>
                </c:pt>
                <c:pt idx="86">
                  <c:v>12/31/2012</c:v>
                </c:pt>
                <c:pt idx="87">
                  <c:v>1/31/2013</c:v>
                </c:pt>
                <c:pt idx="88">
                  <c:v>2/28/2013</c:v>
                </c:pt>
                <c:pt idx="89">
                  <c:v>3/31/2013</c:v>
                </c:pt>
                <c:pt idx="90">
                  <c:v>4/30/2013</c:v>
                </c:pt>
                <c:pt idx="91">
                  <c:v>5/31/2013</c:v>
                </c:pt>
                <c:pt idx="92">
                  <c:v>6/30/2013</c:v>
                </c:pt>
                <c:pt idx="93">
                  <c:v>7/31/2013</c:v>
                </c:pt>
                <c:pt idx="94">
                  <c:v>8/31/2013</c:v>
                </c:pt>
                <c:pt idx="95">
                  <c:v>9/30/2013</c:v>
                </c:pt>
                <c:pt idx="96">
                  <c:v>10/31/2013</c:v>
                </c:pt>
                <c:pt idx="97">
                  <c:v>11/30/2013</c:v>
                </c:pt>
                <c:pt idx="98">
                  <c:v>12/31/2013</c:v>
                </c:pt>
                <c:pt idx="99">
                  <c:v>1/31/2014</c:v>
                </c:pt>
                <c:pt idx="100">
                  <c:v>2/28/2014</c:v>
                </c:pt>
                <c:pt idx="101">
                  <c:v>3/31/2014</c:v>
                </c:pt>
                <c:pt idx="102">
                  <c:v>4/30/2014</c:v>
                </c:pt>
                <c:pt idx="103">
                  <c:v>5/31/2014</c:v>
                </c:pt>
                <c:pt idx="104">
                  <c:v>6/30/2014</c:v>
                </c:pt>
                <c:pt idx="105">
                  <c:v>7/31/2014</c:v>
                </c:pt>
                <c:pt idx="106">
                  <c:v>8/31/2014</c:v>
                </c:pt>
                <c:pt idx="107">
                  <c:v>9/30/2014</c:v>
                </c:pt>
                <c:pt idx="108">
                  <c:v>10/31/2014</c:v>
                </c:pt>
                <c:pt idx="109">
                  <c:v>11/30/2014</c:v>
                </c:pt>
                <c:pt idx="110">
                  <c:v>12/31/2014</c:v>
                </c:pt>
                <c:pt idx="111">
                  <c:v>1/31/2015</c:v>
                </c:pt>
                <c:pt idx="112">
                  <c:v>2/28/2015</c:v>
                </c:pt>
                <c:pt idx="113">
                  <c:v>3/31/2015</c:v>
                </c:pt>
                <c:pt idx="114">
                  <c:v>4/30/2015</c:v>
                </c:pt>
                <c:pt idx="115">
                  <c:v>5/31/2015</c:v>
                </c:pt>
                <c:pt idx="116">
                  <c:v>6/30/2015</c:v>
                </c:pt>
                <c:pt idx="117">
                  <c:v>7/31/2015</c:v>
                </c:pt>
                <c:pt idx="118">
                  <c:v>8/31/2015</c:v>
                </c:pt>
                <c:pt idx="119">
                  <c:v>9/30/2015</c:v>
                </c:pt>
                <c:pt idx="120">
                  <c:v>10/31/2015</c:v>
                </c:pt>
                <c:pt idx="121">
                  <c:v>11/30/2015</c:v>
                </c:pt>
                <c:pt idx="122">
                  <c:v>12/31/2015</c:v>
                </c:pt>
                <c:pt idx="123">
                  <c:v>1/31/2016</c:v>
                </c:pt>
                <c:pt idx="124">
                  <c:v>2/29/2016</c:v>
                </c:pt>
                <c:pt idx="125">
                  <c:v>3/31/2016</c:v>
                </c:pt>
                <c:pt idx="126">
                  <c:v>4/30/2016</c:v>
                </c:pt>
                <c:pt idx="127">
                  <c:v>5/31/2016</c:v>
                </c:pt>
                <c:pt idx="128">
                  <c:v>6/30/2016</c:v>
                </c:pt>
                <c:pt idx="129">
                  <c:v>7/31/2016</c:v>
                </c:pt>
                <c:pt idx="130">
                  <c:v>8/31/2016</c:v>
                </c:pt>
                <c:pt idx="131">
                  <c:v>9/30/2016</c:v>
                </c:pt>
                <c:pt idx="132">
                  <c:v>10/31/2016</c:v>
                </c:pt>
                <c:pt idx="133">
                  <c:v>11/30/2016</c:v>
                </c:pt>
                <c:pt idx="134">
                  <c:v>12/31/2016</c:v>
                </c:pt>
                <c:pt idx="135">
                  <c:v>1/31/2017</c:v>
                </c:pt>
                <c:pt idx="136">
                  <c:v>2/28/2017</c:v>
                </c:pt>
                <c:pt idx="137">
                  <c:v>3/31/2017</c:v>
                </c:pt>
                <c:pt idx="138">
                  <c:v>4/30/2017</c:v>
                </c:pt>
                <c:pt idx="139">
                  <c:v>5/31/2017</c:v>
                </c:pt>
                <c:pt idx="140">
                  <c:v>6/30/2017</c:v>
                </c:pt>
                <c:pt idx="141">
                  <c:v>7/31/2017</c:v>
                </c:pt>
                <c:pt idx="142">
                  <c:v>8/31/2017</c:v>
                </c:pt>
                <c:pt idx="143">
                  <c:v>9/30/2017</c:v>
                </c:pt>
                <c:pt idx="144">
                  <c:v>10/31/2017</c:v>
                </c:pt>
                <c:pt idx="145">
                  <c:v>11/30/2017</c:v>
                </c:pt>
                <c:pt idx="146">
                  <c:v>12/31/2017</c:v>
                </c:pt>
                <c:pt idx="147">
                  <c:v>1/31/2018</c:v>
                </c:pt>
                <c:pt idx="148">
                  <c:v>2/28/2018</c:v>
                </c:pt>
                <c:pt idx="149">
                  <c:v>3/31/2018</c:v>
                </c:pt>
                <c:pt idx="150">
                  <c:v>4/30/2018</c:v>
                </c:pt>
                <c:pt idx="151">
                  <c:v>5/31/2018</c:v>
                </c:pt>
                <c:pt idx="152">
                  <c:v>6/30/2018</c:v>
                </c:pt>
                <c:pt idx="153">
                  <c:v>7/31/2018</c:v>
                </c:pt>
                <c:pt idx="154">
                  <c:v>8/31/2018</c:v>
                </c:pt>
                <c:pt idx="155">
                  <c:v>9/30/2018</c:v>
                </c:pt>
                <c:pt idx="156">
                  <c:v>10/31/2018</c:v>
                </c:pt>
                <c:pt idx="157">
                  <c:v>11/30/2018</c:v>
                </c:pt>
                <c:pt idx="158">
                  <c:v>12/31/2018</c:v>
                </c:pt>
                <c:pt idx="159">
                  <c:v>1/31/2019</c:v>
                </c:pt>
                <c:pt idx="160">
                  <c:v>2/28/2019</c:v>
                </c:pt>
                <c:pt idx="161">
                  <c:v>3/31/2019</c:v>
                </c:pt>
                <c:pt idx="162">
                  <c:v>4/30/2019</c:v>
                </c:pt>
                <c:pt idx="163">
                  <c:v>5/31/2019</c:v>
                </c:pt>
                <c:pt idx="164">
                  <c:v>6/30/2019</c:v>
                </c:pt>
                <c:pt idx="165">
                  <c:v>7/31/2019</c:v>
                </c:pt>
                <c:pt idx="166">
                  <c:v>8/31/2019</c:v>
                </c:pt>
                <c:pt idx="167">
                  <c:v>9/30/2019</c:v>
                </c:pt>
                <c:pt idx="168">
                  <c:v>10/31/2019</c:v>
                </c:pt>
                <c:pt idx="169">
                  <c:v>11/30/2019</c:v>
                </c:pt>
                <c:pt idx="170">
                  <c:v>12/31/2019</c:v>
                </c:pt>
                <c:pt idx="171">
                  <c:v>1/31/2020</c:v>
                </c:pt>
                <c:pt idx="172">
                  <c:v>2/29/2020</c:v>
                </c:pt>
                <c:pt idx="173">
                  <c:v>3/31/2020</c:v>
                </c:pt>
                <c:pt idx="174">
                  <c:v>4/30/2020</c:v>
                </c:pt>
                <c:pt idx="175">
                  <c:v>5/31/2020</c:v>
                </c:pt>
                <c:pt idx="176">
                  <c:v>6/30/2020</c:v>
                </c:pt>
                <c:pt idx="177">
                  <c:v>7/31/2020</c:v>
                </c:pt>
                <c:pt idx="178">
                  <c:v>8/31/2020</c:v>
                </c:pt>
                <c:pt idx="179">
                  <c:v>9/30/2020</c:v>
                </c:pt>
                <c:pt idx="180">
                  <c:v>10/31/2020</c:v>
                </c:pt>
                <c:pt idx="181">
                  <c:v>11/30/2020</c:v>
                </c:pt>
                <c:pt idx="182">
                  <c:v>12/31/2020</c:v>
                </c:pt>
                <c:pt idx="183">
                  <c:v>1/31/2021</c:v>
                </c:pt>
                <c:pt idx="184">
                  <c:v>2/28/2021</c:v>
                </c:pt>
                <c:pt idx="185">
                  <c:v>3/31/2021</c:v>
                </c:pt>
                <c:pt idx="186">
                  <c:v>4/30/2021</c:v>
                </c:pt>
                <c:pt idx="187">
                  <c:v>5/31/2021</c:v>
                </c:pt>
                <c:pt idx="188">
                  <c:v>6/30/2021</c:v>
                </c:pt>
                <c:pt idx="189">
                  <c:v>7/31/2021</c:v>
                </c:pt>
                <c:pt idx="190">
                  <c:v>8/31/2021</c:v>
                </c:pt>
                <c:pt idx="191">
                  <c:v>9/30/2021</c:v>
                </c:pt>
                <c:pt idx="192">
                  <c:v>10/31/2021</c:v>
                </c:pt>
                <c:pt idx="193">
                  <c:v>11/30/2021</c:v>
                </c:pt>
                <c:pt idx="194">
                  <c:v>12/31/2021</c:v>
                </c:pt>
                <c:pt idx="195">
                  <c:v>1/31/2022</c:v>
                </c:pt>
                <c:pt idx="196">
                  <c:v>2/28/2022</c:v>
                </c:pt>
                <c:pt idx="197">
                  <c:v>3/31/2022</c:v>
                </c:pt>
                <c:pt idx="198">
                  <c:v>4/30/2022</c:v>
                </c:pt>
                <c:pt idx="199">
                  <c:v>5/31/2022</c:v>
                </c:pt>
                <c:pt idx="200">
                  <c:v>6/30/2022</c:v>
                </c:pt>
                <c:pt idx="201">
                  <c:v>7/31/2022</c:v>
                </c:pt>
                <c:pt idx="202">
                  <c:v>8/31/2022</c:v>
                </c:pt>
                <c:pt idx="203">
                  <c:v>9/30/2022</c:v>
                </c:pt>
                <c:pt idx="204">
                  <c:v>10/31/2022</c:v>
                </c:pt>
                <c:pt idx="205">
                  <c:v>11/30/2022</c:v>
                </c:pt>
                <c:pt idx="206">
                  <c:v>12/31/2022</c:v>
                </c:pt>
                <c:pt idx="207">
                  <c:v>1/31/2023</c:v>
                </c:pt>
                <c:pt idx="208">
                  <c:v>2/28/2023</c:v>
                </c:pt>
                <c:pt idx="209">
                  <c:v>3/31/2023</c:v>
                </c:pt>
                <c:pt idx="210">
                  <c:v>4/30/2023</c:v>
                </c:pt>
                <c:pt idx="211">
                  <c:v>5/31/2023</c:v>
                </c:pt>
                <c:pt idx="212">
                  <c:v>6/30/2023</c:v>
                </c:pt>
                <c:pt idx="213">
                  <c:v>7/31/2023</c:v>
                </c:pt>
                <c:pt idx="214">
                  <c:v>8/31/2023</c:v>
                </c:pt>
                <c:pt idx="215">
                  <c:v>9/30/2023</c:v>
                </c:pt>
                <c:pt idx="216">
                  <c:v>10/31/2023</c:v>
                </c:pt>
                <c:pt idx="217">
                  <c:v>11/30/2023</c:v>
                </c:pt>
                <c:pt idx="218">
                  <c:v>12/31/2023</c:v>
                </c:pt>
                <c:pt idx="219">
                  <c:v>1/31/2024</c:v>
                </c:pt>
                <c:pt idx="220">
                  <c:v>2/29/2024</c:v>
                </c:pt>
                <c:pt idx="221">
                  <c:v>3/31/2024</c:v>
                </c:pt>
                <c:pt idx="222">
                  <c:v>4/30/2024</c:v>
                </c:pt>
                <c:pt idx="223">
                  <c:v>5/31/2024</c:v>
                </c:pt>
                <c:pt idx="224">
                  <c:v>6/30/2024</c:v>
                </c:pt>
                <c:pt idx="225">
                  <c:v>7/31/2024</c:v>
                </c:pt>
                <c:pt idx="226">
                  <c:v>8/31/2024</c:v>
                </c:pt>
                <c:pt idx="227">
                  <c:v>9/30/2024</c:v>
                </c:pt>
                <c:pt idx="228">
                  <c:v>10/31/2024</c:v>
                </c:pt>
                <c:pt idx="229">
                  <c:v>11/30/2024</c:v>
                </c:pt>
                <c:pt idx="230">
                  <c:v>12/31/2024</c:v>
                </c:pt>
                <c:pt idx="231">
                  <c:v>1/31/2025</c:v>
                </c:pt>
                <c:pt idx="232">
                  <c:v>2/28/2025</c:v>
                </c:pt>
                <c:pt idx="233">
                  <c:v>3/31/2025</c:v>
                </c:pt>
                <c:pt idx="234">
                  <c:v>4/30/2025</c:v>
                </c:pt>
                <c:pt idx="235">
                  <c:v>5/31/2025</c:v>
                </c:pt>
                <c:pt idx="236">
                  <c:v>6/30/2025</c:v>
                </c:pt>
                <c:pt idx="237">
                  <c:v>7/31/2025</c:v>
                </c:pt>
                <c:pt idx="238">
                  <c:v>8/31/2025</c:v>
                </c:pt>
                <c:pt idx="239">
                  <c:v>9/30/2025</c:v>
                </c:pt>
                <c:pt idx="240">
                  <c:v>10/31/2025</c:v>
                </c:pt>
              </c:strCache>
            </c:strRef>
          </c:cat>
          <c:val>
            <c:numRef>
              <c:f>pvt_total_debt!$F$4:$F$245</c:f>
              <c:numCache>
                <c:formatCode>"$"#,##0.00</c:formatCode>
                <c:ptCount val="241"/>
                <c:pt idx="0">
                  <c:v>3895828.15186565</c:v>
                </c:pt>
                <c:pt idx="1">
                  <c:v>3907058.0631664102</c:v>
                </c:pt>
                <c:pt idx="2">
                  <c:v>3986454.25738631</c:v>
                </c:pt>
                <c:pt idx="3">
                  <c:v>4001239.15595889</c:v>
                </c:pt>
                <c:pt idx="4">
                  <c:v>3992315.0098907999</c:v>
                </c:pt>
                <c:pt idx="5">
                  <c:v>4030757.0622228002</c:v>
                </c:pt>
                <c:pt idx="6">
                  <c:v>4072512.62290254</c:v>
                </c:pt>
                <c:pt idx="7">
                  <c:v>4087533.3995320601</c:v>
                </c:pt>
                <c:pt idx="8">
                  <c:v>4166024.0449238298</c:v>
                </c:pt>
                <c:pt idx="9">
                  <c:v>4163936.5155442199</c:v>
                </c:pt>
                <c:pt idx="10">
                  <c:v>4170361.90943219</c:v>
                </c:pt>
                <c:pt idx="11">
                  <c:v>4203935.2701813597</c:v>
                </c:pt>
                <c:pt idx="12">
                  <c:v>4246359.96289811</c:v>
                </c:pt>
                <c:pt idx="13">
                  <c:v>4252234.3786084997</c:v>
                </c:pt>
                <c:pt idx="14">
                  <c:v>4338266.4661517097</c:v>
                </c:pt>
                <c:pt idx="15">
                  <c:v>4360119.3141484</c:v>
                </c:pt>
                <c:pt idx="16">
                  <c:v>4369549.5861992603</c:v>
                </c:pt>
                <c:pt idx="17">
                  <c:v>4380878.4355531996</c:v>
                </c:pt>
                <c:pt idx="18">
                  <c:v>4427783.3571466804</c:v>
                </c:pt>
                <c:pt idx="19">
                  <c:v>4450719.57148646</c:v>
                </c:pt>
                <c:pt idx="20">
                  <c:v>4528573.9923210898</c:v>
                </c:pt>
                <c:pt idx="21">
                  <c:v>4529016.8767877296</c:v>
                </c:pt>
                <c:pt idx="22">
                  <c:v>4509449.4111885</c:v>
                </c:pt>
                <c:pt idx="23">
                  <c:v>4559519.4679534202</c:v>
                </c:pt>
                <c:pt idx="24">
                  <c:v>4614355.8843697403</c:v>
                </c:pt>
                <c:pt idx="25">
                  <c:v>4606082.06617771</c:v>
                </c:pt>
                <c:pt idx="26">
                  <c:v>4692586.5089913597</c:v>
                </c:pt>
                <c:pt idx="27">
                  <c:v>4705121.5953261703</c:v>
                </c:pt>
                <c:pt idx="28">
                  <c:v>4696663.6500300001</c:v>
                </c:pt>
                <c:pt idx="29">
                  <c:v>4705232.6174085299</c:v>
                </c:pt>
                <c:pt idx="30">
                  <c:v>4734994.8939915802</c:v>
                </c:pt>
                <c:pt idx="31">
                  <c:v>4703615.2948973197</c:v>
                </c:pt>
                <c:pt idx="32">
                  <c:v>4795581.0738244597</c:v>
                </c:pt>
                <c:pt idx="33">
                  <c:v>4763356.0504604401</c:v>
                </c:pt>
                <c:pt idx="34">
                  <c:v>4743865.3936137697</c:v>
                </c:pt>
                <c:pt idx="35">
                  <c:v>4788749.1020698799</c:v>
                </c:pt>
                <c:pt idx="36">
                  <c:v>4844733.99501622</c:v>
                </c:pt>
                <c:pt idx="37">
                  <c:v>4838510.0517740399</c:v>
                </c:pt>
                <c:pt idx="38">
                  <c:v>4902160.9253017502</c:v>
                </c:pt>
                <c:pt idx="39">
                  <c:v>4882163.7240236197</c:v>
                </c:pt>
                <c:pt idx="40">
                  <c:v>4864753.4993168097</c:v>
                </c:pt>
                <c:pt idx="41">
                  <c:v>4860821.3623205097</c:v>
                </c:pt>
                <c:pt idx="42">
                  <c:v>4875200.8069690503</c:v>
                </c:pt>
                <c:pt idx="43">
                  <c:v>4867330.37622602</c:v>
                </c:pt>
                <c:pt idx="44">
                  <c:v>4933164.8487427803</c:v>
                </c:pt>
                <c:pt idx="45">
                  <c:v>4886494.9800577499</c:v>
                </c:pt>
                <c:pt idx="46">
                  <c:v>4873630.6916082399</c:v>
                </c:pt>
                <c:pt idx="47">
                  <c:v>4900096.1912631998</c:v>
                </c:pt>
                <c:pt idx="48">
                  <c:v>4945457.80664929</c:v>
                </c:pt>
                <c:pt idx="49">
                  <c:v>4938475.0887269303</c:v>
                </c:pt>
                <c:pt idx="50">
                  <c:v>5038852.7536032498</c:v>
                </c:pt>
                <c:pt idx="51">
                  <c:v>5052084.7133432999</c:v>
                </c:pt>
                <c:pt idx="52">
                  <c:v>5033686.5220626201</c:v>
                </c:pt>
                <c:pt idx="53">
                  <c:v>5016081.8529656101</c:v>
                </c:pt>
                <c:pt idx="54">
                  <c:v>5047460.60169229</c:v>
                </c:pt>
                <c:pt idx="55">
                  <c:v>5034149.6132462602</c:v>
                </c:pt>
                <c:pt idx="56">
                  <c:v>5099383.2891168799</c:v>
                </c:pt>
                <c:pt idx="57">
                  <c:v>5058874.51701409</c:v>
                </c:pt>
                <c:pt idx="58">
                  <c:v>5045189.0469558602</c:v>
                </c:pt>
                <c:pt idx="59">
                  <c:v>5063297.6502251299</c:v>
                </c:pt>
                <c:pt idx="60">
                  <c:v>5126106.4833983202</c:v>
                </c:pt>
                <c:pt idx="61">
                  <c:v>5112487.3845636398</c:v>
                </c:pt>
                <c:pt idx="62">
                  <c:v>5161954.6242421204</c:v>
                </c:pt>
                <c:pt idx="63">
                  <c:v>5166346.3354069702</c:v>
                </c:pt>
                <c:pt idx="64">
                  <c:v>5146550.4242883604</c:v>
                </c:pt>
                <c:pt idx="65">
                  <c:v>5137373.8457966503</c:v>
                </c:pt>
                <c:pt idx="66">
                  <c:v>5151059.9376643403</c:v>
                </c:pt>
                <c:pt idx="67">
                  <c:v>5082436.8811269104</c:v>
                </c:pt>
                <c:pt idx="68">
                  <c:v>5008438.7657588404</c:v>
                </c:pt>
                <c:pt idx="69">
                  <c:v>4964738.9590513101</c:v>
                </c:pt>
                <c:pt idx="70">
                  <c:v>5162488.2589399703</c:v>
                </c:pt>
                <c:pt idx="71">
                  <c:v>5165794.7645700304</c:v>
                </c:pt>
                <c:pt idx="72">
                  <c:v>5247177.0062179798</c:v>
                </c:pt>
                <c:pt idx="73">
                  <c:v>5232182.1436503697</c:v>
                </c:pt>
                <c:pt idx="74">
                  <c:v>5286057.9193323404</c:v>
                </c:pt>
                <c:pt idx="75">
                  <c:v>5287230.9356887499</c:v>
                </c:pt>
                <c:pt idx="76">
                  <c:v>5266593.99551709</c:v>
                </c:pt>
                <c:pt idx="77">
                  <c:v>5243793.2101537101</c:v>
                </c:pt>
                <c:pt idx="78">
                  <c:v>5292291.3730610898</c:v>
                </c:pt>
                <c:pt idx="79">
                  <c:v>5284513.4801597996</c:v>
                </c:pt>
                <c:pt idx="80">
                  <c:v>5334383.2210909696</c:v>
                </c:pt>
                <c:pt idx="81">
                  <c:v>5325886.8601964796</c:v>
                </c:pt>
                <c:pt idx="82">
                  <c:v>5258745.2160957605</c:v>
                </c:pt>
                <c:pt idx="83">
                  <c:v>5316484.3098101597</c:v>
                </c:pt>
                <c:pt idx="84">
                  <c:v>5374001.7025707699</c:v>
                </c:pt>
                <c:pt idx="85">
                  <c:v>5336765.2975152303</c:v>
                </c:pt>
                <c:pt idx="86">
                  <c:v>5379527.6634742403</c:v>
                </c:pt>
                <c:pt idx="87">
                  <c:v>5318470.7762535</c:v>
                </c:pt>
                <c:pt idx="88">
                  <c:v>5378936.3290249296</c:v>
                </c:pt>
                <c:pt idx="89">
                  <c:v>5373373.6475499198</c:v>
                </c:pt>
                <c:pt idx="90">
                  <c:v>5412084.78091761</c:v>
                </c:pt>
                <c:pt idx="91">
                  <c:v>5341511.1436963296</c:v>
                </c:pt>
                <c:pt idx="92">
                  <c:v>5343317.1851691101</c:v>
                </c:pt>
                <c:pt idx="93">
                  <c:v>5255108.50543069</c:v>
                </c:pt>
                <c:pt idx="94">
                  <c:v>5152470.6452058302</c:v>
                </c:pt>
                <c:pt idx="95">
                  <c:v>5142028.5156503497</c:v>
                </c:pt>
                <c:pt idx="96">
                  <c:v>5461119.6109448196</c:v>
                </c:pt>
                <c:pt idx="97">
                  <c:v>5425513.5642927401</c:v>
                </c:pt>
                <c:pt idx="98">
                  <c:v>5482536.8534219302</c:v>
                </c:pt>
                <c:pt idx="99">
                  <c:v>5467697.9607664105</c:v>
                </c:pt>
                <c:pt idx="100">
                  <c:v>5451785.57491305</c:v>
                </c:pt>
                <c:pt idx="101">
                  <c:v>5465735.0160442004</c:v>
                </c:pt>
                <c:pt idx="102">
                  <c:v>5491935.3982623797</c:v>
                </c:pt>
                <c:pt idx="103">
                  <c:v>5468541.9753728304</c:v>
                </c:pt>
                <c:pt idx="104">
                  <c:v>5548388.9733106</c:v>
                </c:pt>
                <c:pt idx="105">
                  <c:v>5524264.8295093896</c:v>
                </c:pt>
                <c:pt idx="106">
                  <c:v>5503900.9502560301</c:v>
                </c:pt>
                <c:pt idx="107">
                  <c:v>5529858.9907510802</c:v>
                </c:pt>
                <c:pt idx="108">
                  <c:v>5574586.1281031603</c:v>
                </c:pt>
                <c:pt idx="109">
                  <c:v>5584148.2020867299</c:v>
                </c:pt>
                <c:pt idx="110">
                  <c:v>5623049.74894593</c:v>
                </c:pt>
                <c:pt idx="111">
                  <c:v>5598997.4141260805</c:v>
                </c:pt>
                <c:pt idx="112">
                  <c:v>5585529.3152262103</c:v>
                </c:pt>
                <c:pt idx="113">
                  <c:v>5508250.3420123504</c:v>
                </c:pt>
                <c:pt idx="114">
                  <c:v>5507056.4496055199</c:v>
                </c:pt>
                <c:pt idx="115">
                  <c:v>5464833.3538040901</c:v>
                </c:pt>
                <c:pt idx="116">
                  <c:v>5440904.2605422502</c:v>
                </c:pt>
                <c:pt idx="117">
                  <c:v>5337890.9204244297</c:v>
                </c:pt>
                <c:pt idx="118">
                  <c:v>5304600.78439127</c:v>
                </c:pt>
                <c:pt idx="119">
                  <c:v>5296866.5032686703</c:v>
                </c:pt>
                <c:pt idx="120">
                  <c:v>5349962.9403080298</c:v>
                </c:pt>
                <c:pt idx="121">
                  <c:v>5704680.0291322302</c:v>
                </c:pt>
                <c:pt idx="122">
                  <c:v>5715623.6068667797</c:v>
                </c:pt>
                <c:pt idx="123">
                  <c:v>5823868.6136396797</c:v>
                </c:pt>
                <c:pt idx="124">
                  <c:v>5812724.4144913396</c:v>
                </c:pt>
                <c:pt idx="125">
                  <c:v>5818798.2588240998</c:v>
                </c:pt>
                <c:pt idx="126">
                  <c:v>5832216.6654195096</c:v>
                </c:pt>
                <c:pt idx="127">
                  <c:v>5871919.24916761</c:v>
                </c:pt>
                <c:pt idx="128">
                  <c:v>5950795.2161214603</c:v>
                </c:pt>
                <c:pt idx="129">
                  <c:v>5933471.8677890897</c:v>
                </c:pt>
                <c:pt idx="130">
                  <c:v>5911224.5805937899</c:v>
                </c:pt>
                <c:pt idx="131">
                  <c:v>5912840.6432441501</c:v>
                </c:pt>
                <c:pt idx="132">
                  <c:v>6035660.1837712303</c:v>
                </c:pt>
                <c:pt idx="133">
                  <c:v>6026594.9451072896</c:v>
                </c:pt>
                <c:pt idx="134">
                  <c:v>6055561.71793589</c:v>
                </c:pt>
                <c:pt idx="135">
                  <c:v>6073500.5690555498</c:v>
                </c:pt>
                <c:pt idx="136">
                  <c:v>6060666.96340119</c:v>
                </c:pt>
                <c:pt idx="137">
                  <c:v>5879750.39845319</c:v>
                </c:pt>
                <c:pt idx="138">
                  <c:v>5895783.0533024296</c:v>
                </c:pt>
                <c:pt idx="139">
                  <c:v>5863288.1550271204</c:v>
                </c:pt>
                <c:pt idx="140">
                  <c:v>5835137.2443973096</c:v>
                </c:pt>
                <c:pt idx="141">
                  <c:v>5784735.2918203203</c:v>
                </c:pt>
                <c:pt idx="142">
                  <c:v>5750970.2523811599</c:v>
                </c:pt>
                <c:pt idx="143">
                  <c:v>6045108.3725187602</c:v>
                </c:pt>
                <c:pt idx="144">
                  <c:v>6168795.8366392199</c:v>
                </c:pt>
                <c:pt idx="145">
                  <c:v>6152850.6954916501</c:v>
                </c:pt>
                <c:pt idx="146">
                  <c:v>6012508.7778523099</c:v>
                </c:pt>
                <c:pt idx="147">
                  <c:v>5979184.8329530396</c:v>
                </c:pt>
                <c:pt idx="148">
                  <c:v>6177730.3914093599</c:v>
                </c:pt>
                <c:pt idx="149">
                  <c:v>6144907.1480672797</c:v>
                </c:pt>
                <c:pt idx="150">
                  <c:v>6218307.3851874797</c:v>
                </c:pt>
                <c:pt idx="151">
                  <c:v>6205820.5910111899</c:v>
                </c:pt>
                <c:pt idx="152">
                  <c:v>6212664.1538345898</c:v>
                </c:pt>
                <c:pt idx="153">
                  <c:v>6227758.9528636904</c:v>
                </c:pt>
                <c:pt idx="154">
                  <c:v>6157012.1135335304</c:v>
                </c:pt>
                <c:pt idx="155">
                  <c:v>6238013.3711460298</c:v>
                </c:pt>
                <c:pt idx="156">
                  <c:v>6344473.6377339596</c:v>
                </c:pt>
                <c:pt idx="157">
                  <c:v>6289984.7683313601</c:v>
                </c:pt>
                <c:pt idx="158">
                  <c:v>6355788.8191729896</c:v>
                </c:pt>
                <c:pt idx="159">
                  <c:v>6362575.8029370001</c:v>
                </c:pt>
                <c:pt idx="160">
                  <c:v>6345849.7415814605</c:v>
                </c:pt>
                <c:pt idx="161">
                  <c:v>6088982.3836253602</c:v>
                </c:pt>
                <c:pt idx="162">
                  <c:v>6146757.1823082799</c:v>
                </c:pt>
                <c:pt idx="163">
                  <c:v>6085173.3043917501</c:v>
                </c:pt>
                <c:pt idx="164">
                  <c:v>6092383.2013619104</c:v>
                </c:pt>
                <c:pt idx="165">
                  <c:v>6054227.93584025</c:v>
                </c:pt>
                <c:pt idx="166">
                  <c:v>6314159.7556045596</c:v>
                </c:pt>
                <c:pt idx="167">
                  <c:v>6372061.0241382401</c:v>
                </c:pt>
                <c:pt idx="168">
                  <c:v>6494285.5534850899</c:v>
                </c:pt>
                <c:pt idx="169">
                  <c:v>6448454.1294599799</c:v>
                </c:pt>
                <c:pt idx="170">
                  <c:v>6519244.0205316199</c:v>
                </c:pt>
                <c:pt idx="171">
                  <c:v>6503810.8096058201</c:v>
                </c:pt>
                <c:pt idx="172">
                  <c:v>6491433.8094133204</c:v>
                </c:pt>
                <c:pt idx="173">
                  <c:v>6524064.2476523602</c:v>
                </c:pt>
                <c:pt idx="174">
                  <c:v>6438567.8275864497</c:v>
                </c:pt>
                <c:pt idx="175">
                  <c:v>6514220.9277125699</c:v>
                </c:pt>
                <c:pt idx="176">
                  <c:v>6571275.66833618</c:v>
                </c:pt>
                <c:pt idx="177">
                  <c:v>6517089.9698471399</c:v>
                </c:pt>
                <c:pt idx="178">
                  <c:v>6538089.47575121</c:v>
                </c:pt>
                <c:pt idx="179">
                  <c:v>6570450.7348932801</c:v>
                </c:pt>
                <c:pt idx="180">
                  <c:v>6693249.7006999198</c:v>
                </c:pt>
                <c:pt idx="181">
                  <c:v>6753878.5562046198</c:v>
                </c:pt>
                <c:pt idx="182">
                  <c:v>6767407.2410363303</c:v>
                </c:pt>
                <c:pt idx="183">
                  <c:v>6735588.0798200304</c:v>
                </c:pt>
                <c:pt idx="184">
                  <c:v>6743844.20019913</c:v>
                </c:pt>
                <c:pt idx="185">
                  <c:v>6744470.0855404101</c:v>
                </c:pt>
                <c:pt idx="186">
                  <c:v>6717861.36391488</c:v>
                </c:pt>
                <c:pt idx="187">
                  <c:v>6777680.5882271901</c:v>
                </c:pt>
                <c:pt idx="188">
                  <c:v>6790410.9435886703</c:v>
                </c:pt>
                <c:pt idx="189">
                  <c:v>6729179.7514530905</c:v>
                </c:pt>
                <c:pt idx="190">
                  <c:v>6495128.9719444104</c:v>
                </c:pt>
                <c:pt idx="191">
                  <c:v>6550215.9001580896</c:v>
                </c:pt>
                <c:pt idx="192">
                  <c:v>6776682.7813774301</c:v>
                </c:pt>
                <c:pt idx="193">
                  <c:v>6556379.5044486299</c:v>
                </c:pt>
                <c:pt idx="194">
                  <c:v>7027122.9591121599</c:v>
                </c:pt>
                <c:pt idx="195">
                  <c:v>7093488.4343353501</c:v>
                </c:pt>
                <c:pt idx="196">
                  <c:v>7094391.1553630102</c:v>
                </c:pt>
                <c:pt idx="197">
                  <c:v>7114847.5239261901</c:v>
                </c:pt>
                <c:pt idx="198">
                  <c:v>7119534.6517901802</c:v>
                </c:pt>
                <c:pt idx="199">
                  <c:v>7192462.9078508504</c:v>
                </c:pt>
                <c:pt idx="200">
                  <c:v>7256999.63611429</c:v>
                </c:pt>
                <c:pt idx="201">
                  <c:v>7240362.6825130498</c:v>
                </c:pt>
                <c:pt idx="202">
                  <c:v>7261116.8091923296</c:v>
                </c:pt>
                <c:pt idx="203">
                  <c:v>7234787.6450389801</c:v>
                </c:pt>
                <c:pt idx="204">
                  <c:v>7494815.6646926897</c:v>
                </c:pt>
                <c:pt idx="205">
                  <c:v>7459822.1298060901</c:v>
                </c:pt>
                <c:pt idx="206">
                  <c:v>7480389.7035792097</c:v>
                </c:pt>
                <c:pt idx="207">
                  <c:v>7327372.8402000898</c:v>
                </c:pt>
                <c:pt idx="208">
                  <c:v>7176726.5564184496</c:v>
                </c:pt>
                <c:pt idx="209">
                  <c:v>7076196.2621080698</c:v>
                </c:pt>
                <c:pt idx="210">
                  <c:v>7172019.3317030203</c:v>
                </c:pt>
                <c:pt idx="211">
                  <c:v>7136276.2421332197</c:v>
                </c:pt>
                <c:pt idx="212">
                  <c:v>7445624.50784487</c:v>
                </c:pt>
                <c:pt idx="213">
                  <c:v>7470589.2721458497</c:v>
                </c:pt>
                <c:pt idx="214">
                  <c:v>7436586.2622048799</c:v>
                </c:pt>
                <c:pt idx="215">
                  <c:v>7413651.1746763196</c:v>
                </c:pt>
                <c:pt idx="216">
                  <c:v>7696112.65230601</c:v>
                </c:pt>
                <c:pt idx="217">
                  <c:v>7606752.8305202499</c:v>
                </c:pt>
                <c:pt idx="218">
                  <c:v>7629785.7872417197</c:v>
                </c:pt>
                <c:pt idx="219">
                  <c:v>7680811.8645796897</c:v>
                </c:pt>
                <c:pt idx="220">
                  <c:v>7652232.5021612002</c:v>
                </c:pt>
                <c:pt idx="221">
                  <c:v>7635026.8939362802</c:v>
                </c:pt>
                <c:pt idx="222">
                  <c:v>7698627.8085047901</c:v>
                </c:pt>
                <c:pt idx="223">
                  <c:v>7624950.2540880404</c:v>
                </c:pt>
                <c:pt idx="224">
                  <c:v>7781639.7786783297</c:v>
                </c:pt>
                <c:pt idx="225">
                  <c:v>7742393.5232122699</c:v>
                </c:pt>
                <c:pt idx="226">
                  <c:v>7660201.03607349</c:v>
                </c:pt>
                <c:pt idx="227">
                  <c:v>7736336.4571189303</c:v>
                </c:pt>
                <c:pt idx="228">
                  <c:v>7960830.1808168702</c:v>
                </c:pt>
                <c:pt idx="229">
                  <c:v>7864302.6808527401</c:v>
                </c:pt>
                <c:pt idx="230">
                  <c:v>7937936.6448058402</c:v>
                </c:pt>
                <c:pt idx="231">
                  <c:v>7701353.63688411</c:v>
                </c:pt>
                <c:pt idx="232">
                  <c:v>7590372.1679439601</c:v>
                </c:pt>
                <c:pt idx="233">
                  <c:v>7627259.9350475203</c:v>
                </c:pt>
                <c:pt idx="234">
                  <c:v>7637799.0399192898</c:v>
                </c:pt>
                <c:pt idx="235">
                  <c:v>7627347.0799770597</c:v>
                </c:pt>
                <c:pt idx="236">
                  <c:v>7554181.3400317105</c:v>
                </c:pt>
                <c:pt idx="237">
                  <c:v>7947023.3114930904</c:v>
                </c:pt>
                <c:pt idx="238">
                  <c:v>7867420.8975577801</c:v>
                </c:pt>
                <c:pt idx="239">
                  <c:v>7922840.2084686495</c:v>
                </c:pt>
                <c:pt idx="240">
                  <c:v>8041529.9445784297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9D-4F9F-A9A4-C0402182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351471"/>
        <c:axId val="1127337071"/>
      </c:areaChart>
      <c:catAx>
        <c:axId val="112735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37071"/>
        <c:crosses val="autoZero"/>
        <c:auto val="1"/>
        <c:lblAlgn val="ctr"/>
        <c:lblOffset val="100"/>
        <c:noMultiLvlLbl val="0"/>
      </c:catAx>
      <c:valAx>
        <c:axId val="11273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5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1</xdr:row>
      <xdr:rowOff>95250</xdr:rowOff>
    </xdr:from>
    <xdr:to>
      <xdr:col>22</xdr:col>
      <xdr:colOff>312420</xdr:colOff>
      <xdr:row>24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DBAFF-F7A1-D82D-E98F-D452B3A10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49530</xdr:rowOff>
    </xdr:from>
    <xdr:to>
      <xdr:col>19</xdr:col>
      <xdr:colOff>297180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DF0DC-ABC1-83E6-2FD9-AC15CC50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</xdr:row>
      <xdr:rowOff>133350</xdr:rowOff>
    </xdr:from>
    <xdr:to>
      <xdr:col>21</xdr:col>
      <xdr:colOff>259080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4587D-2C73-FB7E-F2BD-9F702AD08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1</xdr:row>
      <xdr:rowOff>140970</xdr:rowOff>
    </xdr:from>
    <xdr:to>
      <xdr:col>13</xdr:col>
      <xdr:colOff>655320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FF789-D438-95CF-1BAA-AD1D98A0D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5994.739081250002" createdVersion="8" refreshedVersion="8" minRefreshableVersion="3" recordCount="241" xr:uid="{D2689A30-B249-40F4-BE28-5420828B5E07}">
  <cacheSource type="worksheet">
    <worksheetSource ref="A1:I242" sheet="transformed_data"/>
  </cacheSource>
  <cacheFields count="12">
    <cacheField name="Date" numFmtId="14">
      <sharedItems containsSemiMixedTypes="0" containsNonDate="0" containsDate="1" containsString="0" minDate="2005-10-31T00:00:00" maxDate="2025-11-01T00:00:00" count="241">
        <d v="2025-10-31T00:00:00"/>
        <d v="2025-09-30T00:00:00"/>
        <d v="2025-08-31T00:00:00"/>
        <d v="2025-07-31T00:00:00"/>
        <d v="2025-06-30T00:00:00"/>
        <d v="2025-05-31T00:00:00"/>
        <d v="2025-04-30T00:00:00"/>
        <d v="2025-03-31T00:00:00"/>
        <d v="2025-02-28T00:00:00"/>
        <d v="2025-01-31T00:00:00"/>
        <d v="2024-12-31T00:00:00"/>
        <d v="2024-11-30T00:00:00"/>
        <d v="2024-10-31T00:00:00"/>
        <d v="2024-09-30T00:00:00"/>
        <d v="2024-08-31T00:00:00"/>
        <d v="2024-07-31T00:00:00"/>
        <d v="2024-06-30T00:00:00"/>
        <d v="2024-05-31T00:00:00"/>
        <d v="2024-04-30T00:00:00"/>
        <d v="2024-03-31T00:00:00"/>
        <d v="2024-02-29T00:00:00"/>
        <d v="2024-01-31T00:00:00"/>
        <d v="2023-12-31T00:00:00"/>
        <d v="2023-11-30T00:00:00"/>
        <d v="2023-10-31T00:00:00"/>
        <d v="2023-09-30T00:00:00"/>
        <d v="2023-08-31T00:00:00"/>
        <d v="2023-07-31T00:00:00"/>
        <d v="2023-06-30T00:00:00"/>
        <d v="2023-05-31T00:00:00"/>
        <d v="2023-04-30T00:00:00"/>
        <d v="2023-03-31T00:00:00"/>
        <d v="2023-02-28T00:00:00"/>
        <d v="2023-01-31T00:00:00"/>
        <d v="2022-12-31T00:00:00"/>
        <d v="2022-11-30T00:00:00"/>
        <d v="2022-10-31T00:00:00"/>
        <d v="2022-09-30T00:00:00"/>
        <d v="2022-08-31T00:00:00"/>
        <d v="2022-07-31T00:00:00"/>
        <d v="2022-06-30T00:00:00"/>
        <d v="2022-05-31T00:00:00"/>
        <d v="2022-04-30T00:00:00"/>
        <d v="2022-03-31T00:00:00"/>
        <d v="2022-02-28T00:00:00"/>
        <d v="2022-01-31T00:00:00"/>
        <d v="2021-12-31T00:00:00"/>
        <d v="2021-11-30T00:00:00"/>
        <d v="2021-10-31T00:00:00"/>
        <d v="2021-09-30T00:00:00"/>
        <d v="2021-08-31T00:00:00"/>
        <d v="2021-07-31T00:00:00"/>
        <d v="2021-06-30T00:00:00"/>
        <d v="2021-05-31T00:00:00"/>
        <d v="2021-04-30T00:00:00"/>
        <d v="2021-03-31T00:00:00"/>
        <d v="2021-02-28T00:00:00"/>
        <d v="2021-01-31T00:00:00"/>
        <d v="2020-12-31T00:00:00"/>
        <d v="2020-11-30T00:00:00"/>
        <d v="2020-10-31T00:00:00"/>
        <d v="2020-09-30T00:00:00"/>
        <d v="2020-08-31T00:00:00"/>
        <d v="2020-07-31T00:00:00"/>
        <d v="2020-06-30T00:00:00"/>
        <d v="2020-05-31T00:00:00"/>
        <d v="2020-04-30T00:00:00"/>
        <d v="2020-03-31T00:00:00"/>
        <d v="2020-02-29T00:00:00"/>
        <d v="2020-01-31T00:00:00"/>
        <d v="2019-12-31T00:00:00"/>
        <d v="2019-11-30T00:00:00"/>
        <d v="2019-10-31T00:00:00"/>
        <d v="2019-09-30T00:00:00"/>
        <d v="2019-08-31T00:00:00"/>
        <d v="2019-07-31T00:00:00"/>
        <d v="2019-06-30T00:00:00"/>
        <d v="2019-05-31T00:00:00"/>
        <d v="2019-04-30T00:00:00"/>
        <d v="2019-03-31T00:00:00"/>
        <d v="2019-02-28T00:00:00"/>
        <d v="2019-01-31T00:00:00"/>
        <d v="2018-12-31T00:00:00"/>
        <d v="2018-11-30T00:00:00"/>
        <d v="2018-10-31T00:00:00"/>
        <d v="2018-09-30T00:00:00"/>
        <d v="2018-08-31T00:00:00"/>
        <d v="2018-07-31T00:00:00"/>
        <d v="2018-06-30T00:00:00"/>
        <d v="2018-05-31T00:00:00"/>
        <d v="2018-04-30T00:00:00"/>
        <d v="2018-03-31T00:00:00"/>
        <d v="2018-02-28T00:00:00"/>
        <d v="2018-01-31T00:00:00"/>
        <d v="2017-12-31T00:00:00"/>
        <d v="2017-11-30T00:00:00"/>
        <d v="2017-10-31T00:00:00"/>
        <d v="2017-09-30T00:00:00"/>
        <d v="2017-08-31T00:00:00"/>
        <d v="2017-07-31T00:00:00"/>
        <d v="2017-06-30T00:00:00"/>
        <d v="2017-05-31T00:00:00"/>
        <d v="2017-04-30T00:00:00"/>
        <d v="2017-03-31T00:00:00"/>
        <d v="2017-02-28T00:00:00"/>
        <d v="2017-01-31T00:00:00"/>
        <d v="2016-12-31T00:00:00"/>
        <d v="2016-11-30T00:00:00"/>
        <d v="2016-10-31T00:00:00"/>
        <d v="2016-09-30T00:00:00"/>
        <d v="2016-08-31T00:00:00"/>
        <d v="2016-07-31T00:00:00"/>
        <d v="2016-06-30T00:00:00"/>
        <d v="2016-05-31T00:00:00"/>
        <d v="2016-04-30T00:00:00"/>
        <d v="2016-03-31T00:00:00"/>
        <d v="2016-02-29T00:00:00"/>
        <d v="2016-01-31T00:00:00"/>
        <d v="2015-12-31T00:00:00"/>
        <d v="2015-11-30T00:00:00"/>
        <d v="2015-10-31T00:00:00"/>
        <d v="2015-09-30T00:00:00"/>
        <d v="2015-08-31T00:00:00"/>
        <d v="2015-07-31T00:00:00"/>
        <d v="2015-06-30T00:00:00"/>
        <d v="2015-05-31T00:00:00"/>
        <d v="2015-04-30T00:00:00"/>
        <d v="2015-03-31T00:00:00"/>
        <d v="2015-02-28T00:00:00"/>
        <d v="2015-01-31T00:00:00"/>
        <d v="2014-12-31T00:00:00"/>
        <d v="2014-11-30T00:00:00"/>
        <d v="2014-10-31T00:00:00"/>
        <d v="2014-09-30T00:00:00"/>
        <d v="2014-08-31T00:00:00"/>
        <d v="2014-07-31T00:00:00"/>
        <d v="2014-06-30T00:00:00"/>
        <d v="2014-05-31T00:00:00"/>
        <d v="2014-04-30T00:00:00"/>
        <d v="2014-03-31T00:00:00"/>
        <d v="2014-02-28T00:00:00"/>
        <d v="2014-01-31T00:00:00"/>
        <d v="2013-12-31T00:00:00"/>
        <d v="2013-11-30T00:00:00"/>
        <d v="2013-10-31T00:00:00"/>
        <d v="2013-09-30T00:00:00"/>
        <d v="2013-08-31T00:00:00"/>
        <d v="2013-07-31T00:00:00"/>
        <d v="2013-06-30T00:00:00"/>
        <d v="2013-05-31T00:00:00"/>
        <d v="2013-04-30T00:00:00"/>
        <d v="2013-03-31T00:00:00"/>
        <d v="2013-02-28T00:00:00"/>
        <d v="2013-01-31T00:00:00"/>
        <d v="2012-12-31T00:00:00"/>
        <d v="2012-11-30T00:00:00"/>
        <d v="2012-10-31T00:00:00"/>
        <d v="2012-09-30T00:00:00"/>
        <d v="2012-08-31T00:00:00"/>
        <d v="2012-07-31T00:00:00"/>
        <d v="2012-06-30T00:00:00"/>
        <d v="2012-05-31T00:00:00"/>
        <d v="2012-04-30T00:00:00"/>
        <d v="2012-03-31T00:00:00"/>
        <d v="2012-02-29T00:00:00"/>
        <d v="2012-01-31T00:00:00"/>
        <d v="2011-12-31T00:00:00"/>
        <d v="2011-11-30T00:00:00"/>
        <d v="2011-10-31T00:00:00"/>
        <d v="2011-09-30T00:00:00"/>
        <d v="2011-08-31T00:00:00"/>
        <d v="2011-07-31T00:00:00"/>
        <d v="2011-06-30T00:00:00"/>
        <d v="2011-05-31T00:00:00"/>
        <d v="2011-04-30T00:00:00"/>
        <d v="2011-03-31T00:00:00"/>
        <d v="2011-02-28T00:00:00"/>
        <d v="2011-01-31T00:00:00"/>
        <d v="2010-12-31T00:00:00"/>
        <d v="2010-11-30T00:00:00"/>
        <d v="2010-10-31T00:00:00"/>
        <d v="2010-09-30T00:00:00"/>
        <d v="2010-08-31T00:00:00"/>
        <d v="2010-07-31T00:00:00"/>
        <d v="2010-06-30T00:00:00"/>
        <d v="2010-05-31T00:00:00"/>
        <d v="2010-04-30T00:00:00"/>
        <d v="2010-03-31T00:00:00"/>
        <d v="2010-02-28T00:00:00"/>
        <d v="2010-01-31T00:00:00"/>
        <d v="2009-12-31T00:00:00"/>
        <d v="2009-11-30T00:00:00"/>
        <d v="2009-10-31T00:00:00"/>
        <d v="2009-09-30T00:00:00"/>
        <d v="2009-08-31T00:00:00"/>
        <d v="2009-07-31T00:00:00"/>
        <d v="2009-06-30T00:00:00"/>
        <d v="2009-05-31T00:00:00"/>
        <d v="2009-04-30T00:00:00"/>
        <d v="2009-03-31T00:00:00"/>
        <d v="2009-02-28T00:00:00"/>
        <d v="2009-01-31T00:00:00"/>
        <d v="2008-12-31T00:00:00"/>
        <d v="2008-11-30T00:00:00"/>
        <d v="2008-10-31T00:00:00"/>
        <d v="2008-09-30T00:00:00"/>
        <d v="2008-08-31T00:00:00"/>
        <d v="2008-07-31T00:00:00"/>
        <d v="2008-06-30T00:00:00"/>
        <d v="2008-05-31T00:00:00"/>
        <d v="2008-04-30T00:00:00"/>
        <d v="2008-03-31T00:00:00"/>
        <d v="2008-02-29T00:00:00"/>
        <d v="2008-01-31T00:00:00"/>
        <d v="2007-12-31T00:00:00"/>
        <d v="2007-11-30T00:00:00"/>
        <d v="2007-10-31T00:00:00"/>
        <d v="2007-09-30T00:00:00"/>
        <d v="2007-08-31T00:00:00"/>
        <d v="2007-07-31T00:00:00"/>
        <d v="2007-06-30T00:00:00"/>
        <d v="2007-05-31T00:00:00"/>
        <d v="2007-04-30T00:00:00"/>
        <d v="2007-03-31T00:00:00"/>
        <d v="2007-02-28T00:00:00"/>
        <d v="2007-01-31T00:00:00"/>
        <d v="2006-12-31T00:00:00"/>
        <d v="2006-11-30T00:00:00"/>
        <d v="2006-10-31T00:00:00"/>
        <d v="2006-09-30T00:00:00"/>
        <d v="2006-08-31T00:00:00"/>
        <d v="2006-07-31T00:00:00"/>
        <d v="2006-06-30T00:00:00"/>
        <d v="2006-05-31T00:00:00"/>
        <d v="2006-04-30T00:00:00"/>
        <d v="2006-03-31T00:00:00"/>
        <d v="2006-02-28T00:00:00"/>
        <d v="2006-01-31T00:00:00"/>
        <d v="2005-12-31T00:00:00"/>
        <d v="2005-11-30T00:00:00"/>
        <d v="2005-10-31T00:00:00"/>
      </sharedItems>
      <fieldGroup par="11"/>
    </cacheField>
    <cacheField name="Bills" numFmtId="164">
      <sharedItems containsSemiMixedTypes="0" containsString="0" containsNumber="1" minValue="869051.6" maxValue="6593194.1854999997" count="241">
        <n v="6593194.1854999997"/>
        <n v="6397045.0500999996"/>
        <n v="6369006.6390000004"/>
        <n v="5995910.2789000003"/>
        <n v="5784061.0517999995"/>
        <n v="6003024.2416000003"/>
        <n v="6060018.6605000002"/>
        <n v="6155950.4395000003"/>
        <n v="6367951.7093000002"/>
        <n v="6379924.9601999996"/>
        <n v="6186882.0707"/>
        <n v="6389763.2319999998"/>
        <n v="6186777.7925000004"/>
        <n v="6004760.6776999999"/>
        <n v="6121801.8453000002"/>
        <n v="5915782.1836999999"/>
        <n v="5765830.0899"/>
        <n v="5866780.3756999997"/>
        <n v="5866762.4480999997"/>
        <n v="6062865.3366"/>
        <n v="6011236.3775000004"/>
        <n v="5780243.7895"/>
        <n v="5675781.0635000002"/>
        <n v="5671149.2182"/>
        <n v="5456998.4133000001"/>
        <n v="5260406.9243999999"/>
        <n v="5073922.4118999997"/>
        <n v="4770514.5957000004"/>
        <n v="4466697.7315999996"/>
        <n v="3993421.1839999999"/>
        <n v="3942645.4053000002"/>
        <n v="4068832.8519000001"/>
        <n v="4057778.6239999998"/>
        <n v="3938873.4478000002"/>
        <n v="3697386.1438000002"/>
        <n v="3811905.1513999999"/>
        <n v="3665978.4493"/>
        <n v="3644620.2004"/>
        <n v="3724979.3820000002"/>
        <n v="3514936.0011999998"/>
        <n v="3523925.3166"/>
        <n v="3672923.3171000001"/>
        <n v="3827928.1022999999"/>
        <n v="3928960.8736"/>
        <n v="4055001.6864999998"/>
        <n v="3961051.3703000001"/>
        <n v="3770065.5680999998"/>
        <n v="3786096.3273999998"/>
        <n v="3852105.9434000002"/>
        <n v="3714118.5682999999"/>
        <n v="4038112.7478"/>
        <n v="4142126.6849000002"/>
        <n v="4275091.9676000001"/>
        <n v="4377077.6848999998"/>
        <n v="4540050.4091999996"/>
        <n v="4669038.5120999999"/>
        <n v="4859032.8505999995"/>
        <n v="4954950.1574999997"/>
        <n v="4964139.8545000004"/>
        <n v="4943663.5075000003"/>
        <n v="4985339.5272000004"/>
        <n v="5028907.6507999999"/>
        <n v="5076721.4434000002"/>
        <n v="5078940.9177000001"/>
        <n v="5079626.0735999998"/>
        <n v="4629918.6409999998"/>
        <n v="4001773.2059999998"/>
        <n v="2657439.3487"/>
        <n v="2564583.1002000002"/>
        <n v="2404290.7659"/>
        <n v="2416864.2230000002"/>
        <n v="2515128.0787999998"/>
        <n v="2456075.3764"/>
        <n v="2376957.9278000002"/>
        <n v="2331915.1312000002"/>
        <n v="2205896.8459999999"/>
        <n v="2250933.8631000002"/>
        <n v="2353946.2359000002"/>
        <n v="2383993.1211000001"/>
        <n v="2480035.1888000001"/>
        <n v="2396041.9429000001"/>
        <n v="2299064.8783999998"/>
        <n v="2339992.5847"/>
        <n v="2389100.0967999999"/>
        <n v="2258001.4007000001"/>
        <n v="2239936.2821"/>
        <n v="2340923.0734000001"/>
        <n v="2205896.0077"/>
        <n v="2157980.7514"/>
        <n v="2183982.1354999999"/>
        <n v="2168986.9803999998"/>
        <n v="2288968.9572999999"/>
        <n v="2077966.3355"/>
        <n v="1966939.3541000001"/>
        <n v="1955932.5582999999"/>
        <n v="1970909.9183"/>
        <n v="1855928.7075"/>
        <n v="1801936.2261999999"/>
        <n v="1747922.415"/>
        <n v="1757956.5041"/>
        <n v="1717958.0643"/>
        <n v="1747958.689"/>
        <n v="1741990.8498"/>
        <n v="1756960.3962000001"/>
        <n v="1752962.9443000001"/>
        <n v="1761978.8089999999"/>
        <n v="1817963.28"/>
        <n v="1872954.4948"/>
        <n v="1752948.7932"/>
        <n v="1646964.0462"/>
        <n v="1632948.8173"/>
        <n v="1549932.3032"/>
        <n v="1507947.0490000001"/>
        <n v="1523956.9109"/>
        <n v="1526955.9099000001"/>
        <n v="1617959.5922999999"/>
        <n v="1551947.1177999999"/>
        <n v="1477933.7185"/>
        <n v="1513957.2205999999"/>
        <n v="1505974.838"/>
        <n v="1272997.9737"/>
        <n v="1357997.0004"/>
        <n v="1423975.0643"/>
        <n v="1439988.7150000001"/>
        <n v="1394991.4998999999"/>
        <n v="1446958.3382999999"/>
        <n v="1432934.6255000001"/>
        <n v="1477899.5856000001"/>
        <n v="1472887.7398999999"/>
        <n v="1412886.9066999999"/>
        <n v="1457885.0944000001"/>
        <n v="1439922.0847"/>
        <n v="1413945.199"/>
        <n v="1410980.0164999999"/>
        <n v="1451997.6675"/>
        <n v="1409986.5554"/>
        <n v="1387986.4894999999"/>
        <n v="1448984.1529000001"/>
        <n v="1458970.5999"/>
        <n v="1651968.5286000001"/>
        <n v="1613972.1987000001"/>
        <n v="1485976.6554"/>
        <n v="1591951.6288000001"/>
        <n v="1620955.6969999999"/>
        <n v="1544961.5736"/>
        <n v="1529971.7638000001"/>
        <n v="1637964.1410000001"/>
        <n v="1555957.7714"/>
        <n v="1569949.7052"/>
        <n v="1606939.8532"/>
        <n v="1694949.3496999999"/>
        <n v="1790952.2896"/>
        <n v="1741950.0837999999"/>
        <n v="1607947.9669000001"/>
        <n v="1628970.5789999999"/>
        <n v="1694989.2453000001"/>
        <n v="1622004.6351000001"/>
        <n v="1616008.8097999999"/>
        <n v="1663005.4136999999"/>
        <n v="1580992.2901000001"/>
        <n v="1596401.8578999999"/>
        <n v="1605420.9405"/>
        <n v="1613425.568"/>
        <n v="1674435.3526000001"/>
        <n v="1610416.1174999999"/>
        <n v="1525445.6916"/>
        <n v="1520517.2592"/>
        <n v="1512477.9716"/>
        <n v="1482502.8165"/>
        <n v="1477505.2662"/>
        <n v="1493509.9842999999"/>
        <n v="1492496.7899"/>
        <n v="1531494.871"/>
        <n v="1578504.8411999999"/>
        <n v="1638492.5634000001"/>
        <n v="1698500.8334999999"/>
        <n v="1738515.1597"/>
        <n v="1760544.1584000001"/>
        <n v="1772527.8811999999"/>
        <n v="1775456.0445000001"/>
        <n v="1768460.2339000001"/>
        <n v="1788452.9038"/>
        <n v="1825518.2359"/>
        <n v="1790503.3211000001"/>
        <n v="1782525.5611"/>
        <n v="1855517.8015000001"/>
        <n v="1847529.9140000001"/>
        <n v="1843478.1791000001"/>
        <n v="1736455.3439"/>
        <n v="1689452.68"/>
        <n v="1793480.4983000001"/>
        <n v="1850499.4236999999"/>
        <n v="1858506.7152"/>
        <n v="1992507.9058999999"/>
        <n v="2068494.4820999999"/>
        <n v="2020483.8473"/>
        <n v="2006462.8655999999"/>
        <n v="2065401.3322999999"/>
        <n v="1994533.33"/>
        <n v="2033565.5160000001"/>
        <n v="1985567.0541999999"/>
        <n v="1798562.7548"/>
        <n v="1866666.324"/>
        <n v="2003705.9193"/>
        <n v="1909735.6562999999"/>
        <n v="1489808.2461999999"/>
        <n v="1227192.348"/>
        <n v="1135785.9504"/>
        <n v="1060456.8025"/>
        <n v="1119245.4436000001"/>
        <n v="1025716.2554"/>
        <n v="1158388.0460000001"/>
        <n v="1125392.7830000001"/>
        <n v="984387.57499999995"/>
        <n v="1003874.672"/>
        <n v="1035049.336"/>
        <n v="938072.72199999995"/>
        <n v="958081.26699999999"/>
        <n v="1014066.795"/>
        <n v="892068.28500000003"/>
        <n v="869051.6"/>
        <n v="919078.94200000004"/>
        <n v="944086.87"/>
        <n v="1033096.039"/>
        <n v="982088.78899999999"/>
        <n v="932075.37"/>
        <n v="944223.52899999998"/>
        <n v="989036.22199999995"/>
        <n v="929516.57"/>
        <n v="911530.57299999997"/>
        <n v="962312.91799999995"/>
        <n v="932693.75199999998"/>
        <n v="916706.52300000004"/>
        <n v="954441.12199999997"/>
        <n v="965107.24800000002"/>
        <n v="1042049.982"/>
        <n v="999561.12800000003"/>
        <n v="956249.82200000004"/>
        <n v="963866.81499999994"/>
        <n v="986934.11899999995"/>
        <n v="936595.96400000004"/>
      </sharedItems>
    </cacheField>
    <cacheField name="Notes" numFmtId="164">
      <sharedItems containsSemiMixedTypes="0" containsString="0" containsNumber="1" minValue="2335971.6069999998" maxValue="15505681.5835" count="241">
        <n v="15505681.5835"/>
        <n v="15392478.881200001"/>
        <n v="15211301.9838"/>
        <n v="15206990.3684"/>
        <n v="15073596.704399999"/>
        <n v="14897646.643200001"/>
        <n v="14907753.197799999"/>
        <n v="14813886.517100001"/>
        <n v="14736013.5853"/>
        <n v="14691030.376800001"/>
        <n v="14565431.063100001"/>
        <n v="14409501.922599999"/>
        <n v="14443632.6176"/>
        <n v="14343433.823799999"/>
        <n v="14192205.4659"/>
        <n v="14226985.2226"/>
        <n v="14046707.3817"/>
        <n v="14013772.202500001"/>
        <n v="13994853.499700001"/>
        <n v="13863195.002800001"/>
        <n v="13829792.0693"/>
        <n v="13831182.693700001"/>
        <n v="13758204.841"/>
        <n v="13729610.566099999"/>
        <n v="13762307.187899999"/>
        <n v="13729486.2761"/>
        <n v="13702547.2695"/>
        <n v="13732106.4332"/>
        <n v="13723968.5165"/>
        <n v="13718277.407299999"/>
        <n v="13774295.518999999"/>
        <n v="13737852.871099999"/>
        <n v="13730524.3871"/>
        <n v="13753790.567399999"/>
        <n v="13751916.8697"/>
        <n v="13717937.353700001"/>
        <n v="13734209.057700001"/>
        <n v="13703795.352499999"/>
        <n v="13672145.814300001"/>
        <n v="13630963.2107"/>
        <n v="13583597.317600001"/>
        <n v="13516330.681"/>
        <n v="13409539.3332"/>
        <n v="13348463.450200001"/>
        <n v="13227624.8696"/>
        <n v="13141550.891799999"/>
        <n v="13000506.5035"/>
        <n v="12854561.256999999"/>
        <n v="12646164.423900001"/>
        <n v="12578941.0997"/>
        <n v="12411912.973200001"/>
        <n v="12185025.832699999"/>
        <n v="12106351.555600001"/>
        <n v="11830354.9449"/>
        <n v="11783304.155099999"/>
        <n v="11597217.010199999"/>
        <n v="11312275.940400001"/>
        <n v="11172761.7718"/>
        <n v="11091924.1943"/>
        <n v="10919135.8752"/>
        <n v="10729201.632200001"/>
        <n v="10663763.656099999"/>
        <n v="10524031.8627"/>
        <n v="10427628.862500001"/>
        <n v="10314464.974099999"/>
        <n v="10176713.185699999"/>
        <n v="10163726.695599999"/>
        <n v="10092497.4356"/>
        <n v="9994275.0287999995"/>
        <n v="9998735.9517000001"/>
        <n v="9929230.5972999893"/>
        <n v="9830428.8082999997"/>
        <n v="9834945.2884"/>
        <n v="9762783.7637999896"/>
        <n v="9656422.1655999999"/>
        <n v="9642221.1373999901"/>
        <n v="9554416.6458000001"/>
        <n v="9516392.1121999901"/>
        <n v="9491388.6872999892"/>
        <n v="9414269.8446999993"/>
        <n v="9376271.0765999891"/>
        <n v="9355849.7375000007"/>
        <n v="9297047.4965000004"/>
        <n v="9240433.6325000003"/>
        <n v="9218210.1812999994"/>
        <n v="9154379.6796000004"/>
        <n v="9120380.4952000007"/>
        <n v="9094940.9371000007"/>
        <n v="9032196.3167000003"/>
        <n v="9002197.3423999995"/>
        <n v="8974219.4868999999"/>
        <n v="8924555.3232000005"/>
        <n v="8899556.5108000003"/>
        <n v="8889175.2015999891"/>
        <n v="8849743.682"/>
        <n v="8830744.6208999995"/>
        <n v="8830132.6074000001"/>
        <n v="8805498.7047999892"/>
        <n v="8788504.8880000003"/>
        <n v="8782310.0219000001"/>
        <n v="8758317.0138000008"/>
        <n v="8735869.0550999995"/>
        <n v="8716710.5761999991"/>
        <n v="8702373.6252999995"/>
        <n v="8684635.4244999904"/>
        <n v="8678480.2028000001"/>
        <n v="8659017.5004999992"/>
        <n v="8645042.6788999904"/>
        <n v="8641228.0458000004"/>
        <n v="8630992.4817999993"/>
        <n v="8619230.9175000004"/>
        <n v="8621472.2762999907"/>
        <n v="8606607.3399"/>
        <n v="8587680.4291999992"/>
        <n v="8555483.2606999893"/>
        <n v="8543199.6816000007"/>
        <n v="8515939.1089999992"/>
        <n v="8469829.3416000009"/>
        <n v="8456830.9907000009"/>
        <n v="8422584.7158000004"/>
        <n v="8385657.2973999996"/>
        <n v="8372656.8760000002"/>
        <n v="8338758.6069"/>
        <n v="8335145.2591000004"/>
        <n v="8305379.2065000003"/>
        <n v="8264634.7446999997"/>
        <n v="8284023.4589999998"/>
        <n v="8264432.8816999895"/>
        <n v="8230115.3929999899"/>
        <n v="8239914.54699999"/>
        <n v="8229186.1236999901"/>
        <n v="8189862.6190999905"/>
        <n v="8199717.9828999899"/>
        <n v="8167758.6248999899"/>
        <n v="8116633.99599999"/>
        <n v="8123336.7631999897"/>
        <n v="8089288.3816999895"/>
        <n v="8027852.9286999898"/>
        <n v="8034161.2555999896"/>
        <n v="7992892.5967999902"/>
        <n v="7949334.1953999903"/>
        <n v="7929093.41709999"/>
        <n v="7881733.7672999902"/>
        <n v="7801785.2140999902"/>
        <n v="7811275.2959000003"/>
        <n v="7757950.7977"/>
        <n v="7666524.9167999998"/>
        <n v="7680082.4568999996"/>
        <n v="7581719.1189000001"/>
        <n v="7564929.2488000002"/>
        <n v="7527969.9528000001"/>
        <n v="7434988.1755999997"/>
        <n v="7422461.6073000003"/>
        <n v="7386165.1086999997"/>
        <n v="7327115.4967999998"/>
        <n v="7267744.767"/>
        <n v="7228168.5762999998"/>
        <n v="7120705.1073000003"/>
        <n v="7105788.5439999998"/>
        <n v="7067150.6113999998"/>
        <n v="6962879.3243000004"/>
        <n v="6941507.3612000002"/>
        <n v="6883348.8925999999"/>
        <n v="6776484.2499000002"/>
        <n v="6754414.9779000003"/>
        <n v="6711316.2653000001"/>
        <n v="6605055.7670999998"/>
        <n v="6578957.8158"/>
        <n v="6506992.1827999996"/>
        <n v="6412493.4748"/>
        <n v="6318673.9828000003"/>
        <n v="6204263.5055"/>
        <n v="6151264.3032999998"/>
        <n v="6054739.7154000001"/>
        <n v="5903480.3480000002"/>
        <n v="5847871.2418"/>
        <n v="5750826.6413000003"/>
        <n v="5672183.7712000003"/>
        <n v="5571748.5499"/>
        <n v="5467787.9620000003"/>
        <n v="5296344.6003999999"/>
        <n v="5255885.6087999996"/>
        <n v="5148300.1813000003"/>
        <n v="4981389.8132999996"/>
        <n v="4938376.0173000004"/>
        <n v="4734001.1391000003"/>
        <n v="4704282.5508000003"/>
        <n v="4566056.8075000001"/>
        <n v="4337337.2712000003"/>
        <n v="4229470.0553000001"/>
        <n v="4181107.9898999999"/>
        <n v="4039775.8966999999"/>
        <n v="3818223.7376999999"/>
        <n v="3773767.2078999998"/>
        <n v="3638634.9734"/>
        <n v="3547482.3391"/>
        <n v="3417740.1154999998"/>
        <n v="3211302.9045000002"/>
        <n v="3204451.5904000001"/>
        <n v="3084887.1900999998"/>
        <n v="2891961.1990999999"/>
        <n v="2826009.3365000002"/>
        <n v="2792206.3319999999"/>
        <n v="2674880.3122999999"/>
        <n v="2686604.3240999999"/>
        <n v="2624759.0767000001"/>
        <n v="2556438.4783000001"/>
        <n v="2574753.0783000002"/>
        <n v="2543441.5795999998"/>
        <n v="2476584.4306999999"/>
        <n v="2540745.1899000001"/>
        <n v="2514087.0995999998"/>
        <n v="2478366.7365999999"/>
        <n v="2503949.1076000002"/>
        <n v="2488486.6705999998"/>
        <n v="2465000.1705999998"/>
        <n v="2482113.8316000002"/>
        <n v="2458038.6505999998"/>
        <n v="2450041.1675999998"/>
        <n v="2494059.5735999998"/>
        <n v="2470975.7566"/>
        <n v="2462977.4005999998"/>
        <n v="2482719.8646"/>
        <n v="2468490.1815999998"/>
        <n v="2460490.7436000002"/>
        <n v="2459740.0855999999"/>
        <n v="2441859.9775999999"/>
        <n v="2433862.1746"/>
        <n v="2444385.1066000001"/>
        <n v="2447160.1606000001"/>
        <n v="2439162.7886000001"/>
        <n v="2416903.3846"/>
        <n v="2427397.2486"/>
        <n v="2407985.5965999998"/>
        <n v="2409739.8585999999"/>
        <n v="2409746.8045999999"/>
        <n v="2391741.9826000002"/>
        <n v="2361102.4306000001"/>
        <n v="2360793.4706000001"/>
        <n v="2339795.0246000001"/>
        <n v="2335971.6069999998"/>
      </sharedItems>
    </cacheField>
    <cacheField name="Bonds" numFmtId="164">
      <sharedItems containsSemiMixedTypes="0" containsString="0" containsNumber="1" minValue="516618.80420000001" maxValue="5172699.2598000001" count="241">
        <n v="5172699.2598000001"/>
        <n v="5142560.5762"/>
        <n v="5094927.9239999996"/>
        <n v="5076632.5811000001"/>
        <n v="5040146.4793999996"/>
        <n v="4987268.9903999995"/>
        <n v="4957464.5207000002"/>
        <n v="4919912.8173000002"/>
        <n v="4886175.8746999996"/>
        <n v="4850208.2671999997"/>
        <n v="4811667.7061000001"/>
        <n v="4759296.1254000003"/>
        <n v="4743828.2596000005"/>
        <n v="4708307.8279999997"/>
        <n v="4657558.2077000001"/>
        <n v="4631803.5488"/>
        <n v="4581064.9061000003"/>
        <n v="4560357.9354999997"/>
        <n v="4515268.1727999998"/>
        <n v="4467056.3455999997"/>
        <n v="4445076.9741000002"/>
        <n v="4401548.0274999999"/>
        <n v="4354552.9642000003"/>
        <n v="4333565.4223999996"/>
        <n v="4292925.4729000004"/>
        <n v="4246926.2789000003"/>
        <n v="4226927.2682999996"/>
        <n v="4200350.8120999997"/>
        <n v="4170502.2053999999"/>
        <n v="4140503.5304"/>
        <n v="4082825.0224000001"/>
        <n v="4063693.6587999999"/>
        <n v="4033694.1141499998"/>
        <n v="4001861.70805"/>
        <n v="3959873.6060500001"/>
        <n v="3941889.45065"/>
        <n v="3904340.2751500001"/>
        <n v="3874352.1434499999"/>
        <n v="3844352.7732500001"/>
        <n v="3788041.4324500002"/>
        <n v="3766619.8216499998"/>
        <n v="3731432.1550500002"/>
        <n v="3656277.2743500001"/>
        <n v="3631506.4312499999"/>
        <n v="3589195.6134500001"/>
        <n v="3530029.4334499999"/>
        <n v="3481511.35525"/>
        <n v="3433525.3276499999"/>
        <n v="3373360.3669500002"/>
        <n v="3347555.48905"/>
        <n v="3294109.6476500002"/>
        <n v="3207879.53015"/>
        <n v="3179928.5870500002"/>
        <n v="3093839.08715"/>
        <n v="3062582.24235"/>
        <n v="3006314.5255499999"/>
        <n v="2919668.3899500002"/>
        <n v="2865705.4896"/>
        <n v="2839292.9035"/>
        <n v="2786619.2894000001"/>
        <n v="2697136.165"/>
        <n v="2673492.7924500001"/>
        <n v="2624535.3957500001"/>
        <n v="2572959.32675"/>
        <n v="2533360.64365"/>
        <n v="2472665.6805500002"/>
        <n v="2446613.12005"/>
        <n v="2429557.1893500001"/>
        <n v="2413542.04825"/>
        <n v="2395568.8438499998"/>
        <n v="2379057.2348500001"/>
        <n v="2363058.4257499999"/>
        <n v="2335064.7870499999"/>
        <n v="2319064.9882499999"/>
        <n v="2303067.20205"/>
        <n v="2290609.6382499998"/>
        <n v="2274473.6428499999"/>
        <n v="2258474.0521"/>
        <n v="2233001.5641999999"/>
        <n v="2216999.6079000002"/>
        <n v="2200999.8032"/>
        <n v="2190515.7075"/>
        <n v="2174521.1348000001"/>
        <n v="2158521.1729000001"/>
        <n v="2142822.2642999999"/>
        <n v="2127822.5328000002"/>
        <n v="2112822.5747000002"/>
        <n v="2092407.8692000001"/>
        <n v="2078354.5501999999"/>
        <n v="2064354.6624"/>
        <n v="2049973.9426"/>
        <n v="2036951.7793000001"/>
        <n v="2023951.8171999999"/>
        <n v="2004929.7239999999"/>
        <n v="1992524.0612999999"/>
        <n v="1980525.0109999999"/>
        <n v="1963703.9483"/>
        <n v="1951704.8063999999"/>
        <n v="1939705.0101999999"/>
        <n v="1931160.2356"/>
        <n v="1918886.8992000001"/>
        <n v="1906887.4027"/>
        <n v="1902496.0869"/>
        <n v="1890397.5338000001"/>
        <n v="1878397.8816"/>
        <n v="1861666.1989"/>
        <n v="1849001.3959999999"/>
        <n v="1837001.5194000001"/>
        <n v="1837505.3466"/>
        <n v="1825507.0456999999"/>
        <n v="1813507.2034"/>
        <n v="1796971.3829000001"/>
        <n v="1784191.8012999999"/>
        <n v="1772196.76565"/>
        <n v="1772617.9582499999"/>
        <n v="1760539.60255"/>
        <n v="1748541.5285499999"/>
        <n v="1737796.9538499999"/>
        <n v="1724802.1682500001"/>
        <n v="1711802.5014500001"/>
        <n v="1701304.8806499999"/>
        <n v="1688305.2059500001"/>
        <n v="1675306.0414"/>
        <n v="1663007.3256000001"/>
        <n v="1650007.3415000001"/>
        <n v="1637007.6939999999"/>
        <n v="1620646.0121500001"/>
        <n v="1607646.96835"/>
        <n v="1594648.2240500001"/>
        <n v="1589165.2581499999"/>
        <n v="1576165.79205"/>
        <n v="1563165.78605"/>
        <n v="1547144.4013499999"/>
        <n v="1534144.4408499999"/>
        <n v="1521144.4349499999"/>
        <n v="1505144.55265"/>
        <n v="1492147.5854499999"/>
        <n v="1479147.64885"/>
        <n v="1463152.5181499999"/>
        <n v="1450152.5869499999"/>
        <n v="1437152.5759000001"/>
        <n v="1421152.9401"/>
        <n v="1408152.9380000001"/>
        <n v="1395153.2433"/>
        <n v="1379158.2344"/>
        <n v="1366158.2705999999"/>
        <n v="1353158.3518999999"/>
        <n v="1337159.5360000001"/>
        <n v="1324160.4598000001"/>
        <n v="1311160.5785000001"/>
        <n v="1295160.6830500001"/>
        <n v="1282160.8287500001"/>
        <n v="1269160.8702499999"/>
        <n v="1253161.1117499999"/>
        <n v="1240161.1360500001"/>
        <n v="1227162.1782500001"/>
        <n v="1211167.20545"/>
        <n v="1198167.2944499999"/>
        <n v="1185172.1172499999"/>
        <n v="1169171.9396500001"/>
        <n v="1156172.2095999999"/>
        <n v="1142254.4681500001"/>
        <n v="1125253.4725500001"/>
        <n v="1109888.0362499999"/>
        <n v="1095985.37815"/>
        <n v="1078034.59035"/>
        <n v="1064112.3280499999"/>
        <n v="1050636.75495"/>
        <n v="1033412.64595"/>
        <n v="1020412.85405"/>
        <n v="1007413.8952499999"/>
        <n v="990924.14635000005"/>
        <n v="977924.24780000001"/>
        <n v="964928.84719999996"/>
        <n v="948928.9523"/>
        <n v="935289.17110000004"/>
        <n v="922290.5085"/>
        <n v="905924.5037"/>
        <n v="892639.63690000004"/>
        <n v="879450.76910000003"/>
        <n v="863021.90755"/>
        <n v="849907.58724999998"/>
        <n v="836767.36829999997"/>
        <n v="819809.23395000002"/>
        <n v="806805.73285000003"/>
        <n v="793731.41425000003"/>
        <n v="776337.46554999996"/>
        <n v="762385.96814999997"/>
        <n v="749232.29055000003"/>
        <n v="731435.74274999998"/>
        <n v="717931.18024999998"/>
        <n v="704861.87175000005"/>
        <n v="691887.65865"/>
        <n v="679800.03835000005"/>
        <n v="667776.20325000002"/>
        <n v="654845.36340000003"/>
        <n v="643660.31259999995"/>
        <n v="632545.93370000005"/>
        <n v="620548.26710000006"/>
        <n v="620548.43629999994"/>
        <n v="609353.17200000002"/>
        <n v="594640.86199999996"/>
        <n v="594641.14300000004"/>
        <n v="594641.67709999997"/>
        <n v="582870.37329999998"/>
        <n v="582871.53630000004"/>
        <n v="582874.13450000004"/>
        <n v="581057.76809999999"/>
        <n v="581058.87159999995"/>
        <n v="581059.20559999999"/>
        <n v="571828.92189999996"/>
        <n v="571829.59939999995"/>
        <n v="571830.40040000004"/>
        <n v="558536.77839999995"/>
        <n v="558537.83490000002"/>
        <n v="558541.72290000005"/>
        <n v="561097.60294999997"/>
        <n v="561098.15044999996"/>
        <n v="561098.65745000006"/>
        <n v="547253.57695000002"/>
        <n v="547255.26194999996"/>
        <n v="547256.62505000003"/>
        <n v="540494.14714999998"/>
        <n v="540495.05715000001"/>
        <n v="540496.94915"/>
        <n v="530675.82065000001"/>
        <n v="530682.03315000003"/>
        <n v="530694.37014999997"/>
        <n v="534709.11124999996"/>
        <n v="534709.88430000003"/>
        <n v="534710.78579999995"/>
        <n v="523155.63589999999"/>
        <n v="523157.03240000003"/>
        <n v="523165.9094"/>
        <n v="526701.75639999995"/>
        <n v="526703.65960000001"/>
        <n v="526716.48270000005"/>
        <n v="516618.80420000001"/>
        <n v="516620.9987"/>
        <n v="516627.00099999999"/>
        <n v="520701.76270000002"/>
      </sharedItems>
    </cacheField>
    <cacheField name="Other Marketable" numFmtId="164">
      <sharedItems containsSemiMixedTypes="0" containsString="0" containsNumber="1" minValue="338026.46400000015" maxValue="2782628.8110455982" count="241">
        <n v="2726988.8322594985"/>
        <n v="2782628.8110455982"/>
        <n v="2731608.5045743026"/>
        <n v="2690431.3099879995"/>
        <n v="2759483.7451886982"/>
        <n v="2700531.4184437953"/>
        <n v="2650521.7592111006"/>
        <n v="2697300.6972299963"/>
        <n v="2638409.9776654989"/>
        <n v="2597689.4670520984"/>
        <n v="2716687.8176745996"/>
        <n v="2664498.3913116008"/>
        <n v="2616532.3372246027"/>
        <n v="2671835.1308614016"/>
        <n v="2624290.0248310007"/>
        <n v="2587806.1402160004"/>
        <n v="2656391.829434"/>
        <n v="2601255.6706338003"/>
        <n v="2541480.4452201985"/>
        <n v="2558391.2171268985"/>
        <n v="2532744.6659722961"/>
        <n v="2497363.0442950018"/>
        <n v="2583168.9282259978"/>
        <n v="2537600.7525630035"/>
        <n v="2491235.861359302"/>
        <n v="2516863.1713809967"/>
        <n v="2474166.0710612983"/>
        <n v="2435023.9964585975"/>
        <n v="2525481.2186420001"/>
        <n v="2475979.066319"/>
        <n v="2486029.747982502"/>
        <n v="2511862.0018087029"/>
        <n v="2460567.7760051005"/>
        <n v="2433083.577902399"/>
        <n v="2530123.1937255003"/>
        <n v="2481768.3479866013"/>
        <n v="2438957.7097389996"/>
        <n v="2471356.245639503"/>
        <n v="2433480.4144283012"/>
        <n v="2420805.2958962992"/>
        <n v="2437439.6442212015"/>
        <n v="2386469.1637023985"/>
        <n v="2360874.809953101"/>
        <n v="2377181.3491672017"/>
        <n v="2324140.0022774972"/>
        <n v="2286266.5960734002"/>
        <n v="2338008.1346647032"/>
        <n v="2277424.0507532023"/>
        <n v="2260451.3456784971"/>
        <n v="2238087.0552606024"/>
        <n v="2188052.4116612002"/>
        <n v="2163509.7858484015"/>
        <n v="2177653.0771970972"/>
        <n v="2120055.3706436008"/>
        <n v="2070917.1288773008"/>
        <n v="2115529.9137109034"/>
        <n v="2067542.6964673996"/>
        <n v="2055548.050657101"/>
        <n v="2085034.3278960027"/>
        <n v="2042991.0061572008"/>
        <n v="2030549.6337519996"/>
        <n v="2008776.3472681008"/>
        <n v="1965457.6689044982"/>
        <n v="1928334.8378082998"/>
        <n v="1978513.2667484023"/>
        <n v="1952741.9322417006"/>
        <n v="1923491.0191176999"/>
        <n v="1983312.7790461015"/>
        <n v="1946125.0636473"/>
        <n v="1921406.5345916003"/>
        <n v="1956984.0915530082"/>
        <n v="1919129.9592025001"/>
        <n v="1888038.2490219008"/>
        <n v="1888533.6311671101"/>
        <n v="1854902.4189974982"/>
        <n v="1829412.7762099076"/>
        <n v="1851075.291739"/>
        <n v="1812438.7316504084"/>
        <n v="1772528.20382821"/>
        <n v="1827593.5941616017"/>
        <n v="1796363.8813185096"/>
        <n v="1774416.9066423997"/>
        <n v="1806745.6975072008"/>
        <n v="1772054.2069132999"/>
        <n v="1738862.2718846016"/>
        <n v="1755906.7134860996"/>
        <n v="1727711.437655"/>
        <n v="1692057.2871042993"/>
        <n v="1713873.9751223996"/>
        <n v="1688860.4453875013"/>
        <n v="1656712.6629991997"/>
        <n v="1694259.6074311994"/>
        <n v="1676467.3397937007"/>
        <n v="1653500.663503211"/>
        <n v="1682037.3014831003"/>
        <n v="1655361.5411724988"/>
        <n v="1623912.4435663"/>
        <n v="1640651.8112166114"/>
        <n v="1617430.8867157008"/>
        <n v="1588746.9953063987"/>
        <n v="1614254.9635710996"/>
        <n v="1591938.613908302"/>
        <n v="1589148.6249986012"/>
        <n v="1616938.0965638999"/>
        <n v="1582930.4370589107"/>
        <n v="1561635.5332418997"/>
        <n v="1595282.8259953018"/>
        <n v="1566471.0608833097"/>
        <n v="1538372.8529759012"/>
        <n v="1557140.4094401002"/>
        <n v="1533384.3083464"/>
        <n v="1525846.5239388105"/>
        <n v="1532049.7341538984"/>
        <n v="1509698.2219357006"/>
        <n v="1500113.7067137118"/>
        <n v="1524441.4987367988"/>
        <n v="1496303.0670193024"/>
        <n v="1503399.1317466013"/>
        <n v="1510965.0118934996"/>
        <n v="1482280.8929642998"/>
        <n v="1443058.5836893991"/>
        <n v="1434791.7035198007"/>
        <n v="1408509.0077349003"/>
        <n v="1375290.321536798"/>
        <n v="1360715.8690801021"/>
        <n v="1339417.7084650993"/>
        <n v="1307900.4068500996"/>
        <n v="1293827.1377961095"/>
        <n v="1272673.3921590094"/>
        <n v="1241329.9829096105"/>
        <n v="1255157.1485414095"/>
        <n v="1228450.7028182093"/>
        <n v="1201766.786176011"/>
        <n v="1181329.5498959087"/>
        <n v="1155495.3815142103"/>
        <n v="1124403.565612711"/>
        <n v="1114794.3422346115"/>
        <n v="1092431.7824009098"/>
        <n v="1060217.345748309"/>
        <n v="1040478.4958173092"/>
        <n v="1010983.9686853103"/>
        <n v="989098.58391931094"/>
        <n v="987595.83972601034"/>
        <n v="973743.27602140978"/>
        <n v="959602.23318750039"/>
        <n v="942074.1935437005"/>
        <n v="928531.65472180024"/>
        <n v="910290.92121100053"/>
        <n v="919173.59174269997"/>
        <n v="914281.35585899837"/>
        <n v="898680.86277589947"/>
        <n v="889904.09029720165"/>
        <n v="874780.71664010175"/>
        <n v="868046.85650350153"/>
        <n v="856955.14897109941"/>
        <n v="842887.646917101"/>
        <n v="826127.6090535"/>
        <n v="814876.39855269901"/>
        <n v="803058.50421910174"/>
        <n v="790032.31400140002"/>
        <n v="805201.6082000006"/>
        <n v="796989.24270979874"/>
        <n v="778048.58066269942"/>
        <n v="777477.92526569776"/>
        <n v="761480.8755661007"/>
        <n v="754113.01116509922"/>
        <n v="747196.9080446586"/>
        <n v="736243.86241589114"/>
        <n v="723624.3936746791"/>
        <n v="714134.08135969006"/>
        <n v="702207.55245965905"/>
        <n v="689945.95641501807"/>
        <n v="673964.93401844054"/>
        <n v="664057.43899426982"/>
        <n v="645668.31957495026"/>
        <n v="651078.79845703021"/>
        <n v="636582.42106958106"/>
        <n v="626052.5696211895"/>
        <n v="626344.52906599082"/>
        <n v="625591.59945589025"/>
        <n v="614892.27539316937"/>
        <n v="604078.83084517159"/>
        <n v="593877.88687927928"/>
        <n v="587150.09778700955"/>
        <n v="574700.90580156911"/>
        <n v="575139.12354542967"/>
        <n v="573128.34445764963"/>
        <n v="585120.29892432969"/>
        <n v="583356.20161822997"/>
        <n v="576192.59152153973"/>
        <n v="579976.31506231055"/>
        <n v="579435.51612220053"/>
        <n v="579014.69098413084"/>
        <n v="563658.23554118071"/>
        <n v="564333.57543807942"/>
        <n v="559969.26616543997"/>
        <n v="544246.69977652095"/>
        <n v="545019.41836071014"/>
        <n v="543857.8385228999"/>
        <n v="527119.66067568958"/>
        <n v="525510.25153806992"/>
        <n v="530703.22703893017"/>
        <n v="544130.12644388061"/>
        <n v="549437.33437531069"/>
        <n v="550150.04009872023"/>
        <n v="538537.32193636987"/>
        <n v="535385.02518525068"/>
        <n v="530526.52026147954"/>
        <n v="511468.34475107957"/>
        <n v="508294.5365906395"/>
        <n v="504271.56012772024"/>
        <n v="488056.29611476976"/>
        <n v="485797.34870722005"/>
        <n v="486012.59408169985"/>
        <n v="485686.1228396995"/>
        <n v="484668.56701584021"/>
        <n v="483446.26496251952"/>
        <n v="470915.88023622055"/>
        <n v="470992.6090398496"/>
        <n v="470039.86967754038"/>
        <n v="451818.59389758017"/>
        <n v="448959.98074163031"/>
        <n v="445084.53793015936"/>
        <n v="426705.53380875103"/>
        <n v="425484.83966595959"/>
        <n v="424950.62615166977"/>
        <n v="425192.86220112024"/>
        <n v="427418.35000252025"/>
        <n v="429358.70933387987"/>
        <n v="409638.28115015011"/>
        <n v="408485.37026336044"/>
        <n v="407657.47142999992"/>
        <n v="386756.67997948965"/>
        <n v="383650.94695005007"/>
        <n v="381656.38283179048"/>
        <n v="361899.1578234206"/>
        <n v="359550.73706338974"/>
        <n v="360860.58532860968"/>
        <n v="342677.79070000025"/>
        <n v="341907.33899999969"/>
        <n v="338026.46400000015"/>
      </sharedItems>
    </cacheField>
    <cacheField name="Total Nonmarketable" numFmtId="164">
      <sharedItems containsSemiMixedTypes="0" containsString="0" containsNumber="1" minValue="3895828.15186565" maxValue="8041529.9445784297" count="241">
        <n v="8041529.9445784297"/>
        <n v="7922840.2084686495"/>
        <n v="7867420.8975577801"/>
        <n v="7947023.3114930904"/>
        <n v="7554181.3400317105"/>
        <n v="7627347.0799770597"/>
        <n v="7637799.0399192898"/>
        <n v="7627259.9350475203"/>
        <n v="7590372.1679439601"/>
        <n v="7701353.63688411"/>
        <n v="7937936.6448058402"/>
        <n v="7864302.6808527401"/>
        <n v="7960830.1808168702"/>
        <n v="7736336.4571189303"/>
        <n v="7660201.03607349"/>
        <n v="7742393.5232122699"/>
        <n v="7781639.7786783297"/>
        <n v="7624950.2540880404"/>
        <n v="7698627.8085047901"/>
        <n v="7635026.8939362802"/>
        <n v="7652232.5021612002"/>
        <n v="7680811.8645796897"/>
        <n v="7629785.7872417197"/>
        <n v="7606752.8305202499"/>
        <n v="7696112.65230601"/>
        <n v="7413651.1746763196"/>
        <n v="7436586.2622048799"/>
        <n v="7470589.2721458497"/>
        <n v="7445624.50784487"/>
        <n v="7136276.2421332197"/>
        <n v="7172019.3317030203"/>
        <n v="7076196.2621080698"/>
        <n v="7176726.5564184496"/>
        <n v="7327372.8402000898"/>
        <n v="7480389.7035792097"/>
        <n v="7459822.1298060901"/>
        <n v="7494815.6646926897"/>
        <n v="7234787.6450389801"/>
        <n v="7261116.8091923296"/>
        <n v="7240362.6825130498"/>
        <n v="7256999.63611429"/>
        <n v="7192462.9078508504"/>
        <n v="7119534.6517901802"/>
        <n v="7114847.5239261901"/>
        <n v="7094391.1553630102"/>
        <n v="7093488.4343353501"/>
        <n v="7027122.9591121599"/>
        <n v="6556379.5044486299"/>
        <n v="6776682.7813774301"/>
        <n v="6550215.9001580896"/>
        <n v="6495128.9719444104"/>
        <n v="6729179.7514530905"/>
        <n v="6790410.9435886703"/>
        <n v="6777680.5882271901"/>
        <n v="6717861.36391488"/>
        <n v="6744470.0855404101"/>
        <n v="6743844.20019913"/>
        <n v="6735588.0798200304"/>
        <n v="6767407.2410363303"/>
        <n v="6753878.5562046198"/>
        <n v="6693249.7006999198"/>
        <n v="6570450.7348932801"/>
        <n v="6538089.47575121"/>
        <n v="6517089.9698471399"/>
        <n v="6571275.66833618"/>
        <n v="6514220.9277125699"/>
        <n v="6438567.8275864497"/>
        <n v="6524064.2476523602"/>
        <n v="6491433.8094133204"/>
        <n v="6503810.8096058201"/>
        <n v="6519244.0205316199"/>
        <n v="6448454.1294599799"/>
        <n v="6494285.5534850899"/>
        <n v="6372061.0241382401"/>
        <n v="6314159.7556045596"/>
        <n v="6054227.93584025"/>
        <n v="6092383.2013619104"/>
        <n v="6085173.3043917501"/>
        <n v="6146757.1823082799"/>
        <n v="6088982.3836253602"/>
        <n v="6345849.7415814605"/>
        <n v="6362575.8029370001"/>
        <n v="6355788.8191729896"/>
        <n v="6289984.7683313601"/>
        <n v="6344473.6377339596"/>
        <n v="6238013.3711460298"/>
        <n v="6157012.1135335304"/>
        <n v="6227758.9528636904"/>
        <n v="6212664.1538345898"/>
        <n v="6205820.5910111899"/>
        <n v="6218307.3851874797"/>
        <n v="6144907.1480672797"/>
        <n v="6177730.3914093599"/>
        <n v="5979184.8329530396"/>
        <n v="6012508.7778523099"/>
        <n v="6152850.6954916501"/>
        <n v="6168795.8366392199"/>
        <n v="6045108.3725187602"/>
        <n v="5750970.2523811599"/>
        <n v="5784735.2918203203"/>
        <n v="5835137.2443973096"/>
        <n v="5863288.1550271204"/>
        <n v="5895783.0533024296"/>
        <n v="5879750.39845319"/>
        <n v="6060666.96340119"/>
        <n v="6073500.5690555498"/>
        <n v="6055561.71793589"/>
        <n v="6026594.9451072896"/>
        <n v="6035660.1837712303"/>
        <n v="5912840.6432441501"/>
        <n v="5911224.5805937899"/>
        <n v="5933471.8677890897"/>
        <n v="5950795.2161214603"/>
        <n v="5871919.24916761"/>
        <n v="5832216.6654195096"/>
        <n v="5818798.2588240998"/>
        <n v="5812724.4144913396"/>
        <n v="5823868.6136396797"/>
        <n v="5715623.6068667797"/>
        <n v="5704680.0291322302"/>
        <n v="5349962.9403080298"/>
        <n v="5296866.5032686703"/>
        <n v="5304600.78439127"/>
        <n v="5337890.9204244297"/>
        <n v="5440904.2605422502"/>
        <n v="5464833.3538040901"/>
        <n v="5507056.4496055199"/>
        <n v="5508250.3420123504"/>
        <n v="5585529.3152262103"/>
        <n v="5598997.4141260805"/>
        <n v="5623049.74894593"/>
        <n v="5584148.2020867299"/>
        <n v="5574586.1281031603"/>
        <n v="5529858.9907510802"/>
        <n v="5503900.9502560301"/>
        <n v="5524264.8295093896"/>
        <n v="5548388.9733106"/>
        <n v="5468541.9753728304"/>
        <n v="5491935.3982623797"/>
        <n v="5465735.0160442004"/>
        <n v="5451785.57491305"/>
        <n v="5467697.9607664105"/>
        <n v="5482536.8534219302"/>
        <n v="5425513.5642927401"/>
        <n v="5461119.6109448196"/>
        <n v="5142028.5156503497"/>
        <n v="5152470.6452058302"/>
        <n v="5255108.50543069"/>
        <n v="5343317.1851691101"/>
        <n v="5341511.1436963296"/>
        <n v="5412084.78091761"/>
        <n v="5373373.6475499198"/>
        <n v="5378936.3290249296"/>
        <n v="5318470.7762535"/>
        <n v="5379527.6634742403"/>
        <n v="5336765.2975152303"/>
        <n v="5374001.7025707699"/>
        <n v="5316484.3098101597"/>
        <n v="5258745.2160957605"/>
        <n v="5325886.8601964796"/>
        <n v="5334383.2210909696"/>
        <n v="5284513.4801597996"/>
        <n v="5292291.3730610898"/>
        <n v="5243793.2101537101"/>
        <n v="5266593.99551709"/>
        <n v="5287230.9356887499"/>
        <n v="5286057.9193323404"/>
        <n v="5232182.1436503697"/>
        <n v="5247177.0062179798"/>
        <n v="5165794.7645700304"/>
        <n v="5162488.2589399703"/>
        <n v="4964738.9590513101"/>
        <n v="5008438.7657588404"/>
        <n v="5082436.8811269104"/>
        <n v="5151059.9376643403"/>
        <n v="5137373.8457966503"/>
        <n v="5146550.4242883604"/>
        <n v="5166346.3354069702"/>
        <n v="5161954.6242421204"/>
        <n v="5112487.3845636398"/>
        <n v="5126106.4833983202"/>
        <n v="5063297.6502251299"/>
        <n v="5045189.0469558602"/>
        <n v="5058874.51701409"/>
        <n v="5099383.2891168799"/>
        <n v="5034149.6132462602"/>
        <n v="5047460.60169229"/>
        <n v="5016081.8529656101"/>
        <n v="5033686.5220626201"/>
        <n v="5052084.7133432999"/>
        <n v="5038852.7536032498"/>
        <n v="4938475.0887269303"/>
        <n v="4945457.80664929"/>
        <n v="4900096.1912631998"/>
        <n v="4873630.6916082399"/>
        <n v="4886494.9800577499"/>
        <n v="4933164.8487427803"/>
        <n v="4867330.37622602"/>
        <n v="4875200.8069690503"/>
        <n v="4860821.3623205097"/>
        <n v="4864753.4993168097"/>
        <n v="4882163.7240236197"/>
        <n v="4902160.9253017502"/>
        <n v="4838510.0517740399"/>
        <n v="4844733.99501622"/>
        <n v="4788749.1020698799"/>
        <n v="4743865.3936137697"/>
        <n v="4763356.0504604401"/>
        <n v="4795581.0738244597"/>
        <n v="4703615.2948973197"/>
        <n v="4734994.8939915802"/>
        <n v="4705232.6174085299"/>
        <n v="4696663.6500300001"/>
        <n v="4705121.5953261703"/>
        <n v="4692586.5089913597"/>
        <n v="4606082.06617771"/>
        <n v="4614355.8843697403"/>
        <n v="4559519.4679534202"/>
        <n v="4509449.4111885"/>
        <n v="4529016.8767877296"/>
        <n v="4528573.9923210898"/>
        <n v="4450719.57148646"/>
        <n v="4427783.3571466804"/>
        <n v="4380878.4355531996"/>
        <n v="4369549.5861992603"/>
        <n v="4360119.3141484"/>
        <n v="4338266.4661517097"/>
        <n v="4252234.3786084997"/>
        <n v="4246359.96289811"/>
        <n v="4203935.2701813597"/>
        <n v="4170361.90943219"/>
        <n v="4163936.5155442199"/>
        <n v="4166024.0449238298"/>
        <n v="4087533.3995320601"/>
        <n v="4072512.62290254"/>
        <n v="4030757.0622228002"/>
        <n v="3992315.0098907999"/>
        <n v="4001239.15595889"/>
        <n v="3986454.25738631"/>
        <n v="3907058.0631664102"/>
        <n v="3895828.15186565"/>
      </sharedItems>
    </cacheField>
    <cacheField name="Total Debt held by the Public" numFmtId="164">
      <sharedItems containsSemiMixedTypes="0" containsString="0" containsNumber="1" minValue="4650515.77659046" maxValue="30570708.449539602" count="241">
        <n v="30570708.449539602"/>
        <n v="30277766.420262799"/>
        <n v="29968531.276469301"/>
        <n v="29531340.685479201"/>
        <n v="28953497.4743427"/>
        <n v="28952461.137501299"/>
        <n v="28852660.931639001"/>
        <n v="28909508.836279001"/>
        <n v="28914410.533359699"/>
        <n v="28911508.6287813"/>
        <n v="28836996.083105899"/>
        <n v="28791208.127993599"/>
        <n v="28572149.0401484"/>
        <n v="28307312.267010398"/>
        <n v="28168005.136298601"/>
        <n v="27930512.4980211"/>
        <n v="27612897.138644401"/>
        <n v="27606806.583404198"/>
        <n v="27480960.204128101"/>
        <n v="27511455.249566302"/>
        <n v="27380289.958246201"/>
        <n v="27071861.911249202"/>
        <n v="26938517.5432868"/>
        <n v="26843822.063999899"/>
        <n v="26576222.041190598"/>
        <n v="26330141.852956101"/>
        <n v="26044050.623762101"/>
        <n v="25708799.263748098"/>
        <n v="25461998.182279699"/>
        <n v="24630686.2480428"/>
        <n v="24605068.000536501"/>
        <n v="24693515.024481401"/>
        <n v="24609240.800815798"/>
        <n v="24583994.486687999"/>
        <n v="24517593.303862698"/>
        <n v="24553456.552924301"/>
        <n v="24352541.670687702"/>
        <n v="24299192.593880199"/>
        <n v="24267551.2205685"/>
        <n v="23952579.263626199"/>
        <n v="23912159.7086404"/>
        <n v="23904391.421216499"/>
        <n v="23847245.051507901"/>
        <n v="23879767.7245996"/>
        <n v="23776559.8583396"/>
        <n v="23487180.851727601"/>
        <n v="23143747.341942899"/>
        <n v="22645911.862125501"/>
        <n v="22637089.618510999"/>
        <n v="22282900.228130199"/>
        <n v="22254544.444416199"/>
        <n v="22284627.5511792"/>
        <n v="22329822.791512702"/>
        <n v="22020939.210173201"/>
        <n v="22056055.120056801"/>
        <n v="21986939.4927462"/>
        <n v="21755736.828285899"/>
        <n v="21643914.7930982"/>
        <n v="21632418.910329498"/>
        <n v="21349471.564053901"/>
        <n v="21096974.617868699"/>
        <n v="21018952.067281801"/>
        <n v="20822038.3899034"/>
        <n v="20634400.329900801"/>
        <n v="20530277.746996701"/>
        <n v="19812781.9674768"/>
        <n v="19053618.914902199"/>
        <n v="17674770.832453199"/>
        <n v="17413050.167409301"/>
        <n v="17212634.794820301"/>
        <n v="17170441.5200595"/>
        <n v="17105420.786741"/>
        <n v="16981310.6052294"/>
        <n v="16809092.334793098"/>
        <n v="16596815.637760401"/>
        <n v="16211185.0174034"/>
        <n v="16188422.0742102"/>
        <n v="16202283.336054999"/>
        <n v="16192789.389691601"/>
        <n v="16204392.012154501"/>
        <n v="16250898.044729199"/>
        <n v="16101226.7883921"/>
        <n v="16101666.5273713"/>
        <n v="16044318.1919477"/>
        <n v="15843329.298334099"/>
        <n v="15761154.5218339"/>
        <n v="15785389.162775701"/>
        <n v="15569493.1191567"/>
        <n v="15466564.2305851"/>
        <n v="15426913.425444201"/>
        <n v="15335128.368494799"/>
        <n v="15428009.9066214"/>
        <n v="15150589.0924685"/>
        <n v="14803169.5870704"/>
        <n v="14814720.9625454"/>
        <n v="14918735.642358899"/>
        <n v="14751446.090316201"/>
        <n v="14673428.5682228"/>
        <n v="14381562.0058697"/>
        <n v="14360944.496199399"/>
        <n v="14366186.347182799"/>
        <n v="14298976.495062299"/>
        <n v="14293344.660028899"/>
        <n v="14369681.936943199"/>
        <n v="14411380.9847071"/>
        <n v="14376138.8020289"/>
        <n v="14434842.2903118"/>
        <n v="14443700.1497031"/>
        <n v="14286500.546096001"/>
        <n v="14173424.153898099"/>
        <n v="14104114.025273699"/>
        <n v="13998219.6131726"/>
        <n v="13932742.714223601"/>
        <n v="13886302.643889301"/>
        <n v="13841194.750298901"/>
        <n v="13924877.6533246"/>
        <n v="13785189.2275711"/>
        <n v="13657155.193714"/>
        <n v="13672522.261376901"/>
        <n v="13588989.3584866"/>
        <n v="13060656.864967501"/>
        <n v="13123847.1631286"/>
        <n v="13119752.718787599"/>
        <n v="13135044.915571"/>
        <n v="13076413.927094501"/>
        <n v="13052706.3904355"/>
        <n v="13053681.0296888"/>
        <n v="13090399.075396599"/>
        <n v="13074035.584404601"/>
        <n v="12984929.959734401"/>
        <n v="13023951.1625189"/>
        <n v="12922681.5072018"/>
        <n v="12857056.069025399"/>
        <n v="12784971.020747701"/>
        <n v="12732611.7819709"/>
        <n v="12651478.112988301"/>
        <n v="12572219.6120096"/>
        <n v="12538030.3860958"/>
        <n v="12503468.325517399"/>
        <n v="12619318.895078899"/>
        <n v="12492549.8605683"/>
        <n v="12308143.188735699"/>
        <n v="12355426.862605499"/>
        <n v="12281126.179836901"/>
        <n v="12187369.7360433"/>
        <n v="11976279.213615799"/>
        <n v="11967013.9489215"/>
        <n v="11917023.175314801"/>
        <n v="11901292.1252601"/>
        <n v="11897150.678677"/>
        <n v="11943148.302300099"/>
        <n v="11916887.840464"/>
        <n v="11822436.0645067"/>
        <n v="11560176.3640381"/>
        <n v="11581518.467297399"/>
        <n v="11553201.428275499"/>
        <n v="11411597.878341099"/>
        <n v="11269585.7125756"/>
        <n v="11272625.5059075"/>
        <n v="11122282.455023499"/>
        <n v="11044184.8280896"/>
        <n v="11006251.446586199"/>
        <n v="10916070.9176712"/>
        <n v="10846824.6399239"/>
        <n v="10722996.347253401"/>
        <n v="10572374.3881869"/>
        <n v="10447662.9880831"/>
        <n v="10389957.7807415"/>
        <n v="10256015.432385299"/>
        <n v="10127031.1527157"/>
        <n v="10024253.104963999"/>
        <n v="9755796.4007976092"/>
        <n v="9742223.4834615402"/>
        <n v="9723455.5236192308"/>
        <n v="9654950.2812367901"/>
        <n v="9651643.2500368897"/>
        <n v="9565541.4324782006"/>
        <n v="9485417"/>
        <n v="9390476.0906429291"/>
        <n v="9275024.69144498"/>
        <n v="9069879.0484036505"/>
        <n v="9022807.6505567208"/>
        <n v="8927061.4203605708"/>
        <n v="8702457.6790062897"/>
        <n v="8633680.3952902798"/>
        <n v="8494419.4451857507"/>
        <n v="8434434.6381713208"/>
        <n v="8290068.8315470004"/>
        <n v="7936671.0065938998"/>
        <n v="7759489.6597597897"/>
        <n v="7811008.9782701302"/>
        <n v="7712386.9531086497"/>
        <n v="7487887.0073504299"/>
        <n v="7551862.3351346403"/>
        <n v="7484145.4752734601"/>
        <n v="7335598.1875499301"/>
        <n v="7174911.9299287004"/>
        <n v="7019321.5541748703"/>
        <n v="6930824.9434764497"/>
        <n v="6833543.4448632998"/>
        <n v="6579162.7508982597"/>
        <n v="6317298.5150272697"/>
        <n v="6369318.5303354096"/>
        <n v="6396590.9863985097"/>
        <n v="6302793.6305648005"/>
        <n v="5808692.2033556299"/>
        <n v="5479099.8386794003"/>
        <n v="5403381.6067758203"/>
        <n v="5285064.4316632496"/>
        <n v="5278699.2290051198"/>
        <n v="5244195.2198333396"/>
        <n v="5334116.1327438196"/>
        <n v="5259803.9237152003"/>
        <n v="5132264.5939321499"/>
        <n v="5136303.2800723398"/>
        <n v="5146578.9649664704"/>
        <n v="5067079.1066169497"/>
        <n v="5049305.6609260701"/>
        <n v="5096937.6984995203"/>
        <n v="5003717.2801474603"/>
        <n v="4943090.4103004001"/>
        <n v="4980871.1580024501"/>
        <n v="5007058.1823659204"/>
        <n v="5053939.8912334796"/>
        <n v="4979111.3323745504"/>
        <n v="4913960.9017721396"/>
        <n v="4901047.3731822604"/>
        <n v="4929567.0380306002"/>
        <n v="4880611.2871827697"/>
        <n v="4843120.5941919796"/>
        <n v="4884685.1830192199"/>
        <n v="4819732.1498851096"/>
        <n v="4797204.2941392995"/>
        <n v="4807517.26333817"/>
        <n v="4819948.5970564997"/>
        <n v="4872484.6170945503"/>
        <n v="4771117.3411884103"/>
        <n v="4724636.9475845397"/>
        <n v="4714820.5965044498"/>
        <n v="4709402.9856719403"/>
        <n v="4650515.77659046"/>
      </sharedItems>
    </cacheField>
    <cacheField name="Total Intragovernmental Debt" numFmtId="164">
      <sharedItems containsSemiMixedTypes="0" containsString="0" containsNumber="1" minValue="3376607.0589751899" maxValue="7469385.3560982896" count="241">
        <n v="7469385.3560982896"/>
        <n v="7359787.1067514196"/>
        <n v="7305734.67246278"/>
        <n v="7385647.1644018898"/>
        <n v="7257972.8464777702"/>
        <n v="7263357.23611956"/>
        <n v="7360896.2464914396"/>
        <n v="7304801.5698985504"/>
        <n v="7304512.7815497601"/>
        <n v="7308698.0793548701"/>
        <n v="7381609.2192744799"/>
        <n v="7296155.2241708003"/>
        <n v="7379452.147593"/>
        <n v="7157361.6504699299"/>
        <n v="7088052.4435059596"/>
        <n v="7174259.1205072002"/>
        <n v="7218737.8471678998"/>
        <n v="7060308.8550176499"/>
        <n v="7136034.1701968201"/>
        <n v="7075077.5464968104"/>
        <n v="7090792.6307873996"/>
        <n v="7119288.5083254203"/>
        <n v="7062976.0408808896"/>
        <n v="7034856.7257833797"/>
        <n v="7123357.5465747099"/>
        <n v="6837191.9725012202"/>
        <n v="6870098.6592041096"/>
        <n v="6899785.8458563499"/>
        <n v="6870275.9977071499"/>
        <n v="6833771.1821094304"/>
        <n v="6852747.0258489298"/>
        <n v="6764922.6212353604"/>
        <n v="6850050.6568576898"/>
        <n v="6870988.6546645099"/>
        <n v="6902096.2129920302"/>
        <n v="6859865.8806183701"/>
        <n v="6885759.4858939303"/>
        <n v="6629718.9931482198"/>
        <n v="6668523.9726021001"/>
        <n v="6642529.3841331704"/>
        <n v="6656422.0275450898"/>
        <n v="6595226.8034866797"/>
        <n v="6526909.1200853502"/>
        <n v="6521191.9035437703"/>
        <n v="6513793.4688508604"/>
        <n v="6525204.8742312202"/>
        <n v="6473468.1786839198"/>
        <n v="6262074.6051263297"/>
        <n v="6271676.2427948797"/>
        <n v="6146017.8843384497"/>
        <n v="6172774.30783947"/>
        <n v="6143094.03387227"/>
        <n v="6199613.3395231003"/>
        <n v="6178069.4656476397"/>
        <n v="6118659.17938531"/>
        <n v="6145631.5543551203"/>
        <n v="6146627.2493307199"/>
        <n v="6140637.7562788799"/>
        <n v="6115378.6109027704"/>
        <n v="6096816.6704079099"/>
        <n v="6038502.2159831999"/>
        <n v="5926439.1142295199"/>
        <n v="5906797.4566023797"/>
        <n v="5890553.5847046403"/>
        <n v="5946962.8794379598"/>
        <n v="5933479.3997274498"/>
        <n v="5920552.9534519101"/>
        <n v="6012100.1678953199"/>
        <n v="5996908.8829013295"/>
        <n v="6011178.1108271098"/>
        <n v="6030937.6471751798"/>
        <n v="5970777.6147715002"/>
        <n v="6027098.6491275001"/>
        <n v="5910309.00036225"/>
        <n v="5863651.0356916301"/>
        <n v="5811184.3162967497"/>
        <n v="5834860.57064074"/>
        <n v="5824141.1001871703"/>
        <n v="5834879.3690448599"/>
        <n v="5823487.6070324201"/>
        <n v="5864628.4008707302"/>
        <n v="5881196.2445873599"/>
        <n v="5872429.2053088704"/>
        <n v="5805775.6854969896"/>
        <n v="5859040.4575844798"/>
        <n v="5754904.1555752298"/>
        <n v="5673460.5317128403"/>
        <n v="5743567.9348112904"/>
        <n v="5728504.5166719304"/>
        <n v="5718301.7512545204"/>
        <n v="5733072.0895918598"/>
        <n v="5661632.9086770201"/>
        <n v="5705082.3022345901"/>
        <n v="5690560.1890858496"/>
        <n v="5678025.4183899797"/>
        <n v="5671656.1445052801"/>
        <n v="5691027.4530892996"/>
        <n v="5571471.3529125703"/>
        <n v="5462971.4464271497"/>
        <n v="5483964.5525273699"/>
        <n v="5478367.83808563"/>
        <n v="5546965.4206730798"/>
        <n v="5552784.5311721098"/>
        <n v="5476738.1133739604"/>
        <n v="5548212.6661530398"/>
        <n v="5561122.5109684803"/>
        <n v="5541985.4301194297"/>
        <n v="5504364.5493875602"/>
        <n v="5519214.6762511795"/>
        <n v="5400021.4724861104"/>
        <n v="5406182.80186655"/>
        <n v="5429474.7409552401"/>
        <n v="5448848.4272517897"/>
        <n v="5379148.9329640698"/>
        <n v="5346192.7506843396"/>
        <n v="5340060.9806862501"/>
        <n v="5340266.0070756301"/>
        <n v="5355672.5002814"/>
        <n v="5249656.7372589102"/>
        <n v="5238334.41885914"/>
        <n v="5092324.8107799897"/>
        <n v="5026770.4681365201"/>
        <n v="5031396.7859385703"/>
        <n v="5016277.62609025"/>
        <n v="5075583.42108298"/>
        <n v="5100145.2405832699"/>
        <n v="5098878.5069038402"/>
        <n v="5061657.4008764997"/>
        <n v="5081818.4799320903"/>
        <n v="5097364.3246637303"/>
        <n v="5117492.7451185202"/>
        <n v="5082868.3618683796"/>
        <n v="5080104.4285037396"/>
        <n v="5039099.7585249403"/>
        <n v="5016561.3768155901"/>
        <n v="5035658.7074786602"/>
        <n v="5060386.7194695799"/>
        <n v="4978928.1021279898"/>
        <n v="5004968.79214333"/>
        <n v="4981908.4403978903"/>
        <n v="4970678.7466512099"/>
        <n v="4984876.5349511299"/>
        <n v="4996544.1646424197"/>
        <n v="4936025.2309639296"/>
        <n v="4968747.2119890498"/>
        <n v="4761904.3276782203"/>
        <n v="4771635.7607061202"/>
        <n v="4821576.0156268096"/>
        <n v="4837027.9355517896"/>
        <n v="4841670.5013783397"/>
        <n v="4885697.3269434497"/>
        <n v="4854491.1913330704"/>
        <n v="4864852.5425083898"/>
        <n v="4873616.4560688902"/>
        <n v="4851212.5569979297"/>
        <n v="4816347.7067069104"/>
        <n v="4849871.8501330996"/>
        <n v="4796656.2073373199"/>
        <n v="4743144.28935734"/>
        <n v="4810952.56032445"/>
        <n v="4810852"/>
        <n v="4764434.3361333404"/>
        <n v="4776297.1692025503"/>
        <n v="4735254.13424554"/>
        <n v="4765894.9973798003"/>
        <n v="4783766.1059170002"/>
        <n v="4775277.1936439397"/>
        <n v="4720540.7676747199"/>
        <n v="4737693.6127573196"/>
        <n v="4663309.2882640604"/>
        <n v="4660039.5687855799"/>
        <n v="4586573.9564187303"/>
        <n v="4600863.6384157296"/>
        <n v="4621212.2003019396"/>
        <n v="4632679.8397025"/>
        <n v="4618470.6406167904"/>
        <n v="4629222.7223797403"/>
        <n v="4645633.7037699996"/>
        <n v="4634739.13066517"/>
        <n v="4585749.0681745503"/>
        <n v="4598946.4522378398"/>
        <n v="4538814.9303635899"/>
        <n v="4522591.2989745699"/>
        <n v="4535269.2141448101"/>
        <n v="4568111.1108781695"/>
        <n v="4498119.6364559401"/>
        <n v="4514304.2283286201"/>
        <n v="4483054.2650929401"/>
        <n v="4503396.5227369498"/>
        <n v="4519146.0231550504"/>
        <n v="4500340.7588454299"/>
        <n v="4400659.8438904798"/>
        <n v="4405203.6018329896"/>
        <n v="4357967.2438197397"/>
        <n v="4328725.4505228596"/>
        <n v="4333677.60847326"/>
        <n v="4370362.9122906001"/>
        <n v="4302278.4109118599"/>
        <n v="4307766.8895154996"/>
        <n v="4293397.7205328997"/>
        <n v="4297982.4252566202"/>
        <n v="4314781.3893352803"/>
        <n v="4330486.32041022"/>
        <n v="4264584.1272085402"/>
        <n v="4271301.3600078402"/>
        <n v="4216032.9888506196"/>
        <n v="4166655.0867748498"/>
        <n v="4182098.4527460998"/>
        <n v="4206942.1296122903"/>
        <n v="4110099.5913828402"/>
        <n v="4133362.5104859602"/>
        <n v="4103479.4347794801"/>
        <n v="4098246.53302202"/>
        <n v="4105742.6974757202"/>
        <n v="4092870.3522587102"/>
        <n v="4002761.7937270799"/>
        <n v="4012008.1092653102"/>
        <n v="3958347.6653135698"/>
        <n v="3908709.8517788299"/>
        <n v="3928721.8118678099"/>
        <n v="3924584.7044682698"/>
        <n v="3848121.2718756399"/>
        <n v="3833109.59446092"/>
        <n v="3795725.3278784701"/>
        <n v="3798999.5752406698"/>
        <n v="3793600.3147779298"/>
        <n v="3779178.4949205699"/>
        <n v="3703678.4573304201"/>
        <n v="3703718.1728992201"/>
        <n v="3663853.3430395299"/>
        <n v="3630348.4540763302"/>
        <n v="3624614.4565891102"/>
        <n v="3622838.2157640201"/>
        <n v="3549259.6921439399"/>
        <n v="3535769.2206778298"/>
        <n v="3498671.9981516702"/>
        <n v="3498768.9480657801"/>
        <n v="3471432.7995029599"/>
        <n v="3455592.4458818599"/>
        <n v="3382919.4470944698"/>
        <n v="3376607.0589751899"/>
      </sharedItems>
    </cacheField>
    <cacheField name="Total Outstanding National Debt" numFmtId="164">
      <sharedItems containsSemiMixedTypes="0" containsString="0" containsNumber="1" minValue="8027122.94956565" maxValue="38040093.805637904" count="241">
        <n v="38040093.805637904"/>
        <n v="37637552.527014203"/>
        <n v="37274265.948932096"/>
        <n v="36916986.849881098"/>
        <n v="36211469.320820399"/>
        <n v="36215818.373620801"/>
        <n v="36213557.178130403"/>
        <n v="36214310.406177498"/>
        <n v="36218923.314909503"/>
        <n v="36220206.708136201"/>
        <n v="36218605.302380398"/>
        <n v="36087363.352164403"/>
        <n v="35951601.187741503"/>
        <n v="35464673.917480297"/>
        <n v="35256056.579804502"/>
        <n v="35104770.618528299"/>
        <n v="34831633.985812299"/>
        <n v="34667115.438421801"/>
        <n v="34616994.374324903"/>
        <n v="34586532.7960632"/>
        <n v="34471082.589033499"/>
        <n v="34191150.4195747"/>
        <n v="34001493.584167697"/>
        <n v="33878678.789783299"/>
        <n v="33699579.587765403"/>
        <n v="33167333.825457301"/>
        <n v="32914149.2829662"/>
        <n v="32608585.1096044"/>
        <n v="32332274.179986801"/>
        <n v="31464457.4301522"/>
        <n v="31457815.026385501"/>
        <n v="31458437.645716801"/>
        <n v="31459291.457673501"/>
        <n v="31454982.041352499"/>
        <n v="31419689.416854698"/>
        <n v="31413322.433542699"/>
        <n v="31238301.1565817"/>
        <n v="30928911.587028399"/>
        <n v="30936075.1931706"/>
        <n v="30595108.622759301"/>
        <n v="30568581.736185499"/>
        <n v="30499619.2247032"/>
        <n v="30374155.171593301"/>
        <n v="30400959.6281434"/>
        <n v="30290353.3271905"/>
        <n v="30012385.725958802"/>
        <n v="29617214.520626798"/>
        <n v="28907987.4672518"/>
        <n v="28908764.8613059"/>
        <n v="28428919.1124686"/>
        <n v="28427316.7522556"/>
        <n v="28427721.585051499"/>
        <n v="28529436.131035801"/>
        <n v="28199007.675820801"/>
        <n v="28174714.299442101"/>
        <n v="28132570.0471013"/>
        <n v="27902364.077616598"/>
        <n v="27784552.549377099"/>
        <n v="27747797.5212323"/>
        <n v="27446288.234461799"/>
        <n v="27135476.658851899"/>
        <n v="26945391.181511398"/>
        <n v="26728835.846505798"/>
        <n v="26524952.914605498"/>
        <n v="26477240.626434602"/>
        <n v="25746260.367204301"/>
        <n v="24974171.868354101"/>
        <n v="23686871.000348501"/>
        <n v="23409959.050310601"/>
        <n v="23223812.905647401"/>
        <n v="23201380.1672346"/>
        <n v="23076199.4015125"/>
        <n v="23008410.254356999"/>
        <n v="22719402.335155301"/>
        <n v="22460466.673452001"/>
        <n v="22022369.333700102"/>
        <n v="22023282.644850999"/>
        <n v="22026424.4362422"/>
        <n v="22027667.758736499"/>
        <n v="22027879.619186901"/>
        <n v="22115526.445599999"/>
        <n v="21982423.032979399"/>
        <n v="21974095.732680202"/>
        <n v="21850093.877444699"/>
        <n v="21702369.7559186"/>
        <n v="21516057.579132099"/>
        <n v="21458849.694488499"/>
        <n v="21313061.053968001"/>
        <n v="21195069.747257002"/>
        <n v="21145215.1766987"/>
        <n v="21068200.458086599"/>
        <n v="21089642.815298401"/>
        <n v="20855672.394703101"/>
        <n v="20493729.776156198"/>
        <n v="20492747.380935401"/>
        <n v="20590391.786864098"/>
        <n v="20442473.543405499"/>
        <n v="20244899.921135399"/>
        <n v="19844533.452296901"/>
        <n v="19844909.0487267"/>
        <n v="19844554.185268398"/>
        <n v="19845941.915735401"/>
        <n v="19846129.191201001"/>
        <n v="19846420.050317101"/>
        <n v="19959593.650860101"/>
        <n v="19937261.312997401"/>
        <n v="19976826.720431201"/>
        <n v="19948064.6990906"/>
        <n v="19805715.2223472"/>
        <n v="19573444.626384299"/>
        <n v="19510295.827140201"/>
        <n v="19427695.354127798"/>
        <n v="19381591.1404754"/>
        <n v="19265451.576853301"/>
        <n v="19187386.500983201"/>
        <n v="19264938.6340109"/>
        <n v="19125455.236860599"/>
        <n v="19012827.7593363"/>
        <n v="18922178.998310201"/>
        <n v="18827322.977346499"/>
        <n v="18152981.675747499"/>
        <n v="18150618.2891385"/>
        <n v="18151149.504726101"/>
        <n v="18151322.541661199"/>
        <n v="18151998.177522399"/>
        <n v="18152851.839269198"/>
        <n v="18152559.953105599"/>
        <n v="18152055.9154585"/>
        <n v="18155854.064335302"/>
        <n v="18082294.108885702"/>
        <n v="18141443.907637399"/>
        <n v="18005549.394754998"/>
        <n v="17937160.497529101"/>
        <n v="17824070.622896899"/>
        <n v="17749172.430220202"/>
        <n v="17687137.2663721"/>
        <n v="17632605.772195201"/>
        <n v="17516958.488223799"/>
        <n v="17508437.117660701"/>
        <n v="17601227.224211499"/>
        <n v="17463228.513598301"/>
        <n v="17293019.5572857"/>
        <n v="17351971.027247999"/>
        <n v="17217151.9947141"/>
        <n v="17156116.948032301"/>
        <n v="16738183.5412941"/>
        <n v="16738649.709627699"/>
        <n v="16738599.190941701"/>
        <n v="16738320.0608119"/>
        <n v="16738822.1800554"/>
        <n v="16828844.629243501"/>
        <n v="16771379.0317971"/>
        <n v="16687288.607015099"/>
        <n v="16433791.820107"/>
        <n v="16432730.0242953"/>
        <n v="16369549.1349824"/>
        <n v="16261470.7284742"/>
        <n v="16066240.919912901"/>
        <n v="16015769.795264799"/>
        <n v="15933235.0153479"/>
        <n v="15855037"/>
        <n v="15770685.4927196"/>
        <n v="15692367.8868738"/>
        <n v="15582078.7741694"/>
        <n v="15488891.344633199"/>
        <n v="15356140.494103899"/>
        <n v="15222940.181727"/>
        <n v="15110498.5484163"/>
        <n v="14993709.045142701"/>
        <n v="14790340.440979701"/>
        <n v="14684292.6737496"/>
        <n v="14342369.3572163"/>
        <n v="14343088.1218773"/>
        <n v="14344667.7239212"/>
        <n v="14287630.120939299"/>
        <n v="14270114.8906537"/>
        <n v="14194764.1548579"/>
        <n v="14131051.338328199"/>
        <n v="14025215.221308099"/>
        <n v="13860773.7596195"/>
        <n v="13668824.500641501"/>
        <n v="13561622.5809203"/>
        <n v="13449652.7193351"/>
        <n v="13237726.983151101"/>
        <n v="13201791.5061685"/>
        <n v="12992539.0916417"/>
        <n v="12948738.876499901"/>
        <n v="12773123.106639899"/>
        <n v="12440067.6293309"/>
        <n v="12278635.782914801"/>
        <n v="12311349.737115599"/>
        <n v="12113047.796999101"/>
        <n v="11893090.609183401"/>
        <n v="11909828.5789544"/>
        <n v="11812869.9257963"/>
        <n v="11669276.796023199"/>
        <n v="11545274.842219301"/>
        <n v="11321599.9650867"/>
        <n v="11238591.832992001"/>
        <n v="11126941.1653962"/>
        <n v="10877145.1761549"/>
        <n v="10632079.9043626"/>
        <n v="10699804.8507456"/>
        <n v="10661175.294849301"/>
        <n v="10574094.3888149"/>
        <n v="10024725.283206301"/>
        <n v="9645755.3795990199"/>
        <n v="9585480.3675219193"/>
        <n v="9492005.6722755395"/>
        <n v="9388798.9113879595"/>
        <n v="9377556.8213193007"/>
        <n v="9437593.6585233007"/>
        <n v="9358050.9187372196"/>
        <n v="9238007.6504078694"/>
        <n v="9229172.8093310595"/>
        <n v="9149340.8626935594"/>
        <n v="9079086.3058822602"/>
        <n v="9007653.4162396397"/>
        <n v="9005648.6402783506"/>
        <n v="8932438.18201527"/>
        <n v="8867675.2047686707"/>
        <n v="8828991.5198780894"/>
        <n v="8840167.7768268399"/>
        <n v="8849665.2471119501"/>
        <n v="8778110.9076152202"/>
        <n v="8707561.2165500708"/>
        <n v="8680223.8681028299"/>
        <n v="8633246.4953610208"/>
        <n v="8584329.4600819908"/>
        <n v="8506974.1692315098"/>
        <n v="8515033.7720955499"/>
        <n v="8444346.7594742198"/>
        <n v="8420041.5289033204"/>
        <n v="8356776.9744821098"/>
        <n v="8355717.8687343299"/>
        <n v="8371155.6662462195"/>
        <n v="8269886.3402541904"/>
        <n v="8196069.7980875"/>
        <n v="8170414.3323863102"/>
        <n v="8092321.5467664097"/>
        <n v="8027122.94956565"/>
      </sharedItems>
    </cacheField>
    <cacheField name="Months (Date)" numFmtId="0" databaseField="0">
      <fieldGroup base="0">
        <rangePr groupBy="months" startDate="2005-10-31T00:00:00" endDate="2025-11-01T00:00:00"/>
        <groupItems count="14">
          <s v="&lt;10/3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025"/>
        </groupItems>
      </fieldGroup>
    </cacheField>
    <cacheField name="Quarters (Date)" numFmtId="0" databaseField="0">
      <fieldGroup base="0">
        <rangePr groupBy="quarters" startDate="2005-10-31T00:00:00" endDate="2025-11-01T00:00:00"/>
        <groupItems count="6">
          <s v="&lt;10/31/2005"/>
          <s v="Qtr1"/>
          <s v="Qtr2"/>
          <s v="Qtr3"/>
          <s v="Qtr4"/>
          <s v="&gt;11/1/2025"/>
        </groupItems>
      </fieldGroup>
    </cacheField>
    <cacheField name="Years (Date)" numFmtId="0" databaseField="0">
      <fieldGroup base="0">
        <rangePr groupBy="years" startDate="2005-10-31T00:00:00" endDate="2025-11-01T00:00:00"/>
        <groupItems count="23">
          <s v="&lt;10/3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1/2025"/>
        </groupItems>
      </fieldGroup>
    </cacheField>
  </cacheFields>
  <extLst>
    <ext xmlns:x14="http://schemas.microsoft.com/office/spreadsheetml/2009/9/main" uri="{725AE2AE-9491-48be-B2B4-4EB974FC3084}">
      <x14:pivotCacheDefinition pivotCacheId="4714291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</r>
  <r>
    <x v="7"/>
    <x v="7"/>
    <x v="7"/>
    <x v="7"/>
    <x v="7"/>
    <x v="7"/>
    <x v="7"/>
    <x v="7"/>
    <x v="7"/>
  </r>
  <r>
    <x v="8"/>
    <x v="8"/>
    <x v="8"/>
    <x v="8"/>
    <x v="8"/>
    <x v="8"/>
    <x v="8"/>
    <x v="8"/>
    <x v="8"/>
  </r>
  <r>
    <x v="9"/>
    <x v="9"/>
    <x v="9"/>
    <x v="9"/>
    <x v="9"/>
    <x v="9"/>
    <x v="9"/>
    <x v="9"/>
    <x v="9"/>
  </r>
  <r>
    <x v="10"/>
    <x v="10"/>
    <x v="10"/>
    <x v="10"/>
    <x v="10"/>
    <x v="10"/>
    <x v="10"/>
    <x v="10"/>
    <x v="10"/>
  </r>
  <r>
    <x v="11"/>
    <x v="11"/>
    <x v="11"/>
    <x v="11"/>
    <x v="11"/>
    <x v="11"/>
    <x v="11"/>
    <x v="11"/>
    <x v="11"/>
  </r>
  <r>
    <x v="12"/>
    <x v="12"/>
    <x v="12"/>
    <x v="12"/>
    <x v="12"/>
    <x v="12"/>
    <x v="12"/>
    <x v="12"/>
    <x v="12"/>
  </r>
  <r>
    <x v="13"/>
    <x v="13"/>
    <x v="13"/>
    <x v="13"/>
    <x v="13"/>
    <x v="13"/>
    <x v="13"/>
    <x v="13"/>
    <x v="13"/>
  </r>
  <r>
    <x v="14"/>
    <x v="14"/>
    <x v="14"/>
    <x v="14"/>
    <x v="14"/>
    <x v="14"/>
    <x v="14"/>
    <x v="14"/>
    <x v="14"/>
  </r>
  <r>
    <x v="15"/>
    <x v="15"/>
    <x v="15"/>
    <x v="15"/>
    <x v="15"/>
    <x v="15"/>
    <x v="15"/>
    <x v="15"/>
    <x v="15"/>
  </r>
  <r>
    <x v="16"/>
    <x v="16"/>
    <x v="16"/>
    <x v="16"/>
    <x v="16"/>
    <x v="16"/>
    <x v="16"/>
    <x v="16"/>
    <x v="16"/>
  </r>
  <r>
    <x v="17"/>
    <x v="17"/>
    <x v="17"/>
    <x v="17"/>
    <x v="17"/>
    <x v="17"/>
    <x v="17"/>
    <x v="17"/>
    <x v="17"/>
  </r>
  <r>
    <x v="18"/>
    <x v="18"/>
    <x v="18"/>
    <x v="18"/>
    <x v="18"/>
    <x v="18"/>
    <x v="18"/>
    <x v="18"/>
    <x v="18"/>
  </r>
  <r>
    <x v="19"/>
    <x v="19"/>
    <x v="19"/>
    <x v="19"/>
    <x v="19"/>
    <x v="19"/>
    <x v="19"/>
    <x v="19"/>
    <x v="19"/>
  </r>
  <r>
    <x v="20"/>
    <x v="20"/>
    <x v="20"/>
    <x v="20"/>
    <x v="20"/>
    <x v="20"/>
    <x v="20"/>
    <x v="20"/>
    <x v="20"/>
  </r>
  <r>
    <x v="21"/>
    <x v="21"/>
    <x v="21"/>
    <x v="21"/>
    <x v="21"/>
    <x v="21"/>
    <x v="21"/>
    <x v="21"/>
    <x v="21"/>
  </r>
  <r>
    <x v="22"/>
    <x v="22"/>
    <x v="22"/>
    <x v="22"/>
    <x v="22"/>
    <x v="22"/>
    <x v="22"/>
    <x v="22"/>
    <x v="22"/>
  </r>
  <r>
    <x v="23"/>
    <x v="23"/>
    <x v="23"/>
    <x v="23"/>
    <x v="23"/>
    <x v="23"/>
    <x v="23"/>
    <x v="23"/>
    <x v="23"/>
  </r>
  <r>
    <x v="24"/>
    <x v="24"/>
    <x v="24"/>
    <x v="24"/>
    <x v="24"/>
    <x v="24"/>
    <x v="24"/>
    <x v="24"/>
    <x v="24"/>
  </r>
  <r>
    <x v="25"/>
    <x v="25"/>
    <x v="25"/>
    <x v="25"/>
    <x v="25"/>
    <x v="25"/>
    <x v="25"/>
    <x v="25"/>
    <x v="25"/>
  </r>
  <r>
    <x v="26"/>
    <x v="26"/>
    <x v="26"/>
    <x v="26"/>
    <x v="26"/>
    <x v="26"/>
    <x v="26"/>
    <x v="26"/>
    <x v="26"/>
  </r>
  <r>
    <x v="27"/>
    <x v="27"/>
    <x v="27"/>
    <x v="27"/>
    <x v="27"/>
    <x v="27"/>
    <x v="27"/>
    <x v="27"/>
    <x v="27"/>
  </r>
  <r>
    <x v="28"/>
    <x v="28"/>
    <x v="28"/>
    <x v="28"/>
    <x v="28"/>
    <x v="28"/>
    <x v="28"/>
    <x v="28"/>
    <x v="28"/>
  </r>
  <r>
    <x v="29"/>
    <x v="29"/>
    <x v="29"/>
    <x v="29"/>
    <x v="29"/>
    <x v="29"/>
    <x v="29"/>
    <x v="29"/>
    <x v="29"/>
  </r>
  <r>
    <x v="30"/>
    <x v="30"/>
    <x v="30"/>
    <x v="30"/>
    <x v="30"/>
    <x v="30"/>
    <x v="30"/>
    <x v="30"/>
    <x v="30"/>
  </r>
  <r>
    <x v="31"/>
    <x v="31"/>
    <x v="31"/>
    <x v="31"/>
    <x v="31"/>
    <x v="31"/>
    <x v="31"/>
    <x v="31"/>
    <x v="31"/>
  </r>
  <r>
    <x v="32"/>
    <x v="32"/>
    <x v="32"/>
    <x v="32"/>
    <x v="32"/>
    <x v="32"/>
    <x v="32"/>
    <x v="32"/>
    <x v="32"/>
  </r>
  <r>
    <x v="33"/>
    <x v="33"/>
    <x v="33"/>
    <x v="33"/>
    <x v="33"/>
    <x v="33"/>
    <x v="33"/>
    <x v="33"/>
    <x v="33"/>
  </r>
  <r>
    <x v="34"/>
    <x v="34"/>
    <x v="34"/>
    <x v="34"/>
    <x v="34"/>
    <x v="34"/>
    <x v="34"/>
    <x v="34"/>
    <x v="34"/>
  </r>
  <r>
    <x v="35"/>
    <x v="35"/>
    <x v="35"/>
    <x v="35"/>
    <x v="35"/>
    <x v="35"/>
    <x v="35"/>
    <x v="35"/>
    <x v="35"/>
  </r>
  <r>
    <x v="36"/>
    <x v="36"/>
    <x v="36"/>
    <x v="36"/>
    <x v="36"/>
    <x v="36"/>
    <x v="36"/>
    <x v="36"/>
    <x v="36"/>
  </r>
  <r>
    <x v="37"/>
    <x v="37"/>
    <x v="37"/>
    <x v="37"/>
    <x v="37"/>
    <x v="37"/>
    <x v="37"/>
    <x v="37"/>
    <x v="37"/>
  </r>
  <r>
    <x v="38"/>
    <x v="38"/>
    <x v="38"/>
    <x v="38"/>
    <x v="38"/>
    <x v="38"/>
    <x v="38"/>
    <x v="38"/>
    <x v="38"/>
  </r>
  <r>
    <x v="39"/>
    <x v="39"/>
    <x v="39"/>
    <x v="39"/>
    <x v="39"/>
    <x v="39"/>
    <x v="39"/>
    <x v="39"/>
    <x v="39"/>
  </r>
  <r>
    <x v="40"/>
    <x v="40"/>
    <x v="40"/>
    <x v="40"/>
    <x v="40"/>
    <x v="40"/>
    <x v="40"/>
    <x v="40"/>
    <x v="40"/>
  </r>
  <r>
    <x v="41"/>
    <x v="41"/>
    <x v="41"/>
    <x v="41"/>
    <x v="41"/>
    <x v="41"/>
    <x v="41"/>
    <x v="41"/>
    <x v="41"/>
  </r>
  <r>
    <x v="42"/>
    <x v="42"/>
    <x v="42"/>
    <x v="42"/>
    <x v="42"/>
    <x v="42"/>
    <x v="42"/>
    <x v="42"/>
    <x v="42"/>
  </r>
  <r>
    <x v="43"/>
    <x v="43"/>
    <x v="43"/>
    <x v="43"/>
    <x v="43"/>
    <x v="43"/>
    <x v="43"/>
    <x v="43"/>
    <x v="43"/>
  </r>
  <r>
    <x v="44"/>
    <x v="44"/>
    <x v="44"/>
    <x v="44"/>
    <x v="44"/>
    <x v="44"/>
    <x v="44"/>
    <x v="44"/>
    <x v="44"/>
  </r>
  <r>
    <x v="45"/>
    <x v="45"/>
    <x v="45"/>
    <x v="45"/>
    <x v="45"/>
    <x v="45"/>
    <x v="45"/>
    <x v="45"/>
    <x v="45"/>
  </r>
  <r>
    <x v="46"/>
    <x v="46"/>
    <x v="46"/>
    <x v="46"/>
    <x v="46"/>
    <x v="46"/>
    <x v="46"/>
    <x v="46"/>
    <x v="46"/>
  </r>
  <r>
    <x v="47"/>
    <x v="47"/>
    <x v="47"/>
    <x v="47"/>
    <x v="47"/>
    <x v="47"/>
    <x v="47"/>
    <x v="47"/>
    <x v="47"/>
  </r>
  <r>
    <x v="48"/>
    <x v="48"/>
    <x v="48"/>
    <x v="48"/>
    <x v="48"/>
    <x v="48"/>
    <x v="48"/>
    <x v="48"/>
    <x v="48"/>
  </r>
  <r>
    <x v="49"/>
    <x v="49"/>
    <x v="49"/>
    <x v="49"/>
    <x v="49"/>
    <x v="49"/>
    <x v="49"/>
    <x v="49"/>
    <x v="49"/>
  </r>
  <r>
    <x v="50"/>
    <x v="50"/>
    <x v="50"/>
    <x v="50"/>
    <x v="50"/>
    <x v="50"/>
    <x v="50"/>
    <x v="50"/>
    <x v="50"/>
  </r>
  <r>
    <x v="51"/>
    <x v="51"/>
    <x v="51"/>
    <x v="51"/>
    <x v="51"/>
    <x v="51"/>
    <x v="51"/>
    <x v="51"/>
    <x v="51"/>
  </r>
  <r>
    <x v="52"/>
    <x v="52"/>
    <x v="52"/>
    <x v="52"/>
    <x v="52"/>
    <x v="52"/>
    <x v="52"/>
    <x v="52"/>
    <x v="52"/>
  </r>
  <r>
    <x v="53"/>
    <x v="53"/>
    <x v="53"/>
    <x v="53"/>
    <x v="53"/>
    <x v="53"/>
    <x v="53"/>
    <x v="53"/>
    <x v="53"/>
  </r>
  <r>
    <x v="54"/>
    <x v="54"/>
    <x v="54"/>
    <x v="54"/>
    <x v="54"/>
    <x v="54"/>
    <x v="54"/>
    <x v="54"/>
    <x v="54"/>
  </r>
  <r>
    <x v="55"/>
    <x v="55"/>
    <x v="55"/>
    <x v="55"/>
    <x v="55"/>
    <x v="55"/>
    <x v="55"/>
    <x v="55"/>
    <x v="55"/>
  </r>
  <r>
    <x v="56"/>
    <x v="56"/>
    <x v="56"/>
    <x v="56"/>
    <x v="56"/>
    <x v="56"/>
    <x v="56"/>
    <x v="56"/>
    <x v="56"/>
  </r>
  <r>
    <x v="57"/>
    <x v="57"/>
    <x v="57"/>
    <x v="57"/>
    <x v="57"/>
    <x v="57"/>
    <x v="57"/>
    <x v="57"/>
    <x v="57"/>
  </r>
  <r>
    <x v="58"/>
    <x v="58"/>
    <x v="58"/>
    <x v="58"/>
    <x v="58"/>
    <x v="58"/>
    <x v="58"/>
    <x v="58"/>
    <x v="58"/>
  </r>
  <r>
    <x v="59"/>
    <x v="59"/>
    <x v="59"/>
    <x v="59"/>
    <x v="59"/>
    <x v="59"/>
    <x v="59"/>
    <x v="59"/>
    <x v="59"/>
  </r>
  <r>
    <x v="60"/>
    <x v="60"/>
    <x v="60"/>
    <x v="60"/>
    <x v="60"/>
    <x v="60"/>
    <x v="60"/>
    <x v="60"/>
    <x v="60"/>
  </r>
  <r>
    <x v="61"/>
    <x v="61"/>
    <x v="61"/>
    <x v="61"/>
    <x v="61"/>
    <x v="61"/>
    <x v="61"/>
    <x v="61"/>
    <x v="61"/>
  </r>
  <r>
    <x v="62"/>
    <x v="62"/>
    <x v="62"/>
    <x v="62"/>
    <x v="62"/>
    <x v="62"/>
    <x v="62"/>
    <x v="62"/>
    <x v="62"/>
  </r>
  <r>
    <x v="63"/>
    <x v="63"/>
    <x v="63"/>
    <x v="63"/>
    <x v="63"/>
    <x v="63"/>
    <x v="63"/>
    <x v="63"/>
    <x v="63"/>
  </r>
  <r>
    <x v="64"/>
    <x v="64"/>
    <x v="64"/>
    <x v="64"/>
    <x v="64"/>
    <x v="64"/>
    <x v="64"/>
    <x v="64"/>
    <x v="64"/>
  </r>
  <r>
    <x v="65"/>
    <x v="65"/>
    <x v="65"/>
    <x v="65"/>
    <x v="65"/>
    <x v="65"/>
    <x v="65"/>
    <x v="65"/>
    <x v="65"/>
  </r>
  <r>
    <x v="66"/>
    <x v="66"/>
    <x v="66"/>
    <x v="66"/>
    <x v="66"/>
    <x v="66"/>
    <x v="66"/>
    <x v="66"/>
    <x v="66"/>
  </r>
  <r>
    <x v="67"/>
    <x v="67"/>
    <x v="67"/>
    <x v="67"/>
    <x v="67"/>
    <x v="67"/>
    <x v="67"/>
    <x v="67"/>
    <x v="67"/>
  </r>
  <r>
    <x v="68"/>
    <x v="68"/>
    <x v="68"/>
    <x v="68"/>
    <x v="68"/>
    <x v="68"/>
    <x v="68"/>
    <x v="68"/>
    <x v="68"/>
  </r>
  <r>
    <x v="69"/>
    <x v="69"/>
    <x v="69"/>
    <x v="69"/>
    <x v="69"/>
    <x v="69"/>
    <x v="69"/>
    <x v="69"/>
    <x v="69"/>
  </r>
  <r>
    <x v="70"/>
    <x v="70"/>
    <x v="70"/>
    <x v="70"/>
    <x v="70"/>
    <x v="70"/>
    <x v="70"/>
    <x v="70"/>
    <x v="70"/>
  </r>
  <r>
    <x v="71"/>
    <x v="71"/>
    <x v="71"/>
    <x v="71"/>
    <x v="71"/>
    <x v="71"/>
    <x v="71"/>
    <x v="71"/>
    <x v="71"/>
  </r>
  <r>
    <x v="72"/>
    <x v="72"/>
    <x v="72"/>
    <x v="72"/>
    <x v="72"/>
    <x v="72"/>
    <x v="72"/>
    <x v="72"/>
    <x v="72"/>
  </r>
  <r>
    <x v="73"/>
    <x v="73"/>
    <x v="73"/>
    <x v="73"/>
    <x v="73"/>
    <x v="73"/>
    <x v="73"/>
    <x v="73"/>
    <x v="73"/>
  </r>
  <r>
    <x v="74"/>
    <x v="74"/>
    <x v="74"/>
    <x v="74"/>
    <x v="74"/>
    <x v="74"/>
    <x v="74"/>
    <x v="74"/>
    <x v="74"/>
  </r>
  <r>
    <x v="75"/>
    <x v="75"/>
    <x v="75"/>
    <x v="75"/>
    <x v="75"/>
    <x v="75"/>
    <x v="75"/>
    <x v="75"/>
    <x v="75"/>
  </r>
  <r>
    <x v="76"/>
    <x v="76"/>
    <x v="76"/>
    <x v="76"/>
    <x v="76"/>
    <x v="76"/>
    <x v="76"/>
    <x v="76"/>
    <x v="76"/>
  </r>
  <r>
    <x v="77"/>
    <x v="77"/>
    <x v="77"/>
    <x v="77"/>
    <x v="77"/>
    <x v="77"/>
    <x v="77"/>
    <x v="77"/>
    <x v="77"/>
  </r>
  <r>
    <x v="78"/>
    <x v="78"/>
    <x v="78"/>
    <x v="78"/>
    <x v="78"/>
    <x v="78"/>
    <x v="78"/>
    <x v="78"/>
    <x v="78"/>
  </r>
  <r>
    <x v="79"/>
    <x v="79"/>
    <x v="79"/>
    <x v="79"/>
    <x v="79"/>
    <x v="79"/>
    <x v="79"/>
    <x v="79"/>
    <x v="79"/>
  </r>
  <r>
    <x v="80"/>
    <x v="80"/>
    <x v="80"/>
    <x v="80"/>
    <x v="80"/>
    <x v="80"/>
    <x v="80"/>
    <x v="80"/>
    <x v="80"/>
  </r>
  <r>
    <x v="81"/>
    <x v="81"/>
    <x v="81"/>
    <x v="81"/>
    <x v="81"/>
    <x v="81"/>
    <x v="81"/>
    <x v="81"/>
    <x v="81"/>
  </r>
  <r>
    <x v="82"/>
    <x v="82"/>
    <x v="82"/>
    <x v="82"/>
    <x v="82"/>
    <x v="82"/>
    <x v="82"/>
    <x v="82"/>
    <x v="82"/>
  </r>
  <r>
    <x v="83"/>
    <x v="83"/>
    <x v="83"/>
    <x v="83"/>
    <x v="83"/>
    <x v="83"/>
    <x v="83"/>
    <x v="83"/>
    <x v="83"/>
  </r>
  <r>
    <x v="84"/>
    <x v="84"/>
    <x v="84"/>
    <x v="84"/>
    <x v="84"/>
    <x v="84"/>
    <x v="84"/>
    <x v="84"/>
    <x v="84"/>
  </r>
  <r>
    <x v="85"/>
    <x v="85"/>
    <x v="85"/>
    <x v="85"/>
    <x v="85"/>
    <x v="85"/>
    <x v="85"/>
    <x v="85"/>
    <x v="85"/>
  </r>
  <r>
    <x v="86"/>
    <x v="86"/>
    <x v="86"/>
    <x v="86"/>
    <x v="86"/>
    <x v="86"/>
    <x v="86"/>
    <x v="86"/>
    <x v="86"/>
  </r>
  <r>
    <x v="87"/>
    <x v="87"/>
    <x v="87"/>
    <x v="87"/>
    <x v="87"/>
    <x v="87"/>
    <x v="87"/>
    <x v="87"/>
    <x v="87"/>
  </r>
  <r>
    <x v="88"/>
    <x v="88"/>
    <x v="88"/>
    <x v="88"/>
    <x v="88"/>
    <x v="88"/>
    <x v="88"/>
    <x v="88"/>
    <x v="88"/>
  </r>
  <r>
    <x v="89"/>
    <x v="89"/>
    <x v="89"/>
    <x v="89"/>
    <x v="89"/>
    <x v="89"/>
    <x v="89"/>
    <x v="89"/>
    <x v="89"/>
  </r>
  <r>
    <x v="90"/>
    <x v="90"/>
    <x v="90"/>
    <x v="90"/>
    <x v="90"/>
    <x v="90"/>
    <x v="90"/>
    <x v="90"/>
    <x v="90"/>
  </r>
  <r>
    <x v="91"/>
    <x v="91"/>
    <x v="91"/>
    <x v="91"/>
    <x v="91"/>
    <x v="91"/>
    <x v="91"/>
    <x v="91"/>
    <x v="91"/>
  </r>
  <r>
    <x v="92"/>
    <x v="92"/>
    <x v="92"/>
    <x v="92"/>
    <x v="92"/>
    <x v="92"/>
    <x v="92"/>
    <x v="92"/>
    <x v="92"/>
  </r>
  <r>
    <x v="93"/>
    <x v="93"/>
    <x v="93"/>
    <x v="93"/>
    <x v="93"/>
    <x v="93"/>
    <x v="93"/>
    <x v="93"/>
    <x v="93"/>
  </r>
  <r>
    <x v="94"/>
    <x v="94"/>
    <x v="94"/>
    <x v="94"/>
    <x v="94"/>
    <x v="94"/>
    <x v="94"/>
    <x v="94"/>
    <x v="94"/>
  </r>
  <r>
    <x v="95"/>
    <x v="95"/>
    <x v="95"/>
    <x v="95"/>
    <x v="95"/>
    <x v="95"/>
    <x v="95"/>
    <x v="95"/>
    <x v="95"/>
  </r>
  <r>
    <x v="96"/>
    <x v="96"/>
    <x v="96"/>
    <x v="96"/>
    <x v="96"/>
    <x v="96"/>
    <x v="96"/>
    <x v="96"/>
    <x v="96"/>
  </r>
  <r>
    <x v="97"/>
    <x v="97"/>
    <x v="97"/>
    <x v="97"/>
    <x v="97"/>
    <x v="97"/>
    <x v="97"/>
    <x v="97"/>
    <x v="97"/>
  </r>
  <r>
    <x v="98"/>
    <x v="98"/>
    <x v="98"/>
    <x v="98"/>
    <x v="98"/>
    <x v="98"/>
    <x v="98"/>
    <x v="98"/>
    <x v="98"/>
  </r>
  <r>
    <x v="99"/>
    <x v="99"/>
    <x v="99"/>
    <x v="99"/>
    <x v="99"/>
    <x v="99"/>
    <x v="99"/>
    <x v="99"/>
    <x v="99"/>
  </r>
  <r>
    <x v="100"/>
    <x v="100"/>
    <x v="100"/>
    <x v="100"/>
    <x v="100"/>
    <x v="100"/>
    <x v="100"/>
    <x v="100"/>
    <x v="100"/>
  </r>
  <r>
    <x v="101"/>
    <x v="101"/>
    <x v="101"/>
    <x v="101"/>
    <x v="101"/>
    <x v="101"/>
    <x v="101"/>
    <x v="101"/>
    <x v="101"/>
  </r>
  <r>
    <x v="102"/>
    <x v="102"/>
    <x v="102"/>
    <x v="102"/>
    <x v="102"/>
    <x v="102"/>
    <x v="102"/>
    <x v="102"/>
    <x v="102"/>
  </r>
  <r>
    <x v="103"/>
    <x v="103"/>
    <x v="103"/>
    <x v="103"/>
    <x v="103"/>
    <x v="103"/>
    <x v="103"/>
    <x v="103"/>
    <x v="103"/>
  </r>
  <r>
    <x v="104"/>
    <x v="104"/>
    <x v="104"/>
    <x v="104"/>
    <x v="104"/>
    <x v="104"/>
    <x v="104"/>
    <x v="104"/>
    <x v="104"/>
  </r>
  <r>
    <x v="105"/>
    <x v="105"/>
    <x v="105"/>
    <x v="105"/>
    <x v="105"/>
    <x v="105"/>
    <x v="105"/>
    <x v="105"/>
    <x v="105"/>
  </r>
  <r>
    <x v="106"/>
    <x v="106"/>
    <x v="106"/>
    <x v="106"/>
    <x v="106"/>
    <x v="106"/>
    <x v="106"/>
    <x v="106"/>
    <x v="106"/>
  </r>
  <r>
    <x v="107"/>
    <x v="107"/>
    <x v="107"/>
    <x v="107"/>
    <x v="107"/>
    <x v="107"/>
    <x v="107"/>
    <x v="107"/>
    <x v="107"/>
  </r>
  <r>
    <x v="108"/>
    <x v="108"/>
    <x v="108"/>
    <x v="108"/>
    <x v="108"/>
    <x v="108"/>
    <x v="108"/>
    <x v="108"/>
    <x v="108"/>
  </r>
  <r>
    <x v="109"/>
    <x v="109"/>
    <x v="109"/>
    <x v="109"/>
    <x v="109"/>
    <x v="109"/>
    <x v="109"/>
    <x v="109"/>
    <x v="109"/>
  </r>
  <r>
    <x v="110"/>
    <x v="110"/>
    <x v="110"/>
    <x v="110"/>
    <x v="110"/>
    <x v="110"/>
    <x v="110"/>
    <x v="110"/>
    <x v="110"/>
  </r>
  <r>
    <x v="111"/>
    <x v="111"/>
    <x v="111"/>
    <x v="111"/>
    <x v="111"/>
    <x v="111"/>
    <x v="111"/>
    <x v="111"/>
    <x v="111"/>
  </r>
  <r>
    <x v="112"/>
    <x v="112"/>
    <x v="112"/>
    <x v="112"/>
    <x v="112"/>
    <x v="112"/>
    <x v="112"/>
    <x v="112"/>
    <x v="112"/>
  </r>
  <r>
    <x v="113"/>
    <x v="113"/>
    <x v="113"/>
    <x v="113"/>
    <x v="113"/>
    <x v="113"/>
    <x v="113"/>
    <x v="113"/>
    <x v="113"/>
  </r>
  <r>
    <x v="114"/>
    <x v="114"/>
    <x v="114"/>
    <x v="114"/>
    <x v="114"/>
    <x v="114"/>
    <x v="114"/>
    <x v="114"/>
    <x v="114"/>
  </r>
  <r>
    <x v="115"/>
    <x v="115"/>
    <x v="115"/>
    <x v="115"/>
    <x v="115"/>
    <x v="115"/>
    <x v="115"/>
    <x v="115"/>
    <x v="115"/>
  </r>
  <r>
    <x v="116"/>
    <x v="116"/>
    <x v="116"/>
    <x v="116"/>
    <x v="116"/>
    <x v="116"/>
    <x v="116"/>
    <x v="116"/>
    <x v="116"/>
  </r>
  <r>
    <x v="117"/>
    <x v="117"/>
    <x v="117"/>
    <x v="117"/>
    <x v="117"/>
    <x v="117"/>
    <x v="117"/>
    <x v="117"/>
    <x v="117"/>
  </r>
  <r>
    <x v="118"/>
    <x v="118"/>
    <x v="118"/>
    <x v="118"/>
    <x v="118"/>
    <x v="118"/>
    <x v="118"/>
    <x v="118"/>
    <x v="118"/>
  </r>
  <r>
    <x v="119"/>
    <x v="119"/>
    <x v="119"/>
    <x v="119"/>
    <x v="119"/>
    <x v="119"/>
    <x v="119"/>
    <x v="119"/>
    <x v="119"/>
  </r>
  <r>
    <x v="120"/>
    <x v="120"/>
    <x v="120"/>
    <x v="120"/>
    <x v="120"/>
    <x v="120"/>
    <x v="120"/>
    <x v="120"/>
    <x v="120"/>
  </r>
  <r>
    <x v="121"/>
    <x v="121"/>
    <x v="121"/>
    <x v="121"/>
    <x v="121"/>
    <x v="121"/>
    <x v="121"/>
    <x v="121"/>
    <x v="121"/>
  </r>
  <r>
    <x v="122"/>
    <x v="122"/>
    <x v="122"/>
    <x v="122"/>
    <x v="122"/>
    <x v="122"/>
    <x v="122"/>
    <x v="122"/>
    <x v="122"/>
  </r>
  <r>
    <x v="123"/>
    <x v="123"/>
    <x v="123"/>
    <x v="123"/>
    <x v="123"/>
    <x v="123"/>
    <x v="123"/>
    <x v="123"/>
    <x v="123"/>
  </r>
  <r>
    <x v="124"/>
    <x v="124"/>
    <x v="124"/>
    <x v="124"/>
    <x v="124"/>
    <x v="124"/>
    <x v="124"/>
    <x v="124"/>
    <x v="124"/>
  </r>
  <r>
    <x v="125"/>
    <x v="125"/>
    <x v="125"/>
    <x v="125"/>
    <x v="125"/>
    <x v="125"/>
    <x v="125"/>
    <x v="125"/>
    <x v="125"/>
  </r>
  <r>
    <x v="126"/>
    <x v="126"/>
    <x v="126"/>
    <x v="126"/>
    <x v="126"/>
    <x v="126"/>
    <x v="126"/>
    <x v="126"/>
    <x v="126"/>
  </r>
  <r>
    <x v="127"/>
    <x v="127"/>
    <x v="127"/>
    <x v="127"/>
    <x v="127"/>
    <x v="127"/>
    <x v="127"/>
    <x v="127"/>
    <x v="127"/>
  </r>
  <r>
    <x v="128"/>
    <x v="128"/>
    <x v="128"/>
    <x v="128"/>
    <x v="128"/>
    <x v="128"/>
    <x v="128"/>
    <x v="128"/>
    <x v="128"/>
  </r>
  <r>
    <x v="129"/>
    <x v="129"/>
    <x v="129"/>
    <x v="129"/>
    <x v="129"/>
    <x v="129"/>
    <x v="129"/>
    <x v="129"/>
    <x v="129"/>
  </r>
  <r>
    <x v="130"/>
    <x v="130"/>
    <x v="130"/>
    <x v="130"/>
    <x v="130"/>
    <x v="130"/>
    <x v="130"/>
    <x v="130"/>
    <x v="130"/>
  </r>
  <r>
    <x v="131"/>
    <x v="131"/>
    <x v="131"/>
    <x v="131"/>
    <x v="131"/>
    <x v="131"/>
    <x v="131"/>
    <x v="131"/>
    <x v="131"/>
  </r>
  <r>
    <x v="132"/>
    <x v="132"/>
    <x v="132"/>
    <x v="132"/>
    <x v="132"/>
    <x v="132"/>
    <x v="132"/>
    <x v="132"/>
    <x v="132"/>
  </r>
  <r>
    <x v="133"/>
    <x v="133"/>
    <x v="133"/>
    <x v="133"/>
    <x v="133"/>
    <x v="133"/>
    <x v="133"/>
    <x v="133"/>
    <x v="133"/>
  </r>
  <r>
    <x v="134"/>
    <x v="134"/>
    <x v="134"/>
    <x v="134"/>
    <x v="134"/>
    <x v="134"/>
    <x v="134"/>
    <x v="134"/>
    <x v="134"/>
  </r>
  <r>
    <x v="135"/>
    <x v="135"/>
    <x v="135"/>
    <x v="135"/>
    <x v="135"/>
    <x v="135"/>
    <x v="135"/>
    <x v="135"/>
    <x v="135"/>
  </r>
  <r>
    <x v="136"/>
    <x v="136"/>
    <x v="136"/>
    <x v="136"/>
    <x v="136"/>
    <x v="136"/>
    <x v="136"/>
    <x v="136"/>
    <x v="136"/>
  </r>
  <r>
    <x v="137"/>
    <x v="137"/>
    <x v="137"/>
    <x v="137"/>
    <x v="137"/>
    <x v="137"/>
    <x v="137"/>
    <x v="137"/>
    <x v="137"/>
  </r>
  <r>
    <x v="138"/>
    <x v="138"/>
    <x v="138"/>
    <x v="138"/>
    <x v="138"/>
    <x v="138"/>
    <x v="138"/>
    <x v="138"/>
    <x v="138"/>
  </r>
  <r>
    <x v="139"/>
    <x v="139"/>
    <x v="139"/>
    <x v="139"/>
    <x v="139"/>
    <x v="139"/>
    <x v="139"/>
    <x v="139"/>
    <x v="139"/>
  </r>
  <r>
    <x v="140"/>
    <x v="140"/>
    <x v="140"/>
    <x v="140"/>
    <x v="140"/>
    <x v="140"/>
    <x v="140"/>
    <x v="140"/>
    <x v="140"/>
  </r>
  <r>
    <x v="141"/>
    <x v="141"/>
    <x v="141"/>
    <x v="141"/>
    <x v="141"/>
    <x v="141"/>
    <x v="141"/>
    <x v="141"/>
    <x v="141"/>
  </r>
  <r>
    <x v="142"/>
    <x v="142"/>
    <x v="142"/>
    <x v="142"/>
    <x v="142"/>
    <x v="142"/>
    <x v="142"/>
    <x v="142"/>
    <x v="142"/>
  </r>
  <r>
    <x v="143"/>
    <x v="143"/>
    <x v="143"/>
    <x v="143"/>
    <x v="143"/>
    <x v="143"/>
    <x v="143"/>
    <x v="143"/>
    <x v="143"/>
  </r>
  <r>
    <x v="144"/>
    <x v="144"/>
    <x v="144"/>
    <x v="144"/>
    <x v="144"/>
    <x v="144"/>
    <x v="144"/>
    <x v="144"/>
    <x v="144"/>
  </r>
  <r>
    <x v="145"/>
    <x v="145"/>
    <x v="145"/>
    <x v="145"/>
    <x v="145"/>
    <x v="145"/>
    <x v="145"/>
    <x v="145"/>
    <x v="145"/>
  </r>
  <r>
    <x v="146"/>
    <x v="146"/>
    <x v="146"/>
    <x v="146"/>
    <x v="146"/>
    <x v="146"/>
    <x v="146"/>
    <x v="146"/>
    <x v="146"/>
  </r>
  <r>
    <x v="147"/>
    <x v="147"/>
    <x v="147"/>
    <x v="147"/>
    <x v="147"/>
    <x v="147"/>
    <x v="147"/>
    <x v="147"/>
    <x v="147"/>
  </r>
  <r>
    <x v="148"/>
    <x v="148"/>
    <x v="148"/>
    <x v="148"/>
    <x v="148"/>
    <x v="148"/>
    <x v="148"/>
    <x v="148"/>
    <x v="148"/>
  </r>
  <r>
    <x v="149"/>
    <x v="149"/>
    <x v="149"/>
    <x v="149"/>
    <x v="149"/>
    <x v="149"/>
    <x v="149"/>
    <x v="149"/>
    <x v="149"/>
  </r>
  <r>
    <x v="150"/>
    <x v="150"/>
    <x v="150"/>
    <x v="150"/>
    <x v="150"/>
    <x v="150"/>
    <x v="150"/>
    <x v="150"/>
    <x v="150"/>
  </r>
  <r>
    <x v="151"/>
    <x v="151"/>
    <x v="151"/>
    <x v="151"/>
    <x v="151"/>
    <x v="151"/>
    <x v="151"/>
    <x v="151"/>
    <x v="151"/>
  </r>
  <r>
    <x v="152"/>
    <x v="152"/>
    <x v="152"/>
    <x v="152"/>
    <x v="152"/>
    <x v="152"/>
    <x v="152"/>
    <x v="152"/>
    <x v="152"/>
  </r>
  <r>
    <x v="153"/>
    <x v="153"/>
    <x v="153"/>
    <x v="153"/>
    <x v="153"/>
    <x v="153"/>
    <x v="153"/>
    <x v="153"/>
    <x v="153"/>
  </r>
  <r>
    <x v="154"/>
    <x v="154"/>
    <x v="154"/>
    <x v="154"/>
    <x v="154"/>
    <x v="154"/>
    <x v="154"/>
    <x v="154"/>
    <x v="154"/>
  </r>
  <r>
    <x v="155"/>
    <x v="155"/>
    <x v="155"/>
    <x v="155"/>
    <x v="155"/>
    <x v="155"/>
    <x v="155"/>
    <x v="155"/>
    <x v="155"/>
  </r>
  <r>
    <x v="156"/>
    <x v="156"/>
    <x v="156"/>
    <x v="156"/>
    <x v="156"/>
    <x v="156"/>
    <x v="156"/>
    <x v="156"/>
    <x v="156"/>
  </r>
  <r>
    <x v="157"/>
    <x v="157"/>
    <x v="157"/>
    <x v="157"/>
    <x v="157"/>
    <x v="157"/>
    <x v="157"/>
    <x v="157"/>
    <x v="157"/>
  </r>
  <r>
    <x v="158"/>
    <x v="158"/>
    <x v="158"/>
    <x v="158"/>
    <x v="158"/>
    <x v="158"/>
    <x v="158"/>
    <x v="158"/>
    <x v="158"/>
  </r>
  <r>
    <x v="159"/>
    <x v="159"/>
    <x v="159"/>
    <x v="159"/>
    <x v="159"/>
    <x v="159"/>
    <x v="159"/>
    <x v="159"/>
    <x v="159"/>
  </r>
  <r>
    <x v="160"/>
    <x v="160"/>
    <x v="160"/>
    <x v="160"/>
    <x v="160"/>
    <x v="160"/>
    <x v="160"/>
    <x v="160"/>
    <x v="160"/>
  </r>
  <r>
    <x v="161"/>
    <x v="161"/>
    <x v="161"/>
    <x v="161"/>
    <x v="161"/>
    <x v="161"/>
    <x v="161"/>
    <x v="161"/>
    <x v="161"/>
  </r>
  <r>
    <x v="162"/>
    <x v="162"/>
    <x v="162"/>
    <x v="162"/>
    <x v="162"/>
    <x v="162"/>
    <x v="162"/>
    <x v="162"/>
    <x v="162"/>
  </r>
  <r>
    <x v="163"/>
    <x v="163"/>
    <x v="163"/>
    <x v="163"/>
    <x v="163"/>
    <x v="163"/>
    <x v="163"/>
    <x v="163"/>
    <x v="163"/>
  </r>
  <r>
    <x v="164"/>
    <x v="164"/>
    <x v="164"/>
    <x v="164"/>
    <x v="164"/>
    <x v="164"/>
    <x v="164"/>
    <x v="164"/>
    <x v="164"/>
  </r>
  <r>
    <x v="165"/>
    <x v="165"/>
    <x v="165"/>
    <x v="165"/>
    <x v="165"/>
    <x v="165"/>
    <x v="165"/>
    <x v="165"/>
    <x v="165"/>
  </r>
  <r>
    <x v="166"/>
    <x v="166"/>
    <x v="166"/>
    <x v="166"/>
    <x v="166"/>
    <x v="166"/>
    <x v="166"/>
    <x v="166"/>
    <x v="166"/>
  </r>
  <r>
    <x v="167"/>
    <x v="167"/>
    <x v="167"/>
    <x v="167"/>
    <x v="167"/>
    <x v="167"/>
    <x v="167"/>
    <x v="167"/>
    <x v="167"/>
  </r>
  <r>
    <x v="168"/>
    <x v="168"/>
    <x v="168"/>
    <x v="168"/>
    <x v="168"/>
    <x v="168"/>
    <x v="168"/>
    <x v="168"/>
    <x v="168"/>
  </r>
  <r>
    <x v="169"/>
    <x v="169"/>
    <x v="169"/>
    <x v="169"/>
    <x v="169"/>
    <x v="169"/>
    <x v="169"/>
    <x v="169"/>
    <x v="169"/>
  </r>
  <r>
    <x v="170"/>
    <x v="170"/>
    <x v="170"/>
    <x v="170"/>
    <x v="170"/>
    <x v="170"/>
    <x v="170"/>
    <x v="170"/>
    <x v="170"/>
  </r>
  <r>
    <x v="171"/>
    <x v="171"/>
    <x v="171"/>
    <x v="171"/>
    <x v="171"/>
    <x v="171"/>
    <x v="171"/>
    <x v="171"/>
    <x v="171"/>
  </r>
  <r>
    <x v="172"/>
    <x v="172"/>
    <x v="172"/>
    <x v="172"/>
    <x v="172"/>
    <x v="172"/>
    <x v="172"/>
    <x v="172"/>
    <x v="172"/>
  </r>
  <r>
    <x v="173"/>
    <x v="173"/>
    <x v="173"/>
    <x v="173"/>
    <x v="173"/>
    <x v="173"/>
    <x v="173"/>
    <x v="173"/>
    <x v="173"/>
  </r>
  <r>
    <x v="174"/>
    <x v="174"/>
    <x v="174"/>
    <x v="174"/>
    <x v="174"/>
    <x v="174"/>
    <x v="174"/>
    <x v="174"/>
    <x v="174"/>
  </r>
  <r>
    <x v="175"/>
    <x v="175"/>
    <x v="175"/>
    <x v="175"/>
    <x v="175"/>
    <x v="175"/>
    <x v="175"/>
    <x v="175"/>
    <x v="175"/>
  </r>
  <r>
    <x v="176"/>
    <x v="176"/>
    <x v="176"/>
    <x v="176"/>
    <x v="176"/>
    <x v="176"/>
    <x v="176"/>
    <x v="176"/>
    <x v="176"/>
  </r>
  <r>
    <x v="177"/>
    <x v="177"/>
    <x v="177"/>
    <x v="177"/>
    <x v="177"/>
    <x v="177"/>
    <x v="177"/>
    <x v="177"/>
    <x v="177"/>
  </r>
  <r>
    <x v="178"/>
    <x v="178"/>
    <x v="178"/>
    <x v="178"/>
    <x v="178"/>
    <x v="178"/>
    <x v="178"/>
    <x v="178"/>
    <x v="178"/>
  </r>
  <r>
    <x v="179"/>
    <x v="179"/>
    <x v="179"/>
    <x v="179"/>
    <x v="179"/>
    <x v="179"/>
    <x v="179"/>
    <x v="179"/>
    <x v="179"/>
  </r>
  <r>
    <x v="180"/>
    <x v="180"/>
    <x v="180"/>
    <x v="180"/>
    <x v="180"/>
    <x v="180"/>
    <x v="180"/>
    <x v="180"/>
    <x v="180"/>
  </r>
  <r>
    <x v="181"/>
    <x v="181"/>
    <x v="181"/>
    <x v="181"/>
    <x v="181"/>
    <x v="181"/>
    <x v="181"/>
    <x v="181"/>
    <x v="181"/>
  </r>
  <r>
    <x v="182"/>
    <x v="182"/>
    <x v="182"/>
    <x v="182"/>
    <x v="182"/>
    <x v="182"/>
    <x v="182"/>
    <x v="182"/>
    <x v="182"/>
  </r>
  <r>
    <x v="183"/>
    <x v="183"/>
    <x v="183"/>
    <x v="183"/>
    <x v="183"/>
    <x v="183"/>
    <x v="183"/>
    <x v="183"/>
    <x v="183"/>
  </r>
  <r>
    <x v="184"/>
    <x v="184"/>
    <x v="184"/>
    <x v="184"/>
    <x v="184"/>
    <x v="184"/>
    <x v="184"/>
    <x v="184"/>
    <x v="184"/>
  </r>
  <r>
    <x v="185"/>
    <x v="185"/>
    <x v="185"/>
    <x v="185"/>
    <x v="185"/>
    <x v="185"/>
    <x v="185"/>
    <x v="185"/>
    <x v="185"/>
  </r>
  <r>
    <x v="186"/>
    <x v="186"/>
    <x v="186"/>
    <x v="186"/>
    <x v="186"/>
    <x v="186"/>
    <x v="186"/>
    <x v="186"/>
    <x v="186"/>
  </r>
  <r>
    <x v="187"/>
    <x v="187"/>
    <x v="187"/>
    <x v="187"/>
    <x v="187"/>
    <x v="187"/>
    <x v="187"/>
    <x v="187"/>
    <x v="187"/>
  </r>
  <r>
    <x v="188"/>
    <x v="188"/>
    <x v="188"/>
    <x v="188"/>
    <x v="188"/>
    <x v="188"/>
    <x v="188"/>
    <x v="188"/>
    <x v="188"/>
  </r>
  <r>
    <x v="189"/>
    <x v="189"/>
    <x v="189"/>
    <x v="189"/>
    <x v="189"/>
    <x v="189"/>
    <x v="189"/>
    <x v="189"/>
    <x v="189"/>
  </r>
  <r>
    <x v="190"/>
    <x v="190"/>
    <x v="190"/>
    <x v="190"/>
    <x v="190"/>
    <x v="190"/>
    <x v="190"/>
    <x v="190"/>
    <x v="190"/>
  </r>
  <r>
    <x v="191"/>
    <x v="191"/>
    <x v="191"/>
    <x v="191"/>
    <x v="191"/>
    <x v="191"/>
    <x v="191"/>
    <x v="191"/>
    <x v="191"/>
  </r>
  <r>
    <x v="192"/>
    <x v="192"/>
    <x v="192"/>
    <x v="192"/>
    <x v="192"/>
    <x v="192"/>
    <x v="192"/>
    <x v="192"/>
    <x v="192"/>
  </r>
  <r>
    <x v="193"/>
    <x v="193"/>
    <x v="193"/>
    <x v="193"/>
    <x v="193"/>
    <x v="193"/>
    <x v="193"/>
    <x v="193"/>
    <x v="193"/>
  </r>
  <r>
    <x v="194"/>
    <x v="194"/>
    <x v="194"/>
    <x v="194"/>
    <x v="194"/>
    <x v="194"/>
    <x v="194"/>
    <x v="194"/>
    <x v="194"/>
  </r>
  <r>
    <x v="195"/>
    <x v="195"/>
    <x v="195"/>
    <x v="195"/>
    <x v="195"/>
    <x v="195"/>
    <x v="195"/>
    <x v="195"/>
    <x v="195"/>
  </r>
  <r>
    <x v="196"/>
    <x v="196"/>
    <x v="196"/>
    <x v="196"/>
    <x v="196"/>
    <x v="196"/>
    <x v="196"/>
    <x v="196"/>
    <x v="196"/>
  </r>
  <r>
    <x v="197"/>
    <x v="197"/>
    <x v="197"/>
    <x v="197"/>
    <x v="197"/>
    <x v="197"/>
    <x v="197"/>
    <x v="197"/>
    <x v="197"/>
  </r>
  <r>
    <x v="198"/>
    <x v="198"/>
    <x v="198"/>
    <x v="198"/>
    <x v="198"/>
    <x v="198"/>
    <x v="198"/>
    <x v="198"/>
    <x v="198"/>
  </r>
  <r>
    <x v="199"/>
    <x v="199"/>
    <x v="199"/>
    <x v="199"/>
    <x v="199"/>
    <x v="199"/>
    <x v="199"/>
    <x v="199"/>
    <x v="199"/>
  </r>
  <r>
    <x v="200"/>
    <x v="200"/>
    <x v="200"/>
    <x v="200"/>
    <x v="200"/>
    <x v="200"/>
    <x v="200"/>
    <x v="200"/>
    <x v="200"/>
  </r>
  <r>
    <x v="201"/>
    <x v="201"/>
    <x v="201"/>
    <x v="201"/>
    <x v="201"/>
    <x v="201"/>
    <x v="201"/>
    <x v="201"/>
    <x v="201"/>
  </r>
  <r>
    <x v="202"/>
    <x v="202"/>
    <x v="202"/>
    <x v="202"/>
    <x v="202"/>
    <x v="202"/>
    <x v="202"/>
    <x v="202"/>
    <x v="202"/>
  </r>
  <r>
    <x v="203"/>
    <x v="203"/>
    <x v="203"/>
    <x v="203"/>
    <x v="203"/>
    <x v="203"/>
    <x v="203"/>
    <x v="203"/>
    <x v="203"/>
  </r>
  <r>
    <x v="204"/>
    <x v="204"/>
    <x v="204"/>
    <x v="204"/>
    <x v="204"/>
    <x v="204"/>
    <x v="204"/>
    <x v="204"/>
    <x v="204"/>
  </r>
  <r>
    <x v="205"/>
    <x v="205"/>
    <x v="205"/>
    <x v="205"/>
    <x v="205"/>
    <x v="205"/>
    <x v="205"/>
    <x v="205"/>
    <x v="205"/>
  </r>
  <r>
    <x v="206"/>
    <x v="206"/>
    <x v="206"/>
    <x v="206"/>
    <x v="206"/>
    <x v="206"/>
    <x v="206"/>
    <x v="206"/>
    <x v="206"/>
  </r>
  <r>
    <x v="207"/>
    <x v="207"/>
    <x v="207"/>
    <x v="207"/>
    <x v="207"/>
    <x v="207"/>
    <x v="207"/>
    <x v="207"/>
    <x v="207"/>
  </r>
  <r>
    <x v="208"/>
    <x v="208"/>
    <x v="208"/>
    <x v="208"/>
    <x v="208"/>
    <x v="208"/>
    <x v="208"/>
    <x v="208"/>
    <x v="208"/>
  </r>
  <r>
    <x v="209"/>
    <x v="209"/>
    <x v="209"/>
    <x v="209"/>
    <x v="209"/>
    <x v="209"/>
    <x v="209"/>
    <x v="209"/>
    <x v="209"/>
  </r>
  <r>
    <x v="210"/>
    <x v="210"/>
    <x v="210"/>
    <x v="210"/>
    <x v="210"/>
    <x v="210"/>
    <x v="210"/>
    <x v="210"/>
    <x v="210"/>
  </r>
  <r>
    <x v="211"/>
    <x v="211"/>
    <x v="211"/>
    <x v="211"/>
    <x v="211"/>
    <x v="211"/>
    <x v="211"/>
    <x v="211"/>
    <x v="211"/>
  </r>
  <r>
    <x v="212"/>
    <x v="212"/>
    <x v="212"/>
    <x v="212"/>
    <x v="212"/>
    <x v="212"/>
    <x v="212"/>
    <x v="212"/>
    <x v="212"/>
  </r>
  <r>
    <x v="213"/>
    <x v="213"/>
    <x v="213"/>
    <x v="213"/>
    <x v="213"/>
    <x v="213"/>
    <x v="213"/>
    <x v="213"/>
    <x v="213"/>
  </r>
  <r>
    <x v="214"/>
    <x v="214"/>
    <x v="214"/>
    <x v="214"/>
    <x v="214"/>
    <x v="214"/>
    <x v="214"/>
    <x v="214"/>
    <x v="214"/>
  </r>
  <r>
    <x v="215"/>
    <x v="215"/>
    <x v="215"/>
    <x v="215"/>
    <x v="215"/>
    <x v="215"/>
    <x v="215"/>
    <x v="215"/>
    <x v="215"/>
  </r>
  <r>
    <x v="216"/>
    <x v="216"/>
    <x v="216"/>
    <x v="216"/>
    <x v="216"/>
    <x v="216"/>
    <x v="216"/>
    <x v="216"/>
    <x v="216"/>
  </r>
  <r>
    <x v="217"/>
    <x v="217"/>
    <x v="217"/>
    <x v="217"/>
    <x v="217"/>
    <x v="217"/>
    <x v="217"/>
    <x v="217"/>
    <x v="217"/>
  </r>
  <r>
    <x v="218"/>
    <x v="218"/>
    <x v="218"/>
    <x v="218"/>
    <x v="218"/>
    <x v="218"/>
    <x v="218"/>
    <x v="218"/>
    <x v="218"/>
  </r>
  <r>
    <x v="219"/>
    <x v="219"/>
    <x v="219"/>
    <x v="219"/>
    <x v="219"/>
    <x v="219"/>
    <x v="219"/>
    <x v="219"/>
    <x v="219"/>
  </r>
  <r>
    <x v="220"/>
    <x v="220"/>
    <x v="220"/>
    <x v="220"/>
    <x v="220"/>
    <x v="220"/>
    <x v="220"/>
    <x v="220"/>
    <x v="220"/>
  </r>
  <r>
    <x v="221"/>
    <x v="221"/>
    <x v="221"/>
    <x v="221"/>
    <x v="221"/>
    <x v="221"/>
    <x v="221"/>
    <x v="221"/>
    <x v="221"/>
  </r>
  <r>
    <x v="222"/>
    <x v="222"/>
    <x v="222"/>
    <x v="222"/>
    <x v="222"/>
    <x v="222"/>
    <x v="222"/>
    <x v="222"/>
    <x v="222"/>
  </r>
  <r>
    <x v="223"/>
    <x v="223"/>
    <x v="223"/>
    <x v="223"/>
    <x v="223"/>
    <x v="223"/>
    <x v="223"/>
    <x v="223"/>
    <x v="223"/>
  </r>
  <r>
    <x v="224"/>
    <x v="224"/>
    <x v="224"/>
    <x v="224"/>
    <x v="224"/>
    <x v="224"/>
    <x v="224"/>
    <x v="224"/>
    <x v="224"/>
  </r>
  <r>
    <x v="225"/>
    <x v="225"/>
    <x v="225"/>
    <x v="225"/>
    <x v="225"/>
    <x v="225"/>
    <x v="225"/>
    <x v="225"/>
    <x v="225"/>
  </r>
  <r>
    <x v="226"/>
    <x v="226"/>
    <x v="226"/>
    <x v="226"/>
    <x v="226"/>
    <x v="226"/>
    <x v="226"/>
    <x v="226"/>
    <x v="226"/>
  </r>
  <r>
    <x v="227"/>
    <x v="227"/>
    <x v="227"/>
    <x v="227"/>
    <x v="227"/>
    <x v="227"/>
    <x v="227"/>
    <x v="227"/>
    <x v="227"/>
  </r>
  <r>
    <x v="228"/>
    <x v="228"/>
    <x v="228"/>
    <x v="228"/>
    <x v="228"/>
    <x v="228"/>
    <x v="228"/>
    <x v="228"/>
    <x v="228"/>
  </r>
  <r>
    <x v="229"/>
    <x v="229"/>
    <x v="229"/>
    <x v="229"/>
    <x v="229"/>
    <x v="229"/>
    <x v="229"/>
    <x v="229"/>
    <x v="229"/>
  </r>
  <r>
    <x v="230"/>
    <x v="230"/>
    <x v="230"/>
    <x v="230"/>
    <x v="230"/>
    <x v="230"/>
    <x v="230"/>
    <x v="230"/>
    <x v="230"/>
  </r>
  <r>
    <x v="231"/>
    <x v="231"/>
    <x v="231"/>
    <x v="231"/>
    <x v="231"/>
    <x v="231"/>
    <x v="231"/>
    <x v="231"/>
    <x v="231"/>
  </r>
  <r>
    <x v="232"/>
    <x v="232"/>
    <x v="232"/>
    <x v="232"/>
    <x v="232"/>
    <x v="232"/>
    <x v="232"/>
    <x v="232"/>
    <x v="232"/>
  </r>
  <r>
    <x v="233"/>
    <x v="233"/>
    <x v="233"/>
    <x v="233"/>
    <x v="233"/>
    <x v="233"/>
    <x v="233"/>
    <x v="233"/>
    <x v="233"/>
  </r>
  <r>
    <x v="234"/>
    <x v="234"/>
    <x v="234"/>
    <x v="234"/>
    <x v="234"/>
    <x v="234"/>
    <x v="234"/>
    <x v="234"/>
    <x v="234"/>
  </r>
  <r>
    <x v="235"/>
    <x v="235"/>
    <x v="235"/>
    <x v="235"/>
    <x v="235"/>
    <x v="235"/>
    <x v="235"/>
    <x v="235"/>
    <x v="235"/>
  </r>
  <r>
    <x v="236"/>
    <x v="236"/>
    <x v="236"/>
    <x v="236"/>
    <x v="236"/>
    <x v="236"/>
    <x v="236"/>
    <x v="236"/>
    <x v="236"/>
  </r>
  <r>
    <x v="237"/>
    <x v="237"/>
    <x v="237"/>
    <x v="237"/>
    <x v="237"/>
    <x v="237"/>
    <x v="237"/>
    <x v="237"/>
    <x v="237"/>
  </r>
  <r>
    <x v="238"/>
    <x v="238"/>
    <x v="238"/>
    <x v="238"/>
    <x v="238"/>
    <x v="238"/>
    <x v="238"/>
    <x v="238"/>
    <x v="238"/>
  </r>
  <r>
    <x v="239"/>
    <x v="239"/>
    <x v="239"/>
    <x v="239"/>
    <x v="239"/>
    <x v="239"/>
    <x v="239"/>
    <x v="239"/>
    <x v="239"/>
  </r>
  <r>
    <x v="240"/>
    <x v="240"/>
    <x v="240"/>
    <x v="240"/>
    <x v="240"/>
    <x v="240"/>
    <x v="240"/>
    <x v="240"/>
    <x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3A97B-25EF-4D7B-9A09-97BAE0ED003F}" name="PivotTable1" cacheId="0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 chartFormat="38" rowHeaderCaption="Date">
  <location ref="A3:F245" firstHeaderRow="0" firstDataRow="1" firstDataCol="1"/>
  <pivotFields count="12">
    <pivotField axis="axisRow" numFmtId="14" showAll="0" sortType="ascending">
      <items count="242"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164" showAll="0">
      <items count="242">
        <item x="220"/>
        <item x="219"/>
        <item x="229"/>
        <item x="232"/>
        <item x="221"/>
        <item x="228"/>
        <item x="225"/>
        <item x="231"/>
        <item x="240"/>
        <item x="216"/>
        <item x="222"/>
        <item x="226"/>
        <item x="233"/>
        <item x="237"/>
        <item x="217"/>
        <item x="230"/>
        <item x="238"/>
        <item x="234"/>
        <item x="224"/>
        <item x="213"/>
        <item x="239"/>
        <item x="227"/>
        <item x="236"/>
        <item x="214"/>
        <item x="218"/>
        <item x="210"/>
        <item x="223"/>
        <item x="215"/>
        <item x="235"/>
        <item x="208"/>
        <item x="209"/>
        <item x="212"/>
        <item x="207"/>
        <item x="211"/>
        <item x="206"/>
        <item x="120"/>
        <item x="121"/>
        <item x="136"/>
        <item x="124"/>
        <item x="135"/>
        <item x="133"/>
        <item x="129"/>
        <item x="132"/>
        <item x="122"/>
        <item x="126"/>
        <item x="131"/>
        <item x="123"/>
        <item x="125"/>
        <item x="137"/>
        <item x="134"/>
        <item x="130"/>
        <item x="138"/>
        <item x="128"/>
        <item x="169"/>
        <item x="127"/>
        <item x="117"/>
        <item x="168"/>
        <item x="141"/>
        <item x="205"/>
        <item x="171"/>
        <item x="170"/>
        <item x="119"/>
        <item x="112"/>
        <item x="167"/>
        <item x="118"/>
        <item x="166"/>
        <item x="113"/>
        <item x="165"/>
        <item x="114"/>
        <item x="145"/>
        <item x="172"/>
        <item x="144"/>
        <item x="111"/>
        <item x="116"/>
        <item x="147"/>
        <item x="148"/>
        <item x="173"/>
        <item x="159"/>
        <item x="142"/>
        <item x="160"/>
        <item x="161"/>
        <item x="149"/>
        <item x="153"/>
        <item x="164"/>
        <item x="162"/>
        <item x="140"/>
        <item x="157"/>
        <item x="115"/>
        <item x="143"/>
        <item x="156"/>
        <item x="154"/>
        <item x="110"/>
        <item x="146"/>
        <item x="174"/>
        <item x="109"/>
        <item x="139"/>
        <item x="158"/>
        <item x="163"/>
        <item x="189"/>
        <item x="150"/>
        <item x="155"/>
        <item x="175"/>
        <item x="100"/>
        <item x="188"/>
        <item x="176"/>
        <item x="152"/>
        <item x="102"/>
        <item x="98"/>
        <item x="101"/>
        <item x="108"/>
        <item x="104"/>
        <item x="103"/>
        <item x="99"/>
        <item x="177"/>
        <item x="105"/>
        <item x="180"/>
        <item x="178"/>
        <item x="179"/>
        <item x="184"/>
        <item x="181"/>
        <item x="183"/>
        <item x="151"/>
        <item x="190"/>
        <item x="201"/>
        <item x="97"/>
        <item x="106"/>
        <item x="182"/>
        <item x="187"/>
        <item x="186"/>
        <item x="191"/>
        <item x="185"/>
        <item x="96"/>
        <item x="192"/>
        <item x="202"/>
        <item x="107"/>
        <item x="204"/>
        <item x="94"/>
        <item x="93"/>
        <item x="95"/>
        <item x="200"/>
        <item x="193"/>
        <item x="198"/>
        <item x="203"/>
        <item x="196"/>
        <item x="195"/>
        <item x="199"/>
        <item x="197"/>
        <item x="194"/>
        <item x="92"/>
        <item x="88"/>
        <item x="90"/>
        <item x="89"/>
        <item x="87"/>
        <item x="75"/>
        <item x="85"/>
        <item x="76"/>
        <item x="84"/>
        <item x="91"/>
        <item x="81"/>
        <item x="74"/>
        <item x="82"/>
        <item x="86"/>
        <item x="77"/>
        <item x="73"/>
        <item x="78"/>
        <item x="83"/>
        <item x="80"/>
        <item x="69"/>
        <item x="70"/>
        <item x="72"/>
        <item x="79"/>
        <item x="71"/>
        <item x="68"/>
        <item x="67"/>
        <item x="39"/>
        <item x="40"/>
        <item x="37"/>
        <item x="36"/>
        <item x="41"/>
        <item x="34"/>
        <item x="49"/>
        <item x="38"/>
        <item x="46"/>
        <item x="47"/>
        <item x="35"/>
        <item x="42"/>
        <item x="48"/>
        <item x="43"/>
        <item x="33"/>
        <item x="30"/>
        <item x="45"/>
        <item x="29"/>
        <item x="66"/>
        <item x="50"/>
        <item x="44"/>
        <item x="32"/>
        <item x="31"/>
        <item x="51"/>
        <item x="52"/>
        <item x="53"/>
        <item x="28"/>
        <item x="54"/>
        <item x="65"/>
        <item x="55"/>
        <item x="27"/>
        <item x="56"/>
        <item x="59"/>
        <item x="57"/>
        <item x="58"/>
        <item x="60"/>
        <item x="61"/>
        <item x="26"/>
        <item x="62"/>
        <item x="63"/>
        <item x="64"/>
        <item x="25"/>
        <item x="24"/>
        <item x="23"/>
        <item x="22"/>
        <item x="16"/>
        <item x="21"/>
        <item x="4"/>
        <item x="18"/>
        <item x="17"/>
        <item x="15"/>
        <item x="3"/>
        <item x="5"/>
        <item x="13"/>
        <item x="20"/>
        <item x="6"/>
        <item x="19"/>
        <item x="14"/>
        <item x="7"/>
        <item x="12"/>
        <item x="10"/>
        <item x="8"/>
        <item x="2"/>
        <item x="9"/>
        <item x="11"/>
        <item x="1"/>
        <item x="0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1">
    <field x="0"/>
  </rowFields>
  <rowItems count="2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Bills" fld="1" baseField="0" baseItem="0" numFmtId="164"/>
    <dataField name=" Notes" fld="2" baseField="0" baseItem="0" numFmtId="164"/>
    <dataField name=" Bonds" fld="3" baseField="0" baseItem="0" numFmtId="164"/>
    <dataField name=" Other Marketable" fld="4" baseField="0" baseItem="0" numFmtId="164"/>
    <dataField name=" Total Nonmarketable" fld="5" baseField="0" baseItem="0" numFmtId="164"/>
  </dataFields>
  <chartFormats count="10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76AE4-7838-45FB-A223-42C9540C6A1D}" name="Table1" displayName="Table1" ref="A1:F242" totalsRowShown="0" dataDxfId="6" dataCellStyle="Currency">
  <autoFilter ref="A1:F242" xr:uid="{02576AE4-7838-45FB-A223-42C9540C6A1D}"/>
  <tableColumns count="6">
    <tableColumn id="1" xr3:uid="{6E2A0D95-F7A2-4E8C-8519-124307AF145D}" name="Date" dataDxfId="5"/>
    <tableColumn id="2" xr3:uid="{777D71B0-FB23-49E3-A6BD-7BC8C885C9AD}" name="Total Debt held by the Public" dataDxfId="4" dataCellStyle="Currency"/>
    <tableColumn id="3" xr3:uid="{12DF25CB-9195-4290-AD56-84C00C297D3D}" name="Total Intragovernmental Debt" dataDxfId="3" dataCellStyle="Currency"/>
    <tableColumn id="4" xr3:uid="{5338BAD2-C132-4925-A694-EDED28949D73}" name="Total Outstanding National Debt" dataDxfId="2" dataCellStyle="Currency"/>
    <tableColumn id="5" xr3:uid="{B7B7B214-B1F6-4E43-BC61-B38F32DBBC1F}" name="Public share" dataDxfId="1" dataCellStyle="Percent">
      <calculatedColumnFormula>Table1[[#This Row],[Total Debt held by the Public]]/Table1[[#This Row],[Total Outstanding National Debt]]</calculatedColumnFormula>
    </tableColumn>
    <tableColumn id="6" xr3:uid="{D6E0271C-3474-4724-87EA-F61E4035955B}" name="Intragovernmental share" dataDxfId="0" dataCellStyle="Percent">
      <calculatedColumnFormula>Table1[[#This Row],[Total Intragovernmental Debt]]/Table1[[#This Row],[Total Outstanding National Debt]]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40A1-1CD8-4237-A2A6-F20ABB105727}">
  <dimension ref="A1:H3638"/>
  <sheetViews>
    <sheetView tabSelected="1" zoomScaleNormal="100" workbookViewId="0">
      <pane ySplit="1" topLeftCell="A3610" activePane="bottomLeft" state="frozen"/>
      <selection pane="bottomLeft" activeCell="E3635" sqref="E3635"/>
    </sheetView>
  </sheetViews>
  <sheetFormatPr defaultRowHeight="14.4" x14ac:dyDescent="0.3"/>
  <cols>
    <col min="1" max="1" width="10.88671875" bestFit="1" customWidth="1"/>
    <col min="2" max="2" width="24.6640625" bestFit="1" customWidth="1"/>
    <col min="3" max="3" width="32.109375" bestFit="1" customWidth="1"/>
    <col min="4" max="4" width="29" bestFit="1" customWidth="1"/>
    <col min="5" max="5" width="12.6640625" bestFit="1" customWidth="1"/>
    <col min="6" max="6" width="34.3320312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>
        <v>38656</v>
      </c>
      <c r="B2" t="s">
        <v>22</v>
      </c>
      <c r="C2" t="s">
        <v>14</v>
      </c>
      <c r="D2" s="2">
        <v>4650515.77659046</v>
      </c>
      <c r="E2" s="2">
        <v>3376607.0589751899</v>
      </c>
      <c r="F2" s="2">
        <v>8027122.94956565</v>
      </c>
    </row>
    <row r="3" spans="1:8" x14ac:dyDescent="0.3">
      <c r="A3" s="1">
        <v>38656</v>
      </c>
      <c r="B3" t="s">
        <v>6</v>
      </c>
      <c r="C3" t="s">
        <v>7</v>
      </c>
      <c r="D3" s="2">
        <v>932553.62899999996</v>
      </c>
      <c r="E3" s="2">
        <v>4042.335</v>
      </c>
      <c r="F3" s="2">
        <v>936595.96400000004</v>
      </c>
    </row>
    <row r="4" spans="1:8" x14ac:dyDescent="0.3">
      <c r="A4" s="1">
        <v>38656</v>
      </c>
      <c r="B4" t="s">
        <v>6</v>
      </c>
      <c r="C4" t="s">
        <v>9</v>
      </c>
      <c r="D4" s="2">
        <v>520490.67570000002</v>
      </c>
      <c r="E4" s="2">
        <v>211.08699999999999</v>
      </c>
      <c r="F4" s="2">
        <v>520701.76270000002</v>
      </c>
    </row>
    <row r="5" spans="1:8" x14ac:dyDescent="0.3">
      <c r="A5" s="1">
        <v>38656</v>
      </c>
      <c r="B5" t="s">
        <v>6</v>
      </c>
      <c r="C5" t="s">
        <v>10</v>
      </c>
      <c r="D5" s="2">
        <v>323917.89899999998</v>
      </c>
      <c r="E5" s="2">
        <v>108.55500000000001</v>
      </c>
      <c r="F5" s="2">
        <v>324026.45400000003</v>
      </c>
      <c r="H5" s="2"/>
    </row>
    <row r="6" spans="1:8" x14ac:dyDescent="0.3">
      <c r="A6" s="1">
        <v>38656</v>
      </c>
      <c r="B6" t="s">
        <v>6</v>
      </c>
      <c r="C6" t="s">
        <v>8</v>
      </c>
      <c r="D6" s="2">
        <v>2335502.835</v>
      </c>
      <c r="E6" s="2">
        <v>468.77199999999999</v>
      </c>
      <c r="F6" s="2">
        <v>2335971.6069999998</v>
      </c>
    </row>
    <row r="7" spans="1:8" x14ac:dyDescent="0.3">
      <c r="A7" s="1">
        <v>38656</v>
      </c>
      <c r="B7" t="s">
        <v>6</v>
      </c>
      <c r="C7" t="s">
        <v>12</v>
      </c>
      <c r="D7" s="2">
        <v>0</v>
      </c>
      <c r="E7" s="2">
        <v>14000</v>
      </c>
      <c r="F7" s="2">
        <v>14000.01</v>
      </c>
    </row>
    <row r="8" spans="1:8" x14ac:dyDescent="0.3">
      <c r="A8" s="1">
        <v>38656</v>
      </c>
      <c r="B8" t="s">
        <v>13</v>
      </c>
      <c r="C8" t="s">
        <v>14</v>
      </c>
      <c r="D8" s="2">
        <v>4112465.0386999999</v>
      </c>
      <c r="E8" s="2">
        <v>18830.749</v>
      </c>
      <c r="F8" s="2">
        <v>4131295.7977</v>
      </c>
    </row>
    <row r="9" spans="1:8" x14ac:dyDescent="0.3">
      <c r="A9" s="1">
        <v>38656</v>
      </c>
      <c r="B9" t="s">
        <v>15</v>
      </c>
      <c r="C9" t="s">
        <v>16</v>
      </c>
      <c r="D9" s="2">
        <v>29995.18</v>
      </c>
      <c r="E9" s="2">
        <v>0</v>
      </c>
      <c r="F9" s="2">
        <v>29995.18</v>
      </c>
    </row>
    <row r="10" spans="1:8" x14ac:dyDescent="0.3">
      <c r="A10" s="1">
        <v>38656</v>
      </c>
      <c r="B10" t="s">
        <v>15</v>
      </c>
      <c r="C10" t="s">
        <v>17</v>
      </c>
      <c r="D10" s="2">
        <v>226929.11796999999</v>
      </c>
      <c r="E10" s="2">
        <v>0</v>
      </c>
      <c r="F10" s="2">
        <v>226929.11796999999</v>
      </c>
    </row>
    <row r="11" spans="1:8" x14ac:dyDescent="0.3">
      <c r="A11" s="1">
        <v>38656</v>
      </c>
      <c r="B11" t="s">
        <v>15</v>
      </c>
      <c r="C11" t="s">
        <v>18</v>
      </c>
      <c r="D11" s="2">
        <v>203889.98673020001</v>
      </c>
      <c r="E11" s="2">
        <v>0</v>
      </c>
      <c r="F11" s="2">
        <v>203889.98673020001</v>
      </c>
    </row>
    <row r="12" spans="1:8" x14ac:dyDescent="0.3">
      <c r="A12" s="1">
        <v>38656</v>
      </c>
      <c r="B12" t="s">
        <v>15</v>
      </c>
      <c r="C12" t="s">
        <v>19</v>
      </c>
      <c r="D12" s="2">
        <v>68939.014105259994</v>
      </c>
      <c r="E12" s="2">
        <v>3357776.3099751901</v>
      </c>
      <c r="F12" s="2">
        <v>3426716.4280804498</v>
      </c>
    </row>
    <row r="13" spans="1:8" x14ac:dyDescent="0.3">
      <c r="A13" s="1">
        <v>38656</v>
      </c>
      <c r="B13" t="s">
        <v>15</v>
      </c>
      <c r="C13" t="s">
        <v>23</v>
      </c>
      <c r="D13" s="2">
        <v>3085.6489999999999</v>
      </c>
      <c r="E13" s="2">
        <v>0</v>
      </c>
      <c r="F13" s="2">
        <v>3085.6489999999999</v>
      </c>
    </row>
    <row r="14" spans="1:8" x14ac:dyDescent="0.3">
      <c r="A14" s="1">
        <v>38656</v>
      </c>
      <c r="B14" t="s">
        <v>15</v>
      </c>
      <c r="C14" t="s">
        <v>25</v>
      </c>
      <c r="D14" s="2">
        <v>1.0529999999999999</v>
      </c>
      <c r="E14" s="2">
        <v>0</v>
      </c>
      <c r="F14" s="2">
        <v>1.0529999999999999</v>
      </c>
    </row>
    <row r="15" spans="1:8" x14ac:dyDescent="0.3">
      <c r="A15" s="1">
        <v>38656</v>
      </c>
      <c r="B15" t="s">
        <v>15</v>
      </c>
      <c r="C15" t="s">
        <v>20</v>
      </c>
      <c r="D15" s="2">
        <v>5210.7370849999998</v>
      </c>
      <c r="E15" s="2">
        <v>0</v>
      </c>
      <c r="F15" s="2">
        <v>5210.7370849999998</v>
      </c>
    </row>
    <row r="16" spans="1:8" x14ac:dyDescent="0.3">
      <c r="A16" s="1">
        <v>38656</v>
      </c>
      <c r="B16" t="s">
        <v>21</v>
      </c>
      <c r="C16" t="s">
        <v>14</v>
      </c>
      <c r="D16" s="2">
        <v>538050.73789045995</v>
      </c>
      <c r="E16" s="2">
        <v>3357776.3099751901</v>
      </c>
      <c r="F16" s="2">
        <v>3895828.15186565</v>
      </c>
    </row>
    <row r="17" spans="1:6" x14ac:dyDescent="0.3">
      <c r="A17" s="1">
        <v>38686</v>
      </c>
      <c r="B17" t="s">
        <v>21</v>
      </c>
      <c r="C17" t="s">
        <v>14</v>
      </c>
      <c r="D17" s="2">
        <v>542920.48707193998</v>
      </c>
      <c r="E17" s="2">
        <v>3364137.4720944702</v>
      </c>
      <c r="F17" s="2">
        <v>3907058.0631664102</v>
      </c>
    </row>
    <row r="18" spans="1:6" x14ac:dyDescent="0.3">
      <c r="A18" s="1">
        <v>38686</v>
      </c>
      <c r="B18" t="s">
        <v>22</v>
      </c>
      <c r="C18" t="s">
        <v>14</v>
      </c>
      <c r="D18" s="2">
        <v>4709402.9856719403</v>
      </c>
      <c r="E18" s="2">
        <v>3382919.4470944698</v>
      </c>
      <c r="F18" s="2">
        <v>8092321.5467664097</v>
      </c>
    </row>
    <row r="19" spans="1:6" x14ac:dyDescent="0.3">
      <c r="A19" s="1">
        <v>38686</v>
      </c>
      <c r="B19" t="s">
        <v>6</v>
      </c>
      <c r="C19" t="s">
        <v>7</v>
      </c>
      <c r="D19" s="2">
        <v>982959.90099999995</v>
      </c>
      <c r="E19" s="2">
        <v>3974.2179999999998</v>
      </c>
      <c r="F19" s="2">
        <v>986934.11899999995</v>
      </c>
    </row>
    <row r="20" spans="1:6" x14ac:dyDescent="0.3">
      <c r="A20" s="1">
        <v>38686</v>
      </c>
      <c r="B20" t="s">
        <v>6</v>
      </c>
      <c r="C20" t="s">
        <v>8</v>
      </c>
      <c r="D20" s="2">
        <v>2339284.3766000001</v>
      </c>
      <c r="E20" s="2">
        <v>510.64800000000002</v>
      </c>
      <c r="F20" s="2">
        <v>2339795.0246000001</v>
      </c>
    </row>
    <row r="21" spans="1:6" x14ac:dyDescent="0.3">
      <c r="A21" s="1">
        <v>38686</v>
      </c>
      <c r="B21" t="s">
        <v>6</v>
      </c>
      <c r="C21" t="s">
        <v>12</v>
      </c>
      <c r="D21" s="2">
        <v>0</v>
      </c>
      <c r="E21" s="2">
        <v>14000</v>
      </c>
      <c r="F21" s="2">
        <v>14000.01</v>
      </c>
    </row>
    <row r="22" spans="1:6" x14ac:dyDescent="0.3">
      <c r="A22" s="1">
        <v>38686</v>
      </c>
      <c r="B22" t="s">
        <v>6</v>
      </c>
      <c r="C22" t="s">
        <v>9</v>
      </c>
      <c r="D22" s="2">
        <v>516430.31199999998</v>
      </c>
      <c r="E22" s="2">
        <v>196.68899999999999</v>
      </c>
      <c r="F22" s="2">
        <v>516627.00099999999</v>
      </c>
    </row>
    <row r="23" spans="1:6" x14ac:dyDescent="0.3">
      <c r="A23" s="1">
        <v>38686</v>
      </c>
      <c r="B23" t="s">
        <v>6</v>
      </c>
      <c r="C23" t="s">
        <v>10</v>
      </c>
      <c r="D23" s="2">
        <v>327806.90899999999</v>
      </c>
      <c r="E23" s="2">
        <v>100.42</v>
      </c>
      <c r="F23" s="2">
        <v>327907.32900000003</v>
      </c>
    </row>
    <row r="24" spans="1:6" x14ac:dyDescent="0.3">
      <c r="A24" s="1">
        <v>38686</v>
      </c>
      <c r="B24" t="s">
        <v>13</v>
      </c>
      <c r="C24" t="s">
        <v>14</v>
      </c>
      <c r="D24" s="2">
        <v>4166481.4986</v>
      </c>
      <c r="E24" s="2">
        <v>18781.974999999999</v>
      </c>
      <c r="F24" s="2">
        <v>4185263.4835999999</v>
      </c>
    </row>
    <row r="25" spans="1:6" x14ac:dyDescent="0.3">
      <c r="A25" s="1">
        <v>38686</v>
      </c>
      <c r="B25" t="s">
        <v>15</v>
      </c>
      <c r="C25" t="s">
        <v>16</v>
      </c>
      <c r="D25" s="2">
        <v>29995.18</v>
      </c>
      <c r="E25" s="2">
        <v>0</v>
      </c>
      <c r="F25" s="2">
        <v>29995.18</v>
      </c>
    </row>
    <row r="26" spans="1:6" x14ac:dyDescent="0.3">
      <c r="A26" s="1">
        <v>38686</v>
      </c>
      <c r="B26" t="s">
        <v>15</v>
      </c>
      <c r="C26" t="s">
        <v>23</v>
      </c>
      <c r="D26" s="2">
        <v>2985.6489999999999</v>
      </c>
      <c r="E26" s="2">
        <v>0</v>
      </c>
      <c r="F26" s="2">
        <v>2985.6489999999999</v>
      </c>
    </row>
    <row r="27" spans="1:6" x14ac:dyDescent="0.3">
      <c r="A27" s="1">
        <v>38686</v>
      </c>
      <c r="B27" t="s">
        <v>15</v>
      </c>
      <c r="C27" t="s">
        <v>25</v>
      </c>
      <c r="D27" s="2">
        <v>1.0529999999999999</v>
      </c>
      <c r="E27" s="2">
        <v>0</v>
      </c>
      <c r="F27" s="2">
        <v>1.0529999999999999</v>
      </c>
    </row>
    <row r="28" spans="1:6" x14ac:dyDescent="0.3">
      <c r="A28" s="1">
        <v>38686</v>
      </c>
      <c r="B28" t="s">
        <v>15</v>
      </c>
      <c r="C28" t="s">
        <v>17</v>
      </c>
      <c r="D28" s="2">
        <v>231466.51</v>
      </c>
      <c r="E28" s="2">
        <v>0</v>
      </c>
      <c r="F28" s="2">
        <v>231466.51</v>
      </c>
    </row>
    <row r="29" spans="1:6" x14ac:dyDescent="0.3">
      <c r="A29" s="1">
        <v>38686</v>
      </c>
      <c r="B29" t="s">
        <v>15</v>
      </c>
      <c r="C29" t="s">
        <v>18</v>
      </c>
      <c r="D29" s="2">
        <v>204578.79620320001</v>
      </c>
      <c r="E29" s="2">
        <v>0</v>
      </c>
      <c r="F29" s="2">
        <v>204578.79620320001</v>
      </c>
    </row>
    <row r="30" spans="1:6" x14ac:dyDescent="0.3">
      <c r="A30" s="1">
        <v>38686</v>
      </c>
      <c r="B30" t="s">
        <v>15</v>
      </c>
      <c r="C30" t="s">
        <v>19</v>
      </c>
      <c r="D30" s="2">
        <v>68681.303868739997</v>
      </c>
      <c r="E30" s="2">
        <v>3364137.4720944702</v>
      </c>
      <c r="F30" s="2">
        <v>3432817.8799632099</v>
      </c>
    </row>
    <row r="31" spans="1:6" x14ac:dyDescent="0.3">
      <c r="A31" s="1">
        <v>38686</v>
      </c>
      <c r="B31" t="s">
        <v>15</v>
      </c>
      <c r="C31" t="s">
        <v>20</v>
      </c>
      <c r="D31" s="2">
        <v>5212.9949999999999</v>
      </c>
      <c r="E31" s="2">
        <v>0</v>
      </c>
      <c r="F31" s="2">
        <v>5212.9949999999999</v>
      </c>
    </row>
    <row r="32" spans="1:6" x14ac:dyDescent="0.3">
      <c r="A32" s="1">
        <v>38717</v>
      </c>
      <c r="B32" t="s">
        <v>6</v>
      </c>
      <c r="C32" t="s">
        <v>7</v>
      </c>
      <c r="D32" s="2">
        <v>960700.55500000005</v>
      </c>
      <c r="E32" s="2">
        <v>3166.26</v>
      </c>
      <c r="F32" s="2">
        <v>963866.81499999994</v>
      </c>
    </row>
    <row r="33" spans="1:6" x14ac:dyDescent="0.3">
      <c r="A33" s="1">
        <v>38717</v>
      </c>
      <c r="B33" t="s">
        <v>6</v>
      </c>
      <c r="C33" t="s">
        <v>8</v>
      </c>
      <c r="D33" s="2">
        <v>2360155.0306000002</v>
      </c>
      <c r="E33" s="2">
        <v>638.44000000000005</v>
      </c>
      <c r="F33" s="2">
        <v>2360793.4706000001</v>
      </c>
    </row>
    <row r="34" spans="1:6" x14ac:dyDescent="0.3">
      <c r="A34" s="1">
        <v>38717</v>
      </c>
      <c r="B34" t="s">
        <v>6</v>
      </c>
      <c r="C34" t="s">
        <v>9</v>
      </c>
      <c r="D34" s="2">
        <v>516424.57069999998</v>
      </c>
      <c r="E34" s="2">
        <v>196.428</v>
      </c>
      <c r="F34" s="2">
        <v>516620.9987</v>
      </c>
    </row>
    <row r="35" spans="1:6" x14ac:dyDescent="0.3">
      <c r="A35" s="1">
        <v>38717</v>
      </c>
      <c r="B35" t="s">
        <v>6</v>
      </c>
      <c r="C35" t="s">
        <v>10</v>
      </c>
      <c r="D35" s="2">
        <v>328566.53970000002</v>
      </c>
      <c r="E35" s="2">
        <v>111.241</v>
      </c>
      <c r="F35" s="2">
        <v>328677.7807</v>
      </c>
    </row>
    <row r="36" spans="1:6" x14ac:dyDescent="0.3">
      <c r="A36" s="1">
        <v>38717</v>
      </c>
      <c r="B36" t="s">
        <v>6</v>
      </c>
      <c r="C36" t="s">
        <v>12</v>
      </c>
      <c r="D36" s="2">
        <v>0</v>
      </c>
      <c r="E36" s="2">
        <v>14000</v>
      </c>
      <c r="F36" s="2">
        <v>14000.01</v>
      </c>
    </row>
    <row r="37" spans="1:6" x14ac:dyDescent="0.3">
      <c r="A37" s="1">
        <v>38717</v>
      </c>
      <c r="B37" t="s">
        <v>13</v>
      </c>
      <c r="C37" t="s">
        <v>14</v>
      </c>
      <c r="D37" s="2">
        <v>4165846.696</v>
      </c>
      <c r="E37" s="2">
        <v>18112.368999999999</v>
      </c>
      <c r="F37" s="2">
        <v>4183959.0750000002</v>
      </c>
    </row>
    <row r="38" spans="1:6" x14ac:dyDescent="0.3">
      <c r="A38" s="1">
        <v>38717</v>
      </c>
      <c r="B38" t="s">
        <v>15</v>
      </c>
      <c r="C38" t="s">
        <v>16</v>
      </c>
      <c r="D38" s="2">
        <v>29995.18</v>
      </c>
      <c r="E38" s="2">
        <v>0</v>
      </c>
      <c r="F38" s="2">
        <v>29995.18</v>
      </c>
    </row>
    <row r="39" spans="1:6" x14ac:dyDescent="0.3">
      <c r="A39" s="1">
        <v>38717</v>
      </c>
      <c r="B39" t="s">
        <v>15</v>
      </c>
      <c r="C39" t="s">
        <v>23</v>
      </c>
      <c r="D39" s="2">
        <v>3785.6489999999999</v>
      </c>
      <c r="E39" s="2">
        <v>0</v>
      </c>
      <c r="F39" s="2">
        <v>3785.6489999999999</v>
      </c>
    </row>
    <row r="40" spans="1:6" x14ac:dyDescent="0.3">
      <c r="A40" s="1">
        <v>38717</v>
      </c>
      <c r="B40" t="s">
        <v>15</v>
      </c>
      <c r="C40" t="s">
        <v>25</v>
      </c>
      <c r="D40" s="2">
        <v>1.0529999999999999</v>
      </c>
      <c r="E40" s="2">
        <v>0</v>
      </c>
      <c r="F40" s="2">
        <v>1.0529999999999999</v>
      </c>
    </row>
    <row r="41" spans="1:6" x14ac:dyDescent="0.3">
      <c r="A41" s="1">
        <v>38717</v>
      </c>
      <c r="B41" t="s">
        <v>15</v>
      </c>
      <c r="C41" t="s">
        <v>17</v>
      </c>
      <c r="D41" s="2">
        <v>235566.44626500001</v>
      </c>
      <c r="E41" s="2">
        <v>0</v>
      </c>
      <c r="F41" s="2">
        <v>235566.44626500001</v>
      </c>
    </row>
    <row r="42" spans="1:6" x14ac:dyDescent="0.3">
      <c r="A42" s="1">
        <v>38717</v>
      </c>
      <c r="B42" t="s">
        <v>15</v>
      </c>
      <c r="C42" t="s">
        <v>18</v>
      </c>
      <c r="D42" s="2">
        <v>205162.42110219999</v>
      </c>
      <c r="E42" s="2">
        <v>0</v>
      </c>
      <c r="F42" s="2">
        <v>205162.42110219999</v>
      </c>
    </row>
    <row r="43" spans="1:6" x14ac:dyDescent="0.3">
      <c r="A43" s="1">
        <v>38717</v>
      </c>
      <c r="B43" t="s">
        <v>15</v>
      </c>
      <c r="C43" t="s">
        <v>19</v>
      </c>
      <c r="D43" s="2">
        <v>69096.588137250001</v>
      </c>
      <c r="E43" s="2">
        <v>3437480.0768818599</v>
      </c>
      <c r="F43" s="2">
        <v>3506576.9450191101</v>
      </c>
    </row>
    <row r="44" spans="1:6" x14ac:dyDescent="0.3">
      <c r="A44" s="1">
        <v>38717</v>
      </c>
      <c r="B44" t="s">
        <v>15</v>
      </c>
      <c r="C44" t="s">
        <v>20</v>
      </c>
      <c r="D44" s="2">
        <v>5367.5630000000001</v>
      </c>
      <c r="E44" s="2">
        <v>0</v>
      </c>
      <c r="F44" s="2">
        <v>5367.5630000000001</v>
      </c>
    </row>
    <row r="45" spans="1:6" x14ac:dyDescent="0.3">
      <c r="A45" s="1">
        <v>38717</v>
      </c>
      <c r="B45" t="s">
        <v>21</v>
      </c>
      <c r="C45" t="s">
        <v>14</v>
      </c>
      <c r="D45" s="2">
        <v>548974.90050444996</v>
      </c>
      <c r="E45" s="2">
        <v>3437480.0768818599</v>
      </c>
      <c r="F45" s="2">
        <v>3986454.25738631</v>
      </c>
    </row>
    <row r="46" spans="1:6" x14ac:dyDescent="0.3">
      <c r="A46" s="1">
        <v>38717</v>
      </c>
      <c r="B46" t="s">
        <v>22</v>
      </c>
      <c r="C46" t="s">
        <v>14</v>
      </c>
      <c r="D46" s="2">
        <v>4714820.5965044498</v>
      </c>
      <c r="E46" s="2">
        <v>3455592.4458818599</v>
      </c>
      <c r="F46" s="2">
        <v>8170414.3323863102</v>
      </c>
    </row>
    <row r="47" spans="1:6" x14ac:dyDescent="0.3">
      <c r="A47" s="1">
        <v>38748</v>
      </c>
      <c r="B47" t="s">
        <v>6</v>
      </c>
      <c r="C47" t="s">
        <v>7</v>
      </c>
      <c r="D47" s="2">
        <v>952799.60800000001</v>
      </c>
      <c r="E47" s="2">
        <v>3450.2139999999999</v>
      </c>
      <c r="F47" s="2">
        <v>956249.82200000004</v>
      </c>
    </row>
    <row r="48" spans="1:6" x14ac:dyDescent="0.3">
      <c r="A48" s="1">
        <v>38748</v>
      </c>
      <c r="B48" t="s">
        <v>6</v>
      </c>
      <c r="C48" t="s">
        <v>8</v>
      </c>
      <c r="D48" s="2">
        <v>2360363.4175999998</v>
      </c>
      <c r="E48" s="2">
        <v>739.01300000000003</v>
      </c>
      <c r="F48" s="2">
        <v>2361102.4306000001</v>
      </c>
    </row>
    <row r="49" spans="1:6" x14ac:dyDescent="0.3">
      <c r="A49" s="1">
        <v>38748</v>
      </c>
      <c r="B49" t="s">
        <v>6</v>
      </c>
      <c r="C49" t="s">
        <v>9</v>
      </c>
      <c r="D49" s="2">
        <v>516418.00719999999</v>
      </c>
      <c r="E49" s="2">
        <v>200.797</v>
      </c>
      <c r="F49" s="2">
        <v>516618.80420000001</v>
      </c>
    </row>
    <row r="50" spans="1:6" x14ac:dyDescent="0.3">
      <c r="A50" s="1">
        <v>38748</v>
      </c>
      <c r="B50" t="s">
        <v>6</v>
      </c>
      <c r="C50" t="s">
        <v>10</v>
      </c>
      <c r="D50" s="2">
        <v>346750.74632861</v>
      </c>
      <c r="E50" s="2">
        <v>109.839</v>
      </c>
      <c r="F50" s="2">
        <v>346860.58532860997</v>
      </c>
    </row>
    <row r="51" spans="1:6" x14ac:dyDescent="0.3">
      <c r="A51" s="1">
        <v>38748</v>
      </c>
      <c r="B51" t="s">
        <v>6</v>
      </c>
      <c r="C51" t="s">
        <v>12</v>
      </c>
      <c r="D51" s="2">
        <v>0</v>
      </c>
      <c r="E51" s="2">
        <v>14000</v>
      </c>
      <c r="F51" s="2">
        <v>14000</v>
      </c>
    </row>
    <row r="52" spans="1:6" x14ac:dyDescent="0.3">
      <c r="A52" s="1">
        <v>38748</v>
      </c>
      <c r="B52" t="s">
        <v>13</v>
      </c>
      <c r="C52" t="s">
        <v>14</v>
      </c>
      <c r="D52" s="2">
        <v>4176331.7791286102</v>
      </c>
      <c r="E52" s="2">
        <v>18499.863000000001</v>
      </c>
      <c r="F52" s="2">
        <v>4194831.6421286101</v>
      </c>
    </row>
    <row r="53" spans="1:6" x14ac:dyDescent="0.3">
      <c r="A53" s="1">
        <v>38748</v>
      </c>
      <c r="B53" t="s">
        <v>15</v>
      </c>
      <c r="C53" t="s">
        <v>17</v>
      </c>
      <c r="D53" s="2">
        <v>233441.29062722001</v>
      </c>
      <c r="E53" s="2">
        <v>0</v>
      </c>
      <c r="F53" s="2">
        <v>233441.29062722001</v>
      </c>
    </row>
    <row r="54" spans="1:6" x14ac:dyDescent="0.3">
      <c r="A54" s="1">
        <v>38748</v>
      </c>
      <c r="B54" t="s">
        <v>15</v>
      </c>
      <c r="C54" t="s">
        <v>23</v>
      </c>
      <c r="D54" s="2">
        <v>3785.6485899999998</v>
      </c>
      <c r="E54" s="2">
        <v>0</v>
      </c>
      <c r="F54" s="2">
        <v>3785.6485899999998</v>
      </c>
    </row>
    <row r="55" spans="1:6" x14ac:dyDescent="0.3">
      <c r="A55" s="1">
        <v>38748</v>
      </c>
      <c r="B55" t="s">
        <v>15</v>
      </c>
      <c r="C55" t="s">
        <v>25</v>
      </c>
      <c r="D55" s="2">
        <v>1.0529999999999999</v>
      </c>
      <c r="E55" s="2">
        <v>0</v>
      </c>
      <c r="F55" s="2">
        <v>1.0529999999999999</v>
      </c>
    </row>
    <row r="56" spans="1:6" x14ac:dyDescent="0.3">
      <c r="A56" s="1">
        <v>38748</v>
      </c>
      <c r="B56" t="s">
        <v>15</v>
      </c>
      <c r="C56" t="s">
        <v>16</v>
      </c>
      <c r="D56" s="2">
        <v>29995.18</v>
      </c>
      <c r="E56" s="2">
        <v>0</v>
      </c>
      <c r="F56" s="2">
        <v>29995.18</v>
      </c>
    </row>
    <row r="57" spans="1:6" x14ac:dyDescent="0.3">
      <c r="A57" s="1">
        <v>38748</v>
      </c>
      <c r="B57" t="s">
        <v>15</v>
      </c>
      <c r="C57" t="s">
        <v>20</v>
      </c>
      <c r="D57" s="2">
        <v>5201.17286117</v>
      </c>
      <c r="E57" s="2">
        <v>0</v>
      </c>
      <c r="F57" s="2">
        <v>5201.17286117</v>
      </c>
    </row>
    <row r="58" spans="1:6" x14ac:dyDescent="0.3">
      <c r="A58" s="1">
        <v>38748</v>
      </c>
      <c r="B58" t="s">
        <v>15</v>
      </c>
      <c r="C58" t="s">
        <v>18</v>
      </c>
      <c r="D58" s="2">
        <v>205604.74249141</v>
      </c>
      <c r="E58" s="2">
        <v>0</v>
      </c>
      <c r="F58" s="2">
        <v>205604.74249141</v>
      </c>
    </row>
    <row r="59" spans="1:6" x14ac:dyDescent="0.3">
      <c r="A59" s="1">
        <v>38748</v>
      </c>
      <c r="B59" t="s">
        <v>15</v>
      </c>
      <c r="C59" t="s">
        <v>19</v>
      </c>
      <c r="D59" s="2">
        <v>70277.080886130003</v>
      </c>
      <c r="E59" s="2">
        <v>3452932.93650296</v>
      </c>
      <c r="F59" s="2">
        <v>3523210.0683890898</v>
      </c>
    </row>
    <row r="60" spans="1:6" x14ac:dyDescent="0.3">
      <c r="A60" s="1">
        <v>38748</v>
      </c>
      <c r="B60" t="s">
        <v>21</v>
      </c>
      <c r="C60" t="s">
        <v>14</v>
      </c>
      <c r="D60" s="2">
        <v>548306.16845592996</v>
      </c>
      <c r="E60" s="2">
        <v>3452932.93650296</v>
      </c>
      <c r="F60" s="2">
        <v>4001239.15595889</v>
      </c>
    </row>
    <row r="61" spans="1:6" x14ac:dyDescent="0.3">
      <c r="A61" s="1">
        <v>38748</v>
      </c>
      <c r="B61" t="s">
        <v>22</v>
      </c>
      <c r="C61" t="s">
        <v>14</v>
      </c>
      <c r="D61" s="2">
        <v>4724636.9475845397</v>
      </c>
      <c r="E61" s="2">
        <v>3471432.7995029599</v>
      </c>
      <c r="F61" s="2">
        <v>8196069.7980875</v>
      </c>
    </row>
    <row r="62" spans="1:6" x14ac:dyDescent="0.3">
      <c r="A62" s="1">
        <v>38776</v>
      </c>
      <c r="B62" t="s">
        <v>15</v>
      </c>
      <c r="C62" t="s">
        <v>23</v>
      </c>
      <c r="D62" s="2">
        <v>3585.6485899999998</v>
      </c>
      <c r="E62" s="2">
        <v>0</v>
      </c>
      <c r="F62" s="2">
        <v>3585.6485899999998</v>
      </c>
    </row>
    <row r="63" spans="1:6" x14ac:dyDescent="0.3">
      <c r="A63" s="1">
        <v>38776</v>
      </c>
      <c r="B63" t="s">
        <v>15</v>
      </c>
      <c r="C63" t="s">
        <v>16</v>
      </c>
      <c r="D63" s="2">
        <v>29995.18</v>
      </c>
      <c r="E63" s="2">
        <v>0</v>
      </c>
      <c r="F63" s="2">
        <v>29995.18</v>
      </c>
    </row>
    <row r="64" spans="1:6" x14ac:dyDescent="0.3">
      <c r="A64" s="1">
        <v>38776</v>
      </c>
      <c r="B64" t="s">
        <v>15</v>
      </c>
      <c r="C64" t="s">
        <v>17</v>
      </c>
      <c r="D64" s="2">
        <v>234544.86740561001</v>
      </c>
      <c r="E64" s="2">
        <v>0</v>
      </c>
      <c r="F64" s="2">
        <v>234544.86740561001</v>
      </c>
    </row>
    <row r="65" spans="1:6" x14ac:dyDescent="0.3">
      <c r="A65" s="1">
        <v>38776</v>
      </c>
      <c r="B65" t="s">
        <v>15</v>
      </c>
      <c r="C65" t="s">
        <v>18</v>
      </c>
      <c r="D65" s="2">
        <v>205900.70434160001</v>
      </c>
      <c r="E65" s="2">
        <v>0</v>
      </c>
      <c r="F65" s="2">
        <v>205900.70434160001</v>
      </c>
    </row>
    <row r="66" spans="1:6" x14ac:dyDescent="0.3">
      <c r="A66" s="1">
        <v>38776</v>
      </c>
      <c r="B66" t="s">
        <v>15</v>
      </c>
      <c r="C66" t="s">
        <v>19</v>
      </c>
      <c r="D66" s="2">
        <v>32413.539395939999</v>
      </c>
      <c r="E66" s="2">
        <v>3480671.4340657801</v>
      </c>
      <c r="F66" s="2">
        <v>3513085.0244617201</v>
      </c>
    </row>
    <row r="67" spans="1:6" x14ac:dyDescent="0.3">
      <c r="A67" s="1">
        <v>38776</v>
      </c>
      <c r="B67" t="s">
        <v>15</v>
      </c>
      <c r="C67" t="s">
        <v>20</v>
      </c>
      <c r="D67" s="2">
        <v>5202.5320918699999</v>
      </c>
      <c r="E67" s="2">
        <v>0</v>
      </c>
      <c r="F67" s="2">
        <v>5202.5320918699999</v>
      </c>
    </row>
    <row r="68" spans="1:6" x14ac:dyDescent="0.3">
      <c r="A68" s="1">
        <v>38776</v>
      </c>
      <c r="B68" t="s">
        <v>21</v>
      </c>
      <c r="C68" t="s">
        <v>14</v>
      </c>
      <c r="D68" s="2">
        <v>511643.52482501999</v>
      </c>
      <c r="E68" s="2">
        <v>3480671.4340657801</v>
      </c>
      <c r="F68" s="2">
        <v>3992315.0098907999</v>
      </c>
    </row>
    <row r="69" spans="1:6" x14ac:dyDescent="0.3">
      <c r="A69" s="1">
        <v>38776</v>
      </c>
      <c r="B69" t="s">
        <v>22</v>
      </c>
      <c r="C69" t="s">
        <v>14</v>
      </c>
      <c r="D69" s="2">
        <v>4771117.3411884103</v>
      </c>
      <c r="E69" s="2">
        <v>3498768.9480657801</v>
      </c>
      <c r="F69" s="2">
        <v>8269886.3402541904</v>
      </c>
    </row>
    <row r="70" spans="1:6" x14ac:dyDescent="0.3">
      <c r="A70" s="1">
        <v>38776</v>
      </c>
      <c r="B70" t="s">
        <v>6</v>
      </c>
      <c r="C70" t="s">
        <v>7</v>
      </c>
      <c r="D70" s="2">
        <v>997283.92</v>
      </c>
      <c r="E70" s="2">
        <v>2277.2080000000001</v>
      </c>
      <c r="F70" s="2">
        <v>999561.12800000003</v>
      </c>
    </row>
    <row r="71" spans="1:6" x14ac:dyDescent="0.3">
      <c r="A71" s="1">
        <v>38776</v>
      </c>
      <c r="B71" t="s">
        <v>6</v>
      </c>
      <c r="C71" t="s">
        <v>9</v>
      </c>
      <c r="D71" s="2">
        <v>526498.32169999997</v>
      </c>
      <c r="E71" s="2">
        <v>218.161</v>
      </c>
      <c r="F71" s="2">
        <v>526716.48270000005</v>
      </c>
    </row>
    <row r="72" spans="1:6" x14ac:dyDescent="0.3">
      <c r="A72" s="1">
        <v>38776</v>
      </c>
      <c r="B72" t="s">
        <v>6</v>
      </c>
      <c r="C72" t="s">
        <v>10</v>
      </c>
      <c r="D72" s="2">
        <v>345430.81806338998</v>
      </c>
      <c r="E72" s="2">
        <v>119.919</v>
      </c>
      <c r="F72" s="2">
        <v>345550.73706339003</v>
      </c>
    </row>
    <row r="73" spans="1:6" x14ac:dyDescent="0.3">
      <c r="A73" s="1">
        <v>38776</v>
      </c>
      <c r="B73" t="s">
        <v>6</v>
      </c>
      <c r="C73" t="s">
        <v>8</v>
      </c>
      <c r="D73" s="2">
        <v>2390259.7566</v>
      </c>
      <c r="E73" s="2">
        <v>1482.2260000000001</v>
      </c>
      <c r="F73" s="2">
        <v>2391741.9826000002</v>
      </c>
    </row>
    <row r="74" spans="1:6" x14ac:dyDescent="0.3">
      <c r="A74" s="1">
        <v>38776</v>
      </c>
      <c r="B74" t="s">
        <v>6</v>
      </c>
      <c r="C74" t="s">
        <v>12</v>
      </c>
      <c r="D74" s="2">
        <v>0</v>
      </c>
      <c r="E74" s="2">
        <v>14000</v>
      </c>
      <c r="F74" s="2">
        <v>14000</v>
      </c>
    </row>
    <row r="75" spans="1:6" x14ac:dyDescent="0.3">
      <c r="A75" s="1">
        <v>38776</v>
      </c>
      <c r="B75" t="s">
        <v>13</v>
      </c>
      <c r="C75" t="s">
        <v>14</v>
      </c>
      <c r="D75" s="2">
        <v>4259472.8163633896</v>
      </c>
      <c r="E75" s="2">
        <v>18097.513999999999</v>
      </c>
      <c r="F75" s="2">
        <v>4277570.33036339</v>
      </c>
    </row>
    <row r="76" spans="1:6" x14ac:dyDescent="0.3">
      <c r="A76" s="1">
        <v>38776</v>
      </c>
      <c r="B76" t="s">
        <v>15</v>
      </c>
      <c r="C76" t="s">
        <v>25</v>
      </c>
      <c r="D76" s="2">
        <v>1.0529999999999999</v>
      </c>
      <c r="E76" s="2">
        <v>0</v>
      </c>
      <c r="F76" s="2">
        <v>1.0529999999999999</v>
      </c>
    </row>
    <row r="77" spans="1:6" x14ac:dyDescent="0.3">
      <c r="A77" s="1">
        <v>38807</v>
      </c>
      <c r="B77" t="s">
        <v>6</v>
      </c>
      <c r="C77" t="s">
        <v>7</v>
      </c>
      <c r="D77" s="2">
        <v>1039036.093</v>
      </c>
      <c r="E77" s="2">
        <v>3013.8890000000001</v>
      </c>
      <c r="F77" s="2">
        <v>1042049.982</v>
      </c>
    </row>
    <row r="78" spans="1:6" x14ac:dyDescent="0.3">
      <c r="A78" s="1">
        <v>38807</v>
      </c>
      <c r="B78" t="s">
        <v>6</v>
      </c>
      <c r="C78" t="s">
        <v>8</v>
      </c>
      <c r="D78" s="2">
        <v>2408301.7836000002</v>
      </c>
      <c r="E78" s="2">
        <v>1445.021</v>
      </c>
      <c r="F78" s="2">
        <v>2409746.8045999999</v>
      </c>
    </row>
    <row r="79" spans="1:6" x14ac:dyDescent="0.3">
      <c r="A79" s="1">
        <v>38807</v>
      </c>
      <c r="B79" t="s">
        <v>6</v>
      </c>
      <c r="C79" t="s">
        <v>9</v>
      </c>
      <c r="D79" s="2">
        <v>526501.38359999994</v>
      </c>
      <c r="E79" s="2">
        <v>202.27600000000001</v>
      </c>
      <c r="F79" s="2">
        <v>526703.65960000001</v>
      </c>
    </row>
    <row r="80" spans="1:6" x14ac:dyDescent="0.3">
      <c r="A80" s="1">
        <v>38807</v>
      </c>
      <c r="B80" t="s">
        <v>6</v>
      </c>
      <c r="C80" t="s">
        <v>10</v>
      </c>
      <c r="D80" s="2">
        <v>347815.23598742002</v>
      </c>
      <c r="E80" s="2">
        <v>83.921835999999999</v>
      </c>
      <c r="F80" s="2">
        <v>347899.15782342001</v>
      </c>
    </row>
    <row r="81" spans="1:6" x14ac:dyDescent="0.3">
      <c r="A81" s="1">
        <v>38807</v>
      </c>
      <c r="B81" t="s">
        <v>6</v>
      </c>
      <c r="C81" t="s">
        <v>12</v>
      </c>
      <c r="D81" s="2">
        <v>0</v>
      </c>
      <c r="E81" s="2">
        <v>14000</v>
      </c>
      <c r="F81" s="2">
        <v>14000</v>
      </c>
    </row>
    <row r="82" spans="1:6" x14ac:dyDescent="0.3">
      <c r="A82" s="1">
        <v>38807</v>
      </c>
      <c r="B82" t="s">
        <v>13</v>
      </c>
      <c r="C82" t="s">
        <v>14</v>
      </c>
      <c r="D82" s="2">
        <v>4321654.4961874196</v>
      </c>
      <c r="E82" s="2">
        <v>18745.107835999999</v>
      </c>
      <c r="F82" s="2">
        <v>4340399.6040234203</v>
      </c>
    </row>
    <row r="83" spans="1:6" x14ac:dyDescent="0.3">
      <c r="A83" s="1">
        <v>38807</v>
      </c>
      <c r="B83" t="s">
        <v>15</v>
      </c>
      <c r="C83" t="s">
        <v>16</v>
      </c>
      <c r="D83" s="2">
        <v>29995.18</v>
      </c>
      <c r="E83" s="2">
        <v>0</v>
      </c>
      <c r="F83" s="2">
        <v>29995.18</v>
      </c>
    </row>
    <row r="84" spans="1:6" x14ac:dyDescent="0.3">
      <c r="A84" s="1">
        <v>38807</v>
      </c>
      <c r="B84" t="s">
        <v>15</v>
      </c>
      <c r="C84" t="s">
        <v>23</v>
      </c>
      <c r="D84" s="2">
        <v>3385.6485899999998</v>
      </c>
      <c r="E84" s="2">
        <v>0</v>
      </c>
      <c r="F84" s="2">
        <v>3385.6485899999998</v>
      </c>
    </row>
    <row r="85" spans="1:6" x14ac:dyDescent="0.3">
      <c r="A85" s="1">
        <v>38807</v>
      </c>
      <c r="B85" t="s">
        <v>15</v>
      </c>
      <c r="C85" t="s">
        <v>25</v>
      </c>
      <c r="D85" s="2">
        <v>1.0529999999999999</v>
      </c>
      <c r="E85" s="2">
        <v>0</v>
      </c>
      <c r="F85" s="2">
        <v>1.0529999999999999</v>
      </c>
    </row>
    <row r="86" spans="1:6" x14ac:dyDescent="0.3">
      <c r="A86" s="1">
        <v>38807</v>
      </c>
      <c r="B86" t="s">
        <v>15</v>
      </c>
      <c r="C86" t="s">
        <v>17</v>
      </c>
      <c r="D86" s="2">
        <v>234844.18151485</v>
      </c>
      <c r="E86" s="2">
        <v>0</v>
      </c>
      <c r="F86" s="2">
        <v>234844.18151485</v>
      </c>
    </row>
    <row r="87" spans="1:6" x14ac:dyDescent="0.3">
      <c r="A87" s="1">
        <v>38807</v>
      </c>
      <c r="B87" t="s">
        <v>15</v>
      </c>
      <c r="C87" t="s">
        <v>18</v>
      </c>
      <c r="D87" s="2">
        <v>205975.6350144</v>
      </c>
      <c r="E87" s="2">
        <v>0</v>
      </c>
      <c r="F87" s="2">
        <v>205975.6350144</v>
      </c>
    </row>
    <row r="88" spans="1:6" x14ac:dyDescent="0.3">
      <c r="A88" s="1">
        <v>38807</v>
      </c>
      <c r="B88" t="s">
        <v>15</v>
      </c>
      <c r="C88" t="s">
        <v>19</v>
      </c>
      <c r="D88" s="2">
        <v>71258.093160300006</v>
      </c>
      <c r="E88" s="2">
        <v>3479925.8903156701</v>
      </c>
      <c r="F88" s="2">
        <v>3551185.0344759701</v>
      </c>
    </row>
    <row r="89" spans="1:6" x14ac:dyDescent="0.3">
      <c r="A89" s="1">
        <v>38807</v>
      </c>
      <c r="B89" t="s">
        <v>15</v>
      </c>
      <c r="C89" t="s">
        <v>20</v>
      </c>
      <c r="D89" s="2">
        <v>5370.3296275800003</v>
      </c>
      <c r="E89" s="2">
        <v>0</v>
      </c>
      <c r="F89" s="2">
        <v>5370.3296275800003</v>
      </c>
    </row>
    <row r="90" spans="1:6" x14ac:dyDescent="0.3">
      <c r="A90" s="1">
        <v>38807</v>
      </c>
      <c r="B90" t="s">
        <v>21</v>
      </c>
      <c r="C90" t="s">
        <v>14</v>
      </c>
      <c r="D90" s="2">
        <v>550830.12090712995</v>
      </c>
      <c r="E90" s="2">
        <v>3479925.8903156701</v>
      </c>
      <c r="F90" s="2">
        <v>4030757.0622228002</v>
      </c>
    </row>
    <row r="91" spans="1:6" x14ac:dyDescent="0.3">
      <c r="A91" s="1">
        <v>38807</v>
      </c>
      <c r="B91" t="s">
        <v>22</v>
      </c>
      <c r="C91" t="s">
        <v>14</v>
      </c>
      <c r="D91" s="2">
        <v>4872484.6170945503</v>
      </c>
      <c r="E91" s="2">
        <v>3498671.9981516702</v>
      </c>
      <c r="F91" s="2">
        <v>8371155.6662462195</v>
      </c>
    </row>
    <row r="92" spans="1:6" x14ac:dyDescent="0.3">
      <c r="A92" s="1">
        <v>38837</v>
      </c>
      <c r="B92" t="s">
        <v>6</v>
      </c>
      <c r="C92" t="s">
        <v>7</v>
      </c>
      <c r="D92" s="2">
        <v>962168.48199999996</v>
      </c>
      <c r="E92" s="2">
        <v>2938.7660000000001</v>
      </c>
      <c r="F92" s="2">
        <v>965107.24800000002</v>
      </c>
    </row>
    <row r="93" spans="1:6" x14ac:dyDescent="0.3">
      <c r="A93" s="1">
        <v>38837</v>
      </c>
      <c r="B93" t="s">
        <v>6</v>
      </c>
      <c r="C93" t="s">
        <v>8</v>
      </c>
      <c r="D93" s="2">
        <v>2408207.8876</v>
      </c>
      <c r="E93" s="2">
        <v>1531.971</v>
      </c>
      <c r="F93" s="2">
        <v>2409739.8585999999</v>
      </c>
    </row>
    <row r="94" spans="1:6" x14ac:dyDescent="0.3">
      <c r="A94" s="1">
        <v>38837</v>
      </c>
      <c r="B94" t="s">
        <v>6</v>
      </c>
      <c r="C94" t="s">
        <v>9</v>
      </c>
      <c r="D94" s="2">
        <v>526510.18039999995</v>
      </c>
      <c r="E94" s="2">
        <v>191.57599999999999</v>
      </c>
      <c r="F94" s="2">
        <v>526701.75639999995</v>
      </c>
    </row>
    <row r="95" spans="1:6" x14ac:dyDescent="0.3">
      <c r="A95" s="1">
        <v>38837</v>
      </c>
      <c r="B95" t="s">
        <v>6</v>
      </c>
      <c r="C95" t="s">
        <v>10</v>
      </c>
      <c r="D95" s="2">
        <v>367573.20462878997</v>
      </c>
      <c r="E95" s="2">
        <v>83.178202999999996</v>
      </c>
      <c r="F95" s="2">
        <v>367656.38283179002</v>
      </c>
    </row>
    <row r="96" spans="1:6" x14ac:dyDescent="0.3">
      <c r="A96" s="1">
        <v>38837</v>
      </c>
      <c r="B96" t="s">
        <v>6</v>
      </c>
      <c r="C96" t="s">
        <v>12</v>
      </c>
      <c r="D96" s="2">
        <v>0</v>
      </c>
      <c r="E96" s="2">
        <v>14000</v>
      </c>
      <c r="F96" s="2">
        <v>14000</v>
      </c>
    </row>
    <row r="97" spans="1:6" x14ac:dyDescent="0.3">
      <c r="A97" s="1">
        <v>38837</v>
      </c>
      <c r="B97" t="s">
        <v>13</v>
      </c>
      <c r="C97" t="s">
        <v>14</v>
      </c>
      <c r="D97" s="2">
        <v>4264459.7546287896</v>
      </c>
      <c r="E97" s="2">
        <v>18745.491203000001</v>
      </c>
      <c r="F97" s="2">
        <v>4283205.2458317904</v>
      </c>
    </row>
    <row r="98" spans="1:6" x14ac:dyDescent="0.3">
      <c r="A98" s="1">
        <v>38837</v>
      </c>
      <c r="B98" t="s">
        <v>15</v>
      </c>
      <c r="C98" t="s">
        <v>16</v>
      </c>
      <c r="D98" s="2">
        <v>29995.18</v>
      </c>
      <c r="E98" s="2">
        <v>0</v>
      </c>
      <c r="F98" s="2">
        <v>29995.18</v>
      </c>
    </row>
    <row r="99" spans="1:6" x14ac:dyDescent="0.3">
      <c r="A99" s="1">
        <v>38837</v>
      </c>
      <c r="B99" t="s">
        <v>15</v>
      </c>
      <c r="C99" t="s">
        <v>23</v>
      </c>
      <c r="D99" s="2">
        <v>3185.6485899999998</v>
      </c>
      <c r="E99" s="2">
        <v>0</v>
      </c>
      <c r="F99" s="2">
        <v>3185.6485899999998</v>
      </c>
    </row>
    <row r="100" spans="1:6" x14ac:dyDescent="0.3">
      <c r="A100" s="1">
        <v>38837</v>
      </c>
      <c r="B100" t="s">
        <v>15</v>
      </c>
      <c r="C100" t="s">
        <v>25</v>
      </c>
      <c r="D100" s="2">
        <v>1.0529999999999999</v>
      </c>
      <c r="E100" s="2">
        <v>0</v>
      </c>
      <c r="F100" s="2">
        <v>1.0529999999999999</v>
      </c>
    </row>
    <row r="101" spans="1:6" x14ac:dyDescent="0.3">
      <c r="A101" s="1">
        <v>38837</v>
      </c>
      <c r="B101" t="s">
        <v>15</v>
      </c>
      <c r="C101" t="s">
        <v>20</v>
      </c>
      <c r="D101" s="2">
        <v>5494.33128321</v>
      </c>
      <c r="E101" s="2">
        <v>0</v>
      </c>
      <c r="F101" s="2">
        <v>5494.33128321</v>
      </c>
    </row>
    <row r="102" spans="1:6" x14ac:dyDescent="0.3">
      <c r="A102" s="1">
        <v>38837</v>
      </c>
      <c r="B102" t="s">
        <v>15</v>
      </c>
      <c r="C102" t="s">
        <v>18</v>
      </c>
      <c r="D102" s="2">
        <v>206067.21298198</v>
      </c>
      <c r="E102" s="2">
        <v>0</v>
      </c>
      <c r="F102" s="2">
        <v>206067.21298198</v>
      </c>
    </row>
    <row r="103" spans="1:6" x14ac:dyDescent="0.3">
      <c r="A103" s="1">
        <v>38837</v>
      </c>
      <c r="B103" t="s">
        <v>15</v>
      </c>
      <c r="C103" t="s">
        <v>19</v>
      </c>
      <c r="D103" s="2">
        <v>72082.110701989994</v>
      </c>
      <c r="E103" s="2">
        <v>3517023.72947483</v>
      </c>
      <c r="F103" s="2">
        <v>3589105.8911768198</v>
      </c>
    </row>
    <row r="104" spans="1:6" x14ac:dyDescent="0.3">
      <c r="A104" s="1">
        <v>38837</v>
      </c>
      <c r="B104" t="s">
        <v>15</v>
      </c>
      <c r="C104" t="s">
        <v>17</v>
      </c>
      <c r="D104" s="2">
        <v>238663.30587052999</v>
      </c>
      <c r="E104" s="2">
        <v>0</v>
      </c>
      <c r="F104" s="2">
        <v>238663.30587052999</v>
      </c>
    </row>
    <row r="105" spans="1:6" x14ac:dyDescent="0.3">
      <c r="A105" s="1">
        <v>38837</v>
      </c>
      <c r="B105" t="s">
        <v>21</v>
      </c>
      <c r="C105" t="s">
        <v>14</v>
      </c>
      <c r="D105" s="2">
        <v>555488.84242770995</v>
      </c>
      <c r="E105" s="2">
        <v>3517023.72947483</v>
      </c>
      <c r="F105" s="2">
        <v>4072512.62290254</v>
      </c>
    </row>
    <row r="106" spans="1:6" x14ac:dyDescent="0.3">
      <c r="A106" s="1">
        <v>38837</v>
      </c>
      <c r="B106" t="s">
        <v>22</v>
      </c>
      <c r="C106" t="s">
        <v>14</v>
      </c>
      <c r="D106" s="2">
        <v>4819948.5970564997</v>
      </c>
      <c r="E106" s="2">
        <v>3535769.2206778298</v>
      </c>
      <c r="F106" s="2">
        <v>8355717.8687343299</v>
      </c>
    </row>
    <row r="107" spans="1:6" x14ac:dyDescent="0.3">
      <c r="A107" s="1">
        <v>38868</v>
      </c>
      <c r="B107" t="s">
        <v>6</v>
      </c>
      <c r="C107" t="s">
        <v>7</v>
      </c>
      <c r="D107" s="2">
        <v>951623.48199999996</v>
      </c>
      <c r="E107" s="2">
        <v>2817.64</v>
      </c>
      <c r="F107" s="2">
        <v>954441.12199999997</v>
      </c>
    </row>
    <row r="108" spans="1:6" x14ac:dyDescent="0.3">
      <c r="A108" s="1">
        <v>38868</v>
      </c>
      <c r="B108" t="s">
        <v>6</v>
      </c>
      <c r="C108" t="s">
        <v>9</v>
      </c>
      <c r="D108" s="2">
        <v>522965.42940000002</v>
      </c>
      <c r="E108" s="2">
        <v>200.48</v>
      </c>
      <c r="F108" s="2">
        <v>523165.9094</v>
      </c>
    </row>
    <row r="109" spans="1:6" x14ac:dyDescent="0.3">
      <c r="A109" s="1">
        <v>38868</v>
      </c>
      <c r="B109" t="s">
        <v>6</v>
      </c>
      <c r="C109" t="s">
        <v>10</v>
      </c>
      <c r="D109" s="2">
        <v>369572.57400505</v>
      </c>
      <c r="E109" s="2">
        <v>78.372945000000001</v>
      </c>
      <c r="F109" s="2">
        <v>369650.94695005001</v>
      </c>
    </row>
    <row r="110" spans="1:6" x14ac:dyDescent="0.3">
      <c r="A110" s="1">
        <v>38868</v>
      </c>
      <c r="B110" t="s">
        <v>6</v>
      </c>
      <c r="C110" t="s">
        <v>12</v>
      </c>
      <c r="D110" s="2">
        <v>0</v>
      </c>
      <c r="E110" s="2">
        <v>14000</v>
      </c>
      <c r="F110" s="2">
        <v>14000</v>
      </c>
    </row>
    <row r="111" spans="1:6" x14ac:dyDescent="0.3">
      <c r="A111" s="1">
        <v>38868</v>
      </c>
      <c r="B111" t="s">
        <v>6</v>
      </c>
      <c r="C111" t="s">
        <v>8</v>
      </c>
      <c r="D111" s="2">
        <v>2406354.3886000002</v>
      </c>
      <c r="E111" s="2">
        <v>1631.2080000000001</v>
      </c>
      <c r="F111" s="2">
        <v>2407985.5965999998</v>
      </c>
    </row>
    <row r="112" spans="1:6" x14ac:dyDescent="0.3">
      <c r="A112" s="1">
        <v>38868</v>
      </c>
      <c r="B112" t="s">
        <v>13</v>
      </c>
      <c r="C112" t="s">
        <v>14</v>
      </c>
      <c r="D112" s="2">
        <v>4250515.8740050504</v>
      </c>
      <c r="E112" s="2">
        <v>18727.700945000001</v>
      </c>
      <c r="F112" s="2">
        <v>4269243.5749500496</v>
      </c>
    </row>
    <row r="113" spans="1:6" x14ac:dyDescent="0.3">
      <c r="A113" s="1">
        <v>38868</v>
      </c>
      <c r="B113" t="s">
        <v>15</v>
      </c>
      <c r="C113" t="s">
        <v>20</v>
      </c>
      <c r="D113" s="2">
        <v>5477.6630708800003</v>
      </c>
      <c r="E113" s="2">
        <v>0</v>
      </c>
      <c r="F113" s="2">
        <v>5477.6630708800003</v>
      </c>
    </row>
    <row r="114" spans="1:6" x14ac:dyDescent="0.3">
      <c r="A114" s="1">
        <v>38868</v>
      </c>
      <c r="B114" t="s">
        <v>15</v>
      </c>
      <c r="C114" t="s">
        <v>23</v>
      </c>
      <c r="D114" s="2">
        <v>2985.6485899999998</v>
      </c>
      <c r="E114" s="2">
        <v>0</v>
      </c>
      <c r="F114" s="2">
        <v>2985.6485899999998</v>
      </c>
    </row>
    <row r="115" spans="1:6" x14ac:dyDescent="0.3">
      <c r="A115" s="1">
        <v>38868</v>
      </c>
      <c r="B115" t="s">
        <v>15</v>
      </c>
      <c r="C115" t="s">
        <v>25</v>
      </c>
      <c r="D115" s="2">
        <v>1.0529999999999999</v>
      </c>
      <c r="E115" s="2">
        <v>0</v>
      </c>
      <c r="F115" s="2">
        <v>1.0529999999999999</v>
      </c>
    </row>
    <row r="116" spans="1:6" x14ac:dyDescent="0.3">
      <c r="A116" s="1">
        <v>38868</v>
      </c>
      <c r="B116" t="s">
        <v>15</v>
      </c>
      <c r="C116" t="s">
        <v>18</v>
      </c>
      <c r="D116" s="2">
        <v>205669.43910069001</v>
      </c>
      <c r="E116" s="2">
        <v>0</v>
      </c>
      <c r="F116" s="2">
        <v>205669.43910069001</v>
      </c>
    </row>
    <row r="117" spans="1:6" x14ac:dyDescent="0.3">
      <c r="A117" s="1">
        <v>38868</v>
      </c>
      <c r="B117" t="s">
        <v>15</v>
      </c>
      <c r="C117" t="s">
        <v>19</v>
      </c>
      <c r="D117" s="2">
        <v>73697.783719130006</v>
      </c>
      <c r="E117" s="2">
        <v>3530531.9911989402</v>
      </c>
      <c r="F117" s="2">
        <v>3604229.7939180699</v>
      </c>
    </row>
    <row r="118" spans="1:6" x14ac:dyDescent="0.3">
      <c r="A118" s="1">
        <v>38868</v>
      </c>
      <c r="B118" t="s">
        <v>15</v>
      </c>
      <c r="C118" t="s">
        <v>17</v>
      </c>
      <c r="D118" s="2">
        <v>239173.62185242001</v>
      </c>
      <c r="E118" s="2">
        <v>0</v>
      </c>
      <c r="F118" s="2">
        <v>239173.62185242001</v>
      </c>
    </row>
    <row r="119" spans="1:6" x14ac:dyDescent="0.3">
      <c r="A119" s="1">
        <v>38868</v>
      </c>
      <c r="B119" t="s">
        <v>15</v>
      </c>
      <c r="C119" t="s">
        <v>16</v>
      </c>
      <c r="D119" s="2">
        <v>29995.18</v>
      </c>
      <c r="E119" s="2">
        <v>0</v>
      </c>
      <c r="F119" s="2">
        <v>29995.18</v>
      </c>
    </row>
    <row r="120" spans="1:6" x14ac:dyDescent="0.3">
      <c r="A120" s="1">
        <v>38868</v>
      </c>
      <c r="B120" t="s">
        <v>21</v>
      </c>
      <c r="C120" t="s">
        <v>14</v>
      </c>
      <c r="D120" s="2">
        <v>557001.38933311997</v>
      </c>
      <c r="E120" s="2">
        <v>3530531.9911989402</v>
      </c>
      <c r="F120" s="2">
        <v>4087533.3995320601</v>
      </c>
    </row>
    <row r="121" spans="1:6" x14ac:dyDescent="0.3">
      <c r="A121" s="1">
        <v>38868</v>
      </c>
      <c r="B121" t="s">
        <v>22</v>
      </c>
      <c r="C121" t="s">
        <v>14</v>
      </c>
      <c r="D121" s="2">
        <v>4807517.26333817</v>
      </c>
      <c r="E121" s="2">
        <v>3549259.6921439399</v>
      </c>
      <c r="F121" s="2">
        <v>8356776.9744821098</v>
      </c>
    </row>
    <row r="122" spans="1:6" x14ac:dyDescent="0.3">
      <c r="A122" s="1">
        <v>38898</v>
      </c>
      <c r="B122" t="s">
        <v>6</v>
      </c>
      <c r="C122" t="s">
        <v>8</v>
      </c>
      <c r="D122" s="2">
        <v>2425710.0926000001</v>
      </c>
      <c r="E122" s="2">
        <v>1687.1559999999999</v>
      </c>
      <c r="F122" s="2">
        <v>2427397.2486</v>
      </c>
    </row>
    <row r="123" spans="1:6" x14ac:dyDescent="0.3">
      <c r="A123" s="1">
        <v>38898</v>
      </c>
      <c r="B123" t="s">
        <v>6</v>
      </c>
      <c r="C123" t="s">
        <v>9</v>
      </c>
      <c r="D123" s="2">
        <v>522923.70740000001</v>
      </c>
      <c r="E123" s="2">
        <v>233.32499999999999</v>
      </c>
      <c r="F123" s="2">
        <v>523157.03240000003</v>
      </c>
    </row>
    <row r="124" spans="1:6" x14ac:dyDescent="0.3">
      <c r="A124" s="1">
        <v>38898</v>
      </c>
      <c r="B124" t="s">
        <v>6</v>
      </c>
      <c r="C124" t="s">
        <v>10</v>
      </c>
      <c r="D124" s="2">
        <v>372688.60309449001</v>
      </c>
      <c r="E124" s="2">
        <v>68.076885000000004</v>
      </c>
      <c r="F124" s="2">
        <v>372756.67997949</v>
      </c>
    </row>
    <row r="125" spans="1:6" x14ac:dyDescent="0.3">
      <c r="A125" s="1">
        <v>38898</v>
      </c>
      <c r="B125" t="s">
        <v>6</v>
      </c>
      <c r="C125" t="s">
        <v>12</v>
      </c>
      <c r="D125" s="2">
        <v>0</v>
      </c>
      <c r="E125" s="2">
        <v>14000</v>
      </c>
      <c r="F125" s="2">
        <v>14000</v>
      </c>
    </row>
    <row r="126" spans="1:6" x14ac:dyDescent="0.3">
      <c r="A126" s="1">
        <v>38898</v>
      </c>
      <c r="B126" t="s">
        <v>13</v>
      </c>
      <c r="C126" t="s">
        <v>14</v>
      </c>
      <c r="D126" s="2">
        <v>4235125.6060944898</v>
      </c>
      <c r="E126" s="2">
        <v>18891.877885000002</v>
      </c>
      <c r="F126" s="2">
        <v>4254017.4839794897</v>
      </c>
    </row>
    <row r="127" spans="1:6" x14ac:dyDescent="0.3">
      <c r="A127" s="1">
        <v>38898</v>
      </c>
      <c r="B127" t="s">
        <v>15</v>
      </c>
      <c r="C127" t="s">
        <v>16</v>
      </c>
      <c r="D127" s="2">
        <v>29995.18</v>
      </c>
      <c r="E127" s="2">
        <v>0</v>
      </c>
      <c r="F127" s="2">
        <v>29995.18</v>
      </c>
    </row>
    <row r="128" spans="1:6" x14ac:dyDescent="0.3">
      <c r="A128" s="1">
        <v>38898</v>
      </c>
      <c r="B128" t="s">
        <v>15</v>
      </c>
      <c r="C128" t="s">
        <v>23</v>
      </c>
      <c r="D128" s="2">
        <v>2985.6485899999998</v>
      </c>
      <c r="E128" s="2">
        <v>0</v>
      </c>
      <c r="F128" s="2">
        <v>2985.6485899999998</v>
      </c>
    </row>
    <row r="129" spans="1:6" x14ac:dyDescent="0.3">
      <c r="A129" s="1">
        <v>38898</v>
      </c>
      <c r="B129" t="s">
        <v>15</v>
      </c>
      <c r="C129" t="s">
        <v>25</v>
      </c>
      <c r="D129" s="2">
        <v>1.0529999999999999</v>
      </c>
      <c r="E129" s="2">
        <v>0</v>
      </c>
      <c r="F129" s="2">
        <v>1.0529999999999999</v>
      </c>
    </row>
    <row r="130" spans="1:6" x14ac:dyDescent="0.3">
      <c r="A130" s="1">
        <v>38898</v>
      </c>
      <c r="B130" t="s">
        <v>15</v>
      </c>
      <c r="C130" t="s">
        <v>17</v>
      </c>
      <c r="D130" s="2">
        <v>242021.82107974999</v>
      </c>
      <c r="E130" s="2">
        <v>0</v>
      </c>
      <c r="F130" s="2">
        <v>242021.82107974999</v>
      </c>
    </row>
    <row r="131" spans="1:6" x14ac:dyDescent="0.3">
      <c r="A131" s="1">
        <v>38898</v>
      </c>
      <c r="B131" t="s">
        <v>15</v>
      </c>
      <c r="C131" t="s">
        <v>18</v>
      </c>
      <c r="D131" s="2">
        <v>205227.22267600999</v>
      </c>
      <c r="E131" s="2">
        <v>0</v>
      </c>
      <c r="F131" s="2">
        <v>205227.22267600999</v>
      </c>
    </row>
    <row r="132" spans="1:6" x14ac:dyDescent="0.3">
      <c r="A132" s="1">
        <v>38898</v>
      </c>
      <c r="B132" t="s">
        <v>15</v>
      </c>
      <c r="C132" t="s">
        <v>19</v>
      </c>
      <c r="D132" s="2">
        <v>76288.56532034</v>
      </c>
      <c r="E132" s="2">
        <v>3603947.3378790198</v>
      </c>
      <c r="F132" s="2">
        <v>3680234.9221993601</v>
      </c>
    </row>
    <row r="133" spans="1:6" x14ac:dyDescent="0.3">
      <c r="A133" s="1">
        <v>38898</v>
      </c>
      <c r="B133" t="s">
        <v>15</v>
      </c>
      <c r="C133" t="s">
        <v>20</v>
      </c>
      <c r="D133" s="2">
        <v>5558.1973787099996</v>
      </c>
      <c r="E133" s="2">
        <v>0</v>
      </c>
      <c r="F133" s="2">
        <v>5558.1973787099996</v>
      </c>
    </row>
    <row r="134" spans="1:6" x14ac:dyDescent="0.3">
      <c r="A134" s="1">
        <v>38898</v>
      </c>
      <c r="B134" t="s">
        <v>21</v>
      </c>
      <c r="C134" t="s">
        <v>14</v>
      </c>
      <c r="D134" s="2">
        <v>562077.68804480997</v>
      </c>
      <c r="E134" s="2">
        <v>3603947.3378790198</v>
      </c>
      <c r="F134" s="2">
        <v>4166024.0449238298</v>
      </c>
    </row>
    <row r="135" spans="1:6" x14ac:dyDescent="0.3">
      <c r="A135" s="1">
        <v>38898</v>
      </c>
      <c r="B135" t="s">
        <v>22</v>
      </c>
      <c r="C135" t="s">
        <v>14</v>
      </c>
      <c r="D135" s="2">
        <v>4797204.2941392995</v>
      </c>
      <c r="E135" s="2">
        <v>3622838.2157640201</v>
      </c>
      <c r="F135" s="2">
        <v>8420041.5289033204</v>
      </c>
    </row>
    <row r="136" spans="1:6" x14ac:dyDescent="0.3">
      <c r="A136" s="1">
        <v>38898</v>
      </c>
      <c r="B136" t="s">
        <v>6</v>
      </c>
      <c r="C136" t="s">
        <v>7</v>
      </c>
      <c r="D136" s="2">
        <v>913803.20299999998</v>
      </c>
      <c r="E136" s="2">
        <v>2903.32</v>
      </c>
      <c r="F136" s="2">
        <v>916706.52300000004</v>
      </c>
    </row>
    <row r="137" spans="1:6" x14ac:dyDescent="0.3">
      <c r="A137" s="1">
        <v>38929</v>
      </c>
      <c r="B137" t="s">
        <v>15</v>
      </c>
      <c r="C137" t="s">
        <v>20</v>
      </c>
      <c r="D137" s="2">
        <v>5532.8057788699998</v>
      </c>
      <c r="E137" s="2">
        <v>0</v>
      </c>
      <c r="F137" s="2">
        <v>5532.8057788699998</v>
      </c>
    </row>
    <row r="138" spans="1:6" x14ac:dyDescent="0.3">
      <c r="A138" s="1">
        <v>38929</v>
      </c>
      <c r="B138" t="s">
        <v>21</v>
      </c>
      <c r="C138" t="s">
        <v>14</v>
      </c>
      <c r="D138" s="2">
        <v>558396.05345422996</v>
      </c>
      <c r="E138" s="2">
        <v>3605540.3090899899</v>
      </c>
      <c r="F138" s="2">
        <v>4163936.5155442199</v>
      </c>
    </row>
    <row r="139" spans="1:6" x14ac:dyDescent="0.3">
      <c r="A139" s="1">
        <v>38929</v>
      </c>
      <c r="B139" t="s">
        <v>22</v>
      </c>
      <c r="C139" t="s">
        <v>14</v>
      </c>
      <c r="D139" s="2">
        <v>4819732.1498851096</v>
      </c>
      <c r="E139" s="2">
        <v>3624614.4565891102</v>
      </c>
      <c r="F139" s="2">
        <v>8444346.7594742198</v>
      </c>
    </row>
    <row r="140" spans="1:6" x14ac:dyDescent="0.3">
      <c r="A140" s="1">
        <v>38929</v>
      </c>
      <c r="B140" t="s">
        <v>6</v>
      </c>
      <c r="C140" t="s">
        <v>7</v>
      </c>
      <c r="D140" s="2">
        <v>929925.74399999995</v>
      </c>
      <c r="E140" s="2">
        <v>2768.0079999999998</v>
      </c>
      <c r="F140" s="2">
        <v>932693.75199999998</v>
      </c>
    </row>
    <row r="141" spans="1:6" x14ac:dyDescent="0.3">
      <c r="A141" s="1">
        <v>38929</v>
      </c>
      <c r="B141" t="s">
        <v>6</v>
      </c>
      <c r="C141" t="s">
        <v>8</v>
      </c>
      <c r="D141" s="2">
        <v>2414905.4315999998</v>
      </c>
      <c r="E141" s="2">
        <v>1997.953</v>
      </c>
      <c r="F141" s="2">
        <v>2416903.3846</v>
      </c>
    </row>
    <row r="142" spans="1:6" x14ac:dyDescent="0.3">
      <c r="A142" s="1">
        <v>38929</v>
      </c>
      <c r="B142" t="s">
        <v>6</v>
      </c>
      <c r="C142" t="s">
        <v>12</v>
      </c>
      <c r="D142" s="2">
        <v>0</v>
      </c>
      <c r="E142" s="2">
        <v>14000</v>
      </c>
      <c r="F142" s="2">
        <v>14000</v>
      </c>
    </row>
    <row r="143" spans="1:6" x14ac:dyDescent="0.3">
      <c r="A143" s="1">
        <v>38929</v>
      </c>
      <c r="B143" t="s">
        <v>6</v>
      </c>
      <c r="C143" t="s">
        <v>9</v>
      </c>
      <c r="D143" s="2">
        <v>522918.27889999998</v>
      </c>
      <c r="E143" s="2">
        <v>237.357</v>
      </c>
      <c r="F143" s="2">
        <v>523155.63589999999</v>
      </c>
    </row>
    <row r="144" spans="1:6" x14ac:dyDescent="0.3">
      <c r="A144" s="1">
        <v>38929</v>
      </c>
      <c r="B144" t="s">
        <v>6</v>
      </c>
      <c r="C144" t="s">
        <v>10</v>
      </c>
      <c r="D144" s="2">
        <v>393586.64193088003</v>
      </c>
      <c r="E144" s="2">
        <v>70.829499119999994</v>
      </c>
      <c r="F144" s="2">
        <v>393657.47142999998</v>
      </c>
    </row>
    <row r="145" spans="1:6" x14ac:dyDescent="0.3">
      <c r="A145" s="1">
        <v>38929</v>
      </c>
      <c r="B145" t="s">
        <v>13</v>
      </c>
      <c r="C145" t="s">
        <v>14</v>
      </c>
      <c r="D145" s="2">
        <v>4261336.09643088</v>
      </c>
      <c r="E145" s="2">
        <v>19074.147499120001</v>
      </c>
      <c r="F145" s="2">
        <v>4280410.2439299999</v>
      </c>
    </row>
    <row r="146" spans="1:6" x14ac:dyDescent="0.3">
      <c r="A146" s="1">
        <v>38929</v>
      </c>
      <c r="B146" t="s">
        <v>15</v>
      </c>
      <c r="C146" t="s">
        <v>16</v>
      </c>
      <c r="D146" s="2">
        <v>29995.18</v>
      </c>
      <c r="E146" s="2">
        <v>0</v>
      </c>
      <c r="F146" s="2">
        <v>29995.18</v>
      </c>
    </row>
    <row r="147" spans="1:6" x14ac:dyDescent="0.3">
      <c r="A147" s="1">
        <v>38929</v>
      </c>
      <c r="B147" t="s">
        <v>15</v>
      </c>
      <c r="C147" t="s">
        <v>23</v>
      </c>
      <c r="D147" s="2">
        <v>2985.6485899999998</v>
      </c>
      <c r="E147" s="2">
        <v>0</v>
      </c>
      <c r="F147" s="2">
        <v>2985.6485899999998</v>
      </c>
    </row>
    <row r="148" spans="1:6" x14ac:dyDescent="0.3">
      <c r="A148" s="1">
        <v>38929</v>
      </c>
      <c r="B148" t="s">
        <v>15</v>
      </c>
      <c r="C148" t="s">
        <v>25</v>
      </c>
      <c r="D148" s="2">
        <v>1.0529999999999999</v>
      </c>
      <c r="E148" s="2">
        <v>0</v>
      </c>
      <c r="F148" s="2">
        <v>1.0529999999999999</v>
      </c>
    </row>
    <row r="149" spans="1:6" x14ac:dyDescent="0.3">
      <c r="A149" s="1">
        <v>38929</v>
      </c>
      <c r="B149" t="s">
        <v>15</v>
      </c>
      <c r="C149" t="s">
        <v>17</v>
      </c>
      <c r="D149" s="2">
        <v>237425.25440413001</v>
      </c>
      <c r="E149" s="2">
        <v>0</v>
      </c>
      <c r="F149" s="2">
        <v>237425.25440413001</v>
      </c>
    </row>
    <row r="150" spans="1:6" x14ac:dyDescent="0.3">
      <c r="A150" s="1">
        <v>38929</v>
      </c>
      <c r="B150" t="s">
        <v>15</v>
      </c>
      <c r="C150" t="s">
        <v>18</v>
      </c>
      <c r="D150" s="2">
        <v>204825.44169703999</v>
      </c>
      <c r="E150" s="2">
        <v>0</v>
      </c>
      <c r="F150" s="2">
        <v>204825.44169703999</v>
      </c>
    </row>
    <row r="151" spans="1:6" x14ac:dyDescent="0.3">
      <c r="A151" s="1">
        <v>38929</v>
      </c>
      <c r="B151" t="s">
        <v>15</v>
      </c>
      <c r="C151" t="s">
        <v>19</v>
      </c>
      <c r="D151" s="2">
        <v>77630.669984189997</v>
      </c>
      <c r="E151" s="2">
        <v>3605540.3090899899</v>
      </c>
      <c r="F151" s="2">
        <v>3683171.1320741801</v>
      </c>
    </row>
    <row r="152" spans="1:6" x14ac:dyDescent="0.3">
      <c r="A152" s="1">
        <v>38960</v>
      </c>
      <c r="B152" t="s">
        <v>21</v>
      </c>
      <c r="C152" t="s">
        <v>14</v>
      </c>
      <c r="D152" s="2">
        <v>559374.21925144002</v>
      </c>
      <c r="E152" s="2">
        <v>3610986.5551807499</v>
      </c>
      <c r="F152" s="2">
        <v>4170361.90943219</v>
      </c>
    </row>
    <row r="153" spans="1:6" x14ac:dyDescent="0.3">
      <c r="A153" s="1">
        <v>38960</v>
      </c>
      <c r="B153" t="s">
        <v>22</v>
      </c>
      <c r="C153" t="s">
        <v>14</v>
      </c>
      <c r="D153" s="2">
        <v>4884685.1830192199</v>
      </c>
      <c r="E153" s="2">
        <v>3630348.4540763302</v>
      </c>
      <c r="F153" s="2">
        <v>8515033.7720955499</v>
      </c>
    </row>
    <row r="154" spans="1:6" x14ac:dyDescent="0.3">
      <c r="A154" s="1">
        <v>38960</v>
      </c>
      <c r="B154" t="s">
        <v>6</v>
      </c>
      <c r="C154" t="s">
        <v>7</v>
      </c>
      <c r="D154" s="2">
        <v>959323.28899999999</v>
      </c>
      <c r="E154" s="2">
        <v>2989.6289999999999</v>
      </c>
      <c r="F154" s="2">
        <v>962312.91799999995</v>
      </c>
    </row>
    <row r="155" spans="1:6" x14ac:dyDescent="0.3">
      <c r="A155" s="1">
        <v>38960</v>
      </c>
      <c r="B155" t="s">
        <v>6</v>
      </c>
      <c r="C155" t="s">
        <v>12</v>
      </c>
      <c r="D155" s="2">
        <v>0</v>
      </c>
      <c r="E155" s="2">
        <v>14000</v>
      </c>
      <c r="F155" s="2">
        <v>14000</v>
      </c>
    </row>
    <row r="156" spans="1:6" x14ac:dyDescent="0.3">
      <c r="A156" s="1">
        <v>38960</v>
      </c>
      <c r="B156" t="s">
        <v>6</v>
      </c>
      <c r="C156" t="s">
        <v>8</v>
      </c>
      <c r="D156" s="2">
        <v>2437098.1486</v>
      </c>
      <c r="E156" s="2">
        <v>2064.64</v>
      </c>
      <c r="F156" s="2">
        <v>2439162.7886000001</v>
      </c>
    </row>
    <row r="157" spans="1:6" x14ac:dyDescent="0.3">
      <c r="A157" s="1">
        <v>38960</v>
      </c>
      <c r="B157" t="s">
        <v>6</v>
      </c>
      <c r="C157" t="s">
        <v>9</v>
      </c>
      <c r="D157" s="2">
        <v>534472.86580000003</v>
      </c>
      <c r="E157" s="2">
        <v>237.92</v>
      </c>
      <c r="F157" s="2">
        <v>534710.78579999995</v>
      </c>
    </row>
    <row r="158" spans="1:6" x14ac:dyDescent="0.3">
      <c r="A158" s="1">
        <v>38960</v>
      </c>
      <c r="B158" t="s">
        <v>6</v>
      </c>
      <c r="C158" t="s">
        <v>10</v>
      </c>
      <c r="D158" s="2">
        <v>394416.66036778002</v>
      </c>
      <c r="E158" s="2">
        <v>68.709895579999994</v>
      </c>
      <c r="F158" s="2">
        <v>394485.37026335998</v>
      </c>
    </row>
    <row r="159" spans="1:6" x14ac:dyDescent="0.3">
      <c r="A159" s="1">
        <v>38960</v>
      </c>
      <c r="B159" t="s">
        <v>13</v>
      </c>
      <c r="C159" t="s">
        <v>14</v>
      </c>
      <c r="D159" s="2">
        <v>4325310.96376778</v>
      </c>
      <c r="E159" s="2">
        <v>19360.898895580001</v>
      </c>
      <c r="F159" s="2">
        <v>4344671.8626633603</v>
      </c>
    </row>
    <row r="160" spans="1:6" x14ac:dyDescent="0.3">
      <c r="A160" s="1">
        <v>38960</v>
      </c>
      <c r="B160" t="s">
        <v>15</v>
      </c>
      <c r="C160" t="s">
        <v>16</v>
      </c>
      <c r="D160" s="2">
        <v>29995.18</v>
      </c>
      <c r="E160" s="2">
        <v>0</v>
      </c>
      <c r="F160" s="2">
        <v>29995.18</v>
      </c>
    </row>
    <row r="161" spans="1:6" x14ac:dyDescent="0.3">
      <c r="A161" s="1">
        <v>38960</v>
      </c>
      <c r="B161" t="s">
        <v>15</v>
      </c>
      <c r="C161" t="s">
        <v>23</v>
      </c>
      <c r="D161" s="2">
        <v>2985.6485899999998</v>
      </c>
      <c r="E161" s="2">
        <v>0</v>
      </c>
      <c r="F161" s="2">
        <v>2985.6485899999998</v>
      </c>
    </row>
    <row r="162" spans="1:6" x14ac:dyDescent="0.3">
      <c r="A162" s="1">
        <v>38960</v>
      </c>
      <c r="B162" t="s">
        <v>15</v>
      </c>
      <c r="C162" t="s">
        <v>25</v>
      </c>
      <c r="D162" s="2">
        <v>1.0529999999999999</v>
      </c>
      <c r="E162" s="2">
        <v>0</v>
      </c>
      <c r="F162" s="2">
        <v>1.0529999999999999</v>
      </c>
    </row>
    <row r="163" spans="1:6" x14ac:dyDescent="0.3">
      <c r="A163" s="1">
        <v>38960</v>
      </c>
      <c r="B163" t="s">
        <v>15</v>
      </c>
      <c r="C163" t="s">
        <v>20</v>
      </c>
      <c r="D163" s="2">
        <v>5541.1675025900004</v>
      </c>
      <c r="E163" s="2">
        <v>0</v>
      </c>
      <c r="F163" s="2">
        <v>5541.1675025900004</v>
      </c>
    </row>
    <row r="164" spans="1:6" x14ac:dyDescent="0.3">
      <c r="A164" s="1">
        <v>38960</v>
      </c>
      <c r="B164" t="s">
        <v>15</v>
      </c>
      <c r="C164" t="s">
        <v>17</v>
      </c>
      <c r="D164" s="2">
        <v>238602.57233135999</v>
      </c>
      <c r="E164" s="2">
        <v>0</v>
      </c>
      <c r="F164" s="2">
        <v>238602.57233135999</v>
      </c>
    </row>
    <row r="165" spans="1:6" x14ac:dyDescent="0.3">
      <c r="A165" s="1">
        <v>38960</v>
      </c>
      <c r="B165" t="s">
        <v>15</v>
      </c>
      <c r="C165" t="s">
        <v>18</v>
      </c>
      <c r="D165" s="2">
        <v>204024.74497986</v>
      </c>
      <c r="E165" s="2">
        <v>0</v>
      </c>
      <c r="F165" s="2">
        <v>204024.74497986</v>
      </c>
    </row>
    <row r="166" spans="1:6" x14ac:dyDescent="0.3">
      <c r="A166" s="1">
        <v>38960</v>
      </c>
      <c r="B166" t="s">
        <v>15</v>
      </c>
      <c r="C166" t="s">
        <v>19</v>
      </c>
      <c r="D166" s="2">
        <v>78223.852847629998</v>
      </c>
      <c r="E166" s="2">
        <v>3610986.5551807499</v>
      </c>
      <c r="F166" s="2">
        <v>3689210.5430283798</v>
      </c>
    </row>
    <row r="167" spans="1:6" x14ac:dyDescent="0.3">
      <c r="A167" s="1">
        <v>38990</v>
      </c>
      <c r="B167" t="s">
        <v>22</v>
      </c>
      <c r="C167" t="s">
        <v>14</v>
      </c>
      <c r="D167" s="2">
        <v>4843120.5941919796</v>
      </c>
      <c r="E167" s="2">
        <v>3663853.3430395299</v>
      </c>
      <c r="F167" s="2">
        <v>8506974.1692315098</v>
      </c>
    </row>
    <row r="168" spans="1:6" x14ac:dyDescent="0.3">
      <c r="A168" s="1">
        <v>38990</v>
      </c>
      <c r="B168" t="s">
        <v>6</v>
      </c>
      <c r="C168" t="s">
        <v>7</v>
      </c>
      <c r="D168" s="2">
        <v>908473.60699999996</v>
      </c>
      <c r="E168" s="2">
        <v>3056.9659999999999</v>
      </c>
      <c r="F168" s="2">
        <v>911530.57299999997</v>
      </c>
    </row>
    <row r="169" spans="1:6" x14ac:dyDescent="0.3">
      <c r="A169" s="1">
        <v>38990</v>
      </c>
      <c r="B169" t="s">
        <v>6</v>
      </c>
      <c r="C169" t="s">
        <v>8</v>
      </c>
      <c r="D169" s="2">
        <v>2445307.0616000001</v>
      </c>
      <c r="E169" s="2">
        <v>1853.0989999999999</v>
      </c>
      <c r="F169" s="2">
        <v>2447160.1606000001</v>
      </c>
    </row>
    <row r="170" spans="1:6" x14ac:dyDescent="0.3">
      <c r="A170" s="1">
        <v>38990</v>
      </c>
      <c r="B170" t="s">
        <v>6</v>
      </c>
      <c r="C170" t="s">
        <v>12</v>
      </c>
      <c r="D170" s="2">
        <v>0</v>
      </c>
      <c r="E170" s="2">
        <v>14000</v>
      </c>
      <c r="F170" s="2">
        <v>14000</v>
      </c>
    </row>
    <row r="171" spans="1:6" x14ac:dyDescent="0.3">
      <c r="A171" s="1">
        <v>38990</v>
      </c>
      <c r="B171" t="s">
        <v>6</v>
      </c>
      <c r="C171" t="s">
        <v>9</v>
      </c>
      <c r="D171" s="2">
        <v>534473.31330000004</v>
      </c>
      <c r="E171" s="2">
        <v>236.571</v>
      </c>
      <c r="F171" s="2">
        <v>534709.88430000003</v>
      </c>
    </row>
    <row r="172" spans="1:6" x14ac:dyDescent="0.3">
      <c r="A172" s="1">
        <v>38990</v>
      </c>
      <c r="B172" t="s">
        <v>6</v>
      </c>
      <c r="C172" t="s">
        <v>10</v>
      </c>
      <c r="D172" s="2">
        <v>395549.62543329003</v>
      </c>
      <c r="E172" s="2">
        <v>88.655716859999998</v>
      </c>
      <c r="F172" s="2">
        <v>395638.28115015</v>
      </c>
    </row>
    <row r="173" spans="1:6" x14ac:dyDescent="0.3">
      <c r="A173" s="1">
        <v>38990</v>
      </c>
      <c r="B173" t="s">
        <v>13</v>
      </c>
      <c r="C173" t="s">
        <v>14</v>
      </c>
      <c r="D173" s="2">
        <v>4283803.6073332904</v>
      </c>
      <c r="E173" s="2">
        <v>19235.29171686</v>
      </c>
      <c r="F173" s="2">
        <v>4303038.8990501501</v>
      </c>
    </row>
    <row r="174" spans="1:6" x14ac:dyDescent="0.3">
      <c r="A174" s="1">
        <v>38990</v>
      </c>
      <c r="B174" t="s">
        <v>15</v>
      </c>
      <c r="C174" t="s">
        <v>23</v>
      </c>
      <c r="D174" s="2">
        <v>2985.6485899999998</v>
      </c>
      <c r="E174" s="2">
        <v>0</v>
      </c>
      <c r="F174" s="2">
        <v>2985.6485899999998</v>
      </c>
    </row>
    <row r="175" spans="1:6" x14ac:dyDescent="0.3">
      <c r="A175" s="1">
        <v>38990</v>
      </c>
      <c r="B175" t="s">
        <v>15</v>
      </c>
      <c r="C175" t="s">
        <v>16</v>
      </c>
      <c r="D175" s="2">
        <v>29995.18</v>
      </c>
      <c r="E175" s="2">
        <v>0</v>
      </c>
      <c r="F175" s="2">
        <v>29995.18</v>
      </c>
    </row>
    <row r="176" spans="1:6" x14ac:dyDescent="0.3">
      <c r="A176" s="1">
        <v>38990</v>
      </c>
      <c r="B176" t="s">
        <v>15</v>
      </c>
      <c r="C176" t="s">
        <v>25</v>
      </c>
      <c r="D176" s="2">
        <v>1.0529999999999999</v>
      </c>
      <c r="E176" s="2">
        <v>0</v>
      </c>
      <c r="F176" s="2">
        <v>1.0529999999999999</v>
      </c>
    </row>
    <row r="177" spans="1:6" x14ac:dyDescent="0.3">
      <c r="A177" s="1">
        <v>38990</v>
      </c>
      <c r="B177" t="s">
        <v>15</v>
      </c>
      <c r="C177" t="s">
        <v>17</v>
      </c>
      <c r="D177" s="2">
        <v>238834.86325560001</v>
      </c>
      <c r="E177" s="2">
        <v>0</v>
      </c>
      <c r="F177" s="2">
        <v>238834.86325560001</v>
      </c>
    </row>
    <row r="178" spans="1:6" x14ac:dyDescent="0.3">
      <c r="A178" s="1">
        <v>38990</v>
      </c>
      <c r="B178" t="s">
        <v>15</v>
      </c>
      <c r="C178" t="s">
        <v>20</v>
      </c>
      <c r="D178" s="2">
        <v>5714.6165519400001</v>
      </c>
      <c r="E178" s="2">
        <v>0</v>
      </c>
      <c r="F178" s="2">
        <v>5714.6165519400001</v>
      </c>
    </row>
    <row r="179" spans="1:6" x14ac:dyDescent="0.3">
      <c r="A179" s="1">
        <v>38990</v>
      </c>
      <c r="B179" t="s">
        <v>15</v>
      </c>
      <c r="C179" t="s">
        <v>19</v>
      </c>
      <c r="D179" s="2">
        <v>78129.303736810005</v>
      </c>
      <c r="E179" s="2">
        <v>3644618.0513226702</v>
      </c>
      <c r="F179" s="2">
        <v>3722746.5870594801</v>
      </c>
    </row>
    <row r="180" spans="1:6" x14ac:dyDescent="0.3">
      <c r="A180" s="1">
        <v>38990</v>
      </c>
      <c r="B180" t="s">
        <v>15</v>
      </c>
      <c r="C180" t="s">
        <v>18</v>
      </c>
      <c r="D180" s="2">
        <v>203656.32172434</v>
      </c>
      <c r="E180" s="2">
        <v>0</v>
      </c>
      <c r="F180" s="2">
        <v>203656.32172434</v>
      </c>
    </row>
    <row r="181" spans="1:6" x14ac:dyDescent="0.3">
      <c r="A181" s="1">
        <v>38990</v>
      </c>
      <c r="B181" t="s">
        <v>21</v>
      </c>
      <c r="C181" t="s">
        <v>14</v>
      </c>
      <c r="D181" s="2">
        <v>559316.98685869004</v>
      </c>
      <c r="E181" s="2">
        <v>3644618.0513226702</v>
      </c>
      <c r="F181" s="2">
        <v>4203935.2701813597</v>
      </c>
    </row>
    <row r="182" spans="1:6" x14ac:dyDescent="0.3">
      <c r="A182" s="1">
        <v>39021</v>
      </c>
      <c r="B182" t="s">
        <v>15</v>
      </c>
      <c r="C182" t="s">
        <v>25</v>
      </c>
      <c r="D182" s="2">
        <v>1.0529999999999999</v>
      </c>
      <c r="E182" s="2">
        <v>0</v>
      </c>
      <c r="F182" s="2">
        <v>1.0529999999999999</v>
      </c>
    </row>
    <row r="183" spans="1:6" x14ac:dyDescent="0.3">
      <c r="A183" s="1">
        <v>39021</v>
      </c>
      <c r="B183" t="s">
        <v>15</v>
      </c>
      <c r="C183" t="s">
        <v>17</v>
      </c>
      <c r="D183" s="2">
        <v>241727.72391930001</v>
      </c>
      <c r="E183" s="2">
        <v>0</v>
      </c>
      <c r="F183" s="2">
        <v>241727.72391930001</v>
      </c>
    </row>
    <row r="184" spans="1:6" x14ac:dyDescent="0.3">
      <c r="A184" s="1">
        <v>39021</v>
      </c>
      <c r="B184" t="s">
        <v>15</v>
      </c>
      <c r="C184" t="s">
        <v>18</v>
      </c>
      <c r="D184" s="2">
        <v>203210.43703613</v>
      </c>
      <c r="E184" s="2">
        <v>0</v>
      </c>
      <c r="F184" s="2">
        <v>203210.43703613</v>
      </c>
    </row>
    <row r="185" spans="1:6" x14ac:dyDescent="0.3">
      <c r="A185" s="1">
        <v>39021</v>
      </c>
      <c r="B185" t="s">
        <v>15</v>
      </c>
      <c r="C185" t="s">
        <v>20</v>
      </c>
      <c r="D185" s="2">
        <v>5694.7183771800001</v>
      </c>
      <c r="E185" s="2">
        <v>0</v>
      </c>
      <c r="F185" s="2">
        <v>5694.7183771800001</v>
      </c>
    </row>
    <row r="186" spans="1:6" x14ac:dyDescent="0.3">
      <c r="A186" s="1">
        <v>39021</v>
      </c>
      <c r="B186" t="s">
        <v>21</v>
      </c>
      <c r="C186" t="s">
        <v>14</v>
      </c>
      <c r="D186" s="2">
        <v>562048.86672089004</v>
      </c>
      <c r="E186" s="2">
        <v>3684311.0961772199</v>
      </c>
      <c r="F186" s="2">
        <v>4246359.96289811</v>
      </c>
    </row>
    <row r="187" spans="1:6" x14ac:dyDescent="0.3">
      <c r="A187" s="1">
        <v>39021</v>
      </c>
      <c r="B187" t="s">
        <v>22</v>
      </c>
      <c r="C187" t="s">
        <v>14</v>
      </c>
      <c r="D187" s="2">
        <v>4880611.2871827697</v>
      </c>
      <c r="E187" s="2">
        <v>3703718.1728992201</v>
      </c>
      <c r="F187" s="2">
        <v>8584329.4600819908</v>
      </c>
    </row>
    <row r="188" spans="1:6" x14ac:dyDescent="0.3">
      <c r="A188" s="1">
        <v>39021</v>
      </c>
      <c r="B188" t="s">
        <v>6</v>
      </c>
      <c r="C188" t="s">
        <v>7</v>
      </c>
      <c r="D188" s="2">
        <v>926025.34699999995</v>
      </c>
      <c r="E188" s="2">
        <v>3491.223</v>
      </c>
      <c r="F188" s="2">
        <v>929516.57</v>
      </c>
    </row>
    <row r="189" spans="1:6" x14ac:dyDescent="0.3">
      <c r="A189" s="1">
        <v>39021</v>
      </c>
      <c r="B189" t="s">
        <v>6</v>
      </c>
      <c r="C189" t="s">
        <v>8</v>
      </c>
      <c r="D189" s="2">
        <v>2442788.6346</v>
      </c>
      <c r="E189" s="2">
        <v>1596.472</v>
      </c>
      <c r="F189" s="2">
        <v>2444385.1066000001</v>
      </c>
    </row>
    <row r="190" spans="1:6" x14ac:dyDescent="0.3">
      <c r="A190" s="1">
        <v>39021</v>
      </c>
      <c r="B190" t="s">
        <v>6</v>
      </c>
      <c r="C190" t="s">
        <v>9</v>
      </c>
      <c r="D190" s="2">
        <v>534471.66024999996</v>
      </c>
      <c r="E190" s="2">
        <v>237.45099999999999</v>
      </c>
      <c r="F190" s="2">
        <v>534709.11124999996</v>
      </c>
    </row>
    <row r="191" spans="1:6" x14ac:dyDescent="0.3">
      <c r="A191" s="1">
        <v>39021</v>
      </c>
      <c r="B191" t="s">
        <v>6</v>
      </c>
      <c r="C191" t="s">
        <v>10</v>
      </c>
      <c r="D191" s="2">
        <v>415276.77861188003</v>
      </c>
      <c r="E191" s="2">
        <v>81.930722000000003</v>
      </c>
      <c r="F191" s="2">
        <v>415358.70933387999</v>
      </c>
    </row>
    <row r="192" spans="1:6" x14ac:dyDescent="0.3">
      <c r="A192" s="1">
        <v>39021</v>
      </c>
      <c r="B192" t="s">
        <v>6</v>
      </c>
      <c r="C192" t="s">
        <v>12</v>
      </c>
      <c r="D192" s="2">
        <v>0</v>
      </c>
      <c r="E192" s="2">
        <v>14000</v>
      </c>
      <c r="F192" s="2">
        <v>14000</v>
      </c>
    </row>
    <row r="193" spans="1:6" x14ac:dyDescent="0.3">
      <c r="A193" s="1">
        <v>39021</v>
      </c>
      <c r="B193" t="s">
        <v>13</v>
      </c>
      <c r="C193" t="s">
        <v>14</v>
      </c>
      <c r="D193" s="2">
        <v>4318562.42046188</v>
      </c>
      <c r="E193" s="2">
        <v>19407.076722000002</v>
      </c>
      <c r="F193" s="2">
        <v>4337969.4971838798</v>
      </c>
    </row>
    <row r="194" spans="1:6" x14ac:dyDescent="0.3">
      <c r="A194" s="1">
        <v>39021</v>
      </c>
      <c r="B194" t="s">
        <v>15</v>
      </c>
      <c r="C194" t="s">
        <v>16</v>
      </c>
      <c r="D194" s="2">
        <v>29995.18</v>
      </c>
      <c r="E194" s="2">
        <v>0</v>
      </c>
      <c r="F194" s="2">
        <v>29995.18</v>
      </c>
    </row>
    <row r="195" spans="1:6" x14ac:dyDescent="0.3">
      <c r="A195" s="1">
        <v>39021</v>
      </c>
      <c r="B195" t="s">
        <v>15</v>
      </c>
      <c r="C195" t="s">
        <v>23</v>
      </c>
      <c r="D195" s="2">
        <v>2985.6485899999998</v>
      </c>
      <c r="E195" s="2">
        <v>0</v>
      </c>
      <c r="F195" s="2">
        <v>2985.6485899999998</v>
      </c>
    </row>
    <row r="196" spans="1:6" x14ac:dyDescent="0.3">
      <c r="A196" s="1">
        <v>39021</v>
      </c>
      <c r="B196" t="s">
        <v>15</v>
      </c>
      <c r="C196" t="s">
        <v>19</v>
      </c>
      <c r="D196" s="2">
        <v>78434.105798279998</v>
      </c>
      <c r="E196" s="2">
        <v>3684311.0961772199</v>
      </c>
      <c r="F196" s="2">
        <v>3762745.2019755002</v>
      </c>
    </row>
    <row r="197" spans="1:6" x14ac:dyDescent="0.3">
      <c r="A197" s="1">
        <v>39051</v>
      </c>
      <c r="B197" t="s">
        <v>15</v>
      </c>
      <c r="C197" t="s">
        <v>25</v>
      </c>
      <c r="D197" s="2">
        <v>1.0529999999999999</v>
      </c>
      <c r="E197" s="2">
        <v>0</v>
      </c>
      <c r="F197" s="2">
        <v>1.0529999999999999</v>
      </c>
    </row>
    <row r="198" spans="1:6" x14ac:dyDescent="0.3">
      <c r="A198" s="1">
        <v>39051</v>
      </c>
      <c r="B198" t="s">
        <v>15</v>
      </c>
      <c r="C198" t="s">
        <v>17</v>
      </c>
      <c r="D198" s="2">
        <v>247793.97786786</v>
      </c>
      <c r="E198" s="2">
        <v>0</v>
      </c>
      <c r="F198" s="2">
        <v>247793.97786786</v>
      </c>
    </row>
    <row r="199" spans="1:6" x14ac:dyDescent="0.3">
      <c r="A199" s="1">
        <v>39051</v>
      </c>
      <c r="B199" t="s">
        <v>21</v>
      </c>
      <c r="C199" t="s">
        <v>14</v>
      </c>
      <c r="D199" s="2">
        <v>568212.66709988005</v>
      </c>
      <c r="E199" s="2">
        <v>3684021.7115086201</v>
      </c>
      <c r="F199" s="2">
        <v>4252234.3786084997</v>
      </c>
    </row>
    <row r="200" spans="1:6" x14ac:dyDescent="0.3">
      <c r="A200" s="1">
        <v>39051</v>
      </c>
      <c r="B200" t="s">
        <v>22</v>
      </c>
      <c r="C200" t="s">
        <v>14</v>
      </c>
      <c r="D200" s="2">
        <v>4929567.0380306002</v>
      </c>
      <c r="E200" s="2">
        <v>3703678.4573304201</v>
      </c>
      <c r="F200" s="2">
        <v>8633246.4953610208</v>
      </c>
    </row>
    <row r="201" spans="1:6" x14ac:dyDescent="0.3">
      <c r="A201" s="1">
        <v>39051</v>
      </c>
      <c r="B201" t="s">
        <v>6</v>
      </c>
      <c r="C201" t="s">
        <v>7</v>
      </c>
      <c r="D201" s="2">
        <v>985399.31299999997</v>
      </c>
      <c r="E201" s="2">
        <v>3636.9090000000001</v>
      </c>
      <c r="F201" s="2">
        <v>989036.22199999995</v>
      </c>
    </row>
    <row r="202" spans="1:6" x14ac:dyDescent="0.3">
      <c r="A202" s="1">
        <v>39051</v>
      </c>
      <c r="B202" t="s">
        <v>6</v>
      </c>
      <c r="C202" t="s">
        <v>8</v>
      </c>
      <c r="D202" s="2">
        <v>2432207.0476000002</v>
      </c>
      <c r="E202" s="2">
        <v>1655.127</v>
      </c>
      <c r="F202" s="2">
        <v>2433862.1746</v>
      </c>
    </row>
    <row r="203" spans="1:6" x14ac:dyDescent="0.3">
      <c r="A203" s="1">
        <v>39051</v>
      </c>
      <c r="B203" t="s">
        <v>6</v>
      </c>
      <c r="C203" t="s">
        <v>9</v>
      </c>
      <c r="D203" s="2">
        <v>530439.17414999998</v>
      </c>
      <c r="E203" s="2">
        <v>255.196</v>
      </c>
      <c r="F203" s="2">
        <v>530694.37014999997</v>
      </c>
    </row>
    <row r="204" spans="1:6" x14ac:dyDescent="0.3">
      <c r="A204" s="1">
        <v>39051</v>
      </c>
      <c r="B204" t="s">
        <v>6</v>
      </c>
      <c r="C204" t="s">
        <v>10</v>
      </c>
      <c r="D204" s="2">
        <v>413308.83618072001</v>
      </c>
      <c r="E204" s="2">
        <v>109.5138218</v>
      </c>
      <c r="F204" s="2">
        <v>413418.35000252002</v>
      </c>
    </row>
    <row r="205" spans="1:6" x14ac:dyDescent="0.3">
      <c r="A205" s="1">
        <v>39051</v>
      </c>
      <c r="B205" t="s">
        <v>6</v>
      </c>
      <c r="C205" t="s">
        <v>12</v>
      </c>
      <c r="D205" s="2">
        <v>0</v>
      </c>
      <c r="E205" s="2">
        <v>14000</v>
      </c>
      <c r="F205" s="2">
        <v>14000</v>
      </c>
    </row>
    <row r="206" spans="1:6" x14ac:dyDescent="0.3">
      <c r="A206" s="1">
        <v>39051</v>
      </c>
      <c r="B206" t="s">
        <v>13</v>
      </c>
      <c r="C206" t="s">
        <v>14</v>
      </c>
      <c r="D206" s="2">
        <v>4361354.3709307201</v>
      </c>
      <c r="E206" s="2">
        <v>19656.745821799999</v>
      </c>
      <c r="F206" s="2">
        <v>4381011.1167525202</v>
      </c>
    </row>
    <row r="207" spans="1:6" x14ac:dyDescent="0.3">
      <c r="A207" s="1">
        <v>39051</v>
      </c>
      <c r="B207" t="s">
        <v>15</v>
      </c>
      <c r="C207" t="s">
        <v>23</v>
      </c>
      <c r="D207" s="2">
        <v>2985.6485899999998</v>
      </c>
      <c r="E207" s="2">
        <v>0</v>
      </c>
      <c r="F207" s="2">
        <v>2985.6485899999998</v>
      </c>
    </row>
    <row r="208" spans="1:6" x14ac:dyDescent="0.3">
      <c r="A208" s="1">
        <v>39051</v>
      </c>
      <c r="B208" t="s">
        <v>15</v>
      </c>
      <c r="C208" t="s">
        <v>18</v>
      </c>
      <c r="D208" s="2">
        <v>202800.08906917999</v>
      </c>
      <c r="E208" s="2">
        <v>0</v>
      </c>
      <c r="F208" s="2">
        <v>202800.08906917999</v>
      </c>
    </row>
    <row r="209" spans="1:6" x14ac:dyDescent="0.3">
      <c r="A209" s="1">
        <v>39051</v>
      </c>
      <c r="B209" t="s">
        <v>15</v>
      </c>
      <c r="C209" t="s">
        <v>19</v>
      </c>
      <c r="D209" s="2">
        <v>78939.835962049998</v>
      </c>
      <c r="E209" s="2">
        <v>3684021.7115086201</v>
      </c>
      <c r="F209" s="2">
        <v>3762961.5474706702</v>
      </c>
    </row>
    <row r="210" spans="1:6" x14ac:dyDescent="0.3">
      <c r="A210" s="1">
        <v>39051</v>
      </c>
      <c r="B210" t="s">
        <v>15</v>
      </c>
      <c r="C210" t="s">
        <v>16</v>
      </c>
      <c r="D210" s="2">
        <v>29995.18</v>
      </c>
      <c r="E210" s="2">
        <v>0</v>
      </c>
      <c r="F210" s="2">
        <v>29995.18</v>
      </c>
    </row>
    <row r="211" spans="1:6" x14ac:dyDescent="0.3">
      <c r="A211" s="1">
        <v>39051</v>
      </c>
      <c r="B211" t="s">
        <v>15</v>
      </c>
      <c r="C211" t="s">
        <v>20</v>
      </c>
      <c r="D211" s="2">
        <v>5696.8826107900004</v>
      </c>
      <c r="E211" s="2">
        <v>0</v>
      </c>
      <c r="F211" s="2">
        <v>5696.8826107900004</v>
      </c>
    </row>
    <row r="212" spans="1:6" x14ac:dyDescent="0.3">
      <c r="A212" s="1">
        <v>39082</v>
      </c>
      <c r="B212" t="s">
        <v>6</v>
      </c>
      <c r="C212" t="s">
        <v>10</v>
      </c>
      <c r="D212" s="2">
        <v>411075.40920112003</v>
      </c>
      <c r="E212" s="2">
        <v>117.453</v>
      </c>
      <c r="F212" s="2">
        <v>411192.86220112001</v>
      </c>
    </row>
    <row r="213" spans="1:6" x14ac:dyDescent="0.3">
      <c r="A213" s="1">
        <v>39082</v>
      </c>
      <c r="B213" t="s">
        <v>13</v>
      </c>
      <c r="C213" t="s">
        <v>14</v>
      </c>
      <c r="D213" s="2">
        <v>4322860.4619511198</v>
      </c>
      <c r="E213" s="2">
        <v>19097.939999999999</v>
      </c>
      <c r="F213" s="2">
        <v>4341958.4019511202</v>
      </c>
    </row>
    <row r="214" spans="1:6" x14ac:dyDescent="0.3">
      <c r="A214" s="1">
        <v>39082</v>
      </c>
      <c r="B214" t="s">
        <v>15</v>
      </c>
      <c r="C214" t="s">
        <v>16</v>
      </c>
      <c r="D214" s="2">
        <v>29995.18</v>
      </c>
      <c r="E214" s="2">
        <v>0</v>
      </c>
      <c r="F214" s="2">
        <v>29995.18</v>
      </c>
    </row>
    <row r="215" spans="1:6" x14ac:dyDescent="0.3">
      <c r="A215" s="1">
        <v>39082</v>
      </c>
      <c r="B215" t="s">
        <v>15</v>
      </c>
      <c r="C215" t="s">
        <v>23</v>
      </c>
      <c r="D215" s="2">
        <v>2985.6485899999998</v>
      </c>
      <c r="E215" s="2">
        <v>0</v>
      </c>
      <c r="F215" s="2">
        <v>2985.6485899999998</v>
      </c>
    </row>
    <row r="216" spans="1:6" x14ac:dyDescent="0.3">
      <c r="A216" s="1">
        <v>39082</v>
      </c>
      <c r="B216" t="s">
        <v>15</v>
      </c>
      <c r="C216" t="s">
        <v>20</v>
      </c>
      <c r="D216" s="2">
        <v>5868.7095501200001</v>
      </c>
      <c r="E216" s="2">
        <v>0</v>
      </c>
      <c r="F216" s="2">
        <v>5868.7095501200001</v>
      </c>
    </row>
    <row r="217" spans="1:6" x14ac:dyDescent="0.3">
      <c r="A217" s="1">
        <v>39082</v>
      </c>
      <c r="B217" t="s">
        <v>15</v>
      </c>
      <c r="C217" t="s">
        <v>25</v>
      </c>
      <c r="D217" s="2">
        <v>1.0529999999999999</v>
      </c>
      <c r="E217" s="2">
        <v>0</v>
      </c>
      <c r="F217" s="2">
        <v>1.0529999999999999</v>
      </c>
    </row>
    <row r="218" spans="1:6" x14ac:dyDescent="0.3">
      <c r="A218" s="1">
        <v>39082</v>
      </c>
      <c r="B218" t="s">
        <v>15</v>
      </c>
      <c r="C218" t="s">
        <v>17</v>
      </c>
      <c r="D218" s="2">
        <v>257633.58596999999</v>
      </c>
      <c r="E218" s="2">
        <v>0</v>
      </c>
      <c r="F218" s="2">
        <v>257633.58596999999</v>
      </c>
    </row>
    <row r="219" spans="1:6" x14ac:dyDescent="0.3">
      <c r="A219" s="1">
        <v>39082</v>
      </c>
      <c r="B219" t="s">
        <v>15</v>
      </c>
      <c r="C219" t="s">
        <v>18</v>
      </c>
      <c r="D219" s="2">
        <v>202433.30566593001</v>
      </c>
      <c r="E219" s="2">
        <v>0</v>
      </c>
      <c r="F219" s="2">
        <v>202433.30566593001</v>
      </c>
    </row>
    <row r="220" spans="1:6" x14ac:dyDescent="0.3">
      <c r="A220" s="1">
        <v>39082</v>
      </c>
      <c r="B220" t="s">
        <v>15</v>
      </c>
      <c r="C220" t="s">
        <v>19</v>
      </c>
      <c r="D220" s="2">
        <v>79269.428455090005</v>
      </c>
      <c r="E220" s="2">
        <v>3760079.55492057</v>
      </c>
      <c r="F220" s="2">
        <v>3839347.9833756601</v>
      </c>
    </row>
    <row r="221" spans="1:6" x14ac:dyDescent="0.3">
      <c r="A221" s="1">
        <v>39082</v>
      </c>
      <c r="B221" t="s">
        <v>21</v>
      </c>
      <c r="C221" t="s">
        <v>14</v>
      </c>
      <c r="D221" s="2">
        <v>578185.91123114002</v>
      </c>
      <c r="E221" s="2">
        <v>3760079.55492057</v>
      </c>
      <c r="F221" s="2">
        <v>4338266.4661517097</v>
      </c>
    </row>
    <row r="222" spans="1:6" x14ac:dyDescent="0.3">
      <c r="A222" s="1">
        <v>39082</v>
      </c>
      <c r="B222" t="s">
        <v>22</v>
      </c>
      <c r="C222" t="s">
        <v>14</v>
      </c>
      <c r="D222" s="2">
        <v>4901047.3731822604</v>
      </c>
      <c r="E222" s="2">
        <v>3779178.4949205699</v>
      </c>
      <c r="F222" s="2">
        <v>8680223.8681028299</v>
      </c>
    </row>
    <row r="223" spans="1:6" x14ac:dyDescent="0.3">
      <c r="A223" s="1">
        <v>39082</v>
      </c>
      <c r="B223" t="s">
        <v>6</v>
      </c>
      <c r="C223" t="s">
        <v>7</v>
      </c>
      <c r="D223" s="2">
        <v>940771.75100000005</v>
      </c>
      <c r="E223" s="2">
        <v>3451.7779999999998</v>
      </c>
      <c r="F223" s="2">
        <v>944223.52899999998</v>
      </c>
    </row>
    <row r="224" spans="1:6" x14ac:dyDescent="0.3">
      <c r="A224" s="1">
        <v>39082</v>
      </c>
      <c r="B224" t="s">
        <v>6</v>
      </c>
      <c r="C224" t="s">
        <v>8</v>
      </c>
      <c r="D224" s="2">
        <v>2440465.6716</v>
      </c>
      <c r="E224" s="2">
        <v>1394.306</v>
      </c>
      <c r="F224" s="2">
        <v>2441859.9775999999</v>
      </c>
    </row>
    <row r="225" spans="1:6" x14ac:dyDescent="0.3">
      <c r="A225" s="1">
        <v>39082</v>
      </c>
      <c r="B225" t="s">
        <v>6</v>
      </c>
      <c r="C225" t="s">
        <v>9</v>
      </c>
      <c r="D225" s="2">
        <v>530547.63014999998</v>
      </c>
      <c r="E225" s="2">
        <v>134.40299999999999</v>
      </c>
      <c r="F225" s="2">
        <v>530682.03315000003</v>
      </c>
    </row>
    <row r="226" spans="1:6" x14ac:dyDescent="0.3">
      <c r="A226" s="1">
        <v>39082</v>
      </c>
      <c r="B226" t="s">
        <v>6</v>
      </c>
      <c r="C226" t="s">
        <v>12</v>
      </c>
      <c r="D226" s="2">
        <v>0</v>
      </c>
      <c r="E226" s="2">
        <v>14000</v>
      </c>
      <c r="F226" s="2">
        <v>14000</v>
      </c>
    </row>
    <row r="227" spans="1:6" x14ac:dyDescent="0.3">
      <c r="A227" s="1">
        <v>39113</v>
      </c>
      <c r="B227" t="s">
        <v>21</v>
      </c>
      <c r="C227" t="s">
        <v>14</v>
      </c>
      <c r="D227" s="2">
        <v>585808.58537046995</v>
      </c>
      <c r="E227" s="2">
        <v>3774310.7287779301</v>
      </c>
      <c r="F227" s="2">
        <v>4360119.3141484</v>
      </c>
    </row>
    <row r="228" spans="1:6" x14ac:dyDescent="0.3">
      <c r="A228" s="1">
        <v>39113</v>
      </c>
      <c r="B228" t="s">
        <v>22</v>
      </c>
      <c r="C228" t="s">
        <v>14</v>
      </c>
      <c r="D228" s="2">
        <v>4913960.9017721396</v>
      </c>
      <c r="E228" s="2">
        <v>3793600.3147779298</v>
      </c>
      <c r="F228" s="2">
        <v>8707561.2165500708</v>
      </c>
    </row>
    <row r="229" spans="1:6" x14ac:dyDescent="0.3">
      <c r="A229" s="1">
        <v>39113</v>
      </c>
      <c r="B229" t="s">
        <v>6</v>
      </c>
      <c r="C229" t="s">
        <v>7</v>
      </c>
      <c r="D229" s="2">
        <v>928216.93</v>
      </c>
      <c r="E229" s="2">
        <v>3858.44</v>
      </c>
      <c r="F229" s="2">
        <v>932075.37</v>
      </c>
    </row>
    <row r="230" spans="1:6" x14ac:dyDescent="0.3">
      <c r="A230" s="1">
        <v>39113</v>
      </c>
      <c r="B230" t="s">
        <v>6</v>
      </c>
      <c r="C230" t="s">
        <v>12</v>
      </c>
      <c r="D230" s="2">
        <v>0</v>
      </c>
      <c r="E230" s="2">
        <v>14000</v>
      </c>
      <c r="F230" s="2">
        <v>14000</v>
      </c>
    </row>
    <row r="231" spans="1:6" x14ac:dyDescent="0.3">
      <c r="A231" s="1">
        <v>39113</v>
      </c>
      <c r="B231" t="s">
        <v>6</v>
      </c>
      <c r="C231" t="s">
        <v>8</v>
      </c>
      <c r="D231" s="2">
        <v>2458553.4656000002</v>
      </c>
      <c r="E231" s="2">
        <v>1186.6199999999999</v>
      </c>
      <c r="F231" s="2">
        <v>2459740.0855999999</v>
      </c>
    </row>
    <row r="232" spans="1:6" x14ac:dyDescent="0.3">
      <c r="A232" s="1">
        <v>39113</v>
      </c>
      <c r="B232" t="s">
        <v>6</v>
      </c>
      <c r="C232" t="s">
        <v>9</v>
      </c>
      <c r="D232" s="2">
        <v>530550.09065000003</v>
      </c>
      <c r="E232" s="2">
        <v>125.73</v>
      </c>
      <c r="F232" s="2">
        <v>530675.82065000001</v>
      </c>
    </row>
    <row r="233" spans="1:6" x14ac:dyDescent="0.3">
      <c r="A233" s="1">
        <v>39113</v>
      </c>
      <c r="B233" t="s">
        <v>6</v>
      </c>
      <c r="C233" t="s">
        <v>10</v>
      </c>
      <c r="D233" s="2">
        <v>410831.83015166997</v>
      </c>
      <c r="E233" s="2">
        <v>118.79600000000001</v>
      </c>
      <c r="F233" s="2">
        <v>410950.62615167</v>
      </c>
    </row>
    <row r="234" spans="1:6" x14ac:dyDescent="0.3">
      <c r="A234" s="1">
        <v>39113</v>
      </c>
      <c r="B234" t="s">
        <v>13</v>
      </c>
      <c r="C234" t="s">
        <v>14</v>
      </c>
      <c r="D234" s="2">
        <v>4328152.3164016698</v>
      </c>
      <c r="E234" s="2">
        <v>19289.585999999999</v>
      </c>
      <c r="F234" s="2">
        <v>4347441.9024016699</v>
      </c>
    </row>
    <row r="235" spans="1:6" x14ac:dyDescent="0.3">
      <c r="A235" s="1">
        <v>39113</v>
      </c>
      <c r="B235" t="s">
        <v>15</v>
      </c>
      <c r="C235" t="s">
        <v>23</v>
      </c>
      <c r="D235" s="2">
        <v>2985.6485899999998</v>
      </c>
      <c r="E235" s="2">
        <v>0</v>
      </c>
      <c r="F235" s="2">
        <v>2985.6485899999998</v>
      </c>
    </row>
    <row r="236" spans="1:6" x14ac:dyDescent="0.3">
      <c r="A236" s="1">
        <v>39113</v>
      </c>
      <c r="B236" t="s">
        <v>15</v>
      </c>
      <c r="C236" t="s">
        <v>25</v>
      </c>
      <c r="D236" s="2">
        <v>1.0529999999999999</v>
      </c>
      <c r="E236" s="2">
        <v>0</v>
      </c>
      <c r="F236" s="2">
        <v>1.0529999999999999</v>
      </c>
    </row>
    <row r="237" spans="1:6" x14ac:dyDescent="0.3">
      <c r="A237" s="1">
        <v>39113</v>
      </c>
      <c r="B237" t="s">
        <v>15</v>
      </c>
      <c r="C237" t="s">
        <v>18</v>
      </c>
      <c r="D237" s="2">
        <v>201358.30814512001</v>
      </c>
      <c r="E237" s="2">
        <v>0</v>
      </c>
      <c r="F237" s="2">
        <v>201358.30814512001</v>
      </c>
    </row>
    <row r="238" spans="1:6" x14ac:dyDescent="0.3">
      <c r="A238" s="1">
        <v>39113</v>
      </c>
      <c r="B238" t="s">
        <v>15</v>
      </c>
      <c r="C238" t="s">
        <v>17</v>
      </c>
      <c r="D238" s="2">
        <v>266119.39926128997</v>
      </c>
      <c r="E238" s="2">
        <v>0</v>
      </c>
      <c r="F238" s="2">
        <v>266119.39926128997</v>
      </c>
    </row>
    <row r="239" spans="1:6" x14ac:dyDescent="0.3">
      <c r="A239" s="1">
        <v>39113</v>
      </c>
      <c r="B239" t="s">
        <v>15</v>
      </c>
      <c r="C239" t="s">
        <v>16</v>
      </c>
      <c r="D239" s="2">
        <v>29995.18</v>
      </c>
      <c r="E239" s="2">
        <v>0</v>
      </c>
      <c r="F239" s="2">
        <v>29995.18</v>
      </c>
    </row>
    <row r="240" spans="1:6" x14ac:dyDescent="0.3">
      <c r="A240" s="1">
        <v>39113</v>
      </c>
      <c r="B240" t="s">
        <v>15</v>
      </c>
      <c r="C240" t="s">
        <v>19</v>
      </c>
      <c r="D240" s="2">
        <v>79490.832338310007</v>
      </c>
      <c r="E240" s="2">
        <v>3774310.7287779301</v>
      </c>
      <c r="F240" s="2">
        <v>3853801.56111624</v>
      </c>
    </row>
    <row r="241" spans="1:6" x14ac:dyDescent="0.3">
      <c r="A241" s="1">
        <v>39113</v>
      </c>
      <c r="B241" t="s">
        <v>15</v>
      </c>
      <c r="C241" t="s">
        <v>20</v>
      </c>
      <c r="D241" s="2">
        <v>5858.16403575</v>
      </c>
      <c r="E241" s="2">
        <v>0</v>
      </c>
      <c r="F241" s="2">
        <v>5858.16403575</v>
      </c>
    </row>
    <row r="242" spans="1:6" x14ac:dyDescent="0.3">
      <c r="A242" s="1">
        <v>39141</v>
      </c>
      <c r="B242" t="s">
        <v>6</v>
      </c>
      <c r="C242" t="s">
        <v>7</v>
      </c>
      <c r="D242" s="2">
        <v>977622.75899999996</v>
      </c>
      <c r="E242" s="2">
        <v>4466.03</v>
      </c>
      <c r="F242" s="2">
        <v>982088.78899999999</v>
      </c>
    </row>
    <row r="243" spans="1:6" x14ac:dyDescent="0.3">
      <c r="A243" s="1">
        <v>39141</v>
      </c>
      <c r="B243" t="s">
        <v>6</v>
      </c>
      <c r="C243" t="s">
        <v>8</v>
      </c>
      <c r="D243" s="2">
        <v>2459427.7436000002</v>
      </c>
      <c r="E243" s="2">
        <v>1063</v>
      </c>
      <c r="F243" s="2">
        <v>2460490.7436000002</v>
      </c>
    </row>
    <row r="244" spans="1:6" x14ac:dyDescent="0.3">
      <c r="A244" s="1">
        <v>39141</v>
      </c>
      <c r="B244" t="s">
        <v>6</v>
      </c>
      <c r="C244" t="s">
        <v>9</v>
      </c>
      <c r="D244" s="2">
        <v>540363.10415000003</v>
      </c>
      <c r="E244" s="2">
        <v>133.845</v>
      </c>
      <c r="F244" s="2">
        <v>540496.94915</v>
      </c>
    </row>
    <row r="245" spans="1:6" x14ac:dyDescent="0.3">
      <c r="A245" s="1">
        <v>39141</v>
      </c>
      <c r="B245" t="s">
        <v>6</v>
      </c>
      <c r="C245" t="s">
        <v>10</v>
      </c>
      <c r="D245" s="2">
        <v>411342.83966596</v>
      </c>
      <c r="E245" s="2">
        <v>142</v>
      </c>
      <c r="F245" s="2">
        <v>411484.83966596</v>
      </c>
    </row>
    <row r="246" spans="1:6" x14ac:dyDescent="0.3">
      <c r="A246" s="1">
        <v>39141</v>
      </c>
      <c r="B246" t="s">
        <v>6</v>
      </c>
      <c r="C246" t="s">
        <v>12</v>
      </c>
      <c r="D246" s="2">
        <v>0</v>
      </c>
      <c r="E246" s="2">
        <v>14000</v>
      </c>
      <c r="F246" s="2">
        <v>14000</v>
      </c>
    </row>
    <row r="247" spans="1:6" x14ac:dyDescent="0.3">
      <c r="A247" s="1">
        <v>39141</v>
      </c>
      <c r="B247" t="s">
        <v>13</v>
      </c>
      <c r="C247" t="s">
        <v>14</v>
      </c>
      <c r="D247" s="2">
        <v>4388757.4464159599</v>
      </c>
      <c r="E247" s="2">
        <v>19803.875</v>
      </c>
      <c r="F247" s="2">
        <v>4408561.3214159599</v>
      </c>
    </row>
    <row r="248" spans="1:6" x14ac:dyDescent="0.3">
      <c r="A248" s="1">
        <v>39141</v>
      </c>
      <c r="B248" t="s">
        <v>15</v>
      </c>
      <c r="C248" t="s">
        <v>16</v>
      </c>
      <c r="D248" s="2">
        <v>29995.18</v>
      </c>
      <c r="E248" s="2">
        <v>0</v>
      </c>
      <c r="F248" s="2">
        <v>29995.18</v>
      </c>
    </row>
    <row r="249" spans="1:6" x14ac:dyDescent="0.3">
      <c r="A249" s="1">
        <v>39141</v>
      </c>
      <c r="B249" t="s">
        <v>15</v>
      </c>
      <c r="C249" t="s">
        <v>23</v>
      </c>
      <c r="D249" s="2">
        <v>2985.6485899999998</v>
      </c>
      <c r="E249" s="2">
        <v>0</v>
      </c>
      <c r="F249" s="2">
        <v>2985.6485899999998</v>
      </c>
    </row>
    <row r="250" spans="1:6" x14ac:dyDescent="0.3">
      <c r="A250" s="1">
        <v>39141</v>
      </c>
      <c r="B250" t="s">
        <v>15</v>
      </c>
      <c r="C250" t="s">
        <v>25</v>
      </c>
      <c r="D250" s="2">
        <v>1.0529999999999999</v>
      </c>
      <c r="E250" s="2">
        <v>0</v>
      </c>
      <c r="F250" s="2">
        <v>1.0529999999999999</v>
      </c>
    </row>
    <row r="251" spans="1:6" x14ac:dyDescent="0.3">
      <c r="A251" s="1">
        <v>39141</v>
      </c>
      <c r="B251" t="s">
        <v>15</v>
      </c>
      <c r="C251" t="s">
        <v>17</v>
      </c>
      <c r="D251" s="2">
        <v>270455.59907582001</v>
      </c>
      <c r="E251" s="2">
        <v>0</v>
      </c>
      <c r="F251" s="2">
        <v>270455.59907582001</v>
      </c>
    </row>
    <row r="252" spans="1:6" x14ac:dyDescent="0.3">
      <c r="A252" s="1">
        <v>39141</v>
      </c>
      <c r="B252" t="s">
        <v>15</v>
      </c>
      <c r="C252" t="s">
        <v>18</v>
      </c>
      <c r="D252" s="2">
        <v>200890.8475727</v>
      </c>
      <c r="E252" s="2">
        <v>0</v>
      </c>
      <c r="F252" s="2">
        <v>200890.8475727</v>
      </c>
    </row>
    <row r="253" spans="1:6" x14ac:dyDescent="0.3">
      <c r="A253" s="1">
        <v>39141</v>
      </c>
      <c r="B253" t="s">
        <v>15</v>
      </c>
      <c r="C253" t="s">
        <v>19</v>
      </c>
      <c r="D253" s="2">
        <v>80160.632611719993</v>
      </c>
      <c r="E253" s="2">
        <v>3779195.7002406698</v>
      </c>
      <c r="F253" s="2">
        <v>3859356.3328523901</v>
      </c>
    </row>
    <row r="254" spans="1:6" x14ac:dyDescent="0.3">
      <c r="A254" s="1">
        <v>39141</v>
      </c>
      <c r="B254" t="s">
        <v>15</v>
      </c>
      <c r="C254" t="s">
        <v>20</v>
      </c>
      <c r="D254" s="2">
        <v>5864.9251083500003</v>
      </c>
      <c r="E254" s="2">
        <v>0</v>
      </c>
      <c r="F254" s="2">
        <v>5864.9251083500003</v>
      </c>
    </row>
    <row r="255" spans="1:6" x14ac:dyDescent="0.3">
      <c r="A255" s="1">
        <v>39141</v>
      </c>
      <c r="B255" t="s">
        <v>21</v>
      </c>
      <c r="C255" t="s">
        <v>14</v>
      </c>
      <c r="D255" s="2">
        <v>590353.88595858996</v>
      </c>
      <c r="E255" s="2">
        <v>3779195.7002406698</v>
      </c>
      <c r="F255" s="2">
        <v>4369549.5861992603</v>
      </c>
    </row>
    <row r="256" spans="1:6" x14ac:dyDescent="0.3">
      <c r="A256" s="1">
        <v>39141</v>
      </c>
      <c r="B256" t="s">
        <v>22</v>
      </c>
      <c r="C256" t="s">
        <v>14</v>
      </c>
      <c r="D256" s="2">
        <v>4979111.3323745504</v>
      </c>
      <c r="E256" s="2">
        <v>3798999.5752406698</v>
      </c>
      <c r="F256" s="2">
        <v>8778110.9076152202</v>
      </c>
    </row>
    <row r="257" spans="1:6" x14ac:dyDescent="0.3">
      <c r="A257" s="1">
        <v>39172</v>
      </c>
      <c r="B257" t="s">
        <v>21</v>
      </c>
      <c r="C257" t="s">
        <v>14</v>
      </c>
      <c r="D257" s="2">
        <v>604550.27730972995</v>
      </c>
      <c r="E257" s="2">
        <v>3776328.13024347</v>
      </c>
      <c r="F257" s="2">
        <v>4380878.4355531996</v>
      </c>
    </row>
    <row r="258" spans="1:6" x14ac:dyDescent="0.3">
      <c r="A258" s="1">
        <v>39172</v>
      </c>
      <c r="B258" t="s">
        <v>22</v>
      </c>
      <c r="C258" t="s">
        <v>14</v>
      </c>
      <c r="D258" s="2">
        <v>5053939.8912334796</v>
      </c>
      <c r="E258" s="2">
        <v>3795725.3278784701</v>
      </c>
      <c r="F258" s="2">
        <v>8849665.2471119501</v>
      </c>
    </row>
    <row r="259" spans="1:6" x14ac:dyDescent="0.3">
      <c r="A259" s="1">
        <v>39172</v>
      </c>
      <c r="B259" t="s">
        <v>6</v>
      </c>
      <c r="C259" t="s">
        <v>9</v>
      </c>
      <c r="D259" s="2">
        <v>540372.12815</v>
      </c>
      <c r="E259" s="2">
        <v>122.929</v>
      </c>
      <c r="F259" s="2">
        <v>540495.05715000001</v>
      </c>
    </row>
    <row r="260" spans="1:6" x14ac:dyDescent="0.3">
      <c r="A260" s="1">
        <v>39172</v>
      </c>
      <c r="B260" t="s">
        <v>6</v>
      </c>
      <c r="C260" t="s">
        <v>10</v>
      </c>
      <c r="D260" s="2">
        <v>412515.21017375001</v>
      </c>
      <c r="E260" s="2">
        <v>190.323635</v>
      </c>
      <c r="F260" s="2">
        <v>412705.53380874998</v>
      </c>
    </row>
    <row r="261" spans="1:6" x14ac:dyDescent="0.3">
      <c r="A261" s="1">
        <v>39172</v>
      </c>
      <c r="B261" t="s">
        <v>6</v>
      </c>
      <c r="C261" t="s">
        <v>12</v>
      </c>
      <c r="D261" s="2">
        <v>0</v>
      </c>
      <c r="E261" s="2">
        <v>14000</v>
      </c>
      <c r="F261" s="2">
        <v>14000</v>
      </c>
    </row>
    <row r="262" spans="1:6" x14ac:dyDescent="0.3">
      <c r="A262" s="1">
        <v>39172</v>
      </c>
      <c r="B262" t="s">
        <v>13</v>
      </c>
      <c r="C262" t="s">
        <v>14</v>
      </c>
      <c r="D262" s="2">
        <v>4449389.6139237499</v>
      </c>
      <c r="E262" s="2">
        <v>19397.197635</v>
      </c>
      <c r="F262" s="2">
        <v>4468786.8115587505</v>
      </c>
    </row>
    <row r="263" spans="1:6" x14ac:dyDescent="0.3">
      <c r="A263" s="1">
        <v>39172</v>
      </c>
      <c r="B263" t="s">
        <v>15</v>
      </c>
      <c r="C263" t="s">
        <v>23</v>
      </c>
      <c r="D263" s="2">
        <v>3485.6485899999998</v>
      </c>
      <c r="E263" s="2">
        <v>0</v>
      </c>
      <c r="F263" s="2">
        <v>3485.6485899999998</v>
      </c>
    </row>
    <row r="264" spans="1:6" x14ac:dyDescent="0.3">
      <c r="A264" s="1">
        <v>39172</v>
      </c>
      <c r="B264" t="s">
        <v>15</v>
      </c>
      <c r="C264" t="s">
        <v>16</v>
      </c>
      <c r="D264" s="2">
        <v>29995.18</v>
      </c>
      <c r="E264" s="2">
        <v>0</v>
      </c>
      <c r="F264" s="2">
        <v>29995.18</v>
      </c>
    </row>
    <row r="265" spans="1:6" x14ac:dyDescent="0.3">
      <c r="A265" s="1">
        <v>39172</v>
      </c>
      <c r="B265" t="s">
        <v>15</v>
      </c>
      <c r="C265" t="s">
        <v>25</v>
      </c>
      <c r="D265" s="2">
        <v>1.0529999999999999</v>
      </c>
      <c r="E265" s="2">
        <v>0</v>
      </c>
      <c r="F265" s="2">
        <v>1.0529999999999999</v>
      </c>
    </row>
    <row r="266" spans="1:6" x14ac:dyDescent="0.3">
      <c r="A266" s="1">
        <v>39172</v>
      </c>
      <c r="B266" t="s">
        <v>15</v>
      </c>
      <c r="C266" t="s">
        <v>18</v>
      </c>
      <c r="D266" s="2">
        <v>200334.5905311</v>
      </c>
      <c r="E266" s="2">
        <v>0</v>
      </c>
      <c r="F266" s="2">
        <v>200334.5905311</v>
      </c>
    </row>
    <row r="267" spans="1:6" x14ac:dyDescent="0.3">
      <c r="A267" s="1">
        <v>39172</v>
      </c>
      <c r="B267" t="s">
        <v>15</v>
      </c>
      <c r="C267" t="s">
        <v>19</v>
      </c>
      <c r="D267" s="2">
        <v>82919.787283619997</v>
      </c>
      <c r="E267" s="2">
        <v>3776328.13024347</v>
      </c>
      <c r="F267" s="2">
        <v>3859247.9455270902</v>
      </c>
    </row>
    <row r="268" spans="1:6" x14ac:dyDescent="0.3">
      <c r="A268" s="1">
        <v>39172</v>
      </c>
      <c r="B268" t="s">
        <v>15</v>
      </c>
      <c r="C268" t="s">
        <v>17</v>
      </c>
      <c r="D268" s="2">
        <v>281927.88509186998</v>
      </c>
      <c r="E268" s="2">
        <v>0</v>
      </c>
      <c r="F268" s="2">
        <v>281927.88509186998</v>
      </c>
    </row>
    <row r="269" spans="1:6" x14ac:dyDescent="0.3">
      <c r="A269" s="1">
        <v>39172</v>
      </c>
      <c r="B269" t="s">
        <v>15</v>
      </c>
      <c r="C269" t="s">
        <v>20</v>
      </c>
      <c r="D269" s="2">
        <v>5886.1328131399996</v>
      </c>
      <c r="E269" s="2">
        <v>0</v>
      </c>
      <c r="F269" s="2">
        <v>5886.1328131399996</v>
      </c>
    </row>
    <row r="270" spans="1:6" x14ac:dyDescent="0.3">
      <c r="A270" s="1">
        <v>39172</v>
      </c>
      <c r="B270" t="s">
        <v>6</v>
      </c>
      <c r="C270" t="s">
        <v>7</v>
      </c>
      <c r="D270" s="2">
        <v>1029109.405</v>
      </c>
      <c r="E270" s="2">
        <v>3986.634</v>
      </c>
      <c r="F270" s="2">
        <v>1033096.039</v>
      </c>
    </row>
    <row r="271" spans="1:6" x14ac:dyDescent="0.3">
      <c r="A271" s="1">
        <v>39172</v>
      </c>
      <c r="B271" t="s">
        <v>6</v>
      </c>
      <c r="C271" t="s">
        <v>8</v>
      </c>
      <c r="D271" s="2">
        <v>2467392.8706</v>
      </c>
      <c r="E271" s="2">
        <v>1097.3109999999999</v>
      </c>
      <c r="F271" s="2">
        <v>2468490.1815999998</v>
      </c>
    </row>
    <row r="272" spans="1:6" x14ac:dyDescent="0.3">
      <c r="A272" s="1">
        <v>39202</v>
      </c>
      <c r="B272" t="s">
        <v>15</v>
      </c>
      <c r="C272" t="s">
        <v>18</v>
      </c>
      <c r="D272" s="2">
        <v>199784.44101685</v>
      </c>
      <c r="E272" s="2">
        <v>0</v>
      </c>
      <c r="F272" s="2">
        <v>199784.44101685</v>
      </c>
    </row>
    <row r="273" spans="1:6" x14ac:dyDescent="0.3">
      <c r="A273" s="1">
        <v>39202</v>
      </c>
      <c r="B273" t="s">
        <v>15</v>
      </c>
      <c r="C273" t="s">
        <v>19</v>
      </c>
      <c r="D273" s="2">
        <v>82624.105462020001</v>
      </c>
      <c r="E273" s="2">
        <v>3814673.1975531601</v>
      </c>
      <c r="F273" s="2">
        <v>3897297.3030151799</v>
      </c>
    </row>
    <row r="274" spans="1:6" x14ac:dyDescent="0.3">
      <c r="A274" s="1">
        <v>39202</v>
      </c>
      <c r="B274" t="s">
        <v>21</v>
      </c>
      <c r="C274" t="s">
        <v>14</v>
      </c>
      <c r="D274" s="2">
        <v>613110.15959351999</v>
      </c>
      <c r="E274" s="2">
        <v>3814673.1975531601</v>
      </c>
      <c r="F274" s="2">
        <v>4427783.3571466804</v>
      </c>
    </row>
    <row r="275" spans="1:6" x14ac:dyDescent="0.3">
      <c r="A275" s="1">
        <v>39202</v>
      </c>
      <c r="B275" t="s">
        <v>22</v>
      </c>
      <c r="C275" t="s">
        <v>14</v>
      </c>
      <c r="D275" s="2">
        <v>5007058.1823659204</v>
      </c>
      <c r="E275" s="2">
        <v>3833109.59446092</v>
      </c>
      <c r="F275" s="2">
        <v>8840167.7768268399</v>
      </c>
    </row>
    <row r="276" spans="1:6" x14ac:dyDescent="0.3">
      <c r="A276" s="1">
        <v>39202</v>
      </c>
      <c r="B276" t="s">
        <v>6</v>
      </c>
      <c r="C276" t="s">
        <v>7</v>
      </c>
      <c r="D276" s="2">
        <v>940888.47900000005</v>
      </c>
      <c r="E276" s="2">
        <v>3198.3910000000001</v>
      </c>
      <c r="F276" s="2">
        <v>944086.87</v>
      </c>
    </row>
    <row r="277" spans="1:6" x14ac:dyDescent="0.3">
      <c r="A277" s="1">
        <v>39202</v>
      </c>
      <c r="B277" t="s">
        <v>6</v>
      </c>
      <c r="C277" t="s">
        <v>8</v>
      </c>
      <c r="D277" s="2">
        <v>2481730.3185999999</v>
      </c>
      <c r="E277" s="2">
        <v>989.54600000000005</v>
      </c>
      <c r="F277" s="2">
        <v>2482719.8646</v>
      </c>
    </row>
    <row r="278" spans="1:6" x14ac:dyDescent="0.3">
      <c r="A278" s="1">
        <v>39202</v>
      </c>
      <c r="B278" t="s">
        <v>6</v>
      </c>
      <c r="C278" t="s">
        <v>9</v>
      </c>
      <c r="D278" s="2">
        <v>540398.12915000005</v>
      </c>
      <c r="E278" s="2">
        <v>96.018000000000001</v>
      </c>
      <c r="F278" s="2">
        <v>540494.14714999998</v>
      </c>
    </row>
    <row r="279" spans="1:6" x14ac:dyDescent="0.3">
      <c r="A279" s="1">
        <v>39202</v>
      </c>
      <c r="B279" t="s">
        <v>6</v>
      </c>
      <c r="C279" t="s">
        <v>10</v>
      </c>
      <c r="D279" s="2">
        <v>430931.09602240002</v>
      </c>
      <c r="E279" s="2">
        <v>153.44190775999999</v>
      </c>
      <c r="F279" s="2">
        <v>431083.53793016</v>
      </c>
    </row>
    <row r="280" spans="1:6" x14ac:dyDescent="0.3">
      <c r="A280" s="1">
        <v>39202</v>
      </c>
      <c r="B280" t="s">
        <v>6</v>
      </c>
      <c r="C280" t="s">
        <v>12</v>
      </c>
      <c r="D280" s="2">
        <v>0</v>
      </c>
      <c r="E280" s="2">
        <v>14000</v>
      </c>
      <c r="F280" s="2">
        <v>14000</v>
      </c>
    </row>
    <row r="281" spans="1:6" x14ac:dyDescent="0.3">
      <c r="A281" s="1">
        <v>39202</v>
      </c>
      <c r="B281" t="s">
        <v>13</v>
      </c>
      <c r="C281" t="s">
        <v>14</v>
      </c>
      <c r="D281" s="2">
        <v>4393948.0227723997</v>
      </c>
      <c r="E281" s="2">
        <v>18437.396907760001</v>
      </c>
      <c r="F281" s="2">
        <v>4412385.4196801595</v>
      </c>
    </row>
    <row r="282" spans="1:6" x14ac:dyDescent="0.3">
      <c r="A282" s="1">
        <v>39202</v>
      </c>
      <c r="B282" t="s">
        <v>15</v>
      </c>
      <c r="C282" t="s">
        <v>23</v>
      </c>
      <c r="D282" s="2">
        <v>3485.6485899999998</v>
      </c>
      <c r="E282" s="2">
        <v>0</v>
      </c>
      <c r="F282" s="2">
        <v>3485.6485899999998</v>
      </c>
    </row>
    <row r="283" spans="1:6" x14ac:dyDescent="0.3">
      <c r="A283" s="1">
        <v>39202</v>
      </c>
      <c r="B283" t="s">
        <v>15</v>
      </c>
      <c r="C283" t="s">
        <v>25</v>
      </c>
      <c r="D283" s="2">
        <v>1.0529999999999999</v>
      </c>
      <c r="E283" s="2">
        <v>0</v>
      </c>
      <c r="F283" s="2">
        <v>1.0529999999999999</v>
      </c>
    </row>
    <row r="284" spans="1:6" x14ac:dyDescent="0.3">
      <c r="A284" s="1">
        <v>39202</v>
      </c>
      <c r="B284" t="s">
        <v>15</v>
      </c>
      <c r="C284" t="s">
        <v>16</v>
      </c>
      <c r="D284" s="2">
        <v>29995.18</v>
      </c>
      <c r="E284" s="2">
        <v>0</v>
      </c>
      <c r="F284" s="2">
        <v>29995.18</v>
      </c>
    </row>
    <row r="285" spans="1:6" x14ac:dyDescent="0.3">
      <c r="A285" s="1">
        <v>39202</v>
      </c>
      <c r="B285" t="s">
        <v>15</v>
      </c>
      <c r="C285" t="s">
        <v>20</v>
      </c>
      <c r="D285" s="2">
        <v>5970.20555375</v>
      </c>
      <c r="E285" s="2">
        <v>0</v>
      </c>
      <c r="F285" s="2">
        <v>5970.20555375</v>
      </c>
    </row>
    <row r="286" spans="1:6" x14ac:dyDescent="0.3">
      <c r="A286" s="1">
        <v>39202</v>
      </c>
      <c r="B286" t="s">
        <v>15</v>
      </c>
      <c r="C286" t="s">
        <v>17</v>
      </c>
      <c r="D286" s="2">
        <v>291249.52597090002</v>
      </c>
      <c r="E286" s="2">
        <v>0</v>
      </c>
      <c r="F286" s="2">
        <v>291249.52597090002</v>
      </c>
    </row>
    <row r="287" spans="1:6" x14ac:dyDescent="0.3">
      <c r="A287" s="1">
        <v>39233</v>
      </c>
      <c r="B287" t="s">
        <v>15</v>
      </c>
      <c r="C287" t="s">
        <v>23</v>
      </c>
      <c r="D287" s="2">
        <v>2985.6485899999998</v>
      </c>
      <c r="E287" s="2">
        <v>0</v>
      </c>
      <c r="F287" s="2">
        <v>2985.6485899999998</v>
      </c>
    </row>
    <row r="288" spans="1:6" x14ac:dyDescent="0.3">
      <c r="A288" s="1">
        <v>39233</v>
      </c>
      <c r="B288" t="s">
        <v>15</v>
      </c>
      <c r="C288" t="s">
        <v>19</v>
      </c>
      <c r="D288" s="2">
        <v>83801.69894961</v>
      </c>
      <c r="E288" s="2">
        <v>3828488.6540369899</v>
      </c>
      <c r="F288" s="2">
        <v>3912291.4429866001</v>
      </c>
    </row>
    <row r="289" spans="1:6" x14ac:dyDescent="0.3">
      <c r="A289" s="1">
        <v>39233</v>
      </c>
      <c r="B289" t="s">
        <v>21</v>
      </c>
      <c r="C289" t="s">
        <v>14</v>
      </c>
      <c r="D289" s="2">
        <v>622229.82744946994</v>
      </c>
      <c r="E289" s="2">
        <v>3828488.6540369899</v>
      </c>
      <c r="F289" s="2">
        <v>4450719.57148646</v>
      </c>
    </row>
    <row r="290" spans="1:6" x14ac:dyDescent="0.3">
      <c r="A290" s="1">
        <v>39233</v>
      </c>
      <c r="B290" t="s">
        <v>22</v>
      </c>
      <c r="C290" t="s">
        <v>14</v>
      </c>
      <c r="D290" s="2">
        <v>4980871.1580024501</v>
      </c>
      <c r="E290" s="2">
        <v>3848121.2718756399</v>
      </c>
      <c r="F290" s="2">
        <v>8828991.5198780894</v>
      </c>
    </row>
    <row r="291" spans="1:6" x14ac:dyDescent="0.3">
      <c r="A291" s="1">
        <v>39233</v>
      </c>
      <c r="B291" t="s">
        <v>6</v>
      </c>
      <c r="C291" t="s">
        <v>7</v>
      </c>
      <c r="D291" s="2">
        <v>915489.62100000004</v>
      </c>
      <c r="E291" s="2">
        <v>3589.3209999999999</v>
      </c>
      <c r="F291" s="2">
        <v>919078.94200000004</v>
      </c>
    </row>
    <row r="292" spans="1:6" x14ac:dyDescent="0.3">
      <c r="A292" s="1">
        <v>39233</v>
      </c>
      <c r="B292" t="s">
        <v>6</v>
      </c>
      <c r="C292" t="s">
        <v>8</v>
      </c>
      <c r="D292" s="2">
        <v>2461180.4205999998</v>
      </c>
      <c r="E292" s="2">
        <v>1796.98</v>
      </c>
      <c r="F292" s="2">
        <v>2462977.4005999998</v>
      </c>
    </row>
    <row r="293" spans="1:6" x14ac:dyDescent="0.3">
      <c r="A293" s="1">
        <v>39233</v>
      </c>
      <c r="B293" t="s">
        <v>6</v>
      </c>
      <c r="C293" t="s">
        <v>9</v>
      </c>
      <c r="D293" s="2">
        <v>547151.22505000001</v>
      </c>
      <c r="E293" s="2">
        <v>105.4</v>
      </c>
      <c r="F293" s="2">
        <v>547256.62505000003</v>
      </c>
    </row>
    <row r="294" spans="1:6" x14ac:dyDescent="0.3">
      <c r="A294" s="1">
        <v>39233</v>
      </c>
      <c r="B294" t="s">
        <v>6</v>
      </c>
      <c r="C294" t="s">
        <v>10</v>
      </c>
      <c r="D294" s="2">
        <v>434820.06390298001</v>
      </c>
      <c r="E294" s="2">
        <v>139.91683864999999</v>
      </c>
      <c r="F294" s="2">
        <v>434959.98074163002</v>
      </c>
    </row>
    <row r="295" spans="1:6" x14ac:dyDescent="0.3">
      <c r="A295" s="1">
        <v>39233</v>
      </c>
      <c r="B295" t="s">
        <v>6</v>
      </c>
      <c r="C295" t="s">
        <v>12</v>
      </c>
      <c r="D295" s="2">
        <v>0</v>
      </c>
      <c r="E295" s="2">
        <v>14000</v>
      </c>
      <c r="F295" s="2">
        <v>14000</v>
      </c>
    </row>
    <row r="296" spans="1:6" x14ac:dyDescent="0.3">
      <c r="A296" s="1">
        <v>39233</v>
      </c>
      <c r="B296" t="s">
        <v>13</v>
      </c>
      <c r="C296" t="s">
        <v>14</v>
      </c>
      <c r="D296" s="2">
        <v>4358641.3305529803</v>
      </c>
      <c r="E296" s="2">
        <v>19631.61783865</v>
      </c>
      <c r="F296" s="2">
        <v>4378272.9483916303</v>
      </c>
    </row>
    <row r="297" spans="1:6" x14ac:dyDescent="0.3">
      <c r="A297" s="1">
        <v>39233</v>
      </c>
      <c r="B297" t="s">
        <v>15</v>
      </c>
      <c r="C297" t="s">
        <v>20</v>
      </c>
      <c r="D297" s="2">
        <v>5975.16042982</v>
      </c>
      <c r="E297" s="2">
        <v>0</v>
      </c>
      <c r="F297" s="2">
        <v>5975.16042982</v>
      </c>
    </row>
    <row r="298" spans="1:6" x14ac:dyDescent="0.3">
      <c r="A298" s="1">
        <v>39233</v>
      </c>
      <c r="B298" t="s">
        <v>15</v>
      </c>
      <c r="C298" t="s">
        <v>17</v>
      </c>
      <c r="D298" s="2">
        <v>300302.63663366</v>
      </c>
      <c r="E298" s="2">
        <v>0</v>
      </c>
      <c r="F298" s="2">
        <v>300302.63663366</v>
      </c>
    </row>
    <row r="299" spans="1:6" x14ac:dyDescent="0.3">
      <c r="A299" s="1">
        <v>39233</v>
      </c>
      <c r="B299" t="s">
        <v>15</v>
      </c>
      <c r="C299" t="s">
        <v>16</v>
      </c>
      <c r="D299" s="2">
        <v>29995.18</v>
      </c>
      <c r="E299" s="2">
        <v>0</v>
      </c>
      <c r="F299" s="2">
        <v>29995.18</v>
      </c>
    </row>
    <row r="300" spans="1:6" x14ac:dyDescent="0.3">
      <c r="A300" s="1">
        <v>39233</v>
      </c>
      <c r="B300" t="s">
        <v>15</v>
      </c>
      <c r="C300" t="s">
        <v>18</v>
      </c>
      <c r="D300" s="2">
        <v>199168.44984638001</v>
      </c>
      <c r="E300" s="2">
        <v>0</v>
      </c>
      <c r="F300" s="2">
        <v>199168.44984638001</v>
      </c>
    </row>
    <row r="301" spans="1:6" x14ac:dyDescent="0.3">
      <c r="A301" s="1">
        <v>39233</v>
      </c>
      <c r="B301" t="s">
        <v>15</v>
      </c>
      <c r="C301" t="s">
        <v>25</v>
      </c>
      <c r="D301" s="2">
        <v>1.0529999999999999</v>
      </c>
      <c r="E301" s="2">
        <v>0</v>
      </c>
      <c r="F301" s="2">
        <v>1.0529999999999999</v>
      </c>
    </row>
    <row r="302" spans="1:6" x14ac:dyDescent="0.3">
      <c r="A302" s="1">
        <v>39263</v>
      </c>
      <c r="B302" t="s">
        <v>6</v>
      </c>
      <c r="C302" t="s">
        <v>12</v>
      </c>
      <c r="D302" s="2">
        <v>0</v>
      </c>
      <c r="E302" s="2">
        <v>14000</v>
      </c>
      <c r="F302" s="2">
        <v>14000</v>
      </c>
    </row>
    <row r="303" spans="1:6" x14ac:dyDescent="0.3">
      <c r="A303" s="1">
        <v>39263</v>
      </c>
      <c r="B303" t="s">
        <v>6</v>
      </c>
      <c r="C303" t="s">
        <v>9</v>
      </c>
      <c r="D303" s="2">
        <v>547131.36895000003</v>
      </c>
      <c r="E303" s="2">
        <v>123.893</v>
      </c>
      <c r="F303" s="2">
        <v>547255.26194999996</v>
      </c>
    </row>
    <row r="304" spans="1:6" x14ac:dyDescent="0.3">
      <c r="A304" s="1">
        <v>39263</v>
      </c>
      <c r="B304" t="s">
        <v>6</v>
      </c>
      <c r="C304" t="s">
        <v>10</v>
      </c>
      <c r="D304" s="2">
        <v>437687.67989758</v>
      </c>
      <c r="E304" s="2">
        <v>130.91399999999999</v>
      </c>
      <c r="F304" s="2">
        <v>437818.59389757999</v>
      </c>
    </row>
    <row r="305" spans="1:6" x14ac:dyDescent="0.3">
      <c r="A305" s="1">
        <v>39263</v>
      </c>
      <c r="B305" t="s">
        <v>13</v>
      </c>
      <c r="C305" t="s">
        <v>14</v>
      </c>
      <c r="D305" s="2">
        <v>4319570.00244758</v>
      </c>
      <c r="E305" s="2">
        <v>19531.21</v>
      </c>
      <c r="F305" s="2">
        <v>4339101.21244758</v>
      </c>
    </row>
    <row r="306" spans="1:6" x14ac:dyDescent="0.3">
      <c r="A306" s="1">
        <v>39263</v>
      </c>
      <c r="B306" t="s">
        <v>15</v>
      </c>
      <c r="C306" t="s">
        <v>16</v>
      </c>
      <c r="D306" s="2">
        <v>29995.18</v>
      </c>
      <c r="E306" s="2">
        <v>0</v>
      </c>
      <c r="F306" s="2">
        <v>29995.18</v>
      </c>
    </row>
    <row r="307" spans="1:6" x14ac:dyDescent="0.3">
      <c r="A307" s="1">
        <v>39263</v>
      </c>
      <c r="B307" t="s">
        <v>15</v>
      </c>
      <c r="C307" t="s">
        <v>23</v>
      </c>
      <c r="D307" s="2">
        <v>2985.6485899999998</v>
      </c>
      <c r="E307" s="2">
        <v>0</v>
      </c>
      <c r="F307" s="2">
        <v>2985.6485899999998</v>
      </c>
    </row>
    <row r="308" spans="1:6" x14ac:dyDescent="0.3">
      <c r="A308" s="1">
        <v>39263</v>
      </c>
      <c r="B308" t="s">
        <v>15</v>
      </c>
      <c r="C308" t="s">
        <v>25</v>
      </c>
      <c r="D308" s="2">
        <v>1.0529999999999999</v>
      </c>
      <c r="E308" s="2">
        <v>0</v>
      </c>
      <c r="F308" s="2">
        <v>1.0529999999999999</v>
      </c>
    </row>
    <row r="309" spans="1:6" x14ac:dyDescent="0.3">
      <c r="A309" s="1">
        <v>39263</v>
      </c>
      <c r="B309" t="s">
        <v>15</v>
      </c>
      <c r="C309" t="s">
        <v>17</v>
      </c>
      <c r="D309" s="2">
        <v>301623.51264639001</v>
      </c>
      <c r="E309" s="2">
        <v>0</v>
      </c>
      <c r="F309" s="2">
        <v>301623.51264639001</v>
      </c>
    </row>
    <row r="310" spans="1:6" x14ac:dyDescent="0.3">
      <c r="A310" s="1">
        <v>39263</v>
      </c>
      <c r="B310" t="s">
        <v>15</v>
      </c>
      <c r="C310" t="s">
        <v>18</v>
      </c>
      <c r="D310" s="2">
        <v>198647.79683797</v>
      </c>
      <c r="E310" s="2">
        <v>0</v>
      </c>
      <c r="F310" s="2">
        <v>198647.79683797</v>
      </c>
    </row>
    <row r="311" spans="1:6" x14ac:dyDescent="0.3">
      <c r="A311" s="1">
        <v>39263</v>
      </c>
      <c r="B311" t="s">
        <v>15</v>
      </c>
      <c r="C311" t="s">
        <v>19</v>
      </c>
      <c r="D311" s="2">
        <v>84216.506991319999</v>
      </c>
      <c r="E311" s="2">
        <v>3905054.4944682699</v>
      </c>
      <c r="F311" s="2">
        <v>3989271.09145959</v>
      </c>
    </row>
    <row r="312" spans="1:6" x14ac:dyDescent="0.3">
      <c r="A312" s="1">
        <v>39263</v>
      </c>
      <c r="B312" t="s">
        <v>15</v>
      </c>
      <c r="C312" t="s">
        <v>20</v>
      </c>
      <c r="D312" s="2">
        <v>6049.7097871400001</v>
      </c>
      <c r="E312" s="2">
        <v>0</v>
      </c>
      <c r="F312" s="2">
        <v>6049.7097871400001</v>
      </c>
    </row>
    <row r="313" spans="1:6" x14ac:dyDescent="0.3">
      <c r="A313" s="1">
        <v>39263</v>
      </c>
      <c r="B313" t="s">
        <v>21</v>
      </c>
      <c r="C313" t="s">
        <v>14</v>
      </c>
      <c r="D313" s="2">
        <v>623520.40785282</v>
      </c>
      <c r="E313" s="2">
        <v>3905054.4944682699</v>
      </c>
      <c r="F313" s="2">
        <v>4528573.9923210898</v>
      </c>
    </row>
    <row r="314" spans="1:6" x14ac:dyDescent="0.3">
      <c r="A314" s="1">
        <v>39263</v>
      </c>
      <c r="B314" t="s">
        <v>22</v>
      </c>
      <c r="C314" t="s">
        <v>14</v>
      </c>
      <c r="D314" s="2">
        <v>4943090.4103004001</v>
      </c>
      <c r="E314" s="2">
        <v>3924584.7044682698</v>
      </c>
      <c r="F314" s="2">
        <v>8867675.2047686707</v>
      </c>
    </row>
    <row r="315" spans="1:6" x14ac:dyDescent="0.3">
      <c r="A315" s="1">
        <v>39263</v>
      </c>
      <c r="B315" t="s">
        <v>6</v>
      </c>
      <c r="C315" t="s">
        <v>7</v>
      </c>
      <c r="D315" s="2">
        <v>865667.58400000003</v>
      </c>
      <c r="E315" s="2">
        <v>3384.0160000000001</v>
      </c>
      <c r="F315" s="2">
        <v>869051.6</v>
      </c>
    </row>
    <row r="316" spans="1:6" x14ac:dyDescent="0.3">
      <c r="A316" s="1">
        <v>39263</v>
      </c>
      <c r="B316" t="s">
        <v>6</v>
      </c>
      <c r="C316" t="s">
        <v>8</v>
      </c>
      <c r="D316" s="2">
        <v>2469083.3695999999</v>
      </c>
      <c r="E316" s="2">
        <v>1892.3869999999999</v>
      </c>
      <c r="F316" s="2">
        <v>2470975.7566</v>
      </c>
    </row>
    <row r="317" spans="1:6" x14ac:dyDescent="0.3">
      <c r="A317" s="1">
        <v>39294</v>
      </c>
      <c r="B317" t="s">
        <v>15</v>
      </c>
      <c r="C317" t="s">
        <v>20</v>
      </c>
      <c r="D317" s="2">
        <v>6015.5082626399999</v>
      </c>
      <c r="E317" s="2">
        <v>0</v>
      </c>
      <c r="F317" s="2">
        <v>6015.5082626399999</v>
      </c>
    </row>
    <row r="318" spans="1:6" x14ac:dyDescent="0.3">
      <c r="A318" s="1">
        <v>39294</v>
      </c>
      <c r="B318" t="s">
        <v>21</v>
      </c>
      <c r="C318" t="s">
        <v>14</v>
      </c>
      <c r="D318" s="2">
        <v>620053.99174921005</v>
      </c>
      <c r="E318" s="2">
        <v>3908962.7950385199</v>
      </c>
      <c r="F318" s="2">
        <v>4529016.8767877296</v>
      </c>
    </row>
    <row r="319" spans="1:6" x14ac:dyDescent="0.3">
      <c r="A319" s="1">
        <v>39294</v>
      </c>
      <c r="B319" t="s">
        <v>22</v>
      </c>
      <c r="C319" t="s">
        <v>14</v>
      </c>
      <c r="D319" s="2">
        <v>5003717.2801474603</v>
      </c>
      <c r="E319" s="2">
        <v>3928721.8118678099</v>
      </c>
      <c r="F319" s="2">
        <v>8932438.18201527</v>
      </c>
    </row>
    <row r="320" spans="1:6" x14ac:dyDescent="0.3">
      <c r="A320" s="1">
        <v>39294</v>
      </c>
      <c r="B320" t="s">
        <v>15</v>
      </c>
      <c r="C320" t="s">
        <v>16</v>
      </c>
      <c r="D320" s="2">
        <v>29995.18</v>
      </c>
      <c r="E320" s="2">
        <v>0</v>
      </c>
      <c r="F320" s="2">
        <v>29995.18</v>
      </c>
    </row>
    <row r="321" spans="1:6" x14ac:dyDescent="0.3">
      <c r="A321" s="1">
        <v>39294</v>
      </c>
      <c r="B321" t="s">
        <v>15</v>
      </c>
      <c r="C321" t="s">
        <v>17</v>
      </c>
      <c r="D321" s="2">
        <v>297698.78286378999</v>
      </c>
      <c r="E321" s="2">
        <v>0</v>
      </c>
      <c r="F321" s="2">
        <v>297698.78286378999</v>
      </c>
    </row>
    <row r="322" spans="1:6" x14ac:dyDescent="0.3">
      <c r="A322" s="1">
        <v>39294</v>
      </c>
      <c r="B322" t="s">
        <v>15</v>
      </c>
      <c r="C322" t="s">
        <v>19</v>
      </c>
      <c r="D322" s="2">
        <v>85263.782996399998</v>
      </c>
      <c r="E322" s="2">
        <v>3908962.7950385199</v>
      </c>
      <c r="F322" s="2">
        <v>3994226.66803492</v>
      </c>
    </row>
    <row r="323" spans="1:6" x14ac:dyDescent="0.3">
      <c r="A323" s="1">
        <v>39294</v>
      </c>
      <c r="B323" t="s">
        <v>6</v>
      </c>
      <c r="C323" t="s">
        <v>7</v>
      </c>
      <c r="D323" s="2">
        <v>888746.66</v>
      </c>
      <c r="E323" s="2">
        <v>3321.625</v>
      </c>
      <c r="F323" s="2">
        <v>892068.28500000003</v>
      </c>
    </row>
    <row r="324" spans="1:6" x14ac:dyDescent="0.3">
      <c r="A324" s="1">
        <v>39294</v>
      </c>
      <c r="B324" t="s">
        <v>6</v>
      </c>
      <c r="C324" t="s">
        <v>8</v>
      </c>
      <c r="D324" s="2">
        <v>2491975.4745999998</v>
      </c>
      <c r="E324" s="2">
        <v>2084.0990000000002</v>
      </c>
      <c r="F324" s="2">
        <v>2494059.5735999998</v>
      </c>
    </row>
    <row r="325" spans="1:6" x14ac:dyDescent="0.3">
      <c r="A325" s="1">
        <v>39294</v>
      </c>
      <c r="B325" t="s">
        <v>6</v>
      </c>
      <c r="C325" t="s">
        <v>12</v>
      </c>
      <c r="D325" s="2">
        <v>0</v>
      </c>
      <c r="E325" s="2">
        <v>14000</v>
      </c>
      <c r="F325" s="2">
        <v>14000</v>
      </c>
    </row>
    <row r="326" spans="1:6" x14ac:dyDescent="0.3">
      <c r="A326" s="1">
        <v>39294</v>
      </c>
      <c r="B326" t="s">
        <v>6</v>
      </c>
      <c r="C326" t="s">
        <v>9</v>
      </c>
      <c r="D326" s="2">
        <v>547033.02194999997</v>
      </c>
      <c r="E326" s="2">
        <v>220.55500000000001</v>
      </c>
      <c r="F326" s="2">
        <v>547253.57695000002</v>
      </c>
    </row>
    <row r="327" spans="1:6" x14ac:dyDescent="0.3">
      <c r="A327" s="1">
        <v>39294</v>
      </c>
      <c r="B327" t="s">
        <v>6</v>
      </c>
      <c r="C327" t="s">
        <v>10</v>
      </c>
      <c r="D327" s="2">
        <v>455907.13184824999</v>
      </c>
      <c r="E327" s="2">
        <v>132.73782929000001</v>
      </c>
      <c r="F327" s="2">
        <v>456039.86967753997</v>
      </c>
    </row>
    <row r="328" spans="1:6" x14ac:dyDescent="0.3">
      <c r="A328" s="1">
        <v>39294</v>
      </c>
      <c r="B328" t="s">
        <v>13</v>
      </c>
      <c r="C328" t="s">
        <v>14</v>
      </c>
      <c r="D328" s="2">
        <v>4383662.28839825</v>
      </c>
      <c r="E328" s="2">
        <v>19759.016829290002</v>
      </c>
      <c r="F328" s="2">
        <v>4403421.3052275404</v>
      </c>
    </row>
    <row r="329" spans="1:6" x14ac:dyDescent="0.3">
      <c r="A329" s="1">
        <v>39294</v>
      </c>
      <c r="B329" t="s">
        <v>15</v>
      </c>
      <c r="C329" t="s">
        <v>23</v>
      </c>
      <c r="D329" s="2">
        <v>2985.6485899999998</v>
      </c>
      <c r="E329" s="2">
        <v>0</v>
      </c>
      <c r="F329" s="2">
        <v>2985.6485899999998</v>
      </c>
    </row>
    <row r="330" spans="1:6" x14ac:dyDescent="0.3">
      <c r="A330" s="1">
        <v>39294</v>
      </c>
      <c r="B330" t="s">
        <v>15</v>
      </c>
      <c r="C330" t="s">
        <v>25</v>
      </c>
      <c r="D330" s="2">
        <v>1.0529999999999999</v>
      </c>
      <c r="E330" s="2">
        <v>0</v>
      </c>
      <c r="F330" s="2">
        <v>1.0529999999999999</v>
      </c>
    </row>
    <row r="331" spans="1:6" x14ac:dyDescent="0.3">
      <c r="A331" s="1">
        <v>39294</v>
      </c>
      <c r="B331" t="s">
        <v>15</v>
      </c>
      <c r="C331" t="s">
        <v>18</v>
      </c>
      <c r="D331" s="2">
        <v>198094.03603638001</v>
      </c>
      <c r="E331" s="2">
        <v>0</v>
      </c>
      <c r="F331" s="2">
        <v>198094.03603638001</v>
      </c>
    </row>
    <row r="332" spans="1:6" x14ac:dyDescent="0.3">
      <c r="A332" s="1">
        <v>39325</v>
      </c>
      <c r="B332" t="s">
        <v>6</v>
      </c>
      <c r="C332" t="s">
        <v>10</v>
      </c>
      <c r="D332" s="2">
        <v>456857.58729298</v>
      </c>
      <c r="E332" s="2">
        <v>135.02174686999999</v>
      </c>
      <c r="F332" s="2">
        <v>456992.60903985001</v>
      </c>
    </row>
    <row r="333" spans="1:6" x14ac:dyDescent="0.3">
      <c r="A333" s="1">
        <v>39325</v>
      </c>
      <c r="B333" t="s">
        <v>13</v>
      </c>
      <c r="C333" t="s">
        <v>14</v>
      </c>
      <c r="D333" s="2">
        <v>4476345.6613429803</v>
      </c>
      <c r="E333" s="2">
        <v>19853.567746870001</v>
      </c>
      <c r="F333" s="2">
        <v>4496199.2290898496</v>
      </c>
    </row>
    <row r="334" spans="1:6" x14ac:dyDescent="0.3">
      <c r="A334" s="1">
        <v>39325</v>
      </c>
      <c r="B334" t="s">
        <v>15</v>
      </c>
      <c r="C334" t="s">
        <v>18</v>
      </c>
      <c r="D334" s="2">
        <v>197426.15012507999</v>
      </c>
      <c r="E334" s="2">
        <v>0</v>
      </c>
      <c r="F334" s="2">
        <v>197426.15012507999</v>
      </c>
    </row>
    <row r="335" spans="1:6" x14ac:dyDescent="0.3">
      <c r="A335" s="1">
        <v>39325</v>
      </c>
      <c r="B335" t="s">
        <v>15</v>
      </c>
      <c r="C335" t="s">
        <v>19</v>
      </c>
      <c r="D335" s="2">
        <v>87584.631140309997</v>
      </c>
      <c r="E335" s="2">
        <v>3888857.2840319602</v>
      </c>
      <c r="F335" s="2">
        <v>3976442.0051722699</v>
      </c>
    </row>
    <row r="336" spans="1:6" x14ac:dyDescent="0.3">
      <c r="A336" s="1">
        <v>39325</v>
      </c>
      <c r="B336" t="s">
        <v>15</v>
      </c>
      <c r="C336" t="s">
        <v>23</v>
      </c>
      <c r="D336" s="2">
        <v>2985.6485899999998</v>
      </c>
      <c r="E336" s="2">
        <v>0</v>
      </c>
      <c r="F336" s="2">
        <v>2985.6485899999998</v>
      </c>
    </row>
    <row r="337" spans="1:6" x14ac:dyDescent="0.3">
      <c r="A337" s="1">
        <v>39325</v>
      </c>
      <c r="B337" t="s">
        <v>15</v>
      </c>
      <c r="C337" t="s">
        <v>25</v>
      </c>
      <c r="D337" s="2">
        <v>1.0529999999999999</v>
      </c>
      <c r="E337" s="2">
        <v>0</v>
      </c>
      <c r="F337" s="2">
        <v>1.0529999999999999</v>
      </c>
    </row>
    <row r="338" spans="1:6" x14ac:dyDescent="0.3">
      <c r="A338" s="1">
        <v>39325</v>
      </c>
      <c r="B338" t="s">
        <v>15</v>
      </c>
      <c r="C338" t="s">
        <v>20</v>
      </c>
      <c r="D338" s="2">
        <v>6009.3912443999998</v>
      </c>
      <c r="E338" s="2">
        <v>0</v>
      </c>
      <c r="F338" s="2">
        <v>6009.3912443999998</v>
      </c>
    </row>
    <row r="339" spans="1:6" x14ac:dyDescent="0.3">
      <c r="A339" s="1">
        <v>39325</v>
      </c>
      <c r="B339" t="s">
        <v>15</v>
      </c>
      <c r="C339" t="s">
        <v>16</v>
      </c>
      <c r="D339" s="2">
        <v>29995.18</v>
      </c>
      <c r="E339" s="2">
        <v>0</v>
      </c>
      <c r="F339" s="2">
        <v>29995.18</v>
      </c>
    </row>
    <row r="340" spans="1:6" x14ac:dyDescent="0.3">
      <c r="A340" s="1">
        <v>39325</v>
      </c>
      <c r="B340" t="s">
        <v>15</v>
      </c>
      <c r="C340" t="s">
        <v>17</v>
      </c>
      <c r="D340" s="2">
        <v>296589.98305674997</v>
      </c>
      <c r="E340" s="2">
        <v>0</v>
      </c>
      <c r="F340" s="2">
        <v>296589.98305674997</v>
      </c>
    </row>
    <row r="341" spans="1:6" x14ac:dyDescent="0.3">
      <c r="A341" s="1">
        <v>39325</v>
      </c>
      <c r="B341" t="s">
        <v>21</v>
      </c>
      <c r="C341" t="s">
        <v>14</v>
      </c>
      <c r="D341" s="2">
        <v>620592.03715653997</v>
      </c>
      <c r="E341" s="2">
        <v>3888857.2840319602</v>
      </c>
      <c r="F341" s="2">
        <v>4509449.4111885</v>
      </c>
    </row>
    <row r="342" spans="1:6" x14ac:dyDescent="0.3">
      <c r="A342" s="1">
        <v>39325</v>
      </c>
      <c r="B342" t="s">
        <v>22</v>
      </c>
      <c r="C342" t="s">
        <v>14</v>
      </c>
      <c r="D342" s="2">
        <v>5096937.6984995203</v>
      </c>
      <c r="E342" s="2">
        <v>3908709.8517788299</v>
      </c>
      <c r="F342" s="2">
        <v>9005648.6402783506</v>
      </c>
    </row>
    <row r="343" spans="1:6" x14ac:dyDescent="0.3">
      <c r="A343" s="1">
        <v>39325</v>
      </c>
      <c r="B343" t="s">
        <v>6</v>
      </c>
      <c r="C343" t="s">
        <v>7</v>
      </c>
      <c r="D343" s="2">
        <v>1010426.157</v>
      </c>
      <c r="E343" s="2">
        <v>3640.6379999999999</v>
      </c>
      <c r="F343" s="2">
        <v>1014066.795</v>
      </c>
    </row>
    <row r="344" spans="1:6" x14ac:dyDescent="0.3">
      <c r="A344" s="1">
        <v>39325</v>
      </c>
      <c r="B344" t="s">
        <v>6</v>
      </c>
      <c r="C344" t="s">
        <v>8</v>
      </c>
      <c r="D344" s="2">
        <v>2448153.4975999999</v>
      </c>
      <c r="E344" s="2">
        <v>1887.67</v>
      </c>
      <c r="F344" s="2">
        <v>2450041.1675999998</v>
      </c>
    </row>
    <row r="345" spans="1:6" x14ac:dyDescent="0.3">
      <c r="A345" s="1">
        <v>39325</v>
      </c>
      <c r="B345" t="s">
        <v>6</v>
      </c>
      <c r="C345" t="s">
        <v>9</v>
      </c>
      <c r="D345" s="2">
        <v>560908.41945000004</v>
      </c>
      <c r="E345" s="2">
        <v>190.238</v>
      </c>
      <c r="F345" s="2">
        <v>561098.65745000006</v>
      </c>
    </row>
    <row r="346" spans="1:6" x14ac:dyDescent="0.3">
      <c r="A346" s="1">
        <v>39325</v>
      </c>
      <c r="B346" t="s">
        <v>6</v>
      </c>
      <c r="C346" t="s">
        <v>12</v>
      </c>
      <c r="D346" s="2">
        <v>0</v>
      </c>
      <c r="E346" s="2">
        <v>14000</v>
      </c>
      <c r="F346" s="2">
        <v>14000</v>
      </c>
    </row>
    <row r="347" spans="1:6" x14ac:dyDescent="0.3">
      <c r="A347" s="1">
        <v>39355</v>
      </c>
      <c r="B347" t="s">
        <v>15</v>
      </c>
      <c r="C347" t="s">
        <v>17</v>
      </c>
      <c r="D347" s="2">
        <v>296513.38611043</v>
      </c>
      <c r="E347" s="2">
        <v>0</v>
      </c>
      <c r="F347" s="2">
        <v>296513.38611043</v>
      </c>
    </row>
    <row r="348" spans="1:6" x14ac:dyDescent="0.3">
      <c r="A348" s="1">
        <v>39355</v>
      </c>
      <c r="B348" t="s">
        <v>15</v>
      </c>
      <c r="C348" t="s">
        <v>18</v>
      </c>
      <c r="D348" s="2">
        <v>197125.89136442999</v>
      </c>
      <c r="E348" s="2">
        <v>0</v>
      </c>
      <c r="F348" s="2">
        <v>197125.89136442999</v>
      </c>
    </row>
    <row r="349" spans="1:6" x14ac:dyDescent="0.3">
      <c r="A349" s="1">
        <v>39355</v>
      </c>
      <c r="B349" t="s">
        <v>15</v>
      </c>
      <c r="C349" t="s">
        <v>19</v>
      </c>
      <c r="D349" s="2">
        <v>88152.541115109998</v>
      </c>
      <c r="E349" s="2">
        <v>3938618.75334157</v>
      </c>
      <c r="F349" s="2">
        <v>4026772.3844566802</v>
      </c>
    </row>
    <row r="350" spans="1:6" x14ac:dyDescent="0.3">
      <c r="A350" s="1">
        <v>39355</v>
      </c>
      <c r="B350" t="s">
        <v>15</v>
      </c>
      <c r="C350" t="s">
        <v>20</v>
      </c>
      <c r="D350" s="2">
        <v>6125.9244318800002</v>
      </c>
      <c r="E350" s="2">
        <v>0</v>
      </c>
      <c r="F350" s="2">
        <v>6125.9244318800002</v>
      </c>
    </row>
    <row r="351" spans="1:6" x14ac:dyDescent="0.3">
      <c r="A351" s="1">
        <v>39355</v>
      </c>
      <c r="B351" t="s">
        <v>21</v>
      </c>
      <c r="C351" t="s">
        <v>14</v>
      </c>
      <c r="D351" s="2">
        <v>620899.62461185001</v>
      </c>
      <c r="E351" s="2">
        <v>3938618.75334157</v>
      </c>
      <c r="F351" s="2">
        <v>4559519.4679534202</v>
      </c>
    </row>
    <row r="352" spans="1:6" x14ac:dyDescent="0.3">
      <c r="A352" s="1">
        <v>39355</v>
      </c>
      <c r="B352" t="s">
        <v>22</v>
      </c>
      <c r="C352" t="s">
        <v>14</v>
      </c>
      <c r="D352" s="2">
        <v>5049305.6609260701</v>
      </c>
      <c r="E352" s="2">
        <v>3958347.6653135698</v>
      </c>
      <c r="F352" s="2">
        <v>9007653.4162396397</v>
      </c>
    </row>
    <row r="353" spans="1:6" x14ac:dyDescent="0.3">
      <c r="A353" s="1">
        <v>39355</v>
      </c>
      <c r="B353" t="s">
        <v>6</v>
      </c>
      <c r="C353" t="s">
        <v>7</v>
      </c>
      <c r="D353" s="2">
        <v>954607.11199999996</v>
      </c>
      <c r="E353" s="2">
        <v>3474.1550000000002</v>
      </c>
      <c r="F353" s="2">
        <v>958081.26699999999</v>
      </c>
    </row>
    <row r="354" spans="1:6" x14ac:dyDescent="0.3">
      <c r="A354" s="1">
        <v>39355</v>
      </c>
      <c r="B354" t="s">
        <v>6</v>
      </c>
      <c r="C354" t="s">
        <v>8</v>
      </c>
      <c r="D354" s="2">
        <v>2456099.9865999999</v>
      </c>
      <c r="E354" s="2">
        <v>1938.664</v>
      </c>
      <c r="F354" s="2">
        <v>2458038.6505999998</v>
      </c>
    </row>
    <row r="355" spans="1:6" x14ac:dyDescent="0.3">
      <c r="A355" s="1">
        <v>39355</v>
      </c>
      <c r="B355" t="s">
        <v>6</v>
      </c>
      <c r="C355" t="s">
        <v>9</v>
      </c>
      <c r="D355" s="2">
        <v>560921.83845000004</v>
      </c>
      <c r="E355" s="2">
        <v>176.31200000000001</v>
      </c>
      <c r="F355" s="2">
        <v>561098.15044999996</v>
      </c>
    </row>
    <row r="356" spans="1:6" x14ac:dyDescent="0.3">
      <c r="A356" s="1">
        <v>39355</v>
      </c>
      <c r="B356" t="s">
        <v>6</v>
      </c>
      <c r="C356" t="s">
        <v>10</v>
      </c>
      <c r="D356" s="2">
        <v>456776.09926421999</v>
      </c>
      <c r="E356" s="2">
        <v>139.78097199999999</v>
      </c>
      <c r="F356" s="2">
        <v>456915.88023622002</v>
      </c>
    </row>
    <row r="357" spans="1:6" x14ac:dyDescent="0.3">
      <c r="A357" s="1">
        <v>39355</v>
      </c>
      <c r="B357" t="s">
        <v>6</v>
      </c>
      <c r="C357" t="s">
        <v>12</v>
      </c>
      <c r="D357" s="2">
        <v>0</v>
      </c>
      <c r="E357" s="2">
        <v>14000</v>
      </c>
      <c r="F357" s="2">
        <v>14000</v>
      </c>
    </row>
    <row r="358" spans="1:6" x14ac:dyDescent="0.3">
      <c r="A358" s="1">
        <v>39355</v>
      </c>
      <c r="B358" t="s">
        <v>13</v>
      </c>
      <c r="C358" t="s">
        <v>14</v>
      </c>
      <c r="D358" s="2">
        <v>4428405.0363142202</v>
      </c>
      <c r="E358" s="2">
        <v>19728.911972000002</v>
      </c>
      <c r="F358" s="2">
        <v>4448133.9482862204</v>
      </c>
    </row>
    <row r="359" spans="1:6" x14ac:dyDescent="0.3">
      <c r="A359" s="1">
        <v>39355</v>
      </c>
      <c r="B359" t="s">
        <v>15</v>
      </c>
      <c r="C359" t="s">
        <v>16</v>
      </c>
      <c r="D359" s="2">
        <v>29995.18</v>
      </c>
      <c r="E359" s="2">
        <v>0</v>
      </c>
      <c r="F359" s="2">
        <v>29995.18</v>
      </c>
    </row>
    <row r="360" spans="1:6" x14ac:dyDescent="0.3">
      <c r="A360" s="1">
        <v>39355</v>
      </c>
      <c r="B360" t="s">
        <v>15</v>
      </c>
      <c r="C360" t="s">
        <v>23</v>
      </c>
      <c r="D360" s="2">
        <v>2985.6485899999998</v>
      </c>
      <c r="E360" s="2">
        <v>0</v>
      </c>
      <c r="F360" s="2">
        <v>2985.6485899999998</v>
      </c>
    </row>
    <row r="361" spans="1:6" x14ac:dyDescent="0.3">
      <c r="A361" s="1">
        <v>39355</v>
      </c>
      <c r="B361" t="s">
        <v>15</v>
      </c>
      <c r="C361" t="s">
        <v>25</v>
      </c>
      <c r="D361" s="2">
        <v>1.0529999999999999</v>
      </c>
      <c r="E361" s="2">
        <v>0</v>
      </c>
      <c r="F361" s="2">
        <v>1.0529999999999999</v>
      </c>
    </row>
    <row r="362" spans="1:6" x14ac:dyDescent="0.3">
      <c r="A362" s="1">
        <v>39386</v>
      </c>
      <c r="B362" t="s">
        <v>6</v>
      </c>
      <c r="C362" t="s">
        <v>9</v>
      </c>
      <c r="D362" s="2">
        <v>560936.60294999997</v>
      </c>
      <c r="E362" s="2">
        <v>160</v>
      </c>
      <c r="F362" s="2">
        <v>561097.60294999997</v>
      </c>
    </row>
    <row r="363" spans="1:6" x14ac:dyDescent="0.3">
      <c r="A363" s="1">
        <v>39386</v>
      </c>
      <c r="B363" t="s">
        <v>6</v>
      </c>
      <c r="C363" t="s">
        <v>10</v>
      </c>
      <c r="D363" s="2">
        <v>469310.26496251998</v>
      </c>
      <c r="E363" s="2">
        <v>137</v>
      </c>
      <c r="F363" s="2">
        <v>469446.26496251998</v>
      </c>
    </row>
    <row r="364" spans="1:6" x14ac:dyDescent="0.3">
      <c r="A364" s="1">
        <v>39386</v>
      </c>
      <c r="B364" t="s">
        <v>13</v>
      </c>
      <c r="C364" t="s">
        <v>14</v>
      </c>
      <c r="D364" s="2">
        <v>4444884.4215125199</v>
      </c>
      <c r="E364" s="2">
        <v>19846</v>
      </c>
      <c r="F364" s="2">
        <v>4464730.4215125199</v>
      </c>
    </row>
    <row r="365" spans="1:6" x14ac:dyDescent="0.3">
      <c r="A365" s="1">
        <v>39386</v>
      </c>
      <c r="B365" t="s">
        <v>15</v>
      </c>
      <c r="C365" t="s">
        <v>16</v>
      </c>
      <c r="D365" s="2">
        <v>29995.18</v>
      </c>
      <c r="E365" s="2">
        <v>0</v>
      </c>
      <c r="F365" s="2">
        <v>29995.18</v>
      </c>
    </row>
    <row r="366" spans="1:6" x14ac:dyDescent="0.3">
      <c r="A366" s="1">
        <v>39386</v>
      </c>
      <c r="B366" t="s">
        <v>15</v>
      </c>
      <c r="C366" t="s">
        <v>23</v>
      </c>
      <c r="D366" s="2">
        <v>2985.6485899999998</v>
      </c>
      <c r="E366" s="2">
        <v>0</v>
      </c>
      <c r="F366" s="2">
        <v>2985.6485899999998</v>
      </c>
    </row>
    <row r="367" spans="1:6" x14ac:dyDescent="0.3">
      <c r="A367" s="1">
        <v>39386</v>
      </c>
      <c r="B367" t="s">
        <v>15</v>
      </c>
      <c r="C367" t="s">
        <v>25</v>
      </c>
      <c r="D367" s="2">
        <v>1.0529999999999999</v>
      </c>
      <c r="E367" s="2">
        <v>0</v>
      </c>
      <c r="F367" s="2">
        <v>1.0529999999999999</v>
      </c>
    </row>
    <row r="368" spans="1:6" x14ac:dyDescent="0.3">
      <c r="A368" s="1">
        <v>39386</v>
      </c>
      <c r="B368" t="s">
        <v>15</v>
      </c>
      <c r="C368" t="s">
        <v>17</v>
      </c>
      <c r="D368" s="2">
        <v>297300.41738951002</v>
      </c>
      <c r="E368" s="2">
        <v>0</v>
      </c>
      <c r="F368" s="2">
        <v>297300.41738951002</v>
      </c>
    </row>
    <row r="369" spans="1:6" x14ac:dyDescent="0.3">
      <c r="A369" s="1">
        <v>39386</v>
      </c>
      <c r="B369" t="s">
        <v>15</v>
      </c>
      <c r="C369" t="s">
        <v>18</v>
      </c>
      <c r="D369" s="2">
        <v>196870.70411903999</v>
      </c>
      <c r="E369" s="2">
        <v>0</v>
      </c>
      <c r="F369" s="2">
        <v>196870.70411903999</v>
      </c>
    </row>
    <row r="370" spans="1:6" x14ac:dyDescent="0.3">
      <c r="A370" s="1">
        <v>39386</v>
      </c>
      <c r="B370" t="s">
        <v>15</v>
      </c>
      <c r="C370" t="s">
        <v>19</v>
      </c>
      <c r="D370" s="2">
        <v>89212.980406710005</v>
      </c>
      <c r="E370" s="2">
        <v>3992162.1092653102</v>
      </c>
      <c r="F370" s="2">
        <v>4081375.17967202</v>
      </c>
    </row>
    <row r="371" spans="1:6" x14ac:dyDescent="0.3">
      <c r="A371" s="1">
        <v>39386</v>
      </c>
      <c r="B371" t="s">
        <v>15</v>
      </c>
      <c r="C371" t="s">
        <v>20</v>
      </c>
      <c r="D371" s="2">
        <v>5827.70159917</v>
      </c>
      <c r="E371" s="2">
        <v>0</v>
      </c>
      <c r="F371" s="2">
        <v>5827.70159917</v>
      </c>
    </row>
    <row r="372" spans="1:6" x14ac:dyDescent="0.3">
      <c r="A372" s="1">
        <v>39386</v>
      </c>
      <c r="B372" t="s">
        <v>21</v>
      </c>
      <c r="C372" t="s">
        <v>14</v>
      </c>
      <c r="D372" s="2">
        <v>622193.68510442995</v>
      </c>
      <c r="E372" s="2">
        <v>3992162.1092653102</v>
      </c>
      <c r="F372" s="2">
        <v>4614355.8843697403</v>
      </c>
    </row>
    <row r="373" spans="1:6" x14ac:dyDescent="0.3">
      <c r="A373" s="1">
        <v>39386</v>
      </c>
      <c r="B373" t="s">
        <v>22</v>
      </c>
      <c r="C373" t="s">
        <v>14</v>
      </c>
      <c r="D373" s="2">
        <v>5067079.1066169497</v>
      </c>
      <c r="E373" s="2">
        <v>4012008.1092653102</v>
      </c>
      <c r="F373" s="2">
        <v>9079086.3058822602</v>
      </c>
    </row>
    <row r="374" spans="1:6" x14ac:dyDescent="0.3">
      <c r="A374" s="1">
        <v>39386</v>
      </c>
      <c r="B374" t="s">
        <v>6</v>
      </c>
      <c r="C374" t="s">
        <v>7</v>
      </c>
      <c r="D374" s="2">
        <v>934091.72199999995</v>
      </c>
      <c r="E374" s="2">
        <v>3981</v>
      </c>
      <c r="F374" s="2">
        <v>938072.72199999995</v>
      </c>
    </row>
    <row r="375" spans="1:6" x14ac:dyDescent="0.3">
      <c r="A375" s="1">
        <v>39386</v>
      </c>
      <c r="B375" t="s">
        <v>6</v>
      </c>
      <c r="C375" t="s">
        <v>8</v>
      </c>
      <c r="D375" s="2">
        <v>2480545.8316000002</v>
      </c>
      <c r="E375" s="2">
        <v>1568</v>
      </c>
      <c r="F375" s="2">
        <v>2482113.8316000002</v>
      </c>
    </row>
    <row r="376" spans="1:6" x14ac:dyDescent="0.3">
      <c r="A376" s="1">
        <v>39386</v>
      </c>
      <c r="B376" t="s">
        <v>6</v>
      </c>
      <c r="C376" t="s">
        <v>12</v>
      </c>
      <c r="D376" s="2">
        <v>0</v>
      </c>
      <c r="E376" s="2">
        <v>14000</v>
      </c>
      <c r="F376" s="2">
        <v>14000</v>
      </c>
    </row>
    <row r="377" spans="1:6" x14ac:dyDescent="0.3">
      <c r="A377" s="1">
        <v>39416</v>
      </c>
      <c r="B377" t="s">
        <v>15</v>
      </c>
      <c r="C377" t="s">
        <v>20</v>
      </c>
      <c r="D377" s="2">
        <v>5845.2078107200005</v>
      </c>
      <c r="E377" s="2">
        <v>0</v>
      </c>
      <c r="F377" s="2">
        <v>5845.2078107200005</v>
      </c>
    </row>
    <row r="378" spans="1:6" x14ac:dyDescent="0.3">
      <c r="A378" s="1">
        <v>39416</v>
      </c>
      <c r="B378" t="s">
        <v>15</v>
      </c>
      <c r="C378" t="s">
        <v>17</v>
      </c>
      <c r="D378" s="2">
        <v>296942.81080416002</v>
      </c>
      <c r="E378" s="2">
        <v>0</v>
      </c>
      <c r="F378" s="2">
        <v>296942.81080416002</v>
      </c>
    </row>
    <row r="379" spans="1:6" x14ac:dyDescent="0.3">
      <c r="A379" s="1">
        <v>39416</v>
      </c>
      <c r="B379" t="s">
        <v>15</v>
      </c>
      <c r="C379" t="s">
        <v>18</v>
      </c>
      <c r="D379" s="2">
        <v>196649.32056168001</v>
      </c>
      <c r="E379" s="2">
        <v>0</v>
      </c>
      <c r="F379" s="2">
        <v>196649.32056168001</v>
      </c>
    </row>
    <row r="380" spans="1:6" x14ac:dyDescent="0.3">
      <c r="A380" s="1">
        <v>39416</v>
      </c>
      <c r="B380" t="s">
        <v>15</v>
      </c>
      <c r="C380" t="s">
        <v>19</v>
      </c>
      <c r="D380" s="2">
        <v>90633.947684069994</v>
      </c>
      <c r="E380" s="2">
        <v>3983027.7937270799</v>
      </c>
      <c r="F380" s="2">
        <v>4073661.8454111498</v>
      </c>
    </row>
    <row r="381" spans="1:6" x14ac:dyDescent="0.3">
      <c r="A381" s="1">
        <v>39416</v>
      </c>
      <c r="B381" t="s">
        <v>21</v>
      </c>
      <c r="C381" t="s">
        <v>14</v>
      </c>
      <c r="D381" s="2">
        <v>623054.16845063004</v>
      </c>
      <c r="E381" s="2">
        <v>3983027.7937270799</v>
      </c>
      <c r="F381" s="2">
        <v>4606082.06617771</v>
      </c>
    </row>
    <row r="382" spans="1:6" x14ac:dyDescent="0.3">
      <c r="A382" s="1">
        <v>39416</v>
      </c>
      <c r="B382" t="s">
        <v>22</v>
      </c>
      <c r="C382" t="s">
        <v>14</v>
      </c>
      <c r="D382" s="2">
        <v>5146578.9649664704</v>
      </c>
      <c r="E382" s="2">
        <v>4002761.7937270799</v>
      </c>
      <c r="F382" s="2">
        <v>9149340.8626935594</v>
      </c>
    </row>
    <row r="383" spans="1:6" x14ac:dyDescent="0.3">
      <c r="A383" s="1">
        <v>39416</v>
      </c>
      <c r="B383" t="s">
        <v>6</v>
      </c>
      <c r="C383" t="s">
        <v>7</v>
      </c>
      <c r="D383" s="2">
        <v>1030925.336</v>
      </c>
      <c r="E383" s="2">
        <v>4125</v>
      </c>
      <c r="F383" s="2">
        <v>1035049.336</v>
      </c>
    </row>
    <row r="384" spans="1:6" x14ac:dyDescent="0.3">
      <c r="A384" s="1">
        <v>39416</v>
      </c>
      <c r="B384" t="s">
        <v>6</v>
      </c>
      <c r="C384" t="s">
        <v>9</v>
      </c>
      <c r="D384" s="2">
        <v>558444.72290000005</v>
      </c>
      <c r="E384" s="2">
        <v>97</v>
      </c>
      <c r="F384" s="2">
        <v>558541.72290000005</v>
      </c>
    </row>
    <row r="385" spans="1:6" x14ac:dyDescent="0.3">
      <c r="A385" s="1">
        <v>39416</v>
      </c>
      <c r="B385" t="s">
        <v>6</v>
      </c>
      <c r="C385" t="s">
        <v>10</v>
      </c>
      <c r="D385" s="2">
        <v>470480.56701583997</v>
      </c>
      <c r="E385" s="2">
        <v>187</v>
      </c>
      <c r="F385" s="2">
        <v>470668.56701583997</v>
      </c>
    </row>
    <row r="386" spans="1:6" x14ac:dyDescent="0.3">
      <c r="A386" s="1">
        <v>39416</v>
      </c>
      <c r="B386" t="s">
        <v>6</v>
      </c>
      <c r="C386" t="s">
        <v>12</v>
      </c>
      <c r="D386" s="2">
        <v>0</v>
      </c>
      <c r="E386" s="2">
        <v>14000</v>
      </c>
      <c r="F386" s="2">
        <v>14000</v>
      </c>
    </row>
    <row r="387" spans="1:6" x14ac:dyDescent="0.3">
      <c r="A387" s="1">
        <v>39416</v>
      </c>
      <c r="B387" t="s">
        <v>6</v>
      </c>
      <c r="C387" t="s">
        <v>8</v>
      </c>
      <c r="D387" s="2">
        <v>2463675.1705999998</v>
      </c>
      <c r="E387" s="2">
        <v>1326</v>
      </c>
      <c r="F387" s="2">
        <v>2465000.1705999998</v>
      </c>
    </row>
    <row r="388" spans="1:6" x14ac:dyDescent="0.3">
      <c r="A388" s="1">
        <v>39416</v>
      </c>
      <c r="B388" t="s">
        <v>13</v>
      </c>
      <c r="C388" t="s">
        <v>14</v>
      </c>
      <c r="D388" s="2">
        <v>4523525.7965158401</v>
      </c>
      <c r="E388" s="2">
        <v>19734</v>
      </c>
      <c r="F388" s="2">
        <v>4543259.7965158401</v>
      </c>
    </row>
    <row r="389" spans="1:6" x14ac:dyDescent="0.3">
      <c r="A389" s="1">
        <v>39416</v>
      </c>
      <c r="B389" t="s">
        <v>15</v>
      </c>
      <c r="C389" t="s">
        <v>23</v>
      </c>
      <c r="D389" s="2">
        <v>2985.6485899999998</v>
      </c>
      <c r="E389" s="2">
        <v>0</v>
      </c>
      <c r="F389" s="2">
        <v>2985.6485899999998</v>
      </c>
    </row>
    <row r="390" spans="1:6" x14ac:dyDescent="0.3">
      <c r="A390" s="1">
        <v>39416</v>
      </c>
      <c r="B390" t="s">
        <v>15</v>
      </c>
      <c r="C390" t="s">
        <v>25</v>
      </c>
      <c r="D390" s="2">
        <v>1.0529999999999999</v>
      </c>
      <c r="E390" s="2">
        <v>0</v>
      </c>
      <c r="F390" s="2">
        <v>1.0529999999999999</v>
      </c>
    </row>
    <row r="391" spans="1:6" x14ac:dyDescent="0.3">
      <c r="A391" s="1">
        <v>39416</v>
      </c>
      <c r="B391" t="s">
        <v>15</v>
      </c>
      <c r="C391" t="s">
        <v>16</v>
      </c>
      <c r="D391" s="2">
        <v>29995.18</v>
      </c>
      <c r="E391" s="2">
        <v>0</v>
      </c>
      <c r="F391" s="2">
        <v>29995.18</v>
      </c>
    </row>
    <row r="392" spans="1:6" x14ac:dyDescent="0.3">
      <c r="A392" s="1">
        <v>39447</v>
      </c>
      <c r="B392" t="s">
        <v>6</v>
      </c>
      <c r="C392" t="s">
        <v>7</v>
      </c>
      <c r="D392" s="2">
        <v>999547.43799999997</v>
      </c>
      <c r="E392" s="2">
        <v>4327.2340000000004</v>
      </c>
      <c r="F392" s="2">
        <v>1003874.672</v>
      </c>
    </row>
    <row r="393" spans="1:6" x14ac:dyDescent="0.3">
      <c r="A393" s="1">
        <v>39447</v>
      </c>
      <c r="B393" t="s">
        <v>6</v>
      </c>
      <c r="C393" t="s">
        <v>12</v>
      </c>
      <c r="D393" s="2">
        <v>0</v>
      </c>
      <c r="E393" s="2">
        <v>14000</v>
      </c>
      <c r="F393" s="2">
        <v>14000</v>
      </c>
    </row>
    <row r="394" spans="1:6" x14ac:dyDescent="0.3">
      <c r="A394" s="1">
        <v>39447</v>
      </c>
      <c r="B394" t="s">
        <v>6</v>
      </c>
      <c r="C394" t="s">
        <v>8</v>
      </c>
      <c r="D394" s="2">
        <v>2487367.5595999998</v>
      </c>
      <c r="E394" s="2">
        <v>1119.1110000000001</v>
      </c>
      <c r="F394" s="2">
        <v>2488486.6705999998</v>
      </c>
    </row>
    <row r="395" spans="1:6" x14ac:dyDescent="0.3">
      <c r="A395" s="1">
        <v>39447</v>
      </c>
      <c r="B395" t="s">
        <v>21</v>
      </c>
      <c r="C395" t="s">
        <v>14</v>
      </c>
      <c r="D395" s="2">
        <v>619510.01421672001</v>
      </c>
      <c r="E395" s="2">
        <v>4073077.3177746302</v>
      </c>
      <c r="F395" s="2">
        <v>4692586.5089913597</v>
      </c>
    </row>
    <row r="396" spans="1:6" x14ac:dyDescent="0.3">
      <c r="A396" s="1">
        <v>39447</v>
      </c>
      <c r="B396" t="s">
        <v>22</v>
      </c>
      <c r="C396" t="s">
        <v>14</v>
      </c>
      <c r="D396" s="2">
        <v>5136303.2800723398</v>
      </c>
      <c r="E396" s="2">
        <v>4092870.3522587102</v>
      </c>
      <c r="F396" s="2">
        <v>9229172.8093310595</v>
      </c>
    </row>
    <row r="397" spans="1:6" x14ac:dyDescent="0.3">
      <c r="A397" s="1">
        <v>39447</v>
      </c>
      <c r="B397" t="s">
        <v>6</v>
      </c>
      <c r="C397" t="s">
        <v>9</v>
      </c>
      <c r="D397" s="2">
        <v>558446.91189999995</v>
      </c>
      <c r="E397" s="2">
        <v>90.923000000000002</v>
      </c>
      <c r="F397" s="2">
        <v>558537.83490000002</v>
      </c>
    </row>
    <row r="398" spans="1:6" x14ac:dyDescent="0.3">
      <c r="A398" s="1">
        <v>39447</v>
      </c>
      <c r="B398" t="s">
        <v>6</v>
      </c>
      <c r="C398" t="s">
        <v>10</v>
      </c>
      <c r="D398" s="2">
        <v>471430.35635562002</v>
      </c>
      <c r="E398" s="2">
        <v>255.76648408</v>
      </c>
      <c r="F398" s="2">
        <v>471686.12283970002</v>
      </c>
    </row>
    <row r="399" spans="1:6" x14ac:dyDescent="0.3">
      <c r="A399" s="1">
        <v>39447</v>
      </c>
      <c r="B399" t="s">
        <v>13</v>
      </c>
      <c r="C399" t="s">
        <v>14</v>
      </c>
      <c r="D399" s="2">
        <v>4516792.2658556197</v>
      </c>
      <c r="E399" s="2">
        <v>19793.034484079999</v>
      </c>
      <c r="F399" s="2">
        <v>4536585.3003396997</v>
      </c>
    </row>
    <row r="400" spans="1:6" x14ac:dyDescent="0.3">
      <c r="A400" s="1">
        <v>39447</v>
      </c>
      <c r="B400" t="s">
        <v>15</v>
      </c>
      <c r="C400" t="s">
        <v>16</v>
      </c>
      <c r="D400" s="2">
        <v>29995.18</v>
      </c>
      <c r="E400" s="2">
        <v>0</v>
      </c>
      <c r="F400" s="2">
        <v>29995.18</v>
      </c>
    </row>
    <row r="401" spans="1:6" x14ac:dyDescent="0.3">
      <c r="A401" s="1">
        <v>39447</v>
      </c>
      <c r="B401" t="s">
        <v>15</v>
      </c>
      <c r="C401" t="s">
        <v>17</v>
      </c>
      <c r="D401" s="2">
        <v>293238.79697734001</v>
      </c>
      <c r="E401" s="2">
        <v>0</v>
      </c>
      <c r="F401" s="2">
        <v>293238.79697734001</v>
      </c>
    </row>
    <row r="402" spans="1:6" x14ac:dyDescent="0.3">
      <c r="A402" s="1">
        <v>39447</v>
      </c>
      <c r="B402" t="s">
        <v>15</v>
      </c>
      <c r="C402" t="s">
        <v>23</v>
      </c>
      <c r="D402" s="2">
        <v>2985.6485899999998</v>
      </c>
      <c r="E402" s="2">
        <v>0</v>
      </c>
      <c r="F402" s="2">
        <v>2985.6485899999998</v>
      </c>
    </row>
    <row r="403" spans="1:6" x14ac:dyDescent="0.3">
      <c r="A403" s="1">
        <v>39447</v>
      </c>
      <c r="B403" t="s">
        <v>15</v>
      </c>
      <c r="C403" t="s">
        <v>25</v>
      </c>
      <c r="D403" s="2">
        <v>1.0529999999999999</v>
      </c>
      <c r="E403" s="2">
        <v>0</v>
      </c>
      <c r="F403" s="2">
        <v>1.0529999999999999</v>
      </c>
    </row>
    <row r="404" spans="1:6" x14ac:dyDescent="0.3">
      <c r="A404" s="1">
        <v>39447</v>
      </c>
      <c r="B404" t="s">
        <v>15</v>
      </c>
      <c r="C404" t="s">
        <v>18</v>
      </c>
      <c r="D404" s="2">
        <v>196452.37886222999</v>
      </c>
      <c r="E404" s="2">
        <v>0</v>
      </c>
      <c r="F404" s="2">
        <v>196452.37886222999</v>
      </c>
    </row>
    <row r="405" spans="1:6" x14ac:dyDescent="0.3">
      <c r="A405" s="1">
        <v>39447</v>
      </c>
      <c r="B405" t="s">
        <v>15</v>
      </c>
      <c r="C405" t="s">
        <v>19</v>
      </c>
      <c r="D405" s="2">
        <v>91188.528158040004</v>
      </c>
      <c r="E405" s="2">
        <v>4073077.3177746302</v>
      </c>
      <c r="F405" s="2">
        <v>4164266.0229326701</v>
      </c>
    </row>
    <row r="406" spans="1:6" x14ac:dyDescent="0.3">
      <c r="A406" s="1">
        <v>39447</v>
      </c>
      <c r="B406" t="s">
        <v>15</v>
      </c>
      <c r="C406" t="s">
        <v>20</v>
      </c>
      <c r="D406" s="2">
        <v>5648.4286291099997</v>
      </c>
      <c r="E406" s="2">
        <v>0</v>
      </c>
      <c r="F406" s="2">
        <v>5648.4286291099997</v>
      </c>
    </row>
    <row r="407" spans="1:6" x14ac:dyDescent="0.3">
      <c r="A407" s="1">
        <v>39478</v>
      </c>
      <c r="B407" t="s">
        <v>21</v>
      </c>
      <c r="C407" t="s">
        <v>14</v>
      </c>
      <c r="D407" s="2">
        <v>619173.20741223998</v>
      </c>
      <c r="E407" s="2">
        <v>4085950.0289139301</v>
      </c>
      <c r="F407" s="2">
        <v>4705121.5953261703</v>
      </c>
    </row>
    <row r="408" spans="1:6" x14ac:dyDescent="0.3">
      <c r="A408" s="1">
        <v>39478</v>
      </c>
      <c r="B408" t="s">
        <v>22</v>
      </c>
      <c r="C408" t="s">
        <v>14</v>
      </c>
      <c r="D408" s="2">
        <v>5132264.5939321499</v>
      </c>
      <c r="E408" s="2">
        <v>4105742.6974757202</v>
      </c>
      <c r="F408" s="2">
        <v>9238007.6504078694</v>
      </c>
    </row>
    <row r="409" spans="1:6" x14ac:dyDescent="0.3">
      <c r="A409" s="1">
        <v>39478</v>
      </c>
      <c r="B409" t="s">
        <v>6</v>
      </c>
      <c r="C409" t="s">
        <v>7</v>
      </c>
      <c r="D409" s="2">
        <v>980012.49199999997</v>
      </c>
      <c r="E409" s="2">
        <v>4375.0829999999996</v>
      </c>
      <c r="F409" s="2">
        <v>984387.57499999995</v>
      </c>
    </row>
    <row r="410" spans="1:6" x14ac:dyDescent="0.3">
      <c r="A410" s="1">
        <v>39478</v>
      </c>
      <c r="B410" t="s">
        <v>6</v>
      </c>
      <c r="C410" t="s">
        <v>12</v>
      </c>
      <c r="D410" s="2">
        <v>0</v>
      </c>
      <c r="E410" s="2">
        <v>14000</v>
      </c>
      <c r="F410" s="2">
        <v>14000</v>
      </c>
    </row>
    <row r="411" spans="1:6" x14ac:dyDescent="0.3">
      <c r="A411" s="1">
        <v>39478</v>
      </c>
      <c r="B411" t="s">
        <v>6</v>
      </c>
      <c r="C411" t="s">
        <v>9</v>
      </c>
      <c r="D411" s="2">
        <v>558444.74739999999</v>
      </c>
      <c r="E411" s="2">
        <v>92.031000000000006</v>
      </c>
      <c r="F411" s="2">
        <v>558536.77839999995</v>
      </c>
    </row>
    <row r="412" spans="1:6" x14ac:dyDescent="0.3">
      <c r="A412" s="1">
        <v>39478</v>
      </c>
      <c r="B412" t="s">
        <v>6</v>
      </c>
      <c r="C412" t="s">
        <v>10</v>
      </c>
      <c r="D412" s="2">
        <v>471867.77851991</v>
      </c>
      <c r="E412" s="2">
        <v>144.81556179</v>
      </c>
      <c r="F412" s="2">
        <v>472012.59408170002</v>
      </c>
    </row>
    <row r="413" spans="1:6" x14ac:dyDescent="0.3">
      <c r="A413" s="1">
        <v>39478</v>
      </c>
      <c r="B413" t="s">
        <v>6</v>
      </c>
      <c r="C413" t="s">
        <v>8</v>
      </c>
      <c r="D413" s="2">
        <v>2502767.3686000002</v>
      </c>
      <c r="E413" s="2">
        <v>1181.739</v>
      </c>
      <c r="F413" s="2">
        <v>2503949.1076000002</v>
      </c>
    </row>
    <row r="414" spans="1:6" x14ac:dyDescent="0.3">
      <c r="A414" s="1">
        <v>39478</v>
      </c>
      <c r="B414" t="s">
        <v>13</v>
      </c>
      <c r="C414" t="s">
        <v>14</v>
      </c>
      <c r="D414" s="2">
        <v>4513092.3865199098</v>
      </c>
      <c r="E414" s="2">
        <v>19793.66856179</v>
      </c>
      <c r="F414" s="2">
        <v>4532886.0550817</v>
      </c>
    </row>
    <row r="415" spans="1:6" x14ac:dyDescent="0.3">
      <c r="A415" s="1">
        <v>39478</v>
      </c>
      <c r="B415" t="s">
        <v>15</v>
      </c>
      <c r="C415" t="s">
        <v>23</v>
      </c>
      <c r="D415" s="2">
        <v>5885.6485899999998</v>
      </c>
      <c r="E415" s="2">
        <v>0</v>
      </c>
      <c r="F415" s="2">
        <v>5885.6485899999998</v>
      </c>
    </row>
    <row r="416" spans="1:6" x14ac:dyDescent="0.3">
      <c r="A416" s="1">
        <v>39478</v>
      </c>
      <c r="B416" t="s">
        <v>15</v>
      </c>
      <c r="C416" t="s">
        <v>25</v>
      </c>
      <c r="D416" s="2">
        <v>1.0529999999999999</v>
      </c>
      <c r="E416" s="2">
        <v>0</v>
      </c>
      <c r="F416" s="2">
        <v>1.0529999999999999</v>
      </c>
    </row>
    <row r="417" spans="1:6" x14ac:dyDescent="0.3">
      <c r="A417" s="1">
        <v>39478</v>
      </c>
      <c r="B417" t="s">
        <v>15</v>
      </c>
      <c r="C417" t="s">
        <v>17</v>
      </c>
      <c r="D417" s="2">
        <v>286451.49579938001</v>
      </c>
      <c r="E417" s="2">
        <v>0</v>
      </c>
      <c r="F417" s="2">
        <v>286451.49579938001</v>
      </c>
    </row>
    <row r="418" spans="1:6" x14ac:dyDescent="0.3">
      <c r="A418" s="1">
        <v>39478</v>
      </c>
      <c r="B418" t="s">
        <v>15</v>
      </c>
      <c r="C418" t="s">
        <v>16</v>
      </c>
      <c r="D418" s="2">
        <v>29995.18</v>
      </c>
      <c r="E418" s="2">
        <v>0</v>
      </c>
      <c r="F418" s="2">
        <v>29995.18</v>
      </c>
    </row>
    <row r="419" spans="1:6" x14ac:dyDescent="0.3">
      <c r="A419" s="1">
        <v>39478</v>
      </c>
      <c r="B419" t="s">
        <v>15</v>
      </c>
      <c r="C419" t="s">
        <v>20</v>
      </c>
      <c r="D419" s="2">
        <v>5392.08522567</v>
      </c>
      <c r="E419" s="2">
        <v>0</v>
      </c>
      <c r="F419" s="2">
        <v>5392.08522567</v>
      </c>
    </row>
    <row r="420" spans="1:6" x14ac:dyDescent="0.3">
      <c r="A420" s="1">
        <v>39478</v>
      </c>
      <c r="B420" t="s">
        <v>15</v>
      </c>
      <c r="C420" t="s">
        <v>18</v>
      </c>
      <c r="D420" s="2">
        <v>195689.64676539999</v>
      </c>
      <c r="E420" s="2">
        <v>0</v>
      </c>
      <c r="F420" s="2">
        <v>195689.64676539999</v>
      </c>
    </row>
    <row r="421" spans="1:6" x14ac:dyDescent="0.3">
      <c r="A421" s="1">
        <v>39478</v>
      </c>
      <c r="B421" t="s">
        <v>15</v>
      </c>
      <c r="C421" t="s">
        <v>19</v>
      </c>
      <c r="D421" s="2">
        <v>95757.098031789996</v>
      </c>
      <c r="E421" s="2">
        <v>4085950.0289139301</v>
      </c>
      <c r="F421" s="2">
        <v>4181707.4859457202</v>
      </c>
    </row>
    <row r="422" spans="1:6" x14ac:dyDescent="0.3">
      <c r="A422" s="1">
        <v>39507</v>
      </c>
      <c r="B422" t="s">
        <v>15</v>
      </c>
      <c r="C422" t="s">
        <v>20</v>
      </c>
      <c r="D422" s="2">
        <v>5246.5064130500004</v>
      </c>
      <c r="E422" s="2">
        <v>0</v>
      </c>
      <c r="F422" s="2">
        <v>5246.5064130500004</v>
      </c>
    </row>
    <row r="423" spans="1:6" x14ac:dyDescent="0.3">
      <c r="A423" s="1">
        <v>39507</v>
      </c>
      <c r="B423" t="s">
        <v>21</v>
      </c>
      <c r="C423" t="s">
        <v>14</v>
      </c>
      <c r="D423" s="2">
        <v>618119.94182597997</v>
      </c>
      <c r="E423" s="2">
        <v>4078544.24620402</v>
      </c>
      <c r="F423" s="2">
        <v>4696663.6500300001</v>
      </c>
    </row>
    <row r="424" spans="1:6" x14ac:dyDescent="0.3">
      <c r="A424" s="1">
        <v>39507</v>
      </c>
      <c r="B424" t="s">
        <v>22</v>
      </c>
      <c r="C424" t="s">
        <v>14</v>
      </c>
      <c r="D424" s="2">
        <v>5259803.9237152003</v>
      </c>
      <c r="E424" s="2">
        <v>4098246.53302202</v>
      </c>
      <c r="F424" s="2">
        <v>9358050.9187372196</v>
      </c>
    </row>
    <row r="425" spans="1:6" x14ac:dyDescent="0.3">
      <c r="A425" s="1">
        <v>39507</v>
      </c>
      <c r="B425" t="s">
        <v>6</v>
      </c>
      <c r="C425" t="s">
        <v>7</v>
      </c>
      <c r="D425" s="2">
        <v>1120974.929</v>
      </c>
      <c r="E425" s="2">
        <v>4417.8540000000003</v>
      </c>
      <c r="F425" s="2">
        <v>1125392.7830000001</v>
      </c>
    </row>
    <row r="426" spans="1:6" x14ac:dyDescent="0.3">
      <c r="A426" s="1">
        <v>39507</v>
      </c>
      <c r="B426" t="s">
        <v>6</v>
      </c>
      <c r="C426" t="s">
        <v>8</v>
      </c>
      <c r="D426" s="2">
        <v>2477293.2185999998</v>
      </c>
      <c r="E426" s="2">
        <v>1073.518</v>
      </c>
      <c r="F426" s="2">
        <v>2478366.7365999999</v>
      </c>
    </row>
    <row r="427" spans="1:6" x14ac:dyDescent="0.3">
      <c r="A427" s="1">
        <v>39507</v>
      </c>
      <c r="B427" t="s">
        <v>6</v>
      </c>
      <c r="C427" t="s">
        <v>9</v>
      </c>
      <c r="D427" s="2">
        <v>571736.19240000006</v>
      </c>
      <c r="E427" s="2">
        <v>94.207999999999998</v>
      </c>
      <c r="F427" s="2">
        <v>571830.40040000004</v>
      </c>
    </row>
    <row r="428" spans="1:6" x14ac:dyDescent="0.3">
      <c r="A428" s="1">
        <v>39507</v>
      </c>
      <c r="B428" t="s">
        <v>6</v>
      </c>
      <c r="C428" t="s">
        <v>10</v>
      </c>
      <c r="D428" s="2">
        <v>471679.64188921999</v>
      </c>
      <c r="E428" s="2">
        <v>117.706818</v>
      </c>
      <c r="F428" s="2">
        <v>471797.34870721999</v>
      </c>
    </row>
    <row r="429" spans="1:6" x14ac:dyDescent="0.3">
      <c r="A429" s="1">
        <v>39507</v>
      </c>
      <c r="B429" t="s">
        <v>6</v>
      </c>
      <c r="C429" t="s">
        <v>12</v>
      </c>
      <c r="D429" s="2">
        <v>0</v>
      </c>
      <c r="E429" s="2">
        <v>14000</v>
      </c>
      <c r="F429" s="2">
        <v>14000</v>
      </c>
    </row>
    <row r="430" spans="1:6" x14ac:dyDescent="0.3">
      <c r="A430" s="1">
        <v>39507</v>
      </c>
      <c r="B430" t="s">
        <v>13</v>
      </c>
      <c r="C430" t="s">
        <v>14</v>
      </c>
      <c r="D430" s="2">
        <v>4641683.98188922</v>
      </c>
      <c r="E430" s="2">
        <v>19703.286818</v>
      </c>
      <c r="F430" s="2">
        <v>4661387.2687072204</v>
      </c>
    </row>
    <row r="431" spans="1:6" x14ac:dyDescent="0.3">
      <c r="A431" s="1">
        <v>39507</v>
      </c>
      <c r="B431" t="s">
        <v>15</v>
      </c>
      <c r="C431" t="s">
        <v>16</v>
      </c>
      <c r="D431" s="2">
        <v>29995.18</v>
      </c>
      <c r="E431" s="2">
        <v>0</v>
      </c>
      <c r="F431" s="2">
        <v>29995.18</v>
      </c>
    </row>
    <row r="432" spans="1:6" x14ac:dyDescent="0.3">
      <c r="A432" s="1">
        <v>39507</v>
      </c>
      <c r="B432" t="s">
        <v>15</v>
      </c>
      <c r="C432" t="s">
        <v>23</v>
      </c>
      <c r="D432" s="2">
        <v>5285.6485899999998</v>
      </c>
      <c r="E432" s="2">
        <v>0</v>
      </c>
      <c r="F432" s="2">
        <v>5285.6485899999998</v>
      </c>
    </row>
    <row r="433" spans="1:6" x14ac:dyDescent="0.3">
      <c r="A433" s="1">
        <v>39507</v>
      </c>
      <c r="B433" t="s">
        <v>15</v>
      </c>
      <c r="C433" t="s">
        <v>25</v>
      </c>
      <c r="D433" s="2">
        <v>1.0529999999999999</v>
      </c>
      <c r="E433" s="2">
        <v>0</v>
      </c>
      <c r="F433" s="2">
        <v>1.0529999999999999</v>
      </c>
    </row>
    <row r="434" spans="1:6" x14ac:dyDescent="0.3">
      <c r="A434" s="1">
        <v>39507</v>
      </c>
      <c r="B434" t="s">
        <v>15</v>
      </c>
      <c r="C434" t="s">
        <v>17</v>
      </c>
      <c r="D434" s="2">
        <v>284920.71381430002</v>
      </c>
      <c r="E434" s="2">
        <v>0</v>
      </c>
      <c r="F434" s="2">
        <v>284920.71381430002</v>
      </c>
    </row>
    <row r="435" spans="1:6" x14ac:dyDescent="0.3">
      <c r="A435" s="1">
        <v>39507</v>
      </c>
      <c r="B435" t="s">
        <v>15</v>
      </c>
      <c r="C435" t="s">
        <v>18</v>
      </c>
      <c r="D435" s="2">
        <v>195583.06525996001</v>
      </c>
      <c r="E435" s="2">
        <v>0</v>
      </c>
      <c r="F435" s="2">
        <v>195583.06525996001</v>
      </c>
    </row>
    <row r="436" spans="1:6" x14ac:dyDescent="0.3">
      <c r="A436" s="1">
        <v>39507</v>
      </c>
      <c r="B436" t="s">
        <v>15</v>
      </c>
      <c r="C436" t="s">
        <v>19</v>
      </c>
      <c r="D436" s="2">
        <v>97087.774748669995</v>
      </c>
      <c r="E436" s="2">
        <v>4078544.24620402</v>
      </c>
      <c r="F436" s="2">
        <v>4175632.4829526902</v>
      </c>
    </row>
    <row r="437" spans="1:6" x14ac:dyDescent="0.3">
      <c r="A437" s="1">
        <v>39538</v>
      </c>
      <c r="B437" t="s">
        <v>15</v>
      </c>
      <c r="C437" t="s">
        <v>18</v>
      </c>
      <c r="D437" s="2">
        <v>195425.05761927</v>
      </c>
      <c r="E437" s="2">
        <v>0</v>
      </c>
      <c r="F437" s="2">
        <v>195425.05761927</v>
      </c>
    </row>
    <row r="438" spans="1:6" x14ac:dyDescent="0.3">
      <c r="A438" s="1">
        <v>39538</v>
      </c>
      <c r="B438" t="s">
        <v>15</v>
      </c>
      <c r="C438" t="s">
        <v>19</v>
      </c>
      <c r="D438" s="2">
        <v>99903.311894340004</v>
      </c>
      <c r="E438" s="2">
        <v>4083781.9403544799</v>
      </c>
      <c r="F438" s="2">
        <v>4183685.3432488199</v>
      </c>
    </row>
    <row r="439" spans="1:6" x14ac:dyDescent="0.3">
      <c r="A439" s="1">
        <v>39538</v>
      </c>
      <c r="B439" t="s">
        <v>15</v>
      </c>
      <c r="C439" t="s">
        <v>20</v>
      </c>
      <c r="D439" s="2">
        <v>4896.9096721699998</v>
      </c>
      <c r="E439" s="2">
        <v>0</v>
      </c>
      <c r="F439" s="2">
        <v>4896.9096721699998</v>
      </c>
    </row>
    <row r="440" spans="1:6" x14ac:dyDescent="0.3">
      <c r="A440" s="1">
        <v>39538</v>
      </c>
      <c r="B440" t="s">
        <v>21</v>
      </c>
      <c r="C440" t="s">
        <v>14</v>
      </c>
      <c r="D440" s="2">
        <v>621450.58605405001</v>
      </c>
      <c r="E440" s="2">
        <v>4083781.9403544799</v>
      </c>
      <c r="F440" s="2">
        <v>4705232.6174085299</v>
      </c>
    </row>
    <row r="441" spans="1:6" x14ac:dyDescent="0.3">
      <c r="A441" s="1">
        <v>39538</v>
      </c>
      <c r="B441" t="s">
        <v>22</v>
      </c>
      <c r="C441" t="s">
        <v>14</v>
      </c>
      <c r="D441" s="2">
        <v>5334116.1327438196</v>
      </c>
      <c r="E441" s="2">
        <v>4103479.4347794801</v>
      </c>
      <c r="F441" s="2">
        <v>9437593.6585233007</v>
      </c>
    </row>
    <row r="442" spans="1:6" x14ac:dyDescent="0.3">
      <c r="A442" s="1">
        <v>39538</v>
      </c>
      <c r="B442" t="s">
        <v>6</v>
      </c>
      <c r="C442" t="s">
        <v>7</v>
      </c>
      <c r="D442" s="2">
        <v>1153878.7560000001</v>
      </c>
      <c r="E442" s="2">
        <v>4509.29</v>
      </c>
      <c r="F442" s="2">
        <v>1158388.0460000001</v>
      </c>
    </row>
    <row r="443" spans="1:6" x14ac:dyDescent="0.3">
      <c r="A443" s="1">
        <v>39538</v>
      </c>
      <c r="B443" t="s">
        <v>6</v>
      </c>
      <c r="C443" t="s">
        <v>8</v>
      </c>
      <c r="D443" s="2">
        <v>2513107.6606000001</v>
      </c>
      <c r="E443" s="2">
        <v>979.43899999999996</v>
      </c>
      <c r="F443" s="2">
        <v>2514087.0995999998</v>
      </c>
    </row>
    <row r="444" spans="1:6" x14ac:dyDescent="0.3">
      <c r="A444" s="1">
        <v>39538</v>
      </c>
      <c r="B444" t="s">
        <v>6</v>
      </c>
      <c r="C444" t="s">
        <v>9</v>
      </c>
      <c r="D444" s="2">
        <v>571738.05039999995</v>
      </c>
      <c r="E444" s="2">
        <v>91.549000000000007</v>
      </c>
      <c r="F444" s="2">
        <v>571829.59939999995</v>
      </c>
    </row>
    <row r="445" spans="1:6" x14ac:dyDescent="0.3">
      <c r="A445" s="1">
        <v>39538</v>
      </c>
      <c r="B445" t="s">
        <v>6</v>
      </c>
      <c r="C445" t="s">
        <v>10</v>
      </c>
      <c r="D445" s="2">
        <v>473940.07968977001</v>
      </c>
      <c r="E445" s="2">
        <v>116.216425</v>
      </c>
      <c r="F445" s="2">
        <v>474056.29611477</v>
      </c>
    </row>
    <row r="446" spans="1:6" x14ac:dyDescent="0.3">
      <c r="A446" s="1">
        <v>39538</v>
      </c>
      <c r="B446" t="s">
        <v>6</v>
      </c>
      <c r="C446" t="s">
        <v>12</v>
      </c>
      <c r="D446" s="2">
        <v>0</v>
      </c>
      <c r="E446" s="2">
        <v>14000</v>
      </c>
      <c r="F446" s="2">
        <v>14000</v>
      </c>
    </row>
    <row r="447" spans="1:6" x14ac:dyDescent="0.3">
      <c r="A447" s="1">
        <v>39538</v>
      </c>
      <c r="B447" t="s">
        <v>13</v>
      </c>
      <c r="C447" t="s">
        <v>14</v>
      </c>
      <c r="D447" s="2">
        <v>4712664.5466897702</v>
      </c>
      <c r="E447" s="2">
        <v>19696.494425000001</v>
      </c>
      <c r="F447" s="2">
        <v>4732361.0411147699</v>
      </c>
    </row>
    <row r="448" spans="1:6" x14ac:dyDescent="0.3">
      <c r="A448" s="1">
        <v>39538</v>
      </c>
      <c r="B448" t="s">
        <v>15</v>
      </c>
      <c r="C448" t="s">
        <v>16</v>
      </c>
      <c r="D448" s="2">
        <v>29995.18</v>
      </c>
      <c r="E448" s="2">
        <v>0</v>
      </c>
      <c r="F448" s="2">
        <v>29995.18</v>
      </c>
    </row>
    <row r="449" spans="1:6" x14ac:dyDescent="0.3">
      <c r="A449" s="1">
        <v>39538</v>
      </c>
      <c r="B449" t="s">
        <v>15</v>
      </c>
      <c r="C449" t="s">
        <v>23</v>
      </c>
      <c r="D449" s="2">
        <v>4885.6485899999998</v>
      </c>
      <c r="E449" s="2">
        <v>0</v>
      </c>
      <c r="F449" s="2">
        <v>4885.6485899999998</v>
      </c>
    </row>
    <row r="450" spans="1:6" x14ac:dyDescent="0.3">
      <c r="A450" s="1">
        <v>39538</v>
      </c>
      <c r="B450" t="s">
        <v>15</v>
      </c>
      <c r="C450" t="s">
        <v>25</v>
      </c>
      <c r="D450" s="2">
        <v>1.0529999999999999</v>
      </c>
      <c r="E450" s="2">
        <v>0</v>
      </c>
      <c r="F450" s="2">
        <v>1.0529999999999999</v>
      </c>
    </row>
    <row r="451" spans="1:6" x14ac:dyDescent="0.3">
      <c r="A451" s="1">
        <v>39538</v>
      </c>
      <c r="B451" t="s">
        <v>15</v>
      </c>
      <c r="C451" t="s">
        <v>17</v>
      </c>
      <c r="D451" s="2">
        <v>286344.42527826998</v>
      </c>
      <c r="E451" s="2">
        <v>0</v>
      </c>
      <c r="F451" s="2">
        <v>286344.42527826998</v>
      </c>
    </row>
    <row r="452" spans="1:6" x14ac:dyDescent="0.3">
      <c r="A452" s="1">
        <v>39568</v>
      </c>
      <c r="B452" t="s">
        <v>6</v>
      </c>
      <c r="C452" t="s">
        <v>7</v>
      </c>
      <c r="D452" s="2">
        <v>1020681.4914000001</v>
      </c>
      <c r="E452" s="2">
        <v>5034.7640000000001</v>
      </c>
      <c r="F452" s="2">
        <v>1025716.2554</v>
      </c>
    </row>
    <row r="453" spans="1:6" x14ac:dyDescent="0.3">
      <c r="A453" s="1">
        <v>39568</v>
      </c>
      <c r="B453" t="s">
        <v>6</v>
      </c>
      <c r="C453" t="s">
        <v>9</v>
      </c>
      <c r="D453" s="2">
        <v>571759.69290000002</v>
      </c>
      <c r="E453" s="2">
        <v>69.228999999999999</v>
      </c>
      <c r="F453" s="2">
        <v>571828.92189999996</v>
      </c>
    </row>
    <row r="454" spans="1:6" x14ac:dyDescent="0.3">
      <c r="A454" s="1">
        <v>39568</v>
      </c>
      <c r="B454" t="s">
        <v>6</v>
      </c>
      <c r="C454" t="s">
        <v>12</v>
      </c>
      <c r="D454" s="2">
        <v>0</v>
      </c>
      <c r="E454" s="2">
        <v>14000</v>
      </c>
      <c r="F454" s="2">
        <v>14000</v>
      </c>
    </row>
    <row r="455" spans="1:6" x14ac:dyDescent="0.3">
      <c r="A455" s="1">
        <v>39568</v>
      </c>
      <c r="B455" t="s">
        <v>6</v>
      </c>
      <c r="C455" t="s">
        <v>8</v>
      </c>
      <c r="D455" s="2">
        <v>2539859.2958999998</v>
      </c>
      <c r="E455" s="2">
        <v>885.89400000000001</v>
      </c>
      <c r="F455" s="2">
        <v>2540745.1899000001</v>
      </c>
    </row>
    <row r="456" spans="1:6" x14ac:dyDescent="0.3">
      <c r="A456" s="1">
        <v>39568</v>
      </c>
      <c r="B456" t="s">
        <v>6</v>
      </c>
      <c r="C456" t="s">
        <v>10</v>
      </c>
      <c r="D456" s="2">
        <v>490175.21812772</v>
      </c>
      <c r="E456" s="2">
        <v>96.341999999999999</v>
      </c>
      <c r="F456" s="2">
        <v>490271.56012772</v>
      </c>
    </row>
    <row r="457" spans="1:6" x14ac:dyDescent="0.3">
      <c r="A457" s="1">
        <v>39568</v>
      </c>
      <c r="B457" t="s">
        <v>15</v>
      </c>
      <c r="C457" t="s">
        <v>16</v>
      </c>
      <c r="D457" s="2">
        <v>29995.18</v>
      </c>
      <c r="E457" s="2">
        <v>0</v>
      </c>
      <c r="F457" s="2">
        <v>29995.18</v>
      </c>
    </row>
    <row r="458" spans="1:6" x14ac:dyDescent="0.3">
      <c r="A458" s="1">
        <v>39568</v>
      </c>
      <c r="B458" t="s">
        <v>15</v>
      </c>
      <c r="C458" t="s">
        <v>23</v>
      </c>
      <c r="D458" s="2">
        <v>4885.6485899999998</v>
      </c>
      <c r="E458" s="2">
        <v>0</v>
      </c>
      <c r="F458" s="2">
        <v>4885.6485899999998</v>
      </c>
    </row>
    <row r="459" spans="1:6" x14ac:dyDescent="0.3">
      <c r="A459" s="1">
        <v>39568</v>
      </c>
      <c r="B459" t="s">
        <v>15</v>
      </c>
      <c r="C459" t="s">
        <v>20</v>
      </c>
      <c r="D459" s="2">
        <v>4325.6783264400001</v>
      </c>
      <c r="E459" s="2">
        <v>0</v>
      </c>
      <c r="F459" s="2">
        <v>4325.6783264400001</v>
      </c>
    </row>
    <row r="460" spans="1:6" x14ac:dyDescent="0.3">
      <c r="A460" s="1">
        <v>39568</v>
      </c>
      <c r="B460" t="s">
        <v>15</v>
      </c>
      <c r="C460" t="s">
        <v>25</v>
      </c>
      <c r="D460" s="2">
        <v>1.0529999999999999</v>
      </c>
      <c r="E460" s="2">
        <v>0</v>
      </c>
      <c r="F460" s="2">
        <v>1.0529999999999999</v>
      </c>
    </row>
    <row r="461" spans="1:6" x14ac:dyDescent="0.3">
      <c r="A461" s="1">
        <v>39568</v>
      </c>
      <c r="B461" t="s">
        <v>15</v>
      </c>
      <c r="C461" t="s">
        <v>17</v>
      </c>
      <c r="D461" s="2">
        <v>286818.25390508003</v>
      </c>
      <c r="E461" s="2">
        <v>0</v>
      </c>
      <c r="F461" s="2">
        <v>286818.25390508003</v>
      </c>
    </row>
    <row r="462" spans="1:6" x14ac:dyDescent="0.3">
      <c r="A462" s="1">
        <v>39568</v>
      </c>
      <c r="B462" t="s">
        <v>13</v>
      </c>
      <c r="C462" t="s">
        <v>14</v>
      </c>
      <c r="D462" s="2">
        <v>4622475.6983277202</v>
      </c>
      <c r="E462" s="2">
        <v>20086.228999999999</v>
      </c>
      <c r="F462" s="2">
        <v>4642561.9273277204</v>
      </c>
    </row>
    <row r="463" spans="1:6" x14ac:dyDescent="0.3">
      <c r="A463" s="1">
        <v>39568</v>
      </c>
      <c r="B463" t="s">
        <v>15</v>
      </c>
      <c r="C463" t="s">
        <v>19</v>
      </c>
      <c r="D463" s="2">
        <v>100366.20220843</v>
      </c>
      <c r="E463" s="2">
        <v>4113276.2814859599</v>
      </c>
      <c r="F463" s="2">
        <v>4213641.5746943904</v>
      </c>
    </row>
    <row r="464" spans="1:6" x14ac:dyDescent="0.3">
      <c r="A464" s="1">
        <v>39568</v>
      </c>
      <c r="B464" t="s">
        <v>15</v>
      </c>
      <c r="C464" t="s">
        <v>18</v>
      </c>
      <c r="D464" s="2">
        <v>195326.50547567001</v>
      </c>
      <c r="E464" s="2">
        <v>0</v>
      </c>
      <c r="F464" s="2">
        <v>195326.50547567001</v>
      </c>
    </row>
    <row r="465" spans="1:6" x14ac:dyDescent="0.3">
      <c r="A465" s="1">
        <v>39568</v>
      </c>
      <c r="B465" t="s">
        <v>21</v>
      </c>
      <c r="C465" t="s">
        <v>14</v>
      </c>
      <c r="D465" s="2">
        <v>621718.52150561998</v>
      </c>
      <c r="E465" s="2">
        <v>4113276.2814859599</v>
      </c>
      <c r="F465" s="2">
        <v>4734994.8939915802</v>
      </c>
    </row>
    <row r="466" spans="1:6" x14ac:dyDescent="0.3">
      <c r="A466" s="1">
        <v>39568</v>
      </c>
      <c r="B466" t="s">
        <v>22</v>
      </c>
      <c r="C466" t="s">
        <v>14</v>
      </c>
      <c r="D466" s="2">
        <v>5244195.2198333396</v>
      </c>
      <c r="E466" s="2">
        <v>4133362.5104859602</v>
      </c>
      <c r="F466" s="2">
        <v>9377556.8213193007</v>
      </c>
    </row>
    <row r="467" spans="1:6" x14ac:dyDescent="0.3">
      <c r="A467" s="1">
        <v>39599</v>
      </c>
      <c r="B467" t="s">
        <v>6</v>
      </c>
      <c r="C467" t="s">
        <v>7</v>
      </c>
      <c r="D467" s="2">
        <v>1114547.4436000001</v>
      </c>
      <c r="E467" s="2">
        <v>4699</v>
      </c>
      <c r="F467" s="2">
        <v>1119245.4436000001</v>
      </c>
    </row>
    <row r="468" spans="1:6" x14ac:dyDescent="0.3">
      <c r="A468" s="1">
        <v>39599</v>
      </c>
      <c r="B468" t="s">
        <v>6</v>
      </c>
      <c r="C468" t="s">
        <v>9</v>
      </c>
      <c r="D468" s="2">
        <v>580983.20559999999</v>
      </c>
      <c r="E468" s="2">
        <v>76</v>
      </c>
      <c r="F468" s="2">
        <v>581059.20559999999</v>
      </c>
    </row>
    <row r="469" spans="1:6" x14ac:dyDescent="0.3">
      <c r="A469" s="1">
        <v>39599</v>
      </c>
      <c r="B469" t="s">
        <v>6</v>
      </c>
      <c r="C469" t="s">
        <v>12</v>
      </c>
      <c r="D469" s="2">
        <v>0</v>
      </c>
      <c r="E469" s="2">
        <v>14000</v>
      </c>
      <c r="F469" s="2">
        <v>14000</v>
      </c>
    </row>
    <row r="470" spans="1:6" x14ac:dyDescent="0.3">
      <c r="A470" s="1">
        <v>39599</v>
      </c>
      <c r="B470" t="s">
        <v>6</v>
      </c>
      <c r="C470" t="s">
        <v>8</v>
      </c>
      <c r="D470" s="2">
        <v>2475730.4306999999</v>
      </c>
      <c r="E470" s="2">
        <v>855</v>
      </c>
      <c r="F470" s="2">
        <v>2476584.4306999999</v>
      </c>
    </row>
    <row r="471" spans="1:6" x14ac:dyDescent="0.3">
      <c r="A471" s="1">
        <v>39599</v>
      </c>
      <c r="B471" t="s">
        <v>6</v>
      </c>
      <c r="C471" t="s">
        <v>10</v>
      </c>
      <c r="D471" s="2">
        <v>494201.53659064003</v>
      </c>
      <c r="E471" s="2">
        <v>93</v>
      </c>
      <c r="F471" s="2">
        <v>494294.53659064003</v>
      </c>
    </row>
    <row r="472" spans="1:6" x14ac:dyDescent="0.3">
      <c r="A472" s="1">
        <v>39599</v>
      </c>
      <c r="B472" t="s">
        <v>15</v>
      </c>
      <c r="C472" t="s">
        <v>16</v>
      </c>
      <c r="D472" s="2">
        <v>29995.18</v>
      </c>
      <c r="E472" s="2">
        <v>0</v>
      </c>
      <c r="F472" s="2">
        <v>29995.18</v>
      </c>
    </row>
    <row r="473" spans="1:6" x14ac:dyDescent="0.3">
      <c r="A473" s="1">
        <v>39599</v>
      </c>
      <c r="B473" t="s">
        <v>15</v>
      </c>
      <c r="C473" t="s">
        <v>23</v>
      </c>
      <c r="D473" s="2">
        <v>3285.6485899999998</v>
      </c>
      <c r="E473" s="2">
        <v>0</v>
      </c>
      <c r="F473" s="2">
        <v>3285.6485899999998</v>
      </c>
    </row>
    <row r="474" spans="1:6" x14ac:dyDescent="0.3">
      <c r="A474" s="1">
        <v>39599</v>
      </c>
      <c r="B474" t="s">
        <v>15</v>
      </c>
      <c r="C474" t="s">
        <v>19</v>
      </c>
      <c r="D474" s="2">
        <v>100447.80449358</v>
      </c>
      <c r="E474" s="2">
        <v>4090376.5913828402</v>
      </c>
      <c r="F474" s="2">
        <v>4190825.4868764202</v>
      </c>
    </row>
    <row r="475" spans="1:6" x14ac:dyDescent="0.3">
      <c r="A475" s="1">
        <v>39599</v>
      </c>
      <c r="B475" t="s">
        <v>15</v>
      </c>
      <c r="C475" t="s">
        <v>20</v>
      </c>
      <c r="D475" s="2">
        <v>4265.2052188899997</v>
      </c>
      <c r="E475" s="2">
        <v>0</v>
      </c>
      <c r="F475" s="2">
        <v>4265.2052188899997</v>
      </c>
    </row>
    <row r="476" spans="1:6" x14ac:dyDescent="0.3">
      <c r="A476" s="1">
        <v>39599</v>
      </c>
      <c r="B476" t="s">
        <v>15</v>
      </c>
      <c r="C476" t="s">
        <v>25</v>
      </c>
      <c r="D476" s="2">
        <v>1.0529999999999999</v>
      </c>
      <c r="E476" s="2">
        <v>0</v>
      </c>
      <c r="F476" s="2">
        <v>1.0529999999999999</v>
      </c>
    </row>
    <row r="477" spans="1:6" x14ac:dyDescent="0.3">
      <c r="A477" s="1">
        <v>39599</v>
      </c>
      <c r="B477" t="s">
        <v>15</v>
      </c>
      <c r="C477" t="s">
        <v>17</v>
      </c>
      <c r="D477" s="2">
        <v>280017.24443755997</v>
      </c>
      <c r="E477" s="2">
        <v>0</v>
      </c>
      <c r="F477" s="2">
        <v>280017.24443755997</v>
      </c>
    </row>
    <row r="478" spans="1:6" x14ac:dyDescent="0.3">
      <c r="A478" s="1">
        <v>39599</v>
      </c>
      <c r="B478" t="s">
        <v>15</v>
      </c>
      <c r="C478" t="s">
        <v>18</v>
      </c>
      <c r="D478" s="2">
        <v>195225.47677445001</v>
      </c>
      <c r="E478" s="2">
        <v>0</v>
      </c>
      <c r="F478" s="2">
        <v>195225.47677445001</v>
      </c>
    </row>
    <row r="479" spans="1:6" x14ac:dyDescent="0.3">
      <c r="A479" s="1">
        <v>39599</v>
      </c>
      <c r="B479" t="s">
        <v>13</v>
      </c>
      <c r="C479" t="s">
        <v>14</v>
      </c>
      <c r="D479" s="2">
        <v>4665460.6164906397</v>
      </c>
      <c r="E479" s="2">
        <v>19722</v>
      </c>
      <c r="F479" s="2">
        <v>4685183.6164906397</v>
      </c>
    </row>
    <row r="480" spans="1:6" x14ac:dyDescent="0.3">
      <c r="A480" s="1">
        <v>39599</v>
      </c>
      <c r="B480" t="s">
        <v>21</v>
      </c>
      <c r="C480" t="s">
        <v>14</v>
      </c>
      <c r="D480" s="2">
        <v>613237.61251448002</v>
      </c>
      <c r="E480" s="2">
        <v>4090376.5913828402</v>
      </c>
      <c r="F480" s="2">
        <v>4703615.2948973197</v>
      </c>
    </row>
    <row r="481" spans="1:6" x14ac:dyDescent="0.3">
      <c r="A481" s="1">
        <v>39599</v>
      </c>
      <c r="B481" t="s">
        <v>22</v>
      </c>
      <c r="C481" t="s">
        <v>14</v>
      </c>
      <c r="D481" s="2">
        <v>5278699.2290051198</v>
      </c>
      <c r="E481" s="2">
        <v>4110099.5913828402</v>
      </c>
      <c r="F481" s="2">
        <v>9388798.9113879595</v>
      </c>
    </row>
    <row r="482" spans="1:6" x14ac:dyDescent="0.3">
      <c r="A482" s="1">
        <v>39629</v>
      </c>
      <c r="B482" t="s">
        <v>6</v>
      </c>
      <c r="C482" t="s">
        <v>7</v>
      </c>
      <c r="D482" s="2">
        <v>1055696.8025</v>
      </c>
      <c r="E482" s="2">
        <v>4760</v>
      </c>
      <c r="F482" s="2">
        <v>1060456.8025</v>
      </c>
    </row>
    <row r="483" spans="1:6" x14ac:dyDescent="0.3">
      <c r="A483" s="1">
        <v>39629</v>
      </c>
      <c r="B483" t="s">
        <v>6</v>
      </c>
      <c r="C483" t="s">
        <v>9</v>
      </c>
      <c r="D483" s="2">
        <v>580994.87159999995</v>
      </c>
      <c r="E483" s="2">
        <v>64</v>
      </c>
      <c r="F483" s="2">
        <v>581058.87159999995</v>
      </c>
    </row>
    <row r="484" spans="1:6" x14ac:dyDescent="0.3">
      <c r="A484" s="1">
        <v>39629</v>
      </c>
      <c r="B484" t="s">
        <v>6</v>
      </c>
      <c r="C484" t="s">
        <v>12</v>
      </c>
      <c r="D484" s="2">
        <v>0</v>
      </c>
      <c r="E484" s="2">
        <v>14000</v>
      </c>
      <c r="F484" s="2">
        <v>14000</v>
      </c>
    </row>
    <row r="485" spans="1:6" x14ac:dyDescent="0.3">
      <c r="A485" s="1">
        <v>39629</v>
      </c>
      <c r="B485" t="s">
        <v>6</v>
      </c>
      <c r="C485" t="s">
        <v>8</v>
      </c>
      <c r="D485" s="2">
        <v>2542525.5795999998</v>
      </c>
      <c r="E485" s="2">
        <v>916</v>
      </c>
      <c r="F485" s="2">
        <v>2543441.5795999998</v>
      </c>
    </row>
    <row r="486" spans="1:6" x14ac:dyDescent="0.3">
      <c r="A486" s="1">
        <v>39629</v>
      </c>
      <c r="B486" t="s">
        <v>6</v>
      </c>
      <c r="C486" t="s">
        <v>10</v>
      </c>
      <c r="D486" s="2">
        <v>497355.34475107997</v>
      </c>
      <c r="E486" s="2">
        <v>113</v>
      </c>
      <c r="F486" s="2">
        <v>497468.34475107997</v>
      </c>
    </row>
    <row r="487" spans="1:6" x14ac:dyDescent="0.3">
      <c r="A487" s="1">
        <v>39629</v>
      </c>
      <c r="B487" t="s">
        <v>15</v>
      </c>
      <c r="C487" t="s">
        <v>16</v>
      </c>
      <c r="D487" s="2">
        <v>29995.18</v>
      </c>
      <c r="E487" s="2">
        <v>0</v>
      </c>
      <c r="F487" s="2">
        <v>29995.18</v>
      </c>
    </row>
    <row r="488" spans="1:6" x14ac:dyDescent="0.3">
      <c r="A488" s="1">
        <v>39629</v>
      </c>
      <c r="B488" t="s">
        <v>15</v>
      </c>
      <c r="C488" t="s">
        <v>23</v>
      </c>
      <c r="D488" s="2">
        <v>3085.6485899999998</v>
      </c>
      <c r="E488" s="2">
        <v>0</v>
      </c>
      <c r="F488" s="2">
        <v>3085.6485899999998</v>
      </c>
    </row>
    <row r="489" spans="1:6" x14ac:dyDescent="0.3">
      <c r="A489" s="1">
        <v>39629</v>
      </c>
      <c r="B489" t="s">
        <v>15</v>
      </c>
      <c r="C489" t="s">
        <v>19</v>
      </c>
      <c r="D489" s="2">
        <v>100989.48898207</v>
      </c>
      <c r="E489" s="2">
        <v>4187090.1296122898</v>
      </c>
      <c r="F489" s="2">
        <v>4288078.7295943601</v>
      </c>
    </row>
    <row r="490" spans="1:6" x14ac:dyDescent="0.3">
      <c r="A490" s="1">
        <v>39629</v>
      </c>
      <c r="B490" t="s">
        <v>15</v>
      </c>
      <c r="C490" t="s">
        <v>20</v>
      </c>
      <c r="D490" s="2">
        <v>4213.5327466299996</v>
      </c>
      <c r="E490" s="2">
        <v>0</v>
      </c>
      <c r="F490" s="2">
        <v>4213.5327466299996</v>
      </c>
    </row>
    <row r="491" spans="1:6" x14ac:dyDescent="0.3">
      <c r="A491" s="1">
        <v>39629</v>
      </c>
      <c r="B491" t="s">
        <v>15</v>
      </c>
      <c r="C491" t="s">
        <v>25</v>
      </c>
      <c r="D491" s="2">
        <v>1.0529999999999999</v>
      </c>
      <c r="E491" s="2">
        <v>0</v>
      </c>
      <c r="F491" s="2">
        <v>1.0529999999999999</v>
      </c>
    </row>
    <row r="492" spans="1:6" x14ac:dyDescent="0.3">
      <c r="A492" s="1">
        <v>39629</v>
      </c>
      <c r="B492" t="s">
        <v>15</v>
      </c>
      <c r="C492" t="s">
        <v>17</v>
      </c>
      <c r="D492" s="2">
        <v>275203.38958159002</v>
      </c>
      <c r="E492" s="2">
        <v>0</v>
      </c>
      <c r="F492" s="2">
        <v>275203.38958159002</v>
      </c>
    </row>
    <row r="493" spans="1:6" x14ac:dyDescent="0.3">
      <c r="A493" s="1">
        <v>39629</v>
      </c>
      <c r="B493" t="s">
        <v>15</v>
      </c>
      <c r="C493" t="s">
        <v>18</v>
      </c>
      <c r="D493" s="2">
        <v>195002.54031188</v>
      </c>
      <c r="E493" s="2">
        <v>0</v>
      </c>
      <c r="F493" s="2">
        <v>195002.54031188</v>
      </c>
    </row>
    <row r="494" spans="1:6" x14ac:dyDescent="0.3">
      <c r="A494" s="1">
        <v>39629</v>
      </c>
      <c r="B494" t="s">
        <v>13</v>
      </c>
      <c r="C494" t="s">
        <v>14</v>
      </c>
      <c r="D494" s="2">
        <v>4676572.5984510798</v>
      </c>
      <c r="E494" s="2">
        <v>19852</v>
      </c>
      <c r="F494" s="2">
        <v>4696425.5984510798</v>
      </c>
    </row>
    <row r="495" spans="1:6" x14ac:dyDescent="0.3">
      <c r="A495" s="1">
        <v>39629</v>
      </c>
      <c r="B495" t="s">
        <v>21</v>
      </c>
      <c r="C495" t="s">
        <v>14</v>
      </c>
      <c r="D495" s="2">
        <v>608489.83321217005</v>
      </c>
      <c r="E495" s="2">
        <v>4187090.1296122898</v>
      </c>
      <c r="F495" s="2">
        <v>4795581.0738244597</v>
      </c>
    </row>
    <row r="496" spans="1:6" x14ac:dyDescent="0.3">
      <c r="A496" s="1">
        <v>39629</v>
      </c>
      <c r="B496" t="s">
        <v>22</v>
      </c>
      <c r="C496" t="s">
        <v>14</v>
      </c>
      <c r="D496" s="2">
        <v>5285064.4316632496</v>
      </c>
      <c r="E496" s="2">
        <v>4206942.1296122903</v>
      </c>
      <c r="F496" s="2">
        <v>9492005.6722755395</v>
      </c>
    </row>
    <row r="497" spans="1:6" x14ac:dyDescent="0.3">
      <c r="A497" s="1">
        <v>39660</v>
      </c>
      <c r="B497" t="s">
        <v>15</v>
      </c>
      <c r="C497" t="s">
        <v>25</v>
      </c>
      <c r="D497" s="2">
        <v>1.0529999999999999</v>
      </c>
      <c r="E497" s="2">
        <v>0</v>
      </c>
      <c r="F497" s="2">
        <v>1.0529999999999999</v>
      </c>
    </row>
    <row r="498" spans="1:6" x14ac:dyDescent="0.3">
      <c r="A498" s="1">
        <v>39660</v>
      </c>
      <c r="B498" t="s">
        <v>15</v>
      </c>
      <c r="C498" t="s">
        <v>17</v>
      </c>
      <c r="D498" s="2">
        <v>265533.61252317001</v>
      </c>
      <c r="E498" s="2">
        <v>0</v>
      </c>
      <c r="F498" s="2">
        <v>265533.61252317001</v>
      </c>
    </row>
    <row r="499" spans="1:6" x14ac:dyDescent="0.3">
      <c r="A499" s="1">
        <v>39660</v>
      </c>
      <c r="B499" t="s">
        <v>15</v>
      </c>
      <c r="C499" t="s">
        <v>18</v>
      </c>
      <c r="D499" s="2">
        <v>194752.80139208</v>
      </c>
      <c r="E499" s="2">
        <v>0</v>
      </c>
      <c r="F499" s="2">
        <v>194752.80139208</v>
      </c>
    </row>
    <row r="500" spans="1:6" x14ac:dyDescent="0.3">
      <c r="A500" s="1">
        <v>39660</v>
      </c>
      <c r="B500" t="s">
        <v>13</v>
      </c>
      <c r="C500" t="s">
        <v>14</v>
      </c>
      <c r="D500" s="2">
        <v>4802224.3078355696</v>
      </c>
      <c r="E500" s="2">
        <v>19899.009225909998</v>
      </c>
      <c r="F500" s="2">
        <v>4822123.3170614801</v>
      </c>
    </row>
    <row r="501" spans="1:6" x14ac:dyDescent="0.3">
      <c r="A501" s="1">
        <v>39660</v>
      </c>
      <c r="B501" t="s">
        <v>21</v>
      </c>
      <c r="C501" t="s">
        <v>14</v>
      </c>
      <c r="D501" s="2">
        <v>601158.29894024995</v>
      </c>
      <c r="E501" s="2">
        <v>4162199.4435201902</v>
      </c>
      <c r="F501" s="2">
        <v>4763356.0504604401</v>
      </c>
    </row>
    <row r="502" spans="1:6" x14ac:dyDescent="0.3">
      <c r="A502" s="1">
        <v>39660</v>
      </c>
      <c r="B502" t="s">
        <v>22</v>
      </c>
      <c r="C502" t="s">
        <v>14</v>
      </c>
      <c r="D502" s="2">
        <v>5403381.6067758203</v>
      </c>
      <c r="E502" s="2">
        <v>4182098.4527460998</v>
      </c>
      <c r="F502" s="2">
        <v>9585480.3675219193</v>
      </c>
    </row>
    <row r="503" spans="1:6" x14ac:dyDescent="0.3">
      <c r="A503" s="1">
        <v>39660</v>
      </c>
      <c r="B503" t="s">
        <v>6</v>
      </c>
      <c r="C503" t="s">
        <v>7</v>
      </c>
      <c r="D503" s="2">
        <v>1130969.6873999999</v>
      </c>
      <c r="E503" s="2">
        <v>4816.2629999999999</v>
      </c>
      <c r="F503" s="2">
        <v>1135785.9504</v>
      </c>
    </row>
    <row r="504" spans="1:6" x14ac:dyDescent="0.3">
      <c r="A504" s="1">
        <v>39660</v>
      </c>
      <c r="B504" t="s">
        <v>6</v>
      </c>
      <c r="C504" t="s">
        <v>9</v>
      </c>
      <c r="D504" s="2">
        <v>580981.96030000004</v>
      </c>
      <c r="E504" s="2">
        <v>75.8078</v>
      </c>
      <c r="F504" s="2">
        <v>581057.76809999999</v>
      </c>
    </row>
    <row r="505" spans="1:6" x14ac:dyDescent="0.3">
      <c r="A505" s="1">
        <v>39660</v>
      </c>
      <c r="B505" t="s">
        <v>6</v>
      </c>
      <c r="C505" t="s">
        <v>12</v>
      </c>
      <c r="D505" s="2">
        <v>0</v>
      </c>
      <c r="E505" s="2">
        <v>14000</v>
      </c>
      <c r="F505" s="2">
        <v>14000</v>
      </c>
    </row>
    <row r="506" spans="1:6" x14ac:dyDescent="0.3">
      <c r="A506" s="1">
        <v>39660</v>
      </c>
      <c r="B506" t="s">
        <v>6</v>
      </c>
      <c r="C506" t="s">
        <v>8</v>
      </c>
      <c r="D506" s="2">
        <v>2573863.0693999999</v>
      </c>
      <c r="E506" s="2">
        <v>890.00890000000004</v>
      </c>
      <c r="F506" s="2">
        <v>2574753.0783000002</v>
      </c>
    </row>
    <row r="507" spans="1:6" x14ac:dyDescent="0.3">
      <c r="A507" s="1">
        <v>39660</v>
      </c>
      <c r="B507" t="s">
        <v>6</v>
      </c>
      <c r="C507" t="s">
        <v>10</v>
      </c>
      <c r="D507" s="2">
        <v>516409.59073557</v>
      </c>
      <c r="E507" s="2">
        <v>116.92952591</v>
      </c>
      <c r="F507" s="2">
        <v>516526.52026148001</v>
      </c>
    </row>
    <row r="508" spans="1:6" x14ac:dyDescent="0.3">
      <c r="A508" s="1">
        <v>39660</v>
      </c>
      <c r="B508" t="s">
        <v>15</v>
      </c>
      <c r="C508" t="s">
        <v>16</v>
      </c>
      <c r="D508" s="2">
        <v>29995.18</v>
      </c>
      <c r="E508" s="2">
        <v>0</v>
      </c>
      <c r="F508" s="2">
        <v>29995.18</v>
      </c>
    </row>
    <row r="509" spans="1:6" x14ac:dyDescent="0.3">
      <c r="A509" s="1">
        <v>39660</v>
      </c>
      <c r="B509" t="s">
        <v>15</v>
      </c>
      <c r="C509" t="s">
        <v>23</v>
      </c>
      <c r="D509" s="2">
        <v>2985.6485899999998</v>
      </c>
      <c r="E509" s="2">
        <v>0</v>
      </c>
      <c r="F509" s="2">
        <v>2985.6485899999998</v>
      </c>
    </row>
    <row r="510" spans="1:6" x14ac:dyDescent="0.3">
      <c r="A510" s="1">
        <v>39660</v>
      </c>
      <c r="B510" t="s">
        <v>15</v>
      </c>
      <c r="C510" t="s">
        <v>19</v>
      </c>
      <c r="D510" s="2">
        <v>103836.03135819999</v>
      </c>
      <c r="E510" s="2">
        <v>4162199.4435201902</v>
      </c>
      <c r="F510" s="2">
        <v>4266034.7828783896</v>
      </c>
    </row>
    <row r="511" spans="1:6" x14ac:dyDescent="0.3">
      <c r="A511" s="1">
        <v>39660</v>
      </c>
      <c r="B511" t="s">
        <v>15</v>
      </c>
      <c r="C511" t="s">
        <v>20</v>
      </c>
      <c r="D511" s="2">
        <v>4052.9720768000002</v>
      </c>
      <c r="E511" s="2">
        <v>0</v>
      </c>
      <c r="F511" s="2">
        <v>4052.9720768000002</v>
      </c>
    </row>
    <row r="512" spans="1:6" x14ac:dyDescent="0.3">
      <c r="A512" s="1">
        <v>39691</v>
      </c>
      <c r="B512" t="s">
        <v>22</v>
      </c>
      <c r="C512" t="s">
        <v>14</v>
      </c>
      <c r="D512" s="2">
        <v>5479099.8386794003</v>
      </c>
      <c r="E512" s="2">
        <v>4166655.0867748498</v>
      </c>
      <c r="F512" s="2">
        <v>9645755.3795990199</v>
      </c>
    </row>
    <row r="513" spans="1:6" x14ac:dyDescent="0.3">
      <c r="A513" s="1">
        <v>39691</v>
      </c>
      <c r="B513" t="s">
        <v>6</v>
      </c>
      <c r="C513" t="s">
        <v>7</v>
      </c>
      <c r="D513" s="2">
        <v>1221987.348</v>
      </c>
      <c r="E513" s="2">
        <v>5206</v>
      </c>
      <c r="F513" s="2">
        <v>1227192.348</v>
      </c>
    </row>
    <row r="514" spans="1:6" x14ac:dyDescent="0.3">
      <c r="A514" s="1">
        <v>39691</v>
      </c>
      <c r="B514" t="s">
        <v>6</v>
      </c>
      <c r="C514" t="s">
        <v>9</v>
      </c>
      <c r="D514" s="2">
        <v>582815.13450000004</v>
      </c>
      <c r="E514" s="2">
        <v>59</v>
      </c>
      <c r="F514" s="2">
        <v>582874.13450000004</v>
      </c>
    </row>
    <row r="515" spans="1:6" x14ac:dyDescent="0.3">
      <c r="A515" s="1">
        <v>39691</v>
      </c>
      <c r="B515" t="s">
        <v>6</v>
      </c>
      <c r="C515" t="s">
        <v>12</v>
      </c>
      <c r="D515" s="2">
        <v>0</v>
      </c>
      <c r="E515" s="2">
        <v>14000</v>
      </c>
      <c r="F515" s="2">
        <v>14000</v>
      </c>
    </row>
    <row r="516" spans="1:6" x14ac:dyDescent="0.3">
      <c r="A516" s="1">
        <v>39691</v>
      </c>
      <c r="B516" t="s">
        <v>6</v>
      </c>
      <c r="C516" t="s">
        <v>8</v>
      </c>
      <c r="D516" s="2">
        <v>2555609.4783000001</v>
      </c>
      <c r="E516" s="2">
        <v>829</v>
      </c>
      <c r="F516" s="2">
        <v>2556438.4783000001</v>
      </c>
    </row>
    <row r="517" spans="1:6" x14ac:dyDescent="0.3">
      <c r="A517" s="1">
        <v>39691</v>
      </c>
      <c r="B517" t="s">
        <v>6</v>
      </c>
      <c r="C517" t="s">
        <v>10</v>
      </c>
      <c r="D517" s="2">
        <v>521274.02518524998</v>
      </c>
      <c r="E517" s="2">
        <v>111</v>
      </c>
      <c r="F517" s="2">
        <v>521385.02518524998</v>
      </c>
    </row>
    <row r="518" spans="1:6" x14ac:dyDescent="0.3">
      <c r="A518" s="1">
        <v>39691</v>
      </c>
      <c r="B518" t="s">
        <v>15</v>
      </c>
      <c r="C518" t="s">
        <v>16</v>
      </c>
      <c r="D518" s="2">
        <v>29995.18</v>
      </c>
      <c r="E518" s="2">
        <v>0</v>
      </c>
      <c r="F518" s="2">
        <v>29995.18</v>
      </c>
    </row>
    <row r="519" spans="1:6" x14ac:dyDescent="0.3">
      <c r="A519" s="1">
        <v>39691</v>
      </c>
      <c r="B519" t="s">
        <v>15</v>
      </c>
      <c r="C519" t="s">
        <v>23</v>
      </c>
      <c r="D519" s="2">
        <v>2985.6485899999998</v>
      </c>
      <c r="E519" s="2">
        <v>0</v>
      </c>
      <c r="F519" s="2">
        <v>2985.6485899999998</v>
      </c>
    </row>
    <row r="520" spans="1:6" x14ac:dyDescent="0.3">
      <c r="A520" s="1">
        <v>39691</v>
      </c>
      <c r="B520" t="s">
        <v>15</v>
      </c>
      <c r="C520" t="s">
        <v>19</v>
      </c>
      <c r="D520" s="2">
        <v>104441.07421421001</v>
      </c>
      <c r="E520" s="2">
        <v>4146419.5517748501</v>
      </c>
      <c r="F520" s="2">
        <v>4250862.0801338302</v>
      </c>
    </row>
    <row r="521" spans="1:6" x14ac:dyDescent="0.3">
      <c r="A521" s="1">
        <v>39691</v>
      </c>
      <c r="B521" t="s">
        <v>15</v>
      </c>
      <c r="C521" t="s">
        <v>24</v>
      </c>
      <c r="D521" s="2">
        <v>0</v>
      </c>
      <c r="E521" s="2">
        <v>29.535</v>
      </c>
      <c r="F521" s="2">
        <v>29.535</v>
      </c>
    </row>
    <row r="522" spans="1:6" x14ac:dyDescent="0.3">
      <c r="A522" s="1">
        <v>39691</v>
      </c>
      <c r="B522" t="s">
        <v>15</v>
      </c>
      <c r="C522" t="s">
        <v>20</v>
      </c>
      <c r="D522" s="2">
        <v>3971.9619898300002</v>
      </c>
      <c r="E522" s="2">
        <v>0</v>
      </c>
      <c r="F522" s="2">
        <v>3971.9619898300002</v>
      </c>
    </row>
    <row r="523" spans="1:6" x14ac:dyDescent="0.3">
      <c r="A523" s="1">
        <v>39691</v>
      </c>
      <c r="B523" t="s">
        <v>15</v>
      </c>
      <c r="C523" t="s">
        <v>25</v>
      </c>
      <c r="D523" s="2">
        <v>1.0529999999999999</v>
      </c>
      <c r="E523" s="2">
        <v>0</v>
      </c>
      <c r="F523" s="2">
        <v>1.0529999999999999</v>
      </c>
    </row>
    <row r="524" spans="1:6" x14ac:dyDescent="0.3">
      <c r="A524" s="1">
        <v>39691</v>
      </c>
      <c r="B524" t="s">
        <v>15</v>
      </c>
      <c r="C524" t="s">
        <v>17</v>
      </c>
      <c r="D524" s="2">
        <v>261552.76137361</v>
      </c>
      <c r="E524" s="2">
        <v>0</v>
      </c>
      <c r="F524" s="2">
        <v>261552.76137361</v>
      </c>
    </row>
    <row r="525" spans="1:6" x14ac:dyDescent="0.3">
      <c r="A525" s="1">
        <v>39691</v>
      </c>
      <c r="B525" t="s">
        <v>15</v>
      </c>
      <c r="C525" t="s">
        <v>18</v>
      </c>
      <c r="D525" s="2">
        <v>194467.1735265</v>
      </c>
      <c r="E525" s="2">
        <v>0</v>
      </c>
      <c r="F525" s="2">
        <v>194467.1735265</v>
      </c>
    </row>
    <row r="526" spans="1:6" x14ac:dyDescent="0.3">
      <c r="A526" s="1">
        <v>39691</v>
      </c>
      <c r="B526" t="s">
        <v>13</v>
      </c>
      <c r="C526" t="s">
        <v>14</v>
      </c>
      <c r="D526" s="2">
        <v>4881684.9859852502</v>
      </c>
      <c r="E526" s="2">
        <v>20205</v>
      </c>
      <c r="F526" s="2">
        <v>4901889.9859852502</v>
      </c>
    </row>
    <row r="527" spans="1:6" x14ac:dyDescent="0.3">
      <c r="A527" s="1">
        <v>39691</v>
      </c>
      <c r="B527" t="s">
        <v>21</v>
      </c>
      <c r="C527" t="s">
        <v>14</v>
      </c>
      <c r="D527" s="2">
        <v>597414.85269414994</v>
      </c>
      <c r="E527" s="2">
        <v>4146450.0867748498</v>
      </c>
      <c r="F527" s="2">
        <v>4743865.3936137697</v>
      </c>
    </row>
    <row r="528" spans="1:6" x14ac:dyDescent="0.3">
      <c r="A528" s="1">
        <v>39721</v>
      </c>
      <c r="B528" t="s">
        <v>6</v>
      </c>
      <c r="C528" t="s">
        <v>12</v>
      </c>
      <c r="D528" s="2">
        <v>0</v>
      </c>
      <c r="E528" s="2">
        <v>14000</v>
      </c>
      <c r="F528" s="2">
        <v>14000</v>
      </c>
    </row>
    <row r="529" spans="1:6" x14ac:dyDescent="0.3">
      <c r="A529" s="1">
        <v>39721</v>
      </c>
      <c r="B529" t="s">
        <v>6</v>
      </c>
      <c r="C529" t="s">
        <v>10</v>
      </c>
      <c r="D529" s="2">
        <v>523951.32193636999</v>
      </c>
      <c r="E529" s="2">
        <v>586</v>
      </c>
      <c r="F529" s="2">
        <v>524537.32193636999</v>
      </c>
    </row>
    <row r="530" spans="1:6" x14ac:dyDescent="0.3">
      <c r="A530" s="1">
        <v>39721</v>
      </c>
      <c r="B530" t="s">
        <v>15</v>
      </c>
      <c r="C530" t="s">
        <v>16</v>
      </c>
      <c r="D530" s="2">
        <v>29995.18</v>
      </c>
      <c r="E530" s="2">
        <v>0</v>
      </c>
      <c r="F530" s="2">
        <v>29995.18</v>
      </c>
    </row>
    <row r="531" spans="1:6" x14ac:dyDescent="0.3">
      <c r="A531" s="1">
        <v>39721</v>
      </c>
      <c r="B531" t="s">
        <v>15</v>
      </c>
      <c r="C531" t="s">
        <v>23</v>
      </c>
      <c r="D531" s="2">
        <v>2985.6485899999998</v>
      </c>
      <c r="E531" s="2">
        <v>0</v>
      </c>
      <c r="F531" s="2">
        <v>2985.6485899999998</v>
      </c>
    </row>
    <row r="532" spans="1:6" x14ac:dyDescent="0.3">
      <c r="A532" s="1">
        <v>39721</v>
      </c>
      <c r="B532" t="s">
        <v>15</v>
      </c>
      <c r="C532" t="s">
        <v>19</v>
      </c>
      <c r="D532" s="2">
        <v>107498.42594843</v>
      </c>
      <c r="E532" s="2">
        <v>4190179.45385062</v>
      </c>
      <c r="F532" s="2">
        <v>4297676.9707990503</v>
      </c>
    </row>
    <row r="533" spans="1:6" x14ac:dyDescent="0.3">
      <c r="A533" s="1">
        <v>39721</v>
      </c>
      <c r="B533" t="s">
        <v>15</v>
      </c>
      <c r="C533" t="s">
        <v>24</v>
      </c>
      <c r="D533" s="2">
        <v>0</v>
      </c>
      <c r="E533" s="2">
        <v>29.535</v>
      </c>
      <c r="F533" s="2">
        <v>29.535</v>
      </c>
    </row>
    <row r="534" spans="1:6" x14ac:dyDescent="0.3">
      <c r="A534" s="1">
        <v>39721</v>
      </c>
      <c r="B534" t="s">
        <v>15</v>
      </c>
      <c r="C534" t="s">
        <v>20</v>
      </c>
      <c r="D534" s="2">
        <v>3569.1846408599999</v>
      </c>
      <c r="E534" s="2">
        <v>0</v>
      </c>
      <c r="F534" s="2">
        <v>3569.1846408599999</v>
      </c>
    </row>
    <row r="535" spans="1:6" x14ac:dyDescent="0.3">
      <c r="A535" s="1">
        <v>39721</v>
      </c>
      <c r="B535" t="s">
        <v>15</v>
      </c>
      <c r="C535" t="s">
        <v>25</v>
      </c>
      <c r="D535" s="2">
        <v>1.0529999999999999</v>
      </c>
      <c r="E535" s="2">
        <v>0</v>
      </c>
      <c r="F535" s="2">
        <v>1.0529999999999999</v>
      </c>
    </row>
    <row r="536" spans="1:6" x14ac:dyDescent="0.3">
      <c r="A536" s="1">
        <v>39721</v>
      </c>
      <c r="B536" t="s">
        <v>15</v>
      </c>
      <c r="C536" t="s">
        <v>17</v>
      </c>
      <c r="D536" s="2">
        <v>260238.06444966001</v>
      </c>
      <c r="E536" s="2">
        <v>0</v>
      </c>
      <c r="F536" s="2">
        <v>260238.06444966001</v>
      </c>
    </row>
    <row r="537" spans="1:6" x14ac:dyDescent="0.3">
      <c r="A537" s="1">
        <v>39721</v>
      </c>
      <c r="B537" t="s">
        <v>15</v>
      </c>
      <c r="C537" t="s">
        <v>18</v>
      </c>
      <c r="D537" s="2">
        <v>194253.46559030999</v>
      </c>
      <c r="E537" s="2">
        <v>0</v>
      </c>
      <c r="F537" s="2">
        <v>194253.46559030999</v>
      </c>
    </row>
    <row r="538" spans="1:6" x14ac:dyDescent="0.3">
      <c r="A538" s="1">
        <v>39721</v>
      </c>
      <c r="B538" t="s">
        <v>13</v>
      </c>
      <c r="C538" t="s">
        <v>14</v>
      </c>
      <c r="D538" s="2">
        <v>5210151.1811363697</v>
      </c>
      <c r="E538" s="2">
        <v>25825</v>
      </c>
      <c r="F538" s="2">
        <v>5235976.1811363697</v>
      </c>
    </row>
    <row r="539" spans="1:6" x14ac:dyDescent="0.3">
      <c r="A539" s="1">
        <v>39721</v>
      </c>
      <c r="B539" t="s">
        <v>21</v>
      </c>
      <c r="C539" t="s">
        <v>14</v>
      </c>
      <c r="D539" s="2">
        <v>598540.02221925999</v>
      </c>
      <c r="E539" s="2">
        <v>4190207.9888506201</v>
      </c>
      <c r="F539" s="2">
        <v>4788749.1020698799</v>
      </c>
    </row>
    <row r="540" spans="1:6" x14ac:dyDescent="0.3">
      <c r="A540" s="1">
        <v>39721</v>
      </c>
      <c r="B540" t="s">
        <v>22</v>
      </c>
      <c r="C540" t="s">
        <v>14</v>
      </c>
      <c r="D540" s="2">
        <v>5808692.2033556299</v>
      </c>
      <c r="E540" s="2">
        <v>4216032.9888506196</v>
      </c>
      <c r="F540" s="2">
        <v>10024725.283206301</v>
      </c>
    </row>
    <row r="541" spans="1:6" x14ac:dyDescent="0.3">
      <c r="A541" s="1">
        <v>39721</v>
      </c>
      <c r="B541" t="s">
        <v>6</v>
      </c>
      <c r="C541" t="s">
        <v>7</v>
      </c>
      <c r="D541" s="2">
        <v>1484332.2461999999</v>
      </c>
      <c r="E541" s="2">
        <v>5476</v>
      </c>
      <c r="F541" s="2">
        <v>1489808.2461999999</v>
      </c>
    </row>
    <row r="542" spans="1:6" x14ac:dyDescent="0.3">
      <c r="A542" s="1">
        <v>39721</v>
      </c>
      <c r="B542" t="s">
        <v>6</v>
      </c>
      <c r="C542" t="s">
        <v>9</v>
      </c>
      <c r="D542" s="2">
        <v>578503.53630000004</v>
      </c>
      <c r="E542" s="2">
        <v>4368</v>
      </c>
      <c r="F542" s="2">
        <v>582871.53630000004</v>
      </c>
    </row>
    <row r="543" spans="1:6" x14ac:dyDescent="0.3">
      <c r="A543" s="1">
        <v>39721</v>
      </c>
      <c r="B543" t="s">
        <v>6</v>
      </c>
      <c r="C543" t="s">
        <v>8</v>
      </c>
      <c r="D543" s="2">
        <v>2623364.0767000001</v>
      </c>
      <c r="E543" s="2">
        <v>1395</v>
      </c>
      <c r="F543" s="2">
        <v>2624759.0767000001</v>
      </c>
    </row>
    <row r="544" spans="1:6" x14ac:dyDescent="0.3">
      <c r="A544" s="1">
        <v>39752</v>
      </c>
      <c r="B544" t="s">
        <v>15</v>
      </c>
      <c r="C544" t="s">
        <v>18</v>
      </c>
      <c r="D544" s="2">
        <v>194236.30346885999</v>
      </c>
      <c r="E544" s="2">
        <v>0</v>
      </c>
      <c r="F544" s="2">
        <v>194236.30346885999</v>
      </c>
    </row>
    <row r="545" spans="1:6" x14ac:dyDescent="0.3">
      <c r="A545" s="1">
        <v>39752</v>
      </c>
      <c r="B545" t="s">
        <v>13</v>
      </c>
      <c r="C545" t="s">
        <v>14</v>
      </c>
      <c r="D545" s="2">
        <v>5704139.3937987201</v>
      </c>
      <c r="E545" s="2">
        <v>25221</v>
      </c>
      <c r="F545" s="2">
        <v>5729360.3937987201</v>
      </c>
    </row>
    <row r="546" spans="1:6" x14ac:dyDescent="0.3">
      <c r="A546" s="1">
        <v>39752</v>
      </c>
      <c r="B546" t="s">
        <v>21</v>
      </c>
      <c r="C546" t="s">
        <v>14</v>
      </c>
      <c r="D546" s="2">
        <v>598655.23676608002</v>
      </c>
      <c r="E546" s="2">
        <v>4246080.3600078402</v>
      </c>
      <c r="F546" s="2">
        <v>4844733.99501622</v>
      </c>
    </row>
    <row r="547" spans="1:6" x14ac:dyDescent="0.3">
      <c r="A547" s="1">
        <v>39752</v>
      </c>
      <c r="B547" t="s">
        <v>22</v>
      </c>
      <c r="C547" t="s">
        <v>14</v>
      </c>
      <c r="D547" s="2">
        <v>6302793.6305648005</v>
      </c>
      <c r="E547" s="2">
        <v>4271301.3600078402</v>
      </c>
      <c r="F547" s="2">
        <v>10574094.3888149</v>
      </c>
    </row>
    <row r="548" spans="1:6" x14ac:dyDescent="0.3">
      <c r="A548" s="1">
        <v>39752</v>
      </c>
      <c r="B548" t="s">
        <v>6</v>
      </c>
      <c r="C548" t="s">
        <v>7</v>
      </c>
      <c r="D548" s="2">
        <v>1904059.6562999999</v>
      </c>
      <c r="E548" s="2">
        <v>5675</v>
      </c>
      <c r="F548" s="2">
        <v>1909735.6562999999</v>
      </c>
    </row>
    <row r="549" spans="1:6" x14ac:dyDescent="0.3">
      <c r="A549" s="1">
        <v>39752</v>
      </c>
      <c r="B549" t="s">
        <v>6</v>
      </c>
      <c r="C549" t="s">
        <v>9</v>
      </c>
      <c r="D549" s="2">
        <v>578915.37329999998</v>
      </c>
      <c r="E549" s="2">
        <v>3955</v>
      </c>
      <c r="F549" s="2">
        <v>582870.37329999998</v>
      </c>
    </row>
    <row r="550" spans="1:6" x14ac:dyDescent="0.3">
      <c r="A550" s="1">
        <v>39752</v>
      </c>
      <c r="B550" t="s">
        <v>6</v>
      </c>
      <c r="C550" t="s">
        <v>12</v>
      </c>
      <c r="D550" s="2">
        <v>0</v>
      </c>
      <c r="E550" s="2">
        <v>14000</v>
      </c>
      <c r="F550" s="2">
        <v>14000</v>
      </c>
    </row>
    <row r="551" spans="1:6" x14ac:dyDescent="0.3">
      <c r="A551" s="1">
        <v>39752</v>
      </c>
      <c r="B551" t="s">
        <v>6</v>
      </c>
      <c r="C551" t="s">
        <v>8</v>
      </c>
      <c r="D551" s="2">
        <v>2685691.3240999999</v>
      </c>
      <c r="E551" s="2">
        <v>913</v>
      </c>
      <c r="F551" s="2">
        <v>2686604.3240999999</v>
      </c>
    </row>
    <row r="552" spans="1:6" x14ac:dyDescent="0.3">
      <c r="A552" s="1">
        <v>39752</v>
      </c>
      <c r="B552" t="s">
        <v>6</v>
      </c>
      <c r="C552" t="s">
        <v>10</v>
      </c>
      <c r="D552" s="2">
        <v>535472.04009872</v>
      </c>
      <c r="E552" s="2">
        <v>678</v>
      </c>
      <c r="F552" s="2">
        <v>536150.04009872</v>
      </c>
    </row>
    <row r="553" spans="1:6" x14ac:dyDescent="0.3">
      <c r="A553" s="1">
        <v>39752</v>
      </c>
      <c r="B553" t="s">
        <v>15</v>
      </c>
      <c r="C553" t="s">
        <v>16</v>
      </c>
      <c r="D553" s="2">
        <v>29995.18</v>
      </c>
      <c r="E553" s="2">
        <v>0</v>
      </c>
      <c r="F553" s="2">
        <v>29995.18</v>
      </c>
    </row>
    <row r="554" spans="1:6" x14ac:dyDescent="0.3">
      <c r="A554" s="1">
        <v>39752</v>
      </c>
      <c r="B554" t="s">
        <v>15</v>
      </c>
      <c r="C554" t="s">
        <v>23</v>
      </c>
      <c r="D554" s="2">
        <v>3985.6485899999998</v>
      </c>
      <c r="E554" s="2">
        <v>0</v>
      </c>
      <c r="F554" s="2">
        <v>3985.6485899999998</v>
      </c>
    </row>
    <row r="555" spans="1:6" x14ac:dyDescent="0.3">
      <c r="A555" s="1">
        <v>39752</v>
      </c>
      <c r="B555" t="s">
        <v>15</v>
      </c>
      <c r="C555" t="s">
        <v>19</v>
      </c>
      <c r="D555" s="2">
        <v>112813.95866026</v>
      </c>
      <c r="E555" s="2">
        <v>4245588.7629798399</v>
      </c>
      <c r="F555" s="2">
        <v>4358403.1198824001</v>
      </c>
    </row>
    <row r="556" spans="1:6" x14ac:dyDescent="0.3">
      <c r="A556" s="1">
        <v>39752</v>
      </c>
      <c r="B556" t="s">
        <v>15</v>
      </c>
      <c r="C556" t="s">
        <v>24</v>
      </c>
      <c r="D556" s="2">
        <v>0</v>
      </c>
      <c r="E556" s="2">
        <v>490.59702800000002</v>
      </c>
      <c r="F556" s="2">
        <v>490.59702800000002</v>
      </c>
    </row>
    <row r="557" spans="1:6" x14ac:dyDescent="0.3">
      <c r="A557" s="1">
        <v>39752</v>
      </c>
      <c r="B557" t="s">
        <v>15</v>
      </c>
      <c r="C557" t="s">
        <v>20</v>
      </c>
      <c r="D557" s="2">
        <v>3057.9162511099998</v>
      </c>
      <c r="E557" s="2">
        <v>0</v>
      </c>
      <c r="F557" s="2">
        <v>3057.9162511099998</v>
      </c>
    </row>
    <row r="558" spans="1:6" x14ac:dyDescent="0.3">
      <c r="A558" s="1">
        <v>39752</v>
      </c>
      <c r="B558" t="s">
        <v>15</v>
      </c>
      <c r="C558" t="s">
        <v>25</v>
      </c>
      <c r="D558" s="2">
        <v>1.0529999999999999</v>
      </c>
      <c r="E558" s="2">
        <v>0</v>
      </c>
      <c r="F558" s="2">
        <v>1.0529999999999999</v>
      </c>
    </row>
    <row r="559" spans="1:6" x14ac:dyDescent="0.3">
      <c r="A559" s="1">
        <v>39752</v>
      </c>
      <c r="B559" t="s">
        <v>15</v>
      </c>
      <c r="C559" t="s">
        <v>17</v>
      </c>
      <c r="D559" s="2">
        <v>254564.17679585001</v>
      </c>
      <c r="E559" s="2">
        <v>0</v>
      </c>
      <c r="F559" s="2">
        <v>254564.17679585001</v>
      </c>
    </row>
    <row r="560" spans="1:6" x14ac:dyDescent="0.3">
      <c r="A560" s="1">
        <v>39782</v>
      </c>
      <c r="B560" t="s">
        <v>21</v>
      </c>
      <c r="C560" t="s">
        <v>14</v>
      </c>
      <c r="D560" s="2">
        <v>598155.74332320003</v>
      </c>
      <c r="E560" s="2">
        <v>4240354.1272085402</v>
      </c>
      <c r="F560" s="2">
        <v>4838510.0517740399</v>
      </c>
    </row>
    <row r="561" spans="1:6" x14ac:dyDescent="0.3">
      <c r="A561" s="1">
        <v>39782</v>
      </c>
      <c r="B561" t="s">
        <v>22</v>
      </c>
      <c r="C561" t="s">
        <v>14</v>
      </c>
      <c r="D561" s="2">
        <v>6396590.9863985097</v>
      </c>
      <c r="E561" s="2">
        <v>4264584.1272085402</v>
      </c>
      <c r="F561" s="2">
        <v>10661175.294849301</v>
      </c>
    </row>
    <row r="562" spans="1:6" x14ac:dyDescent="0.3">
      <c r="A562" s="1">
        <v>39782</v>
      </c>
      <c r="B562" t="s">
        <v>6</v>
      </c>
      <c r="C562" t="s">
        <v>7</v>
      </c>
      <c r="D562" s="2">
        <v>1998225.9193</v>
      </c>
      <c r="E562" s="2">
        <v>5480</v>
      </c>
      <c r="F562" s="2">
        <v>2003705.9193</v>
      </c>
    </row>
    <row r="563" spans="1:6" x14ac:dyDescent="0.3">
      <c r="A563" s="1">
        <v>39782</v>
      </c>
      <c r="B563" t="s">
        <v>6</v>
      </c>
      <c r="C563" t="s">
        <v>9</v>
      </c>
      <c r="D563" s="2">
        <v>591491.67709999997</v>
      </c>
      <c r="E563" s="2">
        <v>3149</v>
      </c>
      <c r="F563" s="2">
        <v>594641.67709999997</v>
      </c>
    </row>
    <row r="564" spans="1:6" x14ac:dyDescent="0.3">
      <c r="A564" s="1">
        <v>39782</v>
      </c>
      <c r="B564" t="s">
        <v>6</v>
      </c>
      <c r="C564" t="s">
        <v>12</v>
      </c>
      <c r="D564" s="2">
        <v>0</v>
      </c>
      <c r="E564" s="2">
        <v>14000</v>
      </c>
      <c r="F564" s="2">
        <v>14000</v>
      </c>
    </row>
    <row r="565" spans="1:6" x14ac:dyDescent="0.3">
      <c r="A565" s="1">
        <v>39782</v>
      </c>
      <c r="B565" t="s">
        <v>6</v>
      </c>
      <c r="C565" t="s">
        <v>8</v>
      </c>
      <c r="D565" s="2">
        <v>2673928.3122999999</v>
      </c>
      <c r="E565" s="2">
        <v>952</v>
      </c>
      <c r="F565" s="2">
        <v>2674880.3122999999</v>
      </c>
    </row>
    <row r="566" spans="1:6" x14ac:dyDescent="0.3">
      <c r="A566" s="1">
        <v>39782</v>
      </c>
      <c r="B566" t="s">
        <v>6</v>
      </c>
      <c r="C566" t="s">
        <v>10</v>
      </c>
      <c r="D566" s="2">
        <v>534789.33437530999</v>
      </c>
      <c r="E566" s="2">
        <v>648</v>
      </c>
      <c r="F566" s="2">
        <v>535437.33437530999</v>
      </c>
    </row>
    <row r="567" spans="1:6" x14ac:dyDescent="0.3">
      <c r="A567" s="1">
        <v>39782</v>
      </c>
      <c r="B567" t="s">
        <v>15</v>
      </c>
      <c r="C567" t="s">
        <v>16</v>
      </c>
      <c r="D567" s="2">
        <v>29995.18</v>
      </c>
      <c r="E567" s="2">
        <v>0</v>
      </c>
      <c r="F567" s="2">
        <v>29995.18</v>
      </c>
    </row>
    <row r="568" spans="1:6" x14ac:dyDescent="0.3">
      <c r="A568" s="1">
        <v>39782</v>
      </c>
      <c r="B568" t="s">
        <v>15</v>
      </c>
      <c r="C568" t="s">
        <v>23</v>
      </c>
      <c r="D568" s="2">
        <v>3985.6485899999998</v>
      </c>
      <c r="E568" s="2">
        <v>0</v>
      </c>
      <c r="F568" s="2">
        <v>3985.6485899999998</v>
      </c>
    </row>
    <row r="569" spans="1:6" x14ac:dyDescent="0.3">
      <c r="A569" s="1">
        <v>39782</v>
      </c>
      <c r="B569" t="s">
        <v>15</v>
      </c>
      <c r="C569" t="s">
        <v>19</v>
      </c>
      <c r="D569" s="2">
        <v>113884.08757851001</v>
      </c>
      <c r="E569" s="2">
        <v>4239862.5301805399</v>
      </c>
      <c r="F569" s="2">
        <v>4353746.7990013501</v>
      </c>
    </row>
    <row r="570" spans="1:6" x14ac:dyDescent="0.3">
      <c r="A570" s="1">
        <v>39782</v>
      </c>
      <c r="B570" t="s">
        <v>15</v>
      </c>
      <c r="C570" t="s">
        <v>24</v>
      </c>
      <c r="D570" s="2">
        <v>0</v>
      </c>
      <c r="E570" s="2">
        <v>490.59702800000002</v>
      </c>
      <c r="F570" s="2">
        <v>490.59702800000002</v>
      </c>
    </row>
    <row r="571" spans="1:6" x14ac:dyDescent="0.3">
      <c r="A571" s="1">
        <v>39782</v>
      </c>
      <c r="B571" t="s">
        <v>15</v>
      </c>
      <c r="C571" t="s">
        <v>20</v>
      </c>
      <c r="D571" s="2">
        <v>2618.4953824099998</v>
      </c>
      <c r="E571" s="2">
        <v>0</v>
      </c>
      <c r="F571" s="2">
        <v>2618.4953824099998</v>
      </c>
    </row>
    <row r="572" spans="1:6" x14ac:dyDescent="0.3">
      <c r="A572" s="1">
        <v>39782</v>
      </c>
      <c r="B572" t="s">
        <v>15</v>
      </c>
      <c r="C572" t="s">
        <v>25</v>
      </c>
      <c r="D572" s="2">
        <v>1.0529999999999999</v>
      </c>
      <c r="E572" s="2">
        <v>0</v>
      </c>
      <c r="F572" s="2">
        <v>1.0529999999999999</v>
      </c>
    </row>
    <row r="573" spans="1:6" x14ac:dyDescent="0.3">
      <c r="A573" s="1">
        <v>39782</v>
      </c>
      <c r="B573" t="s">
        <v>15</v>
      </c>
      <c r="C573" t="s">
        <v>17</v>
      </c>
      <c r="D573" s="2">
        <v>253455.15040454001</v>
      </c>
      <c r="E573" s="2">
        <v>0</v>
      </c>
      <c r="F573" s="2">
        <v>253455.15040454001</v>
      </c>
    </row>
    <row r="574" spans="1:6" x14ac:dyDescent="0.3">
      <c r="A574" s="1">
        <v>39782</v>
      </c>
      <c r="B574" t="s">
        <v>15</v>
      </c>
      <c r="C574" t="s">
        <v>18</v>
      </c>
      <c r="D574" s="2">
        <v>194216.12836773999</v>
      </c>
      <c r="E574" s="2">
        <v>0</v>
      </c>
      <c r="F574" s="2">
        <v>194216.12836773999</v>
      </c>
    </row>
    <row r="575" spans="1:6" x14ac:dyDescent="0.3">
      <c r="A575" s="1">
        <v>39782</v>
      </c>
      <c r="B575" t="s">
        <v>13</v>
      </c>
      <c r="C575" t="s">
        <v>14</v>
      </c>
      <c r="D575" s="2">
        <v>5798435.2430753103</v>
      </c>
      <c r="E575" s="2">
        <v>24230</v>
      </c>
      <c r="F575" s="2">
        <v>5822665.2430753103</v>
      </c>
    </row>
    <row r="576" spans="1:6" x14ac:dyDescent="0.3">
      <c r="A576" s="1">
        <v>39813</v>
      </c>
      <c r="B576" t="s">
        <v>22</v>
      </c>
      <c r="C576" t="s">
        <v>14</v>
      </c>
      <c r="D576" s="2">
        <v>6369318.5303354096</v>
      </c>
      <c r="E576" s="2">
        <v>4330486.32041022</v>
      </c>
      <c r="F576" s="2">
        <v>10699804.8507456</v>
      </c>
    </row>
    <row r="577" spans="1:6" x14ac:dyDescent="0.3">
      <c r="A577" s="1">
        <v>39813</v>
      </c>
      <c r="B577" t="s">
        <v>6</v>
      </c>
      <c r="C577" t="s">
        <v>7</v>
      </c>
      <c r="D577" s="2">
        <v>1861186.7169999999</v>
      </c>
      <c r="E577" s="2">
        <v>5479.607</v>
      </c>
      <c r="F577" s="2">
        <v>1866666.324</v>
      </c>
    </row>
    <row r="578" spans="1:6" x14ac:dyDescent="0.3">
      <c r="A578" s="1">
        <v>39813</v>
      </c>
      <c r="B578" t="s">
        <v>6</v>
      </c>
      <c r="C578" t="s">
        <v>9</v>
      </c>
      <c r="D578" s="2">
        <v>591867.08122672001</v>
      </c>
      <c r="E578" s="2">
        <v>2774.0617732800001</v>
      </c>
      <c r="F578" s="2">
        <v>594641.14300000004</v>
      </c>
    </row>
    <row r="579" spans="1:6" x14ac:dyDescent="0.3">
      <c r="A579" s="1">
        <v>39813</v>
      </c>
      <c r="B579" t="s">
        <v>6</v>
      </c>
      <c r="C579" t="s">
        <v>12</v>
      </c>
      <c r="D579" s="2">
        <v>0</v>
      </c>
      <c r="E579" s="2">
        <v>14000</v>
      </c>
      <c r="F579" s="2">
        <v>14000</v>
      </c>
    </row>
    <row r="580" spans="1:6" x14ac:dyDescent="0.3">
      <c r="A580" s="1">
        <v>39813</v>
      </c>
      <c r="B580" t="s">
        <v>6</v>
      </c>
      <c r="C580" t="s">
        <v>8</v>
      </c>
      <c r="D580" s="2">
        <v>2791514.1120000002</v>
      </c>
      <c r="E580" s="2">
        <v>692.22</v>
      </c>
      <c r="F580" s="2">
        <v>2792206.3319999999</v>
      </c>
    </row>
    <row r="581" spans="1:6" x14ac:dyDescent="0.3">
      <c r="A581" s="1">
        <v>39813</v>
      </c>
      <c r="B581" t="s">
        <v>6</v>
      </c>
      <c r="C581" t="s">
        <v>10</v>
      </c>
      <c r="D581" s="2">
        <v>529621.81613743003</v>
      </c>
      <c r="E581" s="2">
        <v>508.31030644999998</v>
      </c>
      <c r="F581" s="2">
        <v>530130.12644388003</v>
      </c>
    </row>
    <row r="582" spans="1:6" x14ac:dyDescent="0.3">
      <c r="A582" s="1">
        <v>39813</v>
      </c>
      <c r="B582" t="s">
        <v>15</v>
      </c>
      <c r="C582" t="s">
        <v>16</v>
      </c>
      <c r="D582" s="2">
        <v>29995.18</v>
      </c>
      <c r="E582" s="2">
        <v>0</v>
      </c>
      <c r="F582" s="2">
        <v>29995.18</v>
      </c>
    </row>
    <row r="583" spans="1:6" x14ac:dyDescent="0.3">
      <c r="A583" s="1">
        <v>39813</v>
      </c>
      <c r="B583" t="s">
        <v>15</v>
      </c>
      <c r="C583" t="s">
        <v>23</v>
      </c>
      <c r="D583" s="2">
        <v>3985.6485899999998</v>
      </c>
      <c r="E583" s="2">
        <v>0</v>
      </c>
      <c r="F583" s="2">
        <v>3985.6485899999998</v>
      </c>
    </row>
    <row r="584" spans="1:6" x14ac:dyDescent="0.3">
      <c r="A584" s="1">
        <v>39813</v>
      </c>
      <c r="B584" t="s">
        <v>15</v>
      </c>
      <c r="C584" t="s">
        <v>19</v>
      </c>
      <c r="D584" s="2">
        <v>115116.52803825001</v>
      </c>
      <c r="E584" s="2">
        <v>4306540.5243021296</v>
      </c>
      <c r="F584" s="2">
        <v>4421658.0523403799</v>
      </c>
    </row>
    <row r="585" spans="1:6" x14ac:dyDescent="0.3">
      <c r="A585" s="1">
        <v>39813</v>
      </c>
      <c r="B585" t="s">
        <v>15</v>
      </c>
      <c r="C585" t="s">
        <v>24</v>
      </c>
      <c r="D585" s="2">
        <v>0</v>
      </c>
      <c r="E585" s="2">
        <v>490.59702836000002</v>
      </c>
      <c r="F585" s="2">
        <v>490.59702836000002</v>
      </c>
    </row>
    <row r="586" spans="1:6" x14ac:dyDescent="0.3">
      <c r="A586" s="1">
        <v>39813</v>
      </c>
      <c r="B586" t="s">
        <v>15</v>
      </c>
      <c r="C586" t="s">
        <v>20</v>
      </c>
      <c r="D586" s="2">
        <v>2637.4600865699999</v>
      </c>
      <c r="E586" s="2">
        <v>0</v>
      </c>
      <c r="F586" s="2">
        <v>2637.4600865699999</v>
      </c>
    </row>
    <row r="587" spans="1:6" x14ac:dyDescent="0.3">
      <c r="A587" s="1">
        <v>39813</v>
      </c>
      <c r="B587" t="s">
        <v>15</v>
      </c>
      <c r="C587" t="s">
        <v>25</v>
      </c>
      <c r="D587" s="2">
        <v>1.0529999999999999</v>
      </c>
      <c r="E587" s="2">
        <v>0</v>
      </c>
      <c r="F587" s="2">
        <v>1.0529999999999999</v>
      </c>
    </row>
    <row r="588" spans="1:6" x14ac:dyDescent="0.3">
      <c r="A588" s="1">
        <v>39813</v>
      </c>
      <c r="B588" t="s">
        <v>15</v>
      </c>
      <c r="C588" t="s">
        <v>17</v>
      </c>
      <c r="D588" s="2">
        <v>249318.37776000999</v>
      </c>
      <c r="E588" s="2">
        <v>0</v>
      </c>
      <c r="F588" s="2">
        <v>249318.37776000999</v>
      </c>
    </row>
    <row r="589" spans="1:6" x14ac:dyDescent="0.3">
      <c r="A589" s="1">
        <v>39813</v>
      </c>
      <c r="B589" t="s">
        <v>15</v>
      </c>
      <c r="C589" t="s">
        <v>18</v>
      </c>
      <c r="D589" s="2">
        <v>194074.55649643001</v>
      </c>
      <c r="E589" s="2">
        <v>0</v>
      </c>
      <c r="F589" s="2">
        <v>194074.55649643001</v>
      </c>
    </row>
    <row r="590" spans="1:6" x14ac:dyDescent="0.3">
      <c r="A590" s="1">
        <v>39813</v>
      </c>
      <c r="B590" t="s">
        <v>13</v>
      </c>
      <c r="C590" t="s">
        <v>14</v>
      </c>
      <c r="D590" s="2">
        <v>5774189.7263641497</v>
      </c>
      <c r="E590" s="2">
        <v>23454.199079729999</v>
      </c>
      <c r="F590" s="2">
        <v>5797643.9254438803</v>
      </c>
    </row>
    <row r="591" spans="1:6" x14ac:dyDescent="0.3">
      <c r="A591" s="1">
        <v>39813</v>
      </c>
      <c r="B591" t="s">
        <v>21</v>
      </c>
      <c r="C591" t="s">
        <v>14</v>
      </c>
      <c r="D591" s="2">
        <v>595128.80397125997</v>
      </c>
      <c r="E591" s="2">
        <v>4307032.1213304903</v>
      </c>
      <c r="F591" s="2">
        <v>4902160.9253017502</v>
      </c>
    </row>
    <row r="592" spans="1:6" x14ac:dyDescent="0.3">
      <c r="A592" s="1">
        <v>39844</v>
      </c>
      <c r="B592" t="s">
        <v>6</v>
      </c>
      <c r="C592" t="s">
        <v>7</v>
      </c>
      <c r="D592" s="2">
        <v>1792889.4798000001</v>
      </c>
      <c r="E592" s="2">
        <v>5673.2749999999996</v>
      </c>
      <c r="F592" s="2">
        <v>1798562.7548</v>
      </c>
    </row>
    <row r="593" spans="1:6" x14ac:dyDescent="0.3">
      <c r="A593" s="1">
        <v>39844</v>
      </c>
      <c r="B593" t="s">
        <v>6</v>
      </c>
      <c r="C593" t="s">
        <v>9</v>
      </c>
      <c r="D593" s="2">
        <v>591889.54692395998</v>
      </c>
      <c r="E593" s="2">
        <v>2751.3150760399999</v>
      </c>
      <c r="F593" s="2">
        <v>594640.86199999996</v>
      </c>
    </row>
    <row r="594" spans="1:6" x14ac:dyDescent="0.3">
      <c r="A594" s="1">
        <v>39844</v>
      </c>
      <c r="B594" t="s">
        <v>6</v>
      </c>
      <c r="C594" t="s">
        <v>12</v>
      </c>
      <c r="D594" s="2">
        <v>0</v>
      </c>
      <c r="E594" s="2">
        <v>14000</v>
      </c>
      <c r="F594" s="2">
        <v>14000</v>
      </c>
    </row>
    <row r="595" spans="1:6" x14ac:dyDescent="0.3">
      <c r="A595" s="1">
        <v>39844</v>
      </c>
      <c r="B595" t="s">
        <v>6</v>
      </c>
      <c r="C595" t="s">
        <v>8</v>
      </c>
      <c r="D595" s="2">
        <v>2825174.2568000001</v>
      </c>
      <c r="E595" s="2">
        <v>835.0797</v>
      </c>
      <c r="F595" s="2">
        <v>2826009.3365000002</v>
      </c>
    </row>
    <row r="596" spans="1:6" x14ac:dyDescent="0.3">
      <c r="A596" s="1">
        <v>39844</v>
      </c>
      <c r="B596" t="s">
        <v>6</v>
      </c>
      <c r="C596" t="s">
        <v>10</v>
      </c>
      <c r="D596" s="2">
        <v>516209.08239699999</v>
      </c>
      <c r="E596" s="2">
        <v>494.14464192999998</v>
      </c>
      <c r="F596" s="2">
        <v>516703.22703893</v>
      </c>
    </row>
    <row r="597" spans="1:6" x14ac:dyDescent="0.3">
      <c r="A597" s="1">
        <v>39844</v>
      </c>
      <c r="B597" t="s">
        <v>15</v>
      </c>
      <c r="C597" t="s">
        <v>19</v>
      </c>
      <c r="D597" s="2">
        <v>115507.64121546</v>
      </c>
      <c r="E597" s="2">
        <v>4290535.89334206</v>
      </c>
      <c r="F597" s="2">
        <v>4406043.5345575204</v>
      </c>
    </row>
    <row r="598" spans="1:6" x14ac:dyDescent="0.3">
      <c r="A598" s="1">
        <v>39844</v>
      </c>
      <c r="B598" t="s">
        <v>13</v>
      </c>
      <c r="C598" t="s">
        <v>14</v>
      </c>
      <c r="D598" s="2">
        <v>5726162.36592096</v>
      </c>
      <c r="E598" s="2">
        <v>23753.814417969999</v>
      </c>
      <c r="F598" s="2">
        <v>5749916.1803389303</v>
      </c>
    </row>
    <row r="599" spans="1:6" x14ac:dyDescent="0.3">
      <c r="A599" s="1">
        <v>39844</v>
      </c>
      <c r="B599" t="s">
        <v>15</v>
      </c>
      <c r="C599" t="s">
        <v>16</v>
      </c>
      <c r="D599" s="2">
        <v>29995.18</v>
      </c>
      <c r="E599" s="2">
        <v>0</v>
      </c>
      <c r="F599" s="2">
        <v>29995.18</v>
      </c>
    </row>
    <row r="600" spans="1:6" x14ac:dyDescent="0.3">
      <c r="A600" s="1">
        <v>39844</v>
      </c>
      <c r="B600" t="s">
        <v>15</v>
      </c>
      <c r="C600" t="s">
        <v>23</v>
      </c>
      <c r="D600" s="2">
        <v>4985.6485899999998</v>
      </c>
      <c r="E600" s="2">
        <v>0</v>
      </c>
      <c r="F600" s="2">
        <v>4985.6485899999998</v>
      </c>
    </row>
    <row r="601" spans="1:6" x14ac:dyDescent="0.3">
      <c r="A601" s="1">
        <v>39844</v>
      </c>
      <c r="B601" t="s">
        <v>15</v>
      </c>
      <c r="C601" t="s">
        <v>24</v>
      </c>
      <c r="D601" s="2">
        <v>0</v>
      </c>
      <c r="E601" s="2">
        <v>491.68157524999998</v>
      </c>
      <c r="F601" s="2">
        <v>491.68157524999998</v>
      </c>
    </row>
    <row r="602" spans="1:6" x14ac:dyDescent="0.3">
      <c r="A602" s="1">
        <v>39844</v>
      </c>
      <c r="B602" t="s">
        <v>15</v>
      </c>
      <c r="C602" t="s">
        <v>20</v>
      </c>
      <c r="D602" s="2">
        <v>2037.2991251799999</v>
      </c>
      <c r="E602" s="2">
        <v>0</v>
      </c>
      <c r="F602" s="2">
        <v>2037.2991251799999</v>
      </c>
    </row>
    <row r="603" spans="1:6" x14ac:dyDescent="0.3">
      <c r="A603" s="1">
        <v>39844</v>
      </c>
      <c r="B603" t="s">
        <v>15</v>
      </c>
      <c r="C603" t="s">
        <v>25</v>
      </c>
      <c r="D603" s="2">
        <v>1.0529999999999999</v>
      </c>
      <c r="E603" s="2">
        <v>0</v>
      </c>
      <c r="F603" s="2">
        <v>1.0529999999999999</v>
      </c>
    </row>
    <row r="604" spans="1:6" x14ac:dyDescent="0.3">
      <c r="A604" s="1">
        <v>39844</v>
      </c>
      <c r="B604" t="s">
        <v>15</v>
      </c>
      <c r="C604" t="s">
        <v>17</v>
      </c>
      <c r="D604" s="2">
        <v>244799.56437144999</v>
      </c>
      <c r="E604" s="2">
        <v>0</v>
      </c>
      <c r="F604" s="2">
        <v>244799.56437144999</v>
      </c>
    </row>
    <row r="605" spans="1:6" x14ac:dyDescent="0.3">
      <c r="A605" s="1">
        <v>39844</v>
      </c>
      <c r="B605" t="s">
        <v>15</v>
      </c>
      <c r="C605" t="s">
        <v>18</v>
      </c>
      <c r="D605" s="2">
        <v>193809.76280421999</v>
      </c>
      <c r="E605" s="2">
        <v>0</v>
      </c>
      <c r="F605" s="2">
        <v>193809.76280421999</v>
      </c>
    </row>
    <row r="606" spans="1:6" x14ac:dyDescent="0.3">
      <c r="A606" s="1">
        <v>39844</v>
      </c>
      <c r="B606" t="s">
        <v>21</v>
      </c>
      <c r="C606" t="s">
        <v>14</v>
      </c>
      <c r="D606" s="2">
        <v>591137.14910630998</v>
      </c>
      <c r="E606" s="2">
        <v>4291026.5749173099</v>
      </c>
      <c r="F606" s="2">
        <v>4882163.7240236197</v>
      </c>
    </row>
    <row r="607" spans="1:6" x14ac:dyDescent="0.3">
      <c r="A607" s="1">
        <v>39844</v>
      </c>
      <c r="B607" t="s">
        <v>22</v>
      </c>
      <c r="C607" t="s">
        <v>14</v>
      </c>
      <c r="D607" s="2">
        <v>6317298.5150272697</v>
      </c>
      <c r="E607" s="2">
        <v>4314781.3893352803</v>
      </c>
      <c r="F607" s="2">
        <v>10632079.9043626</v>
      </c>
    </row>
    <row r="608" spans="1:6" x14ac:dyDescent="0.3">
      <c r="A608" s="1">
        <v>39872</v>
      </c>
      <c r="B608" t="s">
        <v>6</v>
      </c>
      <c r="C608" t="s">
        <v>7</v>
      </c>
      <c r="D608" s="2">
        <v>1979786.9761999999</v>
      </c>
      <c r="E608" s="2">
        <v>5780.0780000000004</v>
      </c>
      <c r="F608" s="2">
        <v>1985567.0541999999</v>
      </c>
    </row>
    <row r="609" spans="1:6" x14ac:dyDescent="0.3">
      <c r="A609" s="1">
        <v>39872</v>
      </c>
      <c r="B609" t="s">
        <v>6</v>
      </c>
      <c r="C609" t="s">
        <v>9</v>
      </c>
      <c r="D609" s="2">
        <v>606670.23368742003</v>
      </c>
      <c r="E609" s="2">
        <v>2682.93831258</v>
      </c>
      <c r="F609" s="2">
        <v>609353.17200000002</v>
      </c>
    </row>
    <row r="610" spans="1:6" x14ac:dyDescent="0.3">
      <c r="A610" s="1">
        <v>39872</v>
      </c>
      <c r="B610" t="s">
        <v>6</v>
      </c>
      <c r="C610" t="s">
        <v>12</v>
      </c>
      <c r="D610" s="2">
        <v>0</v>
      </c>
      <c r="E610" s="2">
        <v>14000</v>
      </c>
      <c r="F610" s="2">
        <v>14000</v>
      </c>
    </row>
    <row r="611" spans="1:6" x14ac:dyDescent="0.3">
      <c r="A611" s="1">
        <v>39872</v>
      </c>
      <c r="B611" t="s">
        <v>6</v>
      </c>
      <c r="C611" t="s">
        <v>8</v>
      </c>
      <c r="D611" s="2">
        <v>2891333.8983999998</v>
      </c>
      <c r="E611" s="2">
        <v>627.30070000000001</v>
      </c>
      <c r="F611" s="2">
        <v>2891961.1990999999</v>
      </c>
    </row>
    <row r="612" spans="1:6" x14ac:dyDescent="0.3">
      <c r="A612" s="1">
        <v>39872</v>
      </c>
      <c r="B612" t="s">
        <v>6</v>
      </c>
      <c r="C612" t="s">
        <v>10</v>
      </c>
      <c r="D612" s="2">
        <v>511182.78248514002</v>
      </c>
      <c r="E612" s="2">
        <v>327.46905292999998</v>
      </c>
      <c r="F612" s="2">
        <v>511510.25153806998</v>
      </c>
    </row>
    <row r="613" spans="1:6" x14ac:dyDescent="0.3">
      <c r="A613" s="1">
        <v>39872</v>
      </c>
      <c r="B613" t="s">
        <v>15</v>
      </c>
      <c r="C613" t="s">
        <v>16</v>
      </c>
      <c r="D613" s="2">
        <v>29995.18</v>
      </c>
      <c r="E613" s="2">
        <v>0</v>
      </c>
      <c r="F613" s="2">
        <v>29995.18</v>
      </c>
    </row>
    <row r="614" spans="1:6" x14ac:dyDescent="0.3">
      <c r="A614" s="1">
        <v>39872</v>
      </c>
      <c r="B614" t="s">
        <v>15</v>
      </c>
      <c r="C614" t="s">
        <v>23</v>
      </c>
      <c r="D614" s="2">
        <v>4985.6485899999998</v>
      </c>
      <c r="E614" s="2">
        <v>0</v>
      </c>
      <c r="F614" s="2">
        <v>4985.6485899999998</v>
      </c>
    </row>
    <row r="615" spans="1:6" x14ac:dyDescent="0.3">
      <c r="A615" s="1">
        <v>39872</v>
      </c>
      <c r="B615" t="s">
        <v>15</v>
      </c>
      <c r="C615" t="s">
        <v>19</v>
      </c>
      <c r="D615" s="2">
        <v>117374.74299153</v>
      </c>
      <c r="E615" s="2">
        <v>4274071.9576158598</v>
      </c>
      <c r="F615" s="2">
        <v>4391446.7006073901</v>
      </c>
    </row>
    <row r="616" spans="1:6" x14ac:dyDescent="0.3">
      <c r="A616" s="1">
        <v>39872</v>
      </c>
      <c r="B616" t="s">
        <v>15</v>
      </c>
      <c r="C616" t="s">
        <v>24</v>
      </c>
      <c r="D616" s="2">
        <v>0</v>
      </c>
      <c r="E616" s="2">
        <v>491.68157524999998</v>
      </c>
      <c r="F616" s="2">
        <v>491.68157524999998</v>
      </c>
    </row>
    <row r="617" spans="1:6" x14ac:dyDescent="0.3">
      <c r="A617" s="1">
        <v>39872</v>
      </c>
      <c r="B617" t="s">
        <v>15</v>
      </c>
      <c r="C617" t="s">
        <v>20</v>
      </c>
      <c r="D617" s="2">
        <v>1845.7070629899999</v>
      </c>
      <c r="E617" s="2">
        <v>0</v>
      </c>
      <c r="F617" s="2">
        <v>1845.7070629899999</v>
      </c>
    </row>
    <row r="618" spans="1:6" x14ac:dyDescent="0.3">
      <c r="A618" s="1">
        <v>39872</v>
      </c>
      <c r="B618" t="s">
        <v>15</v>
      </c>
      <c r="C618" t="s">
        <v>25</v>
      </c>
      <c r="D618" s="2">
        <v>1.0529999999999999</v>
      </c>
      <c r="E618" s="2">
        <v>0</v>
      </c>
      <c r="F618" s="2">
        <v>1.0529999999999999</v>
      </c>
    </row>
    <row r="619" spans="1:6" x14ac:dyDescent="0.3">
      <c r="A619" s="1">
        <v>39872</v>
      </c>
      <c r="B619" t="s">
        <v>15</v>
      </c>
      <c r="C619" t="s">
        <v>17</v>
      </c>
      <c r="D619" s="2">
        <v>241929.27949444001</v>
      </c>
      <c r="E619" s="2">
        <v>0</v>
      </c>
      <c r="F619" s="2">
        <v>241929.27949444001</v>
      </c>
    </row>
    <row r="620" spans="1:6" x14ac:dyDescent="0.3">
      <c r="A620" s="1">
        <v>39872</v>
      </c>
      <c r="B620" t="s">
        <v>15</v>
      </c>
      <c r="C620" t="s">
        <v>18</v>
      </c>
      <c r="D620" s="2">
        <v>194057.24898674001</v>
      </c>
      <c r="E620" s="2">
        <v>0</v>
      </c>
      <c r="F620" s="2">
        <v>194057.24898674001</v>
      </c>
    </row>
    <row r="621" spans="1:6" x14ac:dyDescent="0.3">
      <c r="A621" s="1">
        <v>39872</v>
      </c>
      <c r="B621" t="s">
        <v>13</v>
      </c>
      <c r="C621" t="s">
        <v>14</v>
      </c>
      <c r="D621" s="2">
        <v>5988973.8907725597</v>
      </c>
      <c r="E621" s="2">
        <v>23417.786065510001</v>
      </c>
      <c r="F621" s="2">
        <v>6012391.6768380702</v>
      </c>
    </row>
    <row r="622" spans="1:6" x14ac:dyDescent="0.3">
      <c r="A622" s="1">
        <v>39872</v>
      </c>
      <c r="B622" t="s">
        <v>21</v>
      </c>
      <c r="C622" t="s">
        <v>14</v>
      </c>
      <c r="D622" s="2">
        <v>590188.86012570001</v>
      </c>
      <c r="E622" s="2">
        <v>4274563.6391911097</v>
      </c>
      <c r="F622" s="2">
        <v>4864753.4993168097</v>
      </c>
    </row>
    <row r="623" spans="1:6" x14ac:dyDescent="0.3">
      <c r="A623" s="1">
        <v>39872</v>
      </c>
      <c r="B623" t="s">
        <v>22</v>
      </c>
      <c r="C623" t="s">
        <v>14</v>
      </c>
      <c r="D623" s="2">
        <v>6579162.7508982597</v>
      </c>
      <c r="E623" s="2">
        <v>4297982.4252566202</v>
      </c>
      <c r="F623" s="2">
        <v>10877145.1761549</v>
      </c>
    </row>
    <row r="624" spans="1:6" x14ac:dyDescent="0.3">
      <c r="A624" s="1">
        <v>39903</v>
      </c>
      <c r="B624" t="s">
        <v>21</v>
      </c>
      <c r="C624" t="s">
        <v>14</v>
      </c>
      <c r="D624" s="2">
        <v>591190.38958870003</v>
      </c>
      <c r="E624" s="2">
        <v>4269629.9727318101</v>
      </c>
      <c r="F624" s="2">
        <v>4860821.3623205097</v>
      </c>
    </row>
    <row r="625" spans="1:6" x14ac:dyDescent="0.3">
      <c r="A625" s="1">
        <v>39903</v>
      </c>
      <c r="B625" t="s">
        <v>22</v>
      </c>
      <c r="C625" t="s">
        <v>14</v>
      </c>
      <c r="D625" s="2">
        <v>6833543.4448632998</v>
      </c>
      <c r="E625" s="2">
        <v>4293397.7205328997</v>
      </c>
      <c r="F625" s="2">
        <v>11126941.1653962</v>
      </c>
    </row>
    <row r="626" spans="1:6" x14ac:dyDescent="0.3">
      <c r="A626" s="1">
        <v>39903</v>
      </c>
      <c r="B626" t="s">
        <v>6</v>
      </c>
      <c r="C626" t="s">
        <v>7</v>
      </c>
      <c r="D626" s="2">
        <v>2027691.2220000001</v>
      </c>
      <c r="E626" s="2">
        <v>5874.2939999999999</v>
      </c>
      <c r="F626" s="2">
        <v>2033565.5160000001</v>
      </c>
    </row>
    <row r="627" spans="1:6" x14ac:dyDescent="0.3">
      <c r="A627" s="1">
        <v>39903</v>
      </c>
      <c r="B627" t="s">
        <v>6</v>
      </c>
      <c r="C627" t="s">
        <v>9</v>
      </c>
      <c r="D627" s="2">
        <v>617627.51287662005</v>
      </c>
      <c r="E627" s="2">
        <v>2920.9234233799998</v>
      </c>
      <c r="F627" s="2">
        <v>620548.43629999994</v>
      </c>
    </row>
    <row r="628" spans="1:6" x14ac:dyDescent="0.3">
      <c r="A628" s="1">
        <v>39903</v>
      </c>
      <c r="B628" t="s">
        <v>6</v>
      </c>
      <c r="C628" t="s">
        <v>12</v>
      </c>
      <c r="D628" s="2">
        <v>0</v>
      </c>
      <c r="E628" s="2">
        <v>14000</v>
      </c>
      <c r="F628" s="2">
        <v>14000</v>
      </c>
    </row>
    <row r="629" spans="1:6" x14ac:dyDescent="0.3">
      <c r="A629" s="1">
        <v>39903</v>
      </c>
      <c r="B629" t="s">
        <v>6</v>
      </c>
      <c r="C629" t="s">
        <v>8</v>
      </c>
      <c r="D629" s="2">
        <v>3084283.2333999998</v>
      </c>
      <c r="E629" s="2">
        <v>603.95669999999996</v>
      </c>
      <c r="F629" s="2">
        <v>3084887.1900999998</v>
      </c>
    </row>
    <row r="630" spans="1:6" x14ac:dyDescent="0.3">
      <c r="A630" s="1">
        <v>39903</v>
      </c>
      <c r="B630" t="s">
        <v>6</v>
      </c>
      <c r="C630" t="s">
        <v>10</v>
      </c>
      <c r="D630" s="2">
        <v>512751.08699798002</v>
      </c>
      <c r="E630" s="2">
        <v>368.57367771000003</v>
      </c>
      <c r="F630" s="2">
        <v>513119.66067568999</v>
      </c>
    </row>
    <row r="631" spans="1:6" x14ac:dyDescent="0.3">
      <c r="A631" s="1">
        <v>39903</v>
      </c>
      <c r="B631" t="s">
        <v>15</v>
      </c>
      <c r="C631" t="s">
        <v>16</v>
      </c>
      <c r="D631" s="2">
        <v>29995.18</v>
      </c>
      <c r="E631" s="2">
        <v>0</v>
      </c>
      <c r="F631" s="2">
        <v>29995.18</v>
      </c>
    </row>
    <row r="632" spans="1:6" x14ac:dyDescent="0.3">
      <c r="A632" s="1">
        <v>39903</v>
      </c>
      <c r="B632" t="s">
        <v>15</v>
      </c>
      <c r="C632" t="s">
        <v>23</v>
      </c>
      <c r="D632" s="2">
        <v>5985.6485899999998</v>
      </c>
      <c r="E632" s="2">
        <v>0</v>
      </c>
      <c r="F632" s="2">
        <v>5985.6485899999998</v>
      </c>
    </row>
    <row r="633" spans="1:6" x14ac:dyDescent="0.3">
      <c r="A633" s="1">
        <v>39903</v>
      </c>
      <c r="B633" t="s">
        <v>15</v>
      </c>
      <c r="C633" t="s">
        <v>19</v>
      </c>
      <c r="D633" s="2">
        <v>119542.96058550999</v>
      </c>
      <c r="E633" s="2">
        <v>4269139.2911565602</v>
      </c>
      <c r="F633" s="2">
        <v>4388682.2517420696</v>
      </c>
    </row>
    <row r="634" spans="1:6" x14ac:dyDescent="0.3">
      <c r="A634" s="1">
        <v>39903</v>
      </c>
      <c r="B634" t="s">
        <v>15</v>
      </c>
      <c r="C634" t="s">
        <v>24</v>
      </c>
      <c r="D634" s="2">
        <v>0</v>
      </c>
      <c r="E634" s="2">
        <v>491.68157524999998</v>
      </c>
      <c r="F634" s="2">
        <v>491.68157524999998</v>
      </c>
    </row>
    <row r="635" spans="1:6" x14ac:dyDescent="0.3">
      <c r="A635" s="1">
        <v>39903</v>
      </c>
      <c r="B635" t="s">
        <v>15</v>
      </c>
      <c r="C635" t="s">
        <v>20</v>
      </c>
      <c r="D635" s="2">
        <v>1594.2822646699999</v>
      </c>
      <c r="E635" s="2">
        <v>0</v>
      </c>
      <c r="F635" s="2">
        <v>1594.2822646699999</v>
      </c>
    </row>
    <row r="636" spans="1:6" x14ac:dyDescent="0.3">
      <c r="A636" s="1">
        <v>39903</v>
      </c>
      <c r="B636" t="s">
        <v>15</v>
      </c>
      <c r="C636" t="s">
        <v>25</v>
      </c>
      <c r="D636" s="2">
        <v>1.0529999999999999</v>
      </c>
      <c r="E636" s="2">
        <v>0</v>
      </c>
      <c r="F636" s="2">
        <v>1.0529999999999999</v>
      </c>
    </row>
    <row r="637" spans="1:6" x14ac:dyDescent="0.3">
      <c r="A637" s="1">
        <v>39903</v>
      </c>
      <c r="B637" t="s">
        <v>15</v>
      </c>
      <c r="C637" t="s">
        <v>17</v>
      </c>
      <c r="D637" s="2">
        <v>240096.14574524999</v>
      </c>
      <c r="E637" s="2">
        <v>0</v>
      </c>
      <c r="F637" s="2">
        <v>240096.14574524999</v>
      </c>
    </row>
    <row r="638" spans="1:6" x14ac:dyDescent="0.3">
      <c r="A638" s="1">
        <v>39903</v>
      </c>
      <c r="B638" t="s">
        <v>15</v>
      </c>
      <c r="C638" t="s">
        <v>18</v>
      </c>
      <c r="D638" s="2">
        <v>193975.11940326999</v>
      </c>
      <c r="E638" s="2">
        <v>0</v>
      </c>
      <c r="F638" s="2">
        <v>193975.11940326999</v>
      </c>
    </row>
    <row r="639" spans="1:6" x14ac:dyDescent="0.3">
      <c r="A639" s="1">
        <v>39903</v>
      </c>
      <c r="B639" t="s">
        <v>13</v>
      </c>
      <c r="C639" t="s">
        <v>14</v>
      </c>
      <c r="D639" s="2">
        <v>6242353.0552746002</v>
      </c>
      <c r="E639" s="2">
        <v>23767.747801090001</v>
      </c>
      <c r="F639" s="2">
        <v>6266120.8030756898</v>
      </c>
    </row>
    <row r="640" spans="1:6" x14ac:dyDescent="0.3">
      <c r="A640" s="1">
        <v>39933</v>
      </c>
      <c r="B640" t="s">
        <v>21</v>
      </c>
      <c r="C640" t="s">
        <v>14</v>
      </c>
      <c r="D640" s="2">
        <v>590674.00819454005</v>
      </c>
      <c r="E640" s="2">
        <v>4284526.7987745097</v>
      </c>
      <c r="F640" s="2">
        <v>4875200.8069690503</v>
      </c>
    </row>
    <row r="641" spans="1:6" x14ac:dyDescent="0.3">
      <c r="A641" s="1">
        <v>39933</v>
      </c>
      <c r="B641" t="s">
        <v>22</v>
      </c>
      <c r="C641" t="s">
        <v>14</v>
      </c>
      <c r="D641" s="2">
        <v>6930824.9434764497</v>
      </c>
      <c r="E641" s="2">
        <v>4307766.8895154996</v>
      </c>
      <c r="F641" s="2">
        <v>11238591.832992001</v>
      </c>
    </row>
    <row r="642" spans="1:6" x14ac:dyDescent="0.3">
      <c r="A642" s="1">
        <v>39933</v>
      </c>
      <c r="B642" t="s">
        <v>6</v>
      </c>
      <c r="C642" t="s">
        <v>7</v>
      </c>
      <c r="D642" s="2">
        <v>1988380.1529999999</v>
      </c>
      <c r="E642" s="2">
        <v>6153.1769999999997</v>
      </c>
      <c r="F642" s="2">
        <v>1994533.33</v>
      </c>
    </row>
    <row r="643" spans="1:6" x14ac:dyDescent="0.3">
      <c r="A643" s="1">
        <v>39933</v>
      </c>
      <c r="B643" t="s">
        <v>6</v>
      </c>
      <c r="C643" t="s">
        <v>9</v>
      </c>
      <c r="D643" s="2">
        <v>618353.0993</v>
      </c>
      <c r="E643" s="2">
        <v>2195.1678000000002</v>
      </c>
      <c r="F643" s="2">
        <v>620548.26710000006</v>
      </c>
    </row>
    <row r="644" spans="1:6" x14ac:dyDescent="0.3">
      <c r="A644" s="1">
        <v>39933</v>
      </c>
      <c r="B644" t="s">
        <v>6</v>
      </c>
      <c r="C644" t="s">
        <v>12</v>
      </c>
      <c r="D644" s="2">
        <v>0</v>
      </c>
      <c r="E644" s="2">
        <v>14000</v>
      </c>
      <c r="F644" s="2">
        <v>14000</v>
      </c>
    </row>
    <row r="645" spans="1:6" x14ac:dyDescent="0.3">
      <c r="A645" s="1">
        <v>39933</v>
      </c>
      <c r="B645" t="s">
        <v>6</v>
      </c>
      <c r="C645" t="s">
        <v>8</v>
      </c>
      <c r="D645" s="2">
        <v>3204051.1806999999</v>
      </c>
      <c r="E645" s="2">
        <v>400.40969999999999</v>
      </c>
      <c r="F645" s="2">
        <v>3204451.5904000001</v>
      </c>
    </row>
    <row r="646" spans="1:6" x14ac:dyDescent="0.3">
      <c r="A646" s="1">
        <v>39933</v>
      </c>
      <c r="B646" t="s">
        <v>6</v>
      </c>
      <c r="C646" t="s">
        <v>10</v>
      </c>
      <c r="D646" s="2">
        <v>529366.50228191004</v>
      </c>
      <c r="E646" s="2">
        <v>491.33624099000002</v>
      </c>
      <c r="F646" s="2">
        <v>529857.83852290001</v>
      </c>
    </row>
    <row r="647" spans="1:6" x14ac:dyDescent="0.3">
      <c r="A647" s="1">
        <v>39933</v>
      </c>
      <c r="B647" t="s">
        <v>15</v>
      </c>
      <c r="C647" t="s">
        <v>16</v>
      </c>
      <c r="D647" s="2">
        <v>29995.18</v>
      </c>
      <c r="E647" s="2">
        <v>0</v>
      </c>
      <c r="F647" s="2">
        <v>29995.18</v>
      </c>
    </row>
    <row r="648" spans="1:6" x14ac:dyDescent="0.3">
      <c r="A648" s="1">
        <v>39933</v>
      </c>
      <c r="B648" t="s">
        <v>15</v>
      </c>
      <c r="C648" t="s">
        <v>23</v>
      </c>
      <c r="D648" s="2">
        <v>6985.6485899999998</v>
      </c>
      <c r="E648" s="2">
        <v>0</v>
      </c>
      <c r="F648" s="2">
        <v>6985.6485899999998</v>
      </c>
    </row>
    <row r="649" spans="1:6" x14ac:dyDescent="0.3">
      <c r="A649" s="1">
        <v>39933</v>
      </c>
      <c r="B649" t="s">
        <v>15</v>
      </c>
      <c r="C649" t="s">
        <v>19</v>
      </c>
      <c r="D649" s="2">
        <v>119870.80636238999</v>
      </c>
      <c r="E649" s="2">
        <v>4284034.9717154</v>
      </c>
      <c r="F649" s="2">
        <v>4403905.7780777896</v>
      </c>
    </row>
    <row r="650" spans="1:6" x14ac:dyDescent="0.3">
      <c r="A650" s="1">
        <v>39933</v>
      </c>
      <c r="B650" t="s">
        <v>15</v>
      </c>
      <c r="C650" t="s">
        <v>24</v>
      </c>
      <c r="D650" s="2">
        <v>0</v>
      </c>
      <c r="E650" s="2">
        <v>491.82705910999999</v>
      </c>
      <c r="F650" s="2">
        <v>491.82705910999999</v>
      </c>
    </row>
    <row r="651" spans="1:6" x14ac:dyDescent="0.3">
      <c r="A651" s="1">
        <v>39933</v>
      </c>
      <c r="B651" t="s">
        <v>15</v>
      </c>
      <c r="C651" t="s">
        <v>20</v>
      </c>
      <c r="D651" s="2">
        <v>1628.40599963</v>
      </c>
      <c r="E651" s="2">
        <v>0</v>
      </c>
      <c r="F651" s="2">
        <v>1628.40599963</v>
      </c>
    </row>
    <row r="652" spans="1:6" x14ac:dyDescent="0.3">
      <c r="A652" s="1">
        <v>39933</v>
      </c>
      <c r="B652" t="s">
        <v>15</v>
      </c>
      <c r="C652" t="s">
        <v>25</v>
      </c>
      <c r="D652" s="2">
        <v>1.0529999999999999</v>
      </c>
      <c r="E652" s="2">
        <v>0</v>
      </c>
      <c r="F652" s="2">
        <v>1.0529999999999999</v>
      </c>
    </row>
    <row r="653" spans="1:6" x14ac:dyDescent="0.3">
      <c r="A653" s="1">
        <v>39933</v>
      </c>
      <c r="B653" t="s">
        <v>15</v>
      </c>
      <c r="C653" t="s">
        <v>17</v>
      </c>
      <c r="D653" s="2">
        <v>238194.74809802001</v>
      </c>
      <c r="E653" s="2">
        <v>0</v>
      </c>
      <c r="F653" s="2">
        <v>238194.74809802001</v>
      </c>
    </row>
    <row r="654" spans="1:6" x14ac:dyDescent="0.3">
      <c r="A654" s="1">
        <v>39933</v>
      </c>
      <c r="B654" t="s">
        <v>15</v>
      </c>
      <c r="C654" t="s">
        <v>18</v>
      </c>
      <c r="D654" s="2">
        <v>193998.16614449999</v>
      </c>
      <c r="E654" s="2">
        <v>0</v>
      </c>
      <c r="F654" s="2">
        <v>193998.16614449999</v>
      </c>
    </row>
    <row r="655" spans="1:6" x14ac:dyDescent="0.3">
      <c r="A655" s="1">
        <v>39933</v>
      </c>
      <c r="B655" t="s">
        <v>13</v>
      </c>
      <c r="C655" t="s">
        <v>14</v>
      </c>
      <c r="D655" s="2">
        <v>6340150.93528191</v>
      </c>
      <c r="E655" s="2">
        <v>23240.090740989999</v>
      </c>
      <c r="F655" s="2">
        <v>6363391.0260228999</v>
      </c>
    </row>
    <row r="656" spans="1:6" x14ac:dyDescent="0.3">
      <c r="A656" s="1">
        <v>39964</v>
      </c>
      <c r="B656" t="s">
        <v>15</v>
      </c>
      <c r="C656" t="s">
        <v>19</v>
      </c>
      <c r="D656" s="2">
        <v>119352.78172273999</v>
      </c>
      <c r="E656" s="2">
        <v>4280070.3662483497</v>
      </c>
      <c r="F656" s="2">
        <v>4399423.1479710899</v>
      </c>
    </row>
    <row r="657" spans="1:6" x14ac:dyDescent="0.3">
      <c r="A657" s="1">
        <v>39964</v>
      </c>
      <c r="B657" t="s">
        <v>15</v>
      </c>
      <c r="C657" t="s">
        <v>24</v>
      </c>
      <c r="D657" s="2">
        <v>0</v>
      </c>
      <c r="E657" s="2">
        <v>491.82705910999999</v>
      </c>
      <c r="F657" s="2">
        <v>491.82705910999999</v>
      </c>
    </row>
    <row r="658" spans="1:6" x14ac:dyDescent="0.3">
      <c r="A658" s="1">
        <v>39964</v>
      </c>
      <c r="B658" t="s">
        <v>15</v>
      </c>
      <c r="C658" t="s">
        <v>20</v>
      </c>
      <c r="D658" s="2">
        <v>1539.5996691099999</v>
      </c>
      <c r="E658" s="2">
        <v>0</v>
      </c>
      <c r="F658" s="2">
        <v>1539.5996691099999</v>
      </c>
    </row>
    <row r="659" spans="1:6" x14ac:dyDescent="0.3">
      <c r="A659" s="1">
        <v>39964</v>
      </c>
      <c r="B659" t="s">
        <v>21</v>
      </c>
      <c r="C659" t="s">
        <v>14</v>
      </c>
      <c r="D659" s="2">
        <v>586768.18291855999</v>
      </c>
      <c r="E659" s="2">
        <v>4280562.1933074603</v>
      </c>
      <c r="F659" s="2">
        <v>4867330.37622602</v>
      </c>
    </row>
    <row r="660" spans="1:6" x14ac:dyDescent="0.3">
      <c r="A660" s="1">
        <v>39964</v>
      </c>
      <c r="B660" t="s">
        <v>22</v>
      </c>
      <c r="C660" t="s">
        <v>14</v>
      </c>
      <c r="D660" s="2">
        <v>7019321.5541748703</v>
      </c>
      <c r="E660" s="2">
        <v>4302278.4109118599</v>
      </c>
      <c r="F660" s="2">
        <v>11321599.9650867</v>
      </c>
    </row>
    <row r="661" spans="1:6" x14ac:dyDescent="0.3">
      <c r="A661" s="1">
        <v>39964</v>
      </c>
      <c r="B661" t="s">
        <v>6</v>
      </c>
      <c r="C661" t="s">
        <v>7</v>
      </c>
      <c r="D661" s="2">
        <v>2059386.6832999999</v>
      </c>
      <c r="E661" s="2">
        <v>6014.6490000000003</v>
      </c>
      <c r="F661" s="2">
        <v>2065401.3322999999</v>
      </c>
    </row>
    <row r="662" spans="1:6" x14ac:dyDescent="0.3">
      <c r="A662" s="1">
        <v>39964</v>
      </c>
      <c r="B662" t="s">
        <v>6</v>
      </c>
      <c r="C662" t="s">
        <v>9</v>
      </c>
      <c r="D662" s="2">
        <v>631734.33990000002</v>
      </c>
      <c r="E662" s="2">
        <v>811.59379999999999</v>
      </c>
      <c r="F662" s="2">
        <v>632545.93370000005</v>
      </c>
    </row>
    <row r="663" spans="1:6" x14ac:dyDescent="0.3">
      <c r="A663" s="1">
        <v>39964</v>
      </c>
      <c r="B663" t="s">
        <v>6</v>
      </c>
      <c r="C663" t="s">
        <v>12</v>
      </c>
      <c r="D663" s="2">
        <v>0</v>
      </c>
      <c r="E663" s="2">
        <v>14000</v>
      </c>
      <c r="F663" s="2">
        <v>14000</v>
      </c>
    </row>
    <row r="664" spans="1:6" x14ac:dyDescent="0.3">
      <c r="A664" s="1">
        <v>39964</v>
      </c>
      <c r="B664" t="s">
        <v>6</v>
      </c>
      <c r="C664" t="s">
        <v>8</v>
      </c>
      <c r="D664" s="2">
        <v>3210871.7888000002</v>
      </c>
      <c r="E664" s="2">
        <v>431.1157</v>
      </c>
      <c r="F664" s="2">
        <v>3211302.9045000002</v>
      </c>
    </row>
    <row r="665" spans="1:6" x14ac:dyDescent="0.3">
      <c r="A665" s="1">
        <v>39964</v>
      </c>
      <c r="B665" t="s">
        <v>6</v>
      </c>
      <c r="C665" t="s">
        <v>10</v>
      </c>
      <c r="D665" s="2">
        <v>530560.55925630999</v>
      </c>
      <c r="E665" s="2">
        <v>458.85910439999998</v>
      </c>
      <c r="F665" s="2">
        <v>531019.41836071003</v>
      </c>
    </row>
    <row r="666" spans="1:6" x14ac:dyDescent="0.3">
      <c r="A666" s="1">
        <v>39964</v>
      </c>
      <c r="B666" t="s">
        <v>15</v>
      </c>
      <c r="C666" t="s">
        <v>16</v>
      </c>
      <c r="D666" s="2">
        <v>29995.18</v>
      </c>
      <c r="E666" s="2">
        <v>0</v>
      </c>
      <c r="F666" s="2">
        <v>29995.18</v>
      </c>
    </row>
    <row r="667" spans="1:6" x14ac:dyDescent="0.3">
      <c r="A667" s="1">
        <v>39964</v>
      </c>
      <c r="B667" t="s">
        <v>15</v>
      </c>
      <c r="C667" t="s">
        <v>23</v>
      </c>
      <c r="D667" s="2">
        <v>6485.6485899999998</v>
      </c>
      <c r="E667" s="2">
        <v>0</v>
      </c>
      <c r="F667" s="2">
        <v>6485.6485899999998</v>
      </c>
    </row>
    <row r="668" spans="1:6" x14ac:dyDescent="0.3">
      <c r="A668" s="1">
        <v>39964</v>
      </c>
      <c r="B668" t="s">
        <v>15</v>
      </c>
      <c r="C668" t="s">
        <v>25</v>
      </c>
      <c r="D668" s="2">
        <v>1.0529999999999999</v>
      </c>
      <c r="E668" s="2">
        <v>0</v>
      </c>
      <c r="F668" s="2">
        <v>1.0529999999999999</v>
      </c>
    </row>
    <row r="669" spans="1:6" x14ac:dyDescent="0.3">
      <c r="A669" s="1">
        <v>39964</v>
      </c>
      <c r="B669" t="s">
        <v>15</v>
      </c>
      <c r="C669" t="s">
        <v>17</v>
      </c>
      <c r="D669" s="2">
        <v>235523.16385079001</v>
      </c>
      <c r="E669" s="2">
        <v>0</v>
      </c>
      <c r="F669" s="2">
        <v>235523.16385079001</v>
      </c>
    </row>
    <row r="670" spans="1:6" x14ac:dyDescent="0.3">
      <c r="A670" s="1">
        <v>39964</v>
      </c>
      <c r="B670" t="s">
        <v>15</v>
      </c>
      <c r="C670" t="s">
        <v>18</v>
      </c>
      <c r="D670" s="2">
        <v>193870.75608592</v>
      </c>
      <c r="E670" s="2">
        <v>0</v>
      </c>
      <c r="F670" s="2">
        <v>193870.75608592</v>
      </c>
    </row>
    <row r="671" spans="1:6" x14ac:dyDescent="0.3">
      <c r="A671" s="1">
        <v>39964</v>
      </c>
      <c r="B671" t="s">
        <v>13</v>
      </c>
      <c r="C671" t="s">
        <v>14</v>
      </c>
      <c r="D671" s="2">
        <v>6432553.3712563096</v>
      </c>
      <c r="E671" s="2">
        <v>21716.217604400001</v>
      </c>
      <c r="F671" s="2">
        <v>6454269.5888607102</v>
      </c>
    </row>
    <row r="672" spans="1:6" x14ac:dyDescent="0.3">
      <c r="A672" s="1">
        <v>39994</v>
      </c>
      <c r="B672" t="s">
        <v>21</v>
      </c>
      <c r="C672" t="s">
        <v>14</v>
      </c>
      <c r="D672" s="2">
        <v>583173.11329016997</v>
      </c>
      <c r="E672" s="2">
        <v>4349992.7354526101</v>
      </c>
      <c r="F672" s="2">
        <v>4933164.8487427803</v>
      </c>
    </row>
    <row r="673" spans="1:6" x14ac:dyDescent="0.3">
      <c r="A673" s="1">
        <v>39994</v>
      </c>
      <c r="B673" t="s">
        <v>22</v>
      </c>
      <c r="C673" t="s">
        <v>14</v>
      </c>
      <c r="D673" s="2">
        <v>7174911.9299287004</v>
      </c>
      <c r="E673" s="2">
        <v>4370362.9122906001</v>
      </c>
      <c r="F673" s="2">
        <v>11545274.842219301</v>
      </c>
    </row>
    <row r="674" spans="1:6" x14ac:dyDescent="0.3">
      <c r="A674" s="1">
        <v>39994</v>
      </c>
      <c r="B674" t="s">
        <v>6</v>
      </c>
      <c r="C674" t="s">
        <v>7</v>
      </c>
      <c r="D674" s="2">
        <v>2000458.0736</v>
      </c>
      <c r="E674" s="2">
        <v>6004.7920000000004</v>
      </c>
      <c r="F674" s="2">
        <v>2006462.8655999999</v>
      </c>
    </row>
    <row r="675" spans="1:6" x14ac:dyDescent="0.3">
      <c r="A675" s="1">
        <v>39994</v>
      </c>
      <c r="B675" t="s">
        <v>6</v>
      </c>
      <c r="C675" t="s">
        <v>9</v>
      </c>
      <c r="D675" s="2">
        <v>642050.36179999996</v>
      </c>
      <c r="E675" s="2">
        <v>1609.9508000000001</v>
      </c>
      <c r="F675" s="2">
        <v>643660.31259999995</v>
      </c>
    </row>
    <row r="676" spans="1:6" x14ac:dyDescent="0.3">
      <c r="A676" s="1">
        <v>39994</v>
      </c>
      <c r="B676" t="s">
        <v>6</v>
      </c>
      <c r="C676" t="s">
        <v>12</v>
      </c>
      <c r="D676" s="2">
        <v>0</v>
      </c>
      <c r="E676" s="2">
        <v>11921</v>
      </c>
      <c r="F676" s="2">
        <v>11921</v>
      </c>
    </row>
    <row r="677" spans="1:6" x14ac:dyDescent="0.3">
      <c r="A677" s="1">
        <v>39994</v>
      </c>
      <c r="B677" t="s">
        <v>6</v>
      </c>
      <c r="C677" t="s">
        <v>8</v>
      </c>
      <c r="D677" s="2">
        <v>3417318.5367999999</v>
      </c>
      <c r="E677" s="2">
        <v>421.57870000000003</v>
      </c>
      <c r="F677" s="2">
        <v>3417740.1154999998</v>
      </c>
    </row>
    <row r="678" spans="1:6" x14ac:dyDescent="0.3">
      <c r="A678" s="1">
        <v>39994</v>
      </c>
      <c r="B678" t="s">
        <v>6</v>
      </c>
      <c r="C678" t="s">
        <v>10</v>
      </c>
      <c r="D678" s="2">
        <v>531912.84443853004</v>
      </c>
      <c r="E678" s="2">
        <v>412.85533799000001</v>
      </c>
      <c r="F678" s="2">
        <v>532325.69977652002</v>
      </c>
    </row>
    <row r="679" spans="1:6" x14ac:dyDescent="0.3">
      <c r="A679" s="1">
        <v>39994</v>
      </c>
      <c r="B679" t="s">
        <v>15</v>
      </c>
      <c r="C679" t="s">
        <v>16</v>
      </c>
      <c r="D679" s="2">
        <v>29995.18</v>
      </c>
      <c r="E679" s="2">
        <v>0</v>
      </c>
      <c r="F679" s="2">
        <v>29995.18</v>
      </c>
    </row>
    <row r="680" spans="1:6" x14ac:dyDescent="0.3">
      <c r="A680" s="1">
        <v>39994</v>
      </c>
      <c r="B680" t="s">
        <v>15</v>
      </c>
      <c r="C680" t="s">
        <v>23</v>
      </c>
      <c r="D680" s="2">
        <v>5985.6485899999998</v>
      </c>
      <c r="E680" s="2">
        <v>0</v>
      </c>
      <c r="F680" s="2">
        <v>5985.6485899999998</v>
      </c>
    </row>
    <row r="681" spans="1:6" x14ac:dyDescent="0.3">
      <c r="A681" s="1">
        <v>39994</v>
      </c>
      <c r="B681" t="s">
        <v>15</v>
      </c>
      <c r="C681" t="s">
        <v>19</v>
      </c>
      <c r="D681" s="2">
        <v>119112.4983263</v>
      </c>
      <c r="E681" s="2">
        <v>4349500.9083935004</v>
      </c>
      <c r="F681" s="2">
        <v>4468613.4067198001</v>
      </c>
    </row>
    <row r="682" spans="1:6" x14ac:dyDescent="0.3">
      <c r="A682" s="1">
        <v>39994</v>
      </c>
      <c r="B682" t="s">
        <v>15</v>
      </c>
      <c r="C682" t="s">
        <v>24</v>
      </c>
      <c r="D682" s="2">
        <v>0</v>
      </c>
      <c r="E682" s="2">
        <v>491.82705910999999</v>
      </c>
      <c r="F682" s="2">
        <v>491.82705910999999</v>
      </c>
    </row>
    <row r="683" spans="1:6" x14ac:dyDescent="0.3">
      <c r="A683" s="1">
        <v>39994</v>
      </c>
      <c r="B683" t="s">
        <v>15</v>
      </c>
      <c r="C683" t="s">
        <v>20</v>
      </c>
      <c r="D683" s="2">
        <v>1522.3297562400001</v>
      </c>
      <c r="E683" s="2">
        <v>0</v>
      </c>
      <c r="F683" s="2">
        <v>1522.3297562400001</v>
      </c>
    </row>
    <row r="684" spans="1:6" x14ac:dyDescent="0.3">
      <c r="A684" s="1">
        <v>39994</v>
      </c>
      <c r="B684" t="s">
        <v>15</v>
      </c>
      <c r="C684" t="s">
        <v>25</v>
      </c>
      <c r="D684" s="2">
        <v>1.0529999999999999</v>
      </c>
      <c r="E684" s="2">
        <v>0</v>
      </c>
      <c r="F684" s="2">
        <v>1.0529999999999999</v>
      </c>
    </row>
    <row r="685" spans="1:6" x14ac:dyDescent="0.3">
      <c r="A685" s="1">
        <v>39994</v>
      </c>
      <c r="B685" t="s">
        <v>15</v>
      </c>
      <c r="C685" t="s">
        <v>17</v>
      </c>
      <c r="D685" s="2">
        <v>232964.85325987</v>
      </c>
      <c r="E685" s="2">
        <v>0</v>
      </c>
      <c r="F685" s="2">
        <v>232964.85325987</v>
      </c>
    </row>
    <row r="686" spans="1:6" x14ac:dyDescent="0.3">
      <c r="A686" s="1">
        <v>39994</v>
      </c>
      <c r="B686" t="s">
        <v>15</v>
      </c>
      <c r="C686" t="s">
        <v>18</v>
      </c>
      <c r="D686" s="2">
        <v>193591.55035775999</v>
      </c>
      <c r="E686" s="2">
        <v>0</v>
      </c>
      <c r="F686" s="2">
        <v>193591.55035775999</v>
      </c>
    </row>
    <row r="687" spans="1:6" x14ac:dyDescent="0.3">
      <c r="A687" s="1">
        <v>39994</v>
      </c>
      <c r="B687" t="s">
        <v>13</v>
      </c>
      <c r="C687" t="s">
        <v>14</v>
      </c>
      <c r="D687" s="2">
        <v>6591739.8166385302</v>
      </c>
      <c r="E687" s="2">
        <v>20370.176837989999</v>
      </c>
      <c r="F687" s="2">
        <v>6612109.9934765203</v>
      </c>
    </row>
    <row r="688" spans="1:6" x14ac:dyDescent="0.3">
      <c r="A688" s="1">
        <v>40025</v>
      </c>
      <c r="B688" t="s">
        <v>22</v>
      </c>
      <c r="C688" t="s">
        <v>14</v>
      </c>
      <c r="D688" s="2">
        <v>7335598.1875499301</v>
      </c>
      <c r="E688" s="2">
        <v>4333677.60847326</v>
      </c>
      <c r="F688" s="2">
        <v>11669276.796023199</v>
      </c>
    </row>
    <row r="689" spans="1:6" x14ac:dyDescent="0.3">
      <c r="A689" s="1">
        <v>40025</v>
      </c>
      <c r="B689" t="s">
        <v>6</v>
      </c>
      <c r="C689" t="s">
        <v>7</v>
      </c>
      <c r="D689" s="2">
        <v>2014175.5363</v>
      </c>
      <c r="E689" s="2">
        <v>6308.3109999999997</v>
      </c>
      <c r="F689" s="2">
        <v>2020483.8473</v>
      </c>
    </row>
    <row r="690" spans="1:6" x14ac:dyDescent="0.3">
      <c r="A690" s="1">
        <v>40025</v>
      </c>
      <c r="B690" t="s">
        <v>6</v>
      </c>
      <c r="C690" t="s">
        <v>9</v>
      </c>
      <c r="D690" s="2">
        <v>653069.4044</v>
      </c>
      <c r="E690" s="2">
        <v>1775.9590000000001</v>
      </c>
      <c r="F690" s="2">
        <v>654845.36340000003</v>
      </c>
    </row>
    <row r="691" spans="1:6" x14ac:dyDescent="0.3">
      <c r="A691" s="1">
        <v>40025</v>
      </c>
      <c r="B691" t="s">
        <v>6</v>
      </c>
      <c r="C691" t="s">
        <v>12</v>
      </c>
      <c r="D691" s="2">
        <v>0</v>
      </c>
      <c r="E691" s="2">
        <v>11921</v>
      </c>
      <c r="F691" s="2">
        <v>11921</v>
      </c>
    </row>
    <row r="692" spans="1:6" x14ac:dyDescent="0.3">
      <c r="A692" s="1">
        <v>40025</v>
      </c>
      <c r="B692" t="s">
        <v>6</v>
      </c>
      <c r="C692" t="s">
        <v>8</v>
      </c>
      <c r="D692" s="2">
        <v>3546950.3270999999</v>
      </c>
      <c r="E692" s="2">
        <v>532.01199999999994</v>
      </c>
      <c r="F692" s="2">
        <v>3547482.3391</v>
      </c>
    </row>
    <row r="693" spans="1:6" x14ac:dyDescent="0.3">
      <c r="A693" s="1">
        <v>40025</v>
      </c>
      <c r="B693" t="s">
        <v>6</v>
      </c>
      <c r="C693" t="s">
        <v>10</v>
      </c>
      <c r="D693" s="2">
        <v>547610.62998428999</v>
      </c>
      <c r="E693" s="2">
        <v>437.63618115000003</v>
      </c>
      <c r="F693" s="2">
        <v>548048.26616543997</v>
      </c>
    </row>
    <row r="694" spans="1:6" x14ac:dyDescent="0.3">
      <c r="A694" s="1">
        <v>40025</v>
      </c>
      <c r="B694" t="s">
        <v>15</v>
      </c>
      <c r="C694" t="s">
        <v>16</v>
      </c>
      <c r="D694" s="2">
        <v>29995.18</v>
      </c>
      <c r="E694" s="2">
        <v>0</v>
      </c>
      <c r="F694" s="2">
        <v>29995.18</v>
      </c>
    </row>
    <row r="695" spans="1:6" x14ac:dyDescent="0.3">
      <c r="A695" s="1">
        <v>40025</v>
      </c>
      <c r="B695" t="s">
        <v>15</v>
      </c>
      <c r="C695" t="s">
        <v>23</v>
      </c>
      <c r="D695" s="2">
        <v>5485.6485899999998</v>
      </c>
      <c r="E695" s="2">
        <v>0</v>
      </c>
      <c r="F695" s="2">
        <v>5485.6485899999998</v>
      </c>
    </row>
    <row r="696" spans="1:6" x14ac:dyDescent="0.3">
      <c r="A696" s="1">
        <v>40025</v>
      </c>
      <c r="B696" t="s">
        <v>15</v>
      </c>
      <c r="C696" t="s">
        <v>19</v>
      </c>
      <c r="D696" s="2">
        <v>119570.44409478</v>
      </c>
      <c r="E696" s="2">
        <v>4312210.6535529904</v>
      </c>
      <c r="F696" s="2">
        <v>4431781.0976477703</v>
      </c>
    </row>
    <row r="697" spans="1:6" x14ac:dyDescent="0.3">
      <c r="A697" s="1">
        <v>40025</v>
      </c>
      <c r="B697" t="s">
        <v>15</v>
      </c>
      <c r="C697" t="s">
        <v>24</v>
      </c>
      <c r="D697" s="2">
        <v>0</v>
      </c>
      <c r="E697" s="2">
        <v>492.03673911999999</v>
      </c>
      <c r="F697" s="2">
        <v>492.03673911999999</v>
      </c>
    </row>
    <row r="698" spans="1:6" x14ac:dyDescent="0.3">
      <c r="A698" s="1">
        <v>40025</v>
      </c>
      <c r="B698" t="s">
        <v>15</v>
      </c>
      <c r="C698" t="s">
        <v>20</v>
      </c>
      <c r="D698" s="2">
        <v>1573.52023837</v>
      </c>
      <c r="E698" s="2">
        <v>0</v>
      </c>
      <c r="F698" s="2">
        <v>1573.52023837</v>
      </c>
    </row>
    <row r="699" spans="1:6" x14ac:dyDescent="0.3">
      <c r="A699" s="1">
        <v>40025</v>
      </c>
      <c r="B699" t="s">
        <v>15</v>
      </c>
      <c r="C699" t="s">
        <v>25</v>
      </c>
      <c r="D699" s="2">
        <v>1.0529999999999999</v>
      </c>
      <c r="E699" s="2">
        <v>0</v>
      </c>
      <c r="F699" s="2">
        <v>1.0529999999999999</v>
      </c>
    </row>
    <row r="700" spans="1:6" x14ac:dyDescent="0.3">
      <c r="A700" s="1">
        <v>40025</v>
      </c>
      <c r="B700" t="s">
        <v>15</v>
      </c>
      <c r="C700" t="s">
        <v>17</v>
      </c>
      <c r="D700" s="2">
        <v>223900.58616375999</v>
      </c>
      <c r="E700" s="2">
        <v>0</v>
      </c>
      <c r="F700" s="2">
        <v>223900.58616375999</v>
      </c>
    </row>
    <row r="701" spans="1:6" x14ac:dyDescent="0.3">
      <c r="A701" s="1">
        <v>40025</v>
      </c>
      <c r="B701" t="s">
        <v>15</v>
      </c>
      <c r="C701" t="s">
        <v>18</v>
      </c>
      <c r="D701" s="2">
        <v>193266.85767873001</v>
      </c>
      <c r="E701" s="2">
        <v>0</v>
      </c>
      <c r="F701" s="2">
        <v>193266.85767873001</v>
      </c>
    </row>
    <row r="702" spans="1:6" x14ac:dyDescent="0.3">
      <c r="A702" s="1">
        <v>40025</v>
      </c>
      <c r="B702" t="s">
        <v>13</v>
      </c>
      <c r="C702" t="s">
        <v>14</v>
      </c>
      <c r="D702" s="2">
        <v>6761805.8977842899</v>
      </c>
      <c r="E702" s="2">
        <v>20974.918181149998</v>
      </c>
      <c r="F702" s="2">
        <v>6782780.8159654401</v>
      </c>
    </row>
    <row r="703" spans="1:6" x14ac:dyDescent="0.3">
      <c r="A703" s="1">
        <v>40025</v>
      </c>
      <c r="B703" t="s">
        <v>21</v>
      </c>
      <c r="C703" t="s">
        <v>14</v>
      </c>
      <c r="D703" s="2">
        <v>573793.28976564005</v>
      </c>
      <c r="E703" s="2">
        <v>4312702.6902921097</v>
      </c>
      <c r="F703" s="2">
        <v>4886494.9800577499</v>
      </c>
    </row>
    <row r="704" spans="1:6" x14ac:dyDescent="0.3">
      <c r="A704" s="1">
        <v>40056</v>
      </c>
      <c r="B704" t="s">
        <v>15</v>
      </c>
      <c r="C704" t="s">
        <v>16</v>
      </c>
      <c r="D704" s="2">
        <v>29995.18</v>
      </c>
      <c r="E704" s="2">
        <v>0</v>
      </c>
      <c r="F704" s="2">
        <v>29995.18</v>
      </c>
    </row>
    <row r="705" spans="1:6" x14ac:dyDescent="0.3">
      <c r="A705" s="1">
        <v>40056</v>
      </c>
      <c r="B705" t="s">
        <v>15</v>
      </c>
      <c r="C705" t="s">
        <v>23</v>
      </c>
      <c r="D705" s="2">
        <v>4485.6485899999998</v>
      </c>
      <c r="E705" s="2">
        <v>0</v>
      </c>
      <c r="F705" s="2">
        <v>4485.6485899999998</v>
      </c>
    </row>
    <row r="706" spans="1:6" x14ac:dyDescent="0.3">
      <c r="A706" s="1">
        <v>40056</v>
      </c>
      <c r="B706" t="s">
        <v>15</v>
      </c>
      <c r="C706" t="s">
        <v>19</v>
      </c>
      <c r="D706" s="2">
        <v>118945.3309113</v>
      </c>
      <c r="E706" s="2">
        <v>4306997.9521893896</v>
      </c>
      <c r="F706" s="2">
        <v>4425942.2831006898</v>
      </c>
    </row>
    <row r="707" spans="1:6" x14ac:dyDescent="0.3">
      <c r="A707" s="1">
        <v>40056</v>
      </c>
      <c r="B707" t="s">
        <v>15</v>
      </c>
      <c r="C707" t="s">
        <v>24</v>
      </c>
      <c r="D707" s="2">
        <v>0</v>
      </c>
      <c r="E707" s="2">
        <v>492.03673911999999</v>
      </c>
      <c r="F707" s="2">
        <v>492.03673911999999</v>
      </c>
    </row>
    <row r="708" spans="1:6" x14ac:dyDescent="0.3">
      <c r="A708" s="1">
        <v>40056</v>
      </c>
      <c r="B708" t="s">
        <v>15</v>
      </c>
      <c r="C708" t="s">
        <v>20</v>
      </c>
      <c r="D708" s="2">
        <v>1555.8196767699999</v>
      </c>
      <c r="E708" s="2">
        <v>0</v>
      </c>
      <c r="F708" s="2">
        <v>1555.8196767699999</v>
      </c>
    </row>
    <row r="709" spans="1:6" x14ac:dyDescent="0.3">
      <c r="A709" s="1">
        <v>40056</v>
      </c>
      <c r="B709" t="s">
        <v>15</v>
      </c>
      <c r="C709" t="s">
        <v>25</v>
      </c>
      <c r="D709" s="2">
        <v>1.0529999999999999</v>
      </c>
      <c r="E709" s="2">
        <v>0</v>
      </c>
      <c r="F709" s="2">
        <v>1.0529999999999999</v>
      </c>
    </row>
    <row r="710" spans="1:6" x14ac:dyDescent="0.3">
      <c r="A710" s="1">
        <v>40056</v>
      </c>
      <c r="B710" t="s">
        <v>15</v>
      </c>
      <c r="C710" t="s">
        <v>17</v>
      </c>
      <c r="D710" s="2">
        <v>218336.49731949999</v>
      </c>
      <c r="E710" s="2">
        <v>0</v>
      </c>
      <c r="F710" s="2">
        <v>218336.49731949999</v>
      </c>
    </row>
    <row r="711" spans="1:6" x14ac:dyDescent="0.3">
      <c r="A711" s="1">
        <v>40056</v>
      </c>
      <c r="B711" t="s">
        <v>15</v>
      </c>
      <c r="C711" t="s">
        <v>18</v>
      </c>
      <c r="D711" s="2">
        <v>192822.17318216001</v>
      </c>
      <c r="E711" s="2">
        <v>0</v>
      </c>
      <c r="F711" s="2">
        <v>192822.17318216001</v>
      </c>
    </row>
    <row r="712" spans="1:6" x14ac:dyDescent="0.3">
      <c r="A712" s="1">
        <v>40056</v>
      </c>
      <c r="B712" t="s">
        <v>13</v>
      </c>
      <c r="C712" t="s">
        <v>14</v>
      </c>
      <c r="D712" s="2">
        <v>6918003.7725937301</v>
      </c>
      <c r="E712" s="2">
        <v>21236.461594349999</v>
      </c>
      <c r="F712" s="2">
        <v>6939239.2341880798</v>
      </c>
    </row>
    <row r="713" spans="1:6" x14ac:dyDescent="0.3">
      <c r="A713" s="1">
        <v>40056</v>
      </c>
      <c r="B713" t="s">
        <v>21</v>
      </c>
      <c r="C713" t="s">
        <v>14</v>
      </c>
      <c r="D713" s="2">
        <v>566140.70267973002</v>
      </c>
      <c r="E713" s="2">
        <v>4307489.9889285099</v>
      </c>
      <c r="F713" s="2">
        <v>4873630.6916082399</v>
      </c>
    </row>
    <row r="714" spans="1:6" x14ac:dyDescent="0.3">
      <c r="A714" s="1">
        <v>40056</v>
      </c>
      <c r="B714" t="s">
        <v>22</v>
      </c>
      <c r="C714" t="s">
        <v>14</v>
      </c>
      <c r="D714" s="2">
        <v>7484145.4752734601</v>
      </c>
      <c r="E714" s="2">
        <v>4328725.4505228596</v>
      </c>
      <c r="F714" s="2">
        <v>11812869.9257963</v>
      </c>
    </row>
    <row r="715" spans="1:6" x14ac:dyDescent="0.3">
      <c r="A715" s="1">
        <v>40056</v>
      </c>
      <c r="B715" t="s">
        <v>6</v>
      </c>
      <c r="C715" t="s">
        <v>7</v>
      </c>
      <c r="D715" s="2">
        <v>2062264.6421000001</v>
      </c>
      <c r="E715" s="2">
        <v>6229.84</v>
      </c>
      <c r="F715" s="2">
        <v>2068494.4820999999</v>
      </c>
    </row>
    <row r="716" spans="1:6" x14ac:dyDescent="0.3">
      <c r="A716" s="1">
        <v>40056</v>
      </c>
      <c r="B716" t="s">
        <v>6</v>
      </c>
      <c r="C716" t="s">
        <v>9</v>
      </c>
      <c r="D716" s="2">
        <v>665743.82825000002</v>
      </c>
      <c r="E716" s="2">
        <v>2032.375</v>
      </c>
      <c r="F716" s="2">
        <v>667776.20325000002</v>
      </c>
    </row>
    <row r="717" spans="1:6" x14ac:dyDescent="0.3">
      <c r="A717" s="1">
        <v>40056</v>
      </c>
      <c r="B717" t="s">
        <v>6</v>
      </c>
      <c r="C717" t="s">
        <v>12</v>
      </c>
      <c r="D717" s="2">
        <v>0</v>
      </c>
      <c r="E717" s="2">
        <v>11921</v>
      </c>
      <c r="F717" s="2">
        <v>11921</v>
      </c>
    </row>
    <row r="718" spans="1:6" x14ac:dyDescent="0.3">
      <c r="A718" s="1">
        <v>40056</v>
      </c>
      <c r="B718" t="s">
        <v>6</v>
      </c>
      <c r="C718" t="s">
        <v>8</v>
      </c>
      <c r="D718" s="2">
        <v>3638048.6973999999</v>
      </c>
      <c r="E718" s="2">
        <v>586.27599999999995</v>
      </c>
      <c r="F718" s="2">
        <v>3638634.9734</v>
      </c>
    </row>
    <row r="719" spans="1:6" x14ac:dyDescent="0.3">
      <c r="A719" s="1">
        <v>40056</v>
      </c>
      <c r="B719" t="s">
        <v>6</v>
      </c>
      <c r="C719" t="s">
        <v>10</v>
      </c>
      <c r="D719" s="2">
        <v>551946.60484372999</v>
      </c>
      <c r="E719" s="2">
        <v>465.97059435</v>
      </c>
      <c r="F719" s="2">
        <v>552412.57543808001</v>
      </c>
    </row>
    <row r="720" spans="1:6" x14ac:dyDescent="0.3">
      <c r="A720" s="1">
        <v>40086</v>
      </c>
      <c r="B720" t="s">
        <v>21</v>
      </c>
      <c r="C720" t="s">
        <v>14</v>
      </c>
      <c r="D720" s="2">
        <v>563924.23224260996</v>
      </c>
      <c r="E720" s="2">
        <v>4336171.9590205904</v>
      </c>
      <c r="F720" s="2">
        <v>4900096.1912631998</v>
      </c>
    </row>
    <row r="721" spans="1:6" x14ac:dyDescent="0.3">
      <c r="A721" s="1">
        <v>40086</v>
      </c>
      <c r="B721" t="s">
        <v>6</v>
      </c>
      <c r="C721" t="s">
        <v>7</v>
      </c>
      <c r="D721" s="2">
        <v>1986173.4469000001</v>
      </c>
      <c r="E721" s="2">
        <v>6334.4589999999998</v>
      </c>
      <c r="F721" s="2">
        <v>1992507.9058999999</v>
      </c>
    </row>
    <row r="722" spans="1:6" x14ac:dyDescent="0.3">
      <c r="A722" s="1">
        <v>40086</v>
      </c>
      <c r="B722" t="s">
        <v>6</v>
      </c>
      <c r="C722" t="s">
        <v>9</v>
      </c>
      <c r="D722" s="2">
        <v>677490.86734999996</v>
      </c>
      <c r="E722" s="2">
        <v>2309.1709999999998</v>
      </c>
      <c r="F722" s="2">
        <v>679800.03835000005</v>
      </c>
    </row>
    <row r="723" spans="1:6" x14ac:dyDescent="0.3">
      <c r="A723" s="1">
        <v>40086</v>
      </c>
      <c r="B723" t="s">
        <v>6</v>
      </c>
      <c r="C723" t="s">
        <v>12</v>
      </c>
      <c r="D723" s="2">
        <v>0</v>
      </c>
      <c r="E723" s="2">
        <v>11921</v>
      </c>
      <c r="F723" s="2">
        <v>11921</v>
      </c>
    </row>
    <row r="724" spans="1:6" x14ac:dyDescent="0.3">
      <c r="A724" s="1">
        <v>40086</v>
      </c>
      <c r="B724" t="s">
        <v>6</v>
      </c>
      <c r="C724" t="s">
        <v>8</v>
      </c>
      <c r="D724" s="2">
        <v>3772964.3659000001</v>
      </c>
      <c r="E724" s="2">
        <v>802.84199999999998</v>
      </c>
      <c r="F724" s="2">
        <v>3773767.2078999998</v>
      </c>
    </row>
    <row r="725" spans="1:6" x14ac:dyDescent="0.3">
      <c r="A725" s="1">
        <v>40086</v>
      </c>
      <c r="B725" t="s">
        <v>6</v>
      </c>
      <c r="C725" t="s">
        <v>10</v>
      </c>
      <c r="D725" s="2">
        <v>551308.42274203</v>
      </c>
      <c r="E725" s="2">
        <v>427.81279914999999</v>
      </c>
      <c r="F725" s="2">
        <v>551736.23554118001</v>
      </c>
    </row>
    <row r="726" spans="1:6" x14ac:dyDescent="0.3">
      <c r="A726" s="1">
        <v>40086</v>
      </c>
      <c r="B726" t="s">
        <v>15</v>
      </c>
      <c r="C726" t="s">
        <v>16</v>
      </c>
      <c r="D726" s="2">
        <v>29995.18</v>
      </c>
      <c r="E726" s="2">
        <v>0</v>
      </c>
      <c r="F726" s="2">
        <v>29995.18</v>
      </c>
    </row>
    <row r="727" spans="1:6" x14ac:dyDescent="0.3">
      <c r="A727" s="1">
        <v>40086</v>
      </c>
      <c r="B727" t="s">
        <v>15</v>
      </c>
      <c r="C727" t="s">
        <v>23</v>
      </c>
      <c r="D727" s="2">
        <v>4885.6485899999998</v>
      </c>
      <c r="E727" s="2">
        <v>0</v>
      </c>
      <c r="F727" s="2">
        <v>4885.6485899999998</v>
      </c>
    </row>
    <row r="728" spans="1:6" x14ac:dyDescent="0.3">
      <c r="A728" s="1">
        <v>40086</v>
      </c>
      <c r="B728" t="s">
        <v>15</v>
      </c>
      <c r="C728" t="s">
        <v>19</v>
      </c>
      <c r="D728" s="2">
        <v>118635.55106319</v>
      </c>
      <c r="E728" s="2">
        <v>4335679.9222814701</v>
      </c>
      <c r="F728" s="2">
        <v>4454316.4733446604</v>
      </c>
    </row>
    <row r="729" spans="1:6" x14ac:dyDescent="0.3">
      <c r="A729" s="1">
        <v>40086</v>
      </c>
      <c r="B729" t="s">
        <v>15</v>
      </c>
      <c r="C729" t="s">
        <v>24</v>
      </c>
      <c r="D729" s="2">
        <v>0</v>
      </c>
      <c r="E729" s="2">
        <v>492.03673911999999</v>
      </c>
      <c r="F729" s="2">
        <v>492.03673911999999</v>
      </c>
    </row>
    <row r="730" spans="1:6" x14ac:dyDescent="0.3">
      <c r="A730" s="1">
        <v>40086</v>
      </c>
      <c r="B730" t="s">
        <v>15</v>
      </c>
      <c r="C730" t="s">
        <v>20</v>
      </c>
      <c r="D730" s="2">
        <v>1466.451192</v>
      </c>
      <c r="E730" s="2">
        <v>0</v>
      </c>
      <c r="F730" s="2">
        <v>1466.451192</v>
      </c>
    </row>
    <row r="731" spans="1:6" x14ac:dyDescent="0.3">
      <c r="A731" s="1">
        <v>40086</v>
      </c>
      <c r="B731" t="s">
        <v>15</v>
      </c>
      <c r="C731" t="s">
        <v>25</v>
      </c>
      <c r="D731" s="2">
        <v>1.0529999999999999</v>
      </c>
      <c r="E731" s="2">
        <v>0</v>
      </c>
      <c r="F731" s="2">
        <v>1.0529999999999999</v>
      </c>
    </row>
    <row r="732" spans="1:6" x14ac:dyDescent="0.3">
      <c r="A732" s="1">
        <v>40086</v>
      </c>
      <c r="B732" t="s">
        <v>15</v>
      </c>
      <c r="C732" t="s">
        <v>17</v>
      </c>
      <c r="D732" s="2">
        <v>216487.88070343999</v>
      </c>
      <c r="E732" s="2">
        <v>0</v>
      </c>
      <c r="F732" s="2">
        <v>216487.88070343999</v>
      </c>
    </row>
    <row r="733" spans="1:6" x14ac:dyDescent="0.3">
      <c r="A733" s="1">
        <v>40086</v>
      </c>
      <c r="B733" t="s">
        <v>15</v>
      </c>
      <c r="C733" t="s">
        <v>18</v>
      </c>
      <c r="D733" s="2">
        <v>192452.46769398</v>
      </c>
      <c r="E733" s="2">
        <v>0</v>
      </c>
      <c r="F733" s="2">
        <v>192452.46769398</v>
      </c>
    </row>
    <row r="734" spans="1:6" x14ac:dyDescent="0.3">
      <c r="A734" s="1">
        <v>40086</v>
      </c>
      <c r="B734" t="s">
        <v>13</v>
      </c>
      <c r="C734" t="s">
        <v>14</v>
      </c>
      <c r="D734" s="2">
        <v>6987937.10289203</v>
      </c>
      <c r="E734" s="2">
        <v>21796.284799149998</v>
      </c>
      <c r="F734" s="2">
        <v>7009733.3876911802</v>
      </c>
    </row>
    <row r="735" spans="1:6" x14ac:dyDescent="0.3">
      <c r="A735" s="1">
        <v>40086</v>
      </c>
      <c r="B735" t="s">
        <v>22</v>
      </c>
      <c r="C735" t="s">
        <v>14</v>
      </c>
      <c r="D735" s="2">
        <v>7551862.3351346403</v>
      </c>
      <c r="E735" s="2">
        <v>4357967.2438197397</v>
      </c>
      <c r="F735" s="2">
        <v>11909828.5789544</v>
      </c>
    </row>
    <row r="736" spans="1:6" x14ac:dyDescent="0.3">
      <c r="A736" s="1">
        <v>40117</v>
      </c>
      <c r="B736" t="s">
        <v>6</v>
      </c>
      <c r="C736" t="s">
        <v>7</v>
      </c>
      <c r="D736" s="2">
        <v>1852330.9062000001</v>
      </c>
      <c r="E736" s="2">
        <v>6175.8090000000002</v>
      </c>
      <c r="F736" s="2">
        <v>1858506.7152</v>
      </c>
    </row>
    <row r="737" spans="1:6" x14ac:dyDescent="0.3">
      <c r="A737" s="1">
        <v>40117</v>
      </c>
      <c r="B737" t="s">
        <v>6</v>
      </c>
      <c r="C737" t="s">
        <v>9</v>
      </c>
      <c r="D737" s="2">
        <v>689020.60265000002</v>
      </c>
      <c r="E737" s="2">
        <v>2867.056</v>
      </c>
      <c r="F737" s="2">
        <v>691887.65865</v>
      </c>
    </row>
    <row r="738" spans="1:6" x14ac:dyDescent="0.3">
      <c r="A738" s="1">
        <v>40117</v>
      </c>
      <c r="B738" t="s">
        <v>6</v>
      </c>
      <c r="C738" t="s">
        <v>12</v>
      </c>
      <c r="D738" s="2">
        <v>0</v>
      </c>
      <c r="E738" s="2">
        <v>11921</v>
      </c>
      <c r="F738" s="2">
        <v>11921</v>
      </c>
    </row>
    <row r="739" spans="1:6" x14ac:dyDescent="0.3">
      <c r="A739" s="1">
        <v>40117</v>
      </c>
      <c r="B739" t="s">
        <v>6</v>
      </c>
      <c r="C739" t="s">
        <v>8</v>
      </c>
      <c r="D739" s="2">
        <v>3816792.1486999998</v>
      </c>
      <c r="E739" s="2">
        <v>1431.5889999999999</v>
      </c>
      <c r="F739" s="2">
        <v>3818223.7376999999</v>
      </c>
    </row>
    <row r="740" spans="1:6" x14ac:dyDescent="0.3">
      <c r="A740" s="1">
        <v>40117</v>
      </c>
      <c r="B740" t="s">
        <v>6</v>
      </c>
      <c r="C740" t="s">
        <v>10</v>
      </c>
      <c r="D740" s="2">
        <v>566785.98960782005</v>
      </c>
      <c r="E740" s="2">
        <v>307.70137631</v>
      </c>
      <c r="F740" s="2">
        <v>567093.69098413002</v>
      </c>
    </row>
    <row r="741" spans="1:6" x14ac:dyDescent="0.3">
      <c r="A741" s="1">
        <v>40117</v>
      </c>
      <c r="B741" t="s">
        <v>15</v>
      </c>
      <c r="C741" t="s">
        <v>16</v>
      </c>
      <c r="D741" s="2">
        <v>29995.18</v>
      </c>
      <c r="E741" s="2">
        <v>0</v>
      </c>
      <c r="F741" s="2">
        <v>29995.18</v>
      </c>
    </row>
    <row r="742" spans="1:6" x14ac:dyDescent="0.3">
      <c r="A742" s="1">
        <v>40117</v>
      </c>
      <c r="B742" t="s">
        <v>15</v>
      </c>
      <c r="C742" t="s">
        <v>23</v>
      </c>
      <c r="D742" s="2">
        <v>4385.6485899999998</v>
      </c>
      <c r="E742" s="2">
        <v>0</v>
      </c>
      <c r="F742" s="2">
        <v>4385.6485899999998</v>
      </c>
    </row>
    <row r="743" spans="1:6" x14ac:dyDescent="0.3">
      <c r="A743" s="1">
        <v>40117</v>
      </c>
      <c r="B743" t="s">
        <v>15</v>
      </c>
      <c r="C743" t="s">
        <v>19</v>
      </c>
      <c r="D743" s="2">
        <v>119127.02776738</v>
      </c>
      <c r="E743" s="2">
        <v>4382008.1827605497</v>
      </c>
      <c r="F743" s="2">
        <v>4501135.2105279304</v>
      </c>
    </row>
    <row r="744" spans="1:6" x14ac:dyDescent="0.3">
      <c r="A744" s="1">
        <v>40117</v>
      </c>
      <c r="B744" t="s">
        <v>15</v>
      </c>
      <c r="C744" t="s">
        <v>24</v>
      </c>
      <c r="D744" s="2">
        <v>0</v>
      </c>
      <c r="E744" s="2">
        <v>492.26369613000003</v>
      </c>
      <c r="F744" s="2">
        <v>492.26369613000003</v>
      </c>
    </row>
    <row r="745" spans="1:6" x14ac:dyDescent="0.3">
      <c r="A745" s="1">
        <v>40117</v>
      </c>
      <c r="B745" t="s">
        <v>15</v>
      </c>
      <c r="C745" t="s">
        <v>20</v>
      </c>
      <c r="D745" s="2">
        <v>1491.7259535200001</v>
      </c>
      <c r="E745" s="2">
        <v>0</v>
      </c>
      <c r="F745" s="2">
        <v>1491.7259535200001</v>
      </c>
    </row>
    <row r="746" spans="1:6" x14ac:dyDescent="0.3">
      <c r="A746" s="1">
        <v>40117</v>
      </c>
      <c r="B746" t="s">
        <v>15</v>
      </c>
      <c r="C746" t="s">
        <v>25</v>
      </c>
      <c r="D746" s="2">
        <v>1.0529999999999999</v>
      </c>
      <c r="E746" s="2">
        <v>0</v>
      </c>
      <c r="F746" s="2">
        <v>1.0529999999999999</v>
      </c>
    </row>
    <row r="747" spans="1:6" x14ac:dyDescent="0.3">
      <c r="A747" s="1">
        <v>40117</v>
      </c>
      <c r="B747" t="s">
        <v>15</v>
      </c>
      <c r="C747" t="s">
        <v>17</v>
      </c>
      <c r="D747" s="2">
        <v>215785.04204803999</v>
      </c>
      <c r="E747" s="2">
        <v>0</v>
      </c>
      <c r="F747" s="2">
        <v>215785.04204803999</v>
      </c>
    </row>
    <row r="748" spans="1:6" x14ac:dyDescent="0.3">
      <c r="A748" s="1">
        <v>40117</v>
      </c>
      <c r="B748" t="s">
        <v>15</v>
      </c>
      <c r="C748" t="s">
        <v>18</v>
      </c>
      <c r="D748" s="2">
        <v>192171.68283367</v>
      </c>
      <c r="E748" s="2">
        <v>0</v>
      </c>
      <c r="F748" s="2">
        <v>192171.68283367</v>
      </c>
    </row>
    <row r="749" spans="1:6" x14ac:dyDescent="0.3">
      <c r="A749" s="1">
        <v>40117</v>
      </c>
      <c r="B749" t="s">
        <v>13</v>
      </c>
      <c r="C749" t="s">
        <v>14</v>
      </c>
      <c r="D749" s="2">
        <v>6924929.6471578199</v>
      </c>
      <c r="E749" s="2">
        <v>22703.155376309998</v>
      </c>
      <c r="F749" s="2">
        <v>6947632.8025341304</v>
      </c>
    </row>
    <row r="750" spans="1:6" x14ac:dyDescent="0.3">
      <c r="A750" s="1">
        <v>40117</v>
      </c>
      <c r="B750" t="s">
        <v>21</v>
      </c>
      <c r="C750" t="s">
        <v>14</v>
      </c>
      <c r="D750" s="2">
        <v>562957.36019260995</v>
      </c>
      <c r="E750" s="2">
        <v>4382501.4464566801</v>
      </c>
      <c r="F750" s="2">
        <v>4945457.80664929</v>
      </c>
    </row>
    <row r="751" spans="1:6" x14ac:dyDescent="0.3">
      <c r="A751" s="1">
        <v>40117</v>
      </c>
      <c r="B751" t="s">
        <v>22</v>
      </c>
      <c r="C751" t="s">
        <v>14</v>
      </c>
      <c r="D751" s="2">
        <v>7487887.0073504299</v>
      </c>
      <c r="E751" s="2">
        <v>4405203.6018329896</v>
      </c>
      <c r="F751" s="2">
        <v>11893090.609183401</v>
      </c>
    </row>
    <row r="752" spans="1:6" x14ac:dyDescent="0.3">
      <c r="A752" s="1">
        <v>40147</v>
      </c>
      <c r="B752" t="s">
        <v>13</v>
      </c>
      <c r="C752" t="s">
        <v>14</v>
      </c>
      <c r="D752" s="2">
        <v>7151894.3071085401</v>
      </c>
      <c r="E752" s="2">
        <v>22679.401163660001</v>
      </c>
      <c r="F752" s="2">
        <v>7174572.7082722001</v>
      </c>
    </row>
    <row r="753" spans="1:6" x14ac:dyDescent="0.3">
      <c r="A753" s="1">
        <v>40147</v>
      </c>
      <c r="B753" t="s">
        <v>21</v>
      </c>
      <c r="C753" t="s">
        <v>14</v>
      </c>
      <c r="D753" s="2">
        <v>560492.64600010996</v>
      </c>
      <c r="E753" s="2">
        <v>4377982.4427268198</v>
      </c>
      <c r="F753" s="2">
        <v>4938475.0887269303</v>
      </c>
    </row>
    <row r="754" spans="1:6" x14ac:dyDescent="0.3">
      <c r="A754" s="1">
        <v>40147</v>
      </c>
      <c r="B754" t="s">
        <v>22</v>
      </c>
      <c r="C754" t="s">
        <v>14</v>
      </c>
      <c r="D754" s="2">
        <v>7712386.9531086497</v>
      </c>
      <c r="E754" s="2">
        <v>4400659.8438904798</v>
      </c>
      <c r="F754" s="2">
        <v>12113047.796999101</v>
      </c>
    </row>
    <row r="755" spans="1:6" x14ac:dyDescent="0.3">
      <c r="A755" s="1">
        <v>40147</v>
      </c>
      <c r="B755" t="s">
        <v>6</v>
      </c>
      <c r="C755" t="s">
        <v>7</v>
      </c>
      <c r="D755" s="2">
        <v>1844697.6187</v>
      </c>
      <c r="E755" s="2">
        <v>5801.8050000000003</v>
      </c>
      <c r="F755" s="2">
        <v>1850499.4236999999</v>
      </c>
    </row>
    <row r="756" spans="1:6" x14ac:dyDescent="0.3">
      <c r="A756" s="1">
        <v>40147</v>
      </c>
      <c r="B756" t="s">
        <v>6</v>
      </c>
      <c r="C756" t="s">
        <v>9</v>
      </c>
      <c r="D756" s="2">
        <v>701634.04874999996</v>
      </c>
      <c r="E756" s="2">
        <v>3227.8229999999999</v>
      </c>
      <c r="F756" s="2">
        <v>704861.87175000005</v>
      </c>
    </row>
    <row r="757" spans="1:6" x14ac:dyDescent="0.3">
      <c r="A757" s="1">
        <v>40147</v>
      </c>
      <c r="B757" t="s">
        <v>6</v>
      </c>
      <c r="C757" t="s">
        <v>12</v>
      </c>
      <c r="D757" s="2">
        <v>0</v>
      </c>
      <c r="E757" s="2">
        <v>11921</v>
      </c>
      <c r="F757" s="2">
        <v>11921</v>
      </c>
    </row>
    <row r="758" spans="1:6" x14ac:dyDescent="0.3">
      <c r="A758" s="1">
        <v>40147</v>
      </c>
      <c r="B758" t="s">
        <v>6</v>
      </c>
      <c r="C758" t="s">
        <v>8</v>
      </c>
      <c r="D758" s="2">
        <v>4038278.0227000001</v>
      </c>
      <c r="E758" s="2">
        <v>1497.874</v>
      </c>
      <c r="F758" s="2">
        <v>4039775.8966999999</v>
      </c>
    </row>
    <row r="759" spans="1:6" x14ac:dyDescent="0.3">
      <c r="A759" s="1">
        <v>40147</v>
      </c>
      <c r="B759" t="s">
        <v>6</v>
      </c>
      <c r="C759" t="s">
        <v>10</v>
      </c>
      <c r="D759" s="2">
        <v>567284.61695854005</v>
      </c>
      <c r="E759" s="2">
        <v>229.89916366</v>
      </c>
      <c r="F759" s="2">
        <v>567514.51612219994</v>
      </c>
    </row>
    <row r="760" spans="1:6" x14ac:dyDescent="0.3">
      <c r="A760" s="1">
        <v>40147</v>
      </c>
      <c r="B760" t="s">
        <v>15</v>
      </c>
      <c r="C760" t="s">
        <v>16</v>
      </c>
      <c r="D760" s="2">
        <v>29995.18</v>
      </c>
      <c r="E760" s="2">
        <v>0</v>
      </c>
      <c r="F760" s="2">
        <v>29995.18</v>
      </c>
    </row>
    <row r="761" spans="1:6" x14ac:dyDescent="0.3">
      <c r="A761" s="1">
        <v>40147</v>
      </c>
      <c r="B761" t="s">
        <v>15</v>
      </c>
      <c r="C761" t="s">
        <v>23</v>
      </c>
      <c r="D761" s="2">
        <v>4385.6485899999998</v>
      </c>
      <c r="E761" s="2">
        <v>0</v>
      </c>
      <c r="F761" s="2">
        <v>4385.6485899999998</v>
      </c>
    </row>
    <row r="762" spans="1:6" x14ac:dyDescent="0.3">
      <c r="A762" s="1">
        <v>40147</v>
      </c>
      <c r="B762" t="s">
        <v>15</v>
      </c>
      <c r="C762" t="s">
        <v>19</v>
      </c>
      <c r="D762" s="2">
        <v>119918.70984295</v>
      </c>
      <c r="E762" s="2">
        <v>4377489.1790306903</v>
      </c>
      <c r="F762" s="2">
        <v>4497407.8888736404</v>
      </c>
    </row>
    <row r="763" spans="1:6" x14ac:dyDescent="0.3">
      <c r="A763" s="1">
        <v>40147</v>
      </c>
      <c r="B763" t="s">
        <v>15</v>
      </c>
      <c r="C763" t="s">
        <v>24</v>
      </c>
      <c r="D763" s="2">
        <v>0</v>
      </c>
      <c r="E763" s="2">
        <v>492.26369613000003</v>
      </c>
      <c r="F763" s="2">
        <v>492.26369613000003</v>
      </c>
    </row>
    <row r="764" spans="1:6" x14ac:dyDescent="0.3">
      <c r="A764" s="1">
        <v>40147</v>
      </c>
      <c r="B764" t="s">
        <v>15</v>
      </c>
      <c r="C764" t="s">
        <v>20</v>
      </c>
      <c r="D764" s="2">
        <v>1501.47912202</v>
      </c>
      <c r="E764" s="2">
        <v>0</v>
      </c>
      <c r="F764" s="2">
        <v>1501.47912202</v>
      </c>
    </row>
    <row r="765" spans="1:6" x14ac:dyDescent="0.3">
      <c r="A765" s="1">
        <v>40147</v>
      </c>
      <c r="B765" t="s">
        <v>15</v>
      </c>
      <c r="C765" t="s">
        <v>25</v>
      </c>
      <c r="D765" s="2">
        <v>1.0529999999999999</v>
      </c>
      <c r="E765" s="2">
        <v>0</v>
      </c>
      <c r="F765" s="2">
        <v>1.0529999999999999</v>
      </c>
    </row>
    <row r="766" spans="1:6" x14ac:dyDescent="0.3">
      <c r="A766" s="1">
        <v>40147</v>
      </c>
      <c r="B766" t="s">
        <v>15</v>
      </c>
      <c r="C766" t="s">
        <v>17</v>
      </c>
      <c r="D766" s="2">
        <v>212891.08760016999</v>
      </c>
      <c r="E766" s="2">
        <v>0</v>
      </c>
      <c r="F766" s="2">
        <v>212891.08760016999</v>
      </c>
    </row>
    <row r="767" spans="1:6" x14ac:dyDescent="0.3">
      <c r="A767" s="1">
        <v>40147</v>
      </c>
      <c r="B767" t="s">
        <v>15</v>
      </c>
      <c r="C767" t="s">
        <v>18</v>
      </c>
      <c r="D767" s="2">
        <v>191799.48784496999</v>
      </c>
      <c r="E767" s="2">
        <v>0</v>
      </c>
      <c r="F767" s="2">
        <v>191799.48784496999</v>
      </c>
    </row>
    <row r="768" spans="1:6" x14ac:dyDescent="0.3">
      <c r="A768" s="1">
        <v>40178</v>
      </c>
      <c r="B768" t="s">
        <v>13</v>
      </c>
      <c r="C768" t="s">
        <v>14</v>
      </c>
      <c r="D768" s="2">
        <v>7249847.8953502597</v>
      </c>
      <c r="E768" s="2">
        <v>22648.08816205</v>
      </c>
      <c r="F768" s="2">
        <v>7272495.9835123103</v>
      </c>
    </row>
    <row r="769" spans="1:6" x14ac:dyDescent="0.3">
      <c r="A769" s="1">
        <v>40178</v>
      </c>
      <c r="B769" t="s">
        <v>21</v>
      </c>
      <c r="C769" t="s">
        <v>14</v>
      </c>
      <c r="D769" s="2">
        <v>561161.08291987004</v>
      </c>
      <c r="E769" s="2">
        <v>4477692.6706833802</v>
      </c>
      <c r="F769" s="2">
        <v>5038852.7536032498</v>
      </c>
    </row>
    <row r="770" spans="1:6" x14ac:dyDescent="0.3">
      <c r="A770" s="1">
        <v>40178</v>
      </c>
      <c r="B770" t="s">
        <v>22</v>
      </c>
      <c r="C770" t="s">
        <v>14</v>
      </c>
      <c r="D770" s="2">
        <v>7811008.9782701302</v>
      </c>
      <c r="E770" s="2">
        <v>4500340.7588454299</v>
      </c>
      <c r="F770" s="2">
        <v>12311349.737115599</v>
      </c>
    </row>
    <row r="771" spans="1:6" x14ac:dyDescent="0.3">
      <c r="A771" s="1">
        <v>40178</v>
      </c>
      <c r="B771" t="s">
        <v>6</v>
      </c>
      <c r="C771" t="s">
        <v>7</v>
      </c>
      <c r="D771" s="2">
        <v>1787913.4842999999</v>
      </c>
      <c r="E771" s="2">
        <v>5567.0140000000001</v>
      </c>
      <c r="F771" s="2">
        <v>1793480.4983000001</v>
      </c>
    </row>
    <row r="772" spans="1:6" x14ac:dyDescent="0.3">
      <c r="A772" s="1">
        <v>40178</v>
      </c>
      <c r="B772" t="s">
        <v>6</v>
      </c>
      <c r="C772" t="s">
        <v>9</v>
      </c>
      <c r="D772" s="2">
        <v>714672.12824999995</v>
      </c>
      <c r="E772" s="2">
        <v>3259.0520000000001</v>
      </c>
      <c r="F772" s="2">
        <v>717931.18024999998</v>
      </c>
    </row>
    <row r="773" spans="1:6" x14ac:dyDescent="0.3">
      <c r="A773" s="1">
        <v>40178</v>
      </c>
      <c r="B773" t="s">
        <v>6</v>
      </c>
      <c r="C773" t="s">
        <v>12</v>
      </c>
      <c r="D773" s="2">
        <v>0</v>
      </c>
      <c r="E773" s="2">
        <v>11921</v>
      </c>
      <c r="F773" s="2">
        <v>11921</v>
      </c>
    </row>
    <row r="774" spans="1:6" x14ac:dyDescent="0.3">
      <c r="A774" s="1">
        <v>40178</v>
      </c>
      <c r="B774" t="s">
        <v>6</v>
      </c>
      <c r="C774" t="s">
        <v>8</v>
      </c>
      <c r="D774" s="2">
        <v>4179411.7048999998</v>
      </c>
      <c r="E774" s="2">
        <v>1696.2850000000001</v>
      </c>
      <c r="F774" s="2">
        <v>4181107.9898999999</v>
      </c>
    </row>
    <row r="775" spans="1:6" x14ac:dyDescent="0.3">
      <c r="A775" s="1">
        <v>40178</v>
      </c>
      <c r="B775" t="s">
        <v>6</v>
      </c>
      <c r="C775" t="s">
        <v>10</v>
      </c>
      <c r="D775" s="2">
        <v>567850.57790025999</v>
      </c>
      <c r="E775" s="2">
        <v>204.73716204999999</v>
      </c>
      <c r="F775" s="2">
        <v>568055.31506230996</v>
      </c>
    </row>
    <row r="776" spans="1:6" x14ac:dyDescent="0.3">
      <c r="A776" s="1">
        <v>40178</v>
      </c>
      <c r="B776" t="s">
        <v>15</v>
      </c>
      <c r="C776" t="s">
        <v>16</v>
      </c>
      <c r="D776" s="2">
        <v>29995.18</v>
      </c>
      <c r="E776" s="2">
        <v>0</v>
      </c>
      <c r="F776" s="2">
        <v>29995.18</v>
      </c>
    </row>
    <row r="777" spans="1:6" x14ac:dyDescent="0.3">
      <c r="A777" s="1">
        <v>40178</v>
      </c>
      <c r="B777" t="s">
        <v>15</v>
      </c>
      <c r="C777" t="s">
        <v>23</v>
      </c>
      <c r="D777" s="2">
        <v>4385.6485899999998</v>
      </c>
      <c r="E777" s="2">
        <v>0</v>
      </c>
      <c r="F777" s="2">
        <v>4385.6485899999998</v>
      </c>
    </row>
    <row r="778" spans="1:6" x14ac:dyDescent="0.3">
      <c r="A778" s="1">
        <v>40178</v>
      </c>
      <c r="B778" t="s">
        <v>15</v>
      </c>
      <c r="C778" t="s">
        <v>19</v>
      </c>
      <c r="D778" s="2">
        <v>119932.30742652999</v>
      </c>
      <c r="E778" s="2">
        <v>4477200.4069872499</v>
      </c>
      <c r="F778" s="2">
        <v>4597131.7144137798</v>
      </c>
    </row>
    <row r="779" spans="1:6" x14ac:dyDescent="0.3">
      <c r="A779" s="1">
        <v>40178</v>
      </c>
      <c r="B779" t="s">
        <v>15</v>
      </c>
      <c r="C779" t="s">
        <v>24</v>
      </c>
      <c r="D779" s="2">
        <v>0</v>
      </c>
      <c r="E779" s="2">
        <v>492.26369613000003</v>
      </c>
      <c r="F779" s="2">
        <v>492.26369613000003</v>
      </c>
    </row>
    <row r="780" spans="1:6" x14ac:dyDescent="0.3">
      <c r="A780" s="1">
        <v>40178</v>
      </c>
      <c r="B780" t="s">
        <v>15</v>
      </c>
      <c r="C780" t="s">
        <v>20</v>
      </c>
      <c r="D780" s="2">
        <v>1411.3694091299999</v>
      </c>
      <c r="E780" s="2">
        <v>0</v>
      </c>
      <c r="F780" s="2">
        <v>1411.3694091299999</v>
      </c>
    </row>
    <row r="781" spans="1:6" x14ac:dyDescent="0.3">
      <c r="A781" s="1">
        <v>40178</v>
      </c>
      <c r="B781" t="s">
        <v>15</v>
      </c>
      <c r="C781" t="s">
        <v>25</v>
      </c>
      <c r="D781" s="2">
        <v>1.0529999999999999</v>
      </c>
      <c r="E781" s="2">
        <v>0</v>
      </c>
      <c r="F781" s="2">
        <v>1.0529999999999999</v>
      </c>
    </row>
    <row r="782" spans="1:6" x14ac:dyDescent="0.3">
      <c r="A782" s="1">
        <v>40178</v>
      </c>
      <c r="B782" t="s">
        <v>15</v>
      </c>
      <c r="C782" t="s">
        <v>17</v>
      </c>
      <c r="D782" s="2">
        <v>214137.71561585</v>
      </c>
      <c r="E782" s="2">
        <v>0</v>
      </c>
      <c r="F782" s="2">
        <v>214137.71561585</v>
      </c>
    </row>
    <row r="783" spans="1:6" x14ac:dyDescent="0.3">
      <c r="A783" s="1">
        <v>40178</v>
      </c>
      <c r="B783" t="s">
        <v>15</v>
      </c>
      <c r="C783" t="s">
        <v>18</v>
      </c>
      <c r="D783" s="2">
        <v>191297.80887836</v>
      </c>
      <c r="E783" s="2">
        <v>0</v>
      </c>
      <c r="F783" s="2">
        <v>191297.80887836</v>
      </c>
    </row>
    <row r="784" spans="1:6" x14ac:dyDescent="0.3">
      <c r="A784" s="1">
        <v>40209</v>
      </c>
      <c r="B784" t="s">
        <v>22</v>
      </c>
      <c r="C784" t="s">
        <v>14</v>
      </c>
      <c r="D784" s="2">
        <v>7759489.6597597897</v>
      </c>
      <c r="E784" s="2">
        <v>4519146.0231550504</v>
      </c>
      <c r="F784" s="2">
        <v>12278635.782914801</v>
      </c>
    </row>
    <row r="785" spans="1:6" x14ac:dyDescent="0.3">
      <c r="A785" s="1">
        <v>40209</v>
      </c>
      <c r="B785" t="s">
        <v>6</v>
      </c>
      <c r="C785" t="s">
        <v>7</v>
      </c>
      <c r="D785" s="2">
        <v>1683757.419</v>
      </c>
      <c r="E785" s="2">
        <v>5695.2610000000004</v>
      </c>
      <c r="F785" s="2">
        <v>1689452.68</v>
      </c>
    </row>
    <row r="786" spans="1:6" x14ac:dyDescent="0.3">
      <c r="A786" s="1">
        <v>40209</v>
      </c>
      <c r="B786" t="s">
        <v>6</v>
      </c>
      <c r="C786" t="s">
        <v>9</v>
      </c>
      <c r="D786" s="2">
        <v>727748.65375000006</v>
      </c>
      <c r="E786" s="2">
        <v>3687.0889999999999</v>
      </c>
      <c r="F786" s="2">
        <v>731435.74274999998</v>
      </c>
    </row>
    <row r="787" spans="1:6" x14ac:dyDescent="0.3">
      <c r="A787" s="1">
        <v>40209</v>
      </c>
      <c r="B787" t="s">
        <v>6</v>
      </c>
      <c r="C787" t="s">
        <v>12</v>
      </c>
      <c r="D787" s="2">
        <v>0</v>
      </c>
      <c r="E787" s="2">
        <v>11921.24</v>
      </c>
      <c r="F787" s="2">
        <v>11921.25</v>
      </c>
    </row>
    <row r="788" spans="1:6" x14ac:dyDescent="0.3">
      <c r="A788" s="1">
        <v>40209</v>
      </c>
      <c r="B788" t="s">
        <v>6</v>
      </c>
      <c r="C788" t="s">
        <v>8</v>
      </c>
      <c r="D788" s="2">
        <v>4227723.1473000003</v>
      </c>
      <c r="E788" s="2">
        <v>1746.9079999999999</v>
      </c>
      <c r="F788" s="2">
        <v>4229470.0553000001</v>
      </c>
    </row>
    <row r="789" spans="1:6" x14ac:dyDescent="0.3">
      <c r="A789" s="1">
        <v>40209</v>
      </c>
      <c r="B789" t="s">
        <v>6</v>
      </c>
      <c r="C789" t="s">
        <v>10</v>
      </c>
      <c r="D789" s="2">
        <v>564070.03995948995</v>
      </c>
      <c r="E789" s="2">
        <v>201.30156205</v>
      </c>
      <c r="F789" s="2">
        <v>564271.34152153996</v>
      </c>
    </row>
    <row r="790" spans="1:6" x14ac:dyDescent="0.3">
      <c r="A790" s="1">
        <v>40209</v>
      </c>
      <c r="B790" t="s">
        <v>15</v>
      </c>
      <c r="C790" t="s">
        <v>16</v>
      </c>
      <c r="D790" s="2">
        <v>29995.18</v>
      </c>
      <c r="E790" s="2">
        <v>0</v>
      </c>
      <c r="F790" s="2">
        <v>29995.18</v>
      </c>
    </row>
    <row r="791" spans="1:6" x14ac:dyDescent="0.3">
      <c r="A791" s="1">
        <v>40209</v>
      </c>
      <c r="B791" t="s">
        <v>15</v>
      </c>
      <c r="C791" t="s">
        <v>23</v>
      </c>
      <c r="D791" s="2">
        <v>5385.6485899999998</v>
      </c>
      <c r="E791" s="2">
        <v>0</v>
      </c>
      <c r="F791" s="2">
        <v>5385.6485899999998</v>
      </c>
    </row>
    <row r="792" spans="1:6" x14ac:dyDescent="0.3">
      <c r="A792" s="1">
        <v>40209</v>
      </c>
      <c r="B792" t="s">
        <v>15</v>
      </c>
      <c r="C792" t="s">
        <v>19</v>
      </c>
      <c r="D792" s="2">
        <v>120791.58101654</v>
      </c>
      <c r="E792" s="2">
        <v>4495401.8705611201</v>
      </c>
      <c r="F792" s="2">
        <v>4616192.5415776595</v>
      </c>
    </row>
    <row r="793" spans="1:6" x14ac:dyDescent="0.3">
      <c r="A793" s="1">
        <v>40209</v>
      </c>
      <c r="B793" t="s">
        <v>15</v>
      </c>
      <c r="C793" t="s">
        <v>24</v>
      </c>
      <c r="D793" s="2">
        <v>0</v>
      </c>
      <c r="E793" s="2">
        <v>492.35303188</v>
      </c>
      <c r="F793" s="2">
        <v>492.35303188</v>
      </c>
    </row>
    <row r="794" spans="1:6" x14ac:dyDescent="0.3">
      <c r="A794" s="1">
        <v>40209</v>
      </c>
      <c r="B794" t="s">
        <v>15</v>
      </c>
      <c r="C794" t="s">
        <v>20</v>
      </c>
      <c r="D794" s="2">
        <v>1457.76148599</v>
      </c>
      <c r="E794" s="2">
        <v>0</v>
      </c>
      <c r="F794" s="2">
        <v>1457.76148599</v>
      </c>
    </row>
    <row r="795" spans="1:6" x14ac:dyDescent="0.3">
      <c r="A795" s="1">
        <v>40209</v>
      </c>
      <c r="B795" t="s">
        <v>15</v>
      </c>
      <c r="C795" t="s">
        <v>25</v>
      </c>
      <c r="D795" s="2">
        <v>1.0529999999999999</v>
      </c>
      <c r="E795" s="2">
        <v>0</v>
      </c>
      <c r="F795" s="2">
        <v>1.0529999999999999</v>
      </c>
    </row>
    <row r="796" spans="1:6" x14ac:dyDescent="0.3">
      <c r="A796" s="1">
        <v>40209</v>
      </c>
      <c r="B796" t="s">
        <v>15</v>
      </c>
      <c r="C796" t="s">
        <v>17</v>
      </c>
      <c r="D796" s="2">
        <v>207658.46954396999</v>
      </c>
      <c r="E796" s="2">
        <v>0</v>
      </c>
      <c r="F796" s="2">
        <v>207658.46954396999</v>
      </c>
    </row>
    <row r="797" spans="1:6" x14ac:dyDescent="0.3">
      <c r="A797" s="1">
        <v>40209</v>
      </c>
      <c r="B797" t="s">
        <v>15</v>
      </c>
      <c r="C797" t="s">
        <v>18</v>
      </c>
      <c r="D797" s="2">
        <v>190900.7061138</v>
      </c>
      <c r="E797" s="2">
        <v>0</v>
      </c>
      <c r="F797" s="2">
        <v>190900.7061138</v>
      </c>
    </row>
    <row r="798" spans="1:6" x14ac:dyDescent="0.3">
      <c r="A798" s="1">
        <v>40209</v>
      </c>
      <c r="B798" t="s">
        <v>13</v>
      </c>
      <c r="C798" t="s">
        <v>14</v>
      </c>
      <c r="D798" s="2">
        <v>7203299.26000949</v>
      </c>
      <c r="E798" s="2">
        <v>23251.799562050001</v>
      </c>
      <c r="F798" s="2">
        <v>7226551.0695715398</v>
      </c>
    </row>
    <row r="799" spans="1:6" x14ac:dyDescent="0.3">
      <c r="A799" s="1">
        <v>40209</v>
      </c>
      <c r="B799" t="s">
        <v>21</v>
      </c>
      <c r="C799" t="s">
        <v>14</v>
      </c>
      <c r="D799" s="2">
        <v>556191.39975029998</v>
      </c>
      <c r="E799" s="2">
        <v>4495894.2235930003</v>
      </c>
      <c r="F799" s="2">
        <v>5052084.7133432999</v>
      </c>
    </row>
    <row r="800" spans="1:6" x14ac:dyDescent="0.3">
      <c r="A800" s="1">
        <v>40237</v>
      </c>
      <c r="B800" t="s">
        <v>6</v>
      </c>
      <c r="C800" t="s">
        <v>12</v>
      </c>
      <c r="D800" s="2">
        <v>0</v>
      </c>
      <c r="E800" s="2">
        <v>11921.24</v>
      </c>
      <c r="F800" s="2">
        <v>11921.25</v>
      </c>
    </row>
    <row r="801" spans="1:6" x14ac:dyDescent="0.3">
      <c r="A801" s="1">
        <v>40237</v>
      </c>
      <c r="B801" t="s">
        <v>6</v>
      </c>
      <c r="C801" t="s">
        <v>10</v>
      </c>
      <c r="D801" s="2">
        <v>571228.41439789999</v>
      </c>
      <c r="E801" s="2">
        <v>206.53722033</v>
      </c>
      <c r="F801" s="2">
        <v>571434.95161822997</v>
      </c>
    </row>
    <row r="802" spans="1:6" x14ac:dyDescent="0.3">
      <c r="A802" s="1">
        <v>40237</v>
      </c>
      <c r="B802" t="s">
        <v>15</v>
      </c>
      <c r="C802" t="s">
        <v>16</v>
      </c>
      <c r="D802" s="2">
        <v>29995.18</v>
      </c>
      <c r="E802" s="2">
        <v>0</v>
      </c>
      <c r="F802" s="2">
        <v>29995.18</v>
      </c>
    </row>
    <row r="803" spans="1:6" x14ac:dyDescent="0.3">
      <c r="A803" s="1">
        <v>40237</v>
      </c>
      <c r="B803" t="s">
        <v>15</v>
      </c>
      <c r="C803" t="s">
        <v>23</v>
      </c>
      <c r="D803" s="2">
        <v>5385.6485899999998</v>
      </c>
      <c r="E803" s="2">
        <v>0</v>
      </c>
      <c r="F803" s="2">
        <v>5385.6485899999998</v>
      </c>
    </row>
    <row r="804" spans="1:6" x14ac:dyDescent="0.3">
      <c r="A804" s="1">
        <v>40237</v>
      </c>
      <c r="B804" t="s">
        <v>15</v>
      </c>
      <c r="C804" t="s">
        <v>19</v>
      </c>
      <c r="D804" s="2">
        <v>122135.18998344</v>
      </c>
      <c r="E804" s="2">
        <v>4479701.6124847401</v>
      </c>
      <c r="F804" s="2">
        <v>4601836.8924681796</v>
      </c>
    </row>
    <row r="805" spans="1:6" x14ac:dyDescent="0.3">
      <c r="A805" s="1">
        <v>40237</v>
      </c>
      <c r="B805" t="s">
        <v>15</v>
      </c>
      <c r="C805" t="s">
        <v>24</v>
      </c>
      <c r="D805" s="2">
        <v>0</v>
      </c>
      <c r="E805" s="2">
        <v>492.35303188</v>
      </c>
      <c r="F805" s="2">
        <v>492.35303188</v>
      </c>
    </row>
    <row r="806" spans="1:6" x14ac:dyDescent="0.3">
      <c r="A806" s="1">
        <v>40237</v>
      </c>
      <c r="B806" t="s">
        <v>15</v>
      </c>
      <c r="C806" t="s">
        <v>20</v>
      </c>
      <c r="D806" s="2">
        <v>1181.4918122900001</v>
      </c>
      <c r="E806" s="2">
        <v>0</v>
      </c>
      <c r="F806" s="2">
        <v>1181.4918122900001</v>
      </c>
    </row>
    <row r="807" spans="1:6" x14ac:dyDescent="0.3">
      <c r="A807" s="1">
        <v>40237</v>
      </c>
      <c r="B807" t="s">
        <v>15</v>
      </c>
      <c r="C807" t="s">
        <v>25</v>
      </c>
      <c r="D807" s="2">
        <v>1.0529999999999999</v>
      </c>
      <c r="E807" s="2">
        <v>0</v>
      </c>
      <c r="F807" s="2">
        <v>1.0529999999999999</v>
      </c>
    </row>
    <row r="808" spans="1:6" x14ac:dyDescent="0.3">
      <c r="A808" s="1">
        <v>40237</v>
      </c>
      <c r="B808" t="s">
        <v>15</v>
      </c>
      <c r="C808" t="s">
        <v>17</v>
      </c>
      <c r="D808" s="2">
        <v>204133.05622257999</v>
      </c>
      <c r="E808" s="2">
        <v>0</v>
      </c>
      <c r="F808" s="2">
        <v>204133.05622257999</v>
      </c>
    </row>
    <row r="809" spans="1:6" x14ac:dyDescent="0.3">
      <c r="A809" s="1">
        <v>40237</v>
      </c>
      <c r="B809" t="s">
        <v>15</v>
      </c>
      <c r="C809" t="s">
        <v>18</v>
      </c>
      <c r="D809" s="2">
        <v>190660.84693768999</v>
      </c>
      <c r="E809" s="2">
        <v>0</v>
      </c>
      <c r="F809" s="2">
        <v>190660.84693768999</v>
      </c>
    </row>
    <row r="810" spans="1:6" x14ac:dyDescent="0.3">
      <c r="A810" s="1">
        <v>40237</v>
      </c>
      <c r="B810" t="s">
        <v>13</v>
      </c>
      <c r="C810" t="s">
        <v>14</v>
      </c>
      <c r="D810" s="2">
        <v>7383178.5400478998</v>
      </c>
      <c r="E810" s="2">
        <v>23202.55722033</v>
      </c>
      <c r="F810" s="2">
        <v>7406381.1072682301</v>
      </c>
    </row>
    <row r="811" spans="1:6" x14ac:dyDescent="0.3">
      <c r="A811" s="1">
        <v>40237</v>
      </c>
      <c r="B811" t="s">
        <v>21</v>
      </c>
      <c r="C811" t="s">
        <v>14</v>
      </c>
      <c r="D811" s="2">
        <v>553492.46654599998</v>
      </c>
      <c r="E811" s="2">
        <v>4480193.9655166203</v>
      </c>
      <c r="F811" s="2">
        <v>5033686.5220626201</v>
      </c>
    </row>
    <row r="812" spans="1:6" x14ac:dyDescent="0.3">
      <c r="A812" s="1">
        <v>40237</v>
      </c>
      <c r="B812" t="s">
        <v>22</v>
      </c>
      <c r="C812" t="s">
        <v>14</v>
      </c>
      <c r="D812" s="2">
        <v>7936671.0065938998</v>
      </c>
      <c r="E812" s="2">
        <v>4503396.5227369498</v>
      </c>
      <c r="F812" s="2">
        <v>12440067.6293309</v>
      </c>
    </row>
    <row r="813" spans="1:6" x14ac:dyDescent="0.3">
      <c r="A813" s="1">
        <v>40237</v>
      </c>
      <c r="B813" t="s">
        <v>6</v>
      </c>
      <c r="C813" t="s">
        <v>7</v>
      </c>
      <c r="D813" s="2">
        <v>1731093.1109</v>
      </c>
      <c r="E813" s="2">
        <v>5362.2330000000002</v>
      </c>
      <c r="F813" s="2">
        <v>1736455.3439</v>
      </c>
    </row>
    <row r="814" spans="1:6" x14ac:dyDescent="0.3">
      <c r="A814" s="1">
        <v>40237</v>
      </c>
      <c r="B814" t="s">
        <v>6</v>
      </c>
      <c r="C814" t="s">
        <v>9</v>
      </c>
      <c r="D814" s="2">
        <v>745399.69455000001</v>
      </c>
      <c r="E814" s="2">
        <v>3832.596</v>
      </c>
      <c r="F814" s="2">
        <v>749232.29055000003</v>
      </c>
    </row>
    <row r="815" spans="1:6" x14ac:dyDescent="0.3">
      <c r="A815" s="1">
        <v>40237</v>
      </c>
      <c r="B815" t="s">
        <v>6</v>
      </c>
      <c r="C815" t="s">
        <v>8</v>
      </c>
      <c r="D815" s="2">
        <v>4335457.3202</v>
      </c>
      <c r="E815" s="2">
        <v>1879.951</v>
      </c>
      <c r="F815" s="2">
        <v>4337337.2712000003</v>
      </c>
    </row>
    <row r="816" spans="1:6" x14ac:dyDescent="0.3">
      <c r="A816" s="1">
        <v>40268</v>
      </c>
      <c r="B816" t="s">
        <v>15</v>
      </c>
      <c r="C816" t="s">
        <v>18</v>
      </c>
      <c r="D816" s="2">
        <v>190292.70061224999</v>
      </c>
      <c r="E816" s="2">
        <v>0</v>
      </c>
      <c r="F816" s="2">
        <v>190292.70061224999</v>
      </c>
    </row>
    <row r="817" spans="1:6" x14ac:dyDescent="0.3">
      <c r="A817" s="1">
        <v>40268</v>
      </c>
      <c r="B817" t="s">
        <v>13</v>
      </c>
      <c r="C817" t="s">
        <v>14</v>
      </c>
      <c r="D817" s="2">
        <v>7733560.7111130999</v>
      </c>
      <c r="E817" s="2">
        <v>23480.53256123</v>
      </c>
      <c r="F817" s="2">
        <v>7757041.2536743302</v>
      </c>
    </row>
    <row r="818" spans="1:6" x14ac:dyDescent="0.3">
      <c r="A818" s="1">
        <v>40268</v>
      </c>
      <c r="B818" t="s">
        <v>21</v>
      </c>
      <c r="C818" t="s">
        <v>14</v>
      </c>
      <c r="D818" s="2">
        <v>556508.12043390004</v>
      </c>
      <c r="E818" s="2">
        <v>4459573.7325317096</v>
      </c>
      <c r="F818" s="2">
        <v>5016081.8529656101</v>
      </c>
    </row>
    <row r="819" spans="1:6" x14ac:dyDescent="0.3">
      <c r="A819" s="1">
        <v>40268</v>
      </c>
      <c r="B819" t="s">
        <v>22</v>
      </c>
      <c r="C819" t="s">
        <v>14</v>
      </c>
      <c r="D819" s="2">
        <v>8290068.8315470004</v>
      </c>
      <c r="E819" s="2">
        <v>4483054.2650929401</v>
      </c>
      <c r="F819" s="2">
        <v>12773123.106639899</v>
      </c>
    </row>
    <row r="820" spans="1:6" x14ac:dyDescent="0.3">
      <c r="A820" s="1">
        <v>40268</v>
      </c>
      <c r="B820" t="s">
        <v>6</v>
      </c>
      <c r="C820" t="s">
        <v>7</v>
      </c>
      <c r="D820" s="2">
        <v>1838020.0011</v>
      </c>
      <c r="E820" s="2">
        <v>5458.1779999999999</v>
      </c>
      <c r="F820" s="2">
        <v>1843478.1791000001</v>
      </c>
    </row>
    <row r="821" spans="1:6" x14ac:dyDescent="0.3">
      <c r="A821" s="1">
        <v>40268</v>
      </c>
      <c r="B821" t="s">
        <v>6</v>
      </c>
      <c r="C821" t="s">
        <v>9</v>
      </c>
      <c r="D821" s="2">
        <v>758780.89615000004</v>
      </c>
      <c r="E821" s="2">
        <v>3605.0720000000001</v>
      </c>
      <c r="F821" s="2">
        <v>762385.96814999997</v>
      </c>
    </row>
    <row r="822" spans="1:6" x14ac:dyDescent="0.3">
      <c r="A822" s="1">
        <v>40268</v>
      </c>
      <c r="B822" t="s">
        <v>6</v>
      </c>
      <c r="C822" t="s">
        <v>12</v>
      </c>
      <c r="D822" s="2">
        <v>0</v>
      </c>
      <c r="E822" s="2">
        <v>11921.24</v>
      </c>
      <c r="F822" s="2">
        <v>11921.25</v>
      </c>
    </row>
    <row r="823" spans="1:6" x14ac:dyDescent="0.3">
      <c r="A823" s="1">
        <v>40268</v>
      </c>
      <c r="B823" t="s">
        <v>6</v>
      </c>
      <c r="C823" t="s">
        <v>8</v>
      </c>
      <c r="D823" s="2">
        <v>4563765.8064999999</v>
      </c>
      <c r="E823" s="2">
        <v>2291.0010000000002</v>
      </c>
      <c r="F823" s="2">
        <v>4566056.8075000001</v>
      </c>
    </row>
    <row r="824" spans="1:6" x14ac:dyDescent="0.3">
      <c r="A824" s="1">
        <v>40268</v>
      </c>
      <c r="B824" t="s">
        <v>6</v>
      </c>
      <c r="C824" t="s">
        <v>10</v>
      </c>
      <c r="D824" s="2">
        <v>572994.00736309995</v>
      </c>
      <c r="E824" s="2">
        <v>205.04156123000001</v>
      </c>
      <c r="F824" s="2">
        <v>573199.04892433004</v>
      </c>
    </row>
    <row r="825" spans="1:6" x14ac:dyDescent="0.3">
      <c r="A825" s="1">
        <v>40268</v>
      </c>
      <c r="B825" t="s">
        <v>15</v>
      </c>
      <c r="C825" t="s">
        <v>16</v>
      </c>
      <c r="D825" s="2">
        <v>29995.18</v>
      </c>
      <c r="E825" s="2">
        <v>0</v>
      </c>
      <c r="F825" s="2">
        <v>29995.18</v>
      </c>
    </row>
    <row r="826" spans="1:6" x14ac:dyDescent="0.3">
      <c r="A826" s="1">
        <v>40268</v>
      </c>
      <c r="B826" t="s">
        <v>15</v>
      </c>
      <c r="C826" t="s">
        <v>23</v>
      </c>
      <c r="D826" s="2">
        <v>4885.6485899999998</v>
      </c>
      <c r="E826" s="2">
        <v>0</v>
      </c>
      <c r="F826" s="2">
        <v>4885.6485899999998</v>
      </c>
    </row>
    <row r="827" spans="1:6" x14ac:dyDescent="0.3">
      <c r="A827" s="1">
        <v>40268</v>
      </c>
      <c r="B827" t="s">
        <v>15</v>
      </c>
      <c r="C827" t="s">
        <v>19</v>
      </c>
      <c r="D827" s="2">
        <v>121558.36117472</v>
      </c>
      <c r="E827" s="2">
        <v>4459081.3794998303</v>
      </c>
      <c r="F827" s="2">
        <v>4580639.7406745497</v>
      </c>
    </row>
    <row r="828" spans="1:6" x14ac:dyDescent="0.3">
      <c r="A828" s="1">
        <v>40268</v>
      </c>
      <c r="B828" t="s">
        <v>15</v>
      </c>
      <c r="C828" t="s">
        <v>24</v>
      </c>
      <c r="D828" s="2">
        <v>0</v>
      </c>
      <c r="E828" s="2">
        <v>492.35303188</v>
      </c>
      <c r="F828" s="2">
        <v>492.35303188</v>
      </c>
    </row>
    <row r="829" spans="1:6" x14ac:dyDescent="0.3">
      <c r="A829" s="1">
        <v>40268</v>
      </c>
      <c r="B829" t="s">
        <v>15</v>
      </c>
      <c r="C829" t="s">
        <v>20</v>
      </c>
      <c r="D829" s="2">
        <v>1281.3901100200001</v>
      </c>
      <c r="E829" s="2">
        <v>0</v>
      </c>
      <c r="F829" s="2">
        <v>1281.3901100200001</v>
      </c>
    </row>
    <row r="830" spans="1:6" x14ac:dyDescent="0.3">
      <c r="A830" s="1">
        <v>40268</v>
      </c>
      <c r="B830" t="s">
        <v>15</v>
      </c>
      <c r="C830" t="s">
        <v>25</v>
      </c>
      <c r="D830" s="2">
        <v>1.0529999999999999</v>
      </c>
      <c r="E830" s="2">
        <v>0</v>
      </c>
      <c r="F830" s="2">
        <v>1.0529999999999999</v>
      </c>
    </row>
    <row r="831" spans="1:6" x14ac:dyDescent="0.3">
      <c r="A831" s="1">
        <v>40268</v>
      </c>
      <c r="B831" t="s">
        <v>15</v>
      </c>
      <c r="C831" t="s">
        <v>17</v>
      </c>
      <c r="D831" s="2">
        <v>208493.78694691</v>
      </c>
      <c r="E831" s="2">
        <v>0</v>
      </c>
      <c r="F831" s="2">
        <v>208493.78694691</v>
      </c>
    </row>
    <row r="832" spans="1:6" x14ac:dyDescent="0.3">
      <c r="A832" s="1">
        <v>40298</v>
      </c>
      <c r="B832" t="s">
        <v>22</v>
      </c>
      <c r="C832" t="s">
        <v>14</v>
      </c>
      <c r="D832" s="2">
        <v>8434434.6381713208</v>
      </c>
      <c r="E832" s="2">
        <v>4514304.2283286201</v>
      </c>
      <c r="F832" s="2">
        <v>12948738.876499901</v>
      </c>
    </row>
    <row r="833" spans="1:6" x14ac:dyDescent="0.3">
      <c r="A833" s="1">
        <v>40298</v>
      </c>
      <c r="B833" t="s">
        <v>6</v>
      </c>
      <c r="C833" t="s">
        <v>7</v>
      </c>
      <c r="D833" s="2">
        <v>1842292.4979999999</v>
      </c>
      <c r="E833" s="2">
        <v>5237.4160000000002</v>
      </c>
      <c r="F833" s="2">
        <v>1847529.9140000001</v>
      </c>
    </row>
    <row r="834" spans="1:6" x14ac:dyDescent="0.3">
      <c r="A834" s="1">
        <v>40298</v>
      </c>
      <c r="B834" t="s">
        <v>6</v>
      </c>
      <c r="C834" t="s">
        <v>9</v>
      </c>
      <c r="D834" s="2">
        <v>772541.94935000001</v>
      </c>
      <c r="E834" s="2">
        <v>3795.5162</v>
      </c>
      <c r="F834" s="2">
        <v>776337.46554999996</v>
      </c>
    </row>
    <row r="835" spans="1:6" x14ac:dyDescent="0.3">
      <c r="A835" s="1">
        <v>40298</v>
      </c>
      <c r="B835" t="s">
        <v>6</v>
      </c>
      <c r="C835" t="s">
        <v>12</v>
      </c>
      <c r="D835" s="2">
        <v>0</v>
      </c>
      <c r="E835" s="2">
        <v>11921.24</v>
      </c>
      <c r="F835" s="2">
        <v>11921.25</v>
      </c>
    </row>
    <row r="836" spans="1:6" x14ac:dyDescent="0.3">
      <c r="A836" s="1">
        <v>40298</v>
      </c>
      <c r="B836" t="s">
        <v>6</v>
      </c>
      <c r="C836" t="s">
        <v>8</v>
      </c>
      <c r="D836" s="2">
        <v>4701669.9588000001</v>
      </c>
      <c r="E836" s="2">
        <v>2612.5920000000001</v>
      </c>
      <c r="F836" s="2">
        <v>4704282.5508000003</v>
      </c>
    </row>
    <row r="837" spans="1:6" x14ac:dyDescent="0.3">
      <c r="A837" s="1">
        <v>40298</v>
      </c>
      <c r="B837" t="s">
        <v>6</v>
      </c>
      <c r="C837" t="s">
        <v>10</v>
      </c>
      <c r="D837" s="2">
        <v>561058.41858836997</v>
      </c>
      <c r="E837" s="2">
        <v>148.67586928</v>
      </c>
      <c r="F837" s="2">
        <v>561207.09445764998</v>
      </c>
    </row>
    <row r="838" spans="1:6" x14ac:dyDescent="0.3">
      <c r="A838" s="1">
        <v>40298</v>
      </c>
      <c r="B838" t="s">
        <v>15</v>
      </c>
      <c r="C838" t="s">
        <v>16</v>
      </c>
      <c r="D838" s="2">
        <v>29995.18</v>
      </c>
      <c r="E838" s="2">
        <v>0</v>
      </c>
      <c r="F838" s="2">
        <v>29995.18</v>
      </c>
    </row>
    <row r="839" spans="1:6" x14ac:dyDescent="0.3">
      <c r="A839" s="1">
        <v>40298</v>
      </c>
      <c r="B839" t="s">
        <v>15</v>
      </c>
      <c r="C839" t="s">
        <v>23</v>
      </c>
      <c r="D839" s="2">
        <v>4485.6485899999998</v>
      </c>
      <c r="E839" s="2">
        <v>0</v>
      </c>
      <c r="F839" s="2">
        <v>4485.6485899999998</v>
      </c>
    </row>
    <row r="840" spans="1:6" x14ac:dyDescent="0.3">
      <c r="A840" s="1">
        <v>40298</v>
      </c>
      <c r="B840" t="s">
        <v>15</v>
      </c>
      <c r="C840" t="s">
        <v>19</v>
      </c>
      <c r="D840" s="2">
        <v>121626.02529967</v>
      </c>
      <c r="E840" s="2">
        <v>4490096.4352274602</v>
      </c>
      <c r="F840" s="2">
        <v>4611722.4605271202</v>
      </c>
    </row>
    <row r="841" spans="1:6" x14ac:dyDescent="0.3">
      <c r="A841" s="1">
        <v>40298</v>
      </c>
      <c r="B841" t="s">
        <v>15</v>
      </c>
      <c r="C841" t="s">
        <v>24</v>
      </c>
      <c r="D841" s="2">
        <v>0</v>
      </c>
      <c r="E841" s="2">
        <v>492.35303188</v>
      </c>
      <c r="F841" s="2">
        <v>492.35303188</v>
      </c>
    </row>
    <row r="842" spans="1:6" x14ac:dyDescent="0.3">
      <c r="A842" s="1">
        <v>40298</v>
      </c>
      <c r="B842" t="s">
        <v>15</v>
      </c>
      <c r="C842" t="s">
        <v>20</v>
      </c>
      <c r="D842" s="2">
        <v>1255.8931106499999</v>
      </c>
      <c r="E842" s="2">
        <v>0</v>
      </c>
      <c r="F842" s="2">
        <v>1255.8931106499999</v>
      </c>
    </row>
    <row r="843" spans="1:6" x14ac:dyDescent="0.3">
      <c r="A843" s="1">
        <v>40298</v>
      </c>
      <c r="B843" t="s">
        <v>15</v>
      </c>
      <c r="C843" t="s">
        <v>25</v>
      </c>
      <c r="D843" s="2">
        <v>1.0529999999999999</v>
      </c>
      <c r="E843" s="2">
        <v>0</v>
      </c>
      <c r="F843" s="2">
        <v>1.0529999999999999</v>
      </c>
    </row>
    <row r="844" spans="1:6" x14ac:dyDescent="0.3">
      <c r="A844" s="1">
        <v>40298</v>
      </c>
      <c r="B844" t="s">
        <v>15</v>
      </c>
      <c r="C844" t="s">
        <v>17</v>
      </c>
      <c r="D844" s="2">
        <v>209444.87855175001</v>
      </c>
      <c r="E844" s="2">
        <v>0</v>
      </c>
      <c r="F844" s="2">
        <v>209444.87855175001</v>
      </c>
    </row>
    <row r="845" spans="1:6" x14ac:dyDescent="0.3">
      <c r="A845" s="1">
        <v>40298</v>
      </c>
      <c r="B845" t="s">
        <v>15</v>
      </c>
      <c r="C845" t="s">
        <v>18</v>
      </c>
      <c r="D845" s="2">
        <v>190063.13488088001</v>
      </c>
      <c r="E845" s="2">
        <v>0</v>
      </c>
      <c r="F845" s="2">
        <v>190063.13488088001</v>
      </c>
    </row>
    <row r="846" spans="1:6" x14ac:dyDescent="0.3">
      <c r="A846" s="1">
        <v>40298</v>
      </c>
      <c r="B846" t="s">
        <v>13</v>
      </c>
      <c r="C846" t="s">
        <v>14</v>
      </c>
      <c r="D846" s="2">
        <v>7877562.8247383703</v>
      </c>
      <c r="E846" s="2">
        <v>23715.440069280001</v>
      </c>
      <c r="F846" s="2">
        <v>7901278.2748076497</v>
      </c>
    </row>
    <row r="847" spans="1:6" x14ac:dyDescent="0.3">
      <c r="A847" s="1">
        <v>40298</v>
      </c>
      <c r="B847" t="s">
        <v>21</v>
      </c>
      <c r="C847" t="s">
        <v>14</v>
      </c>
      <c r="D847" s="2">
        <v>556871.81343294994</v>
      </c>
      <c r="E847" s="2">
        <v>4490588.7882593405</v>
      </c>
      <c r="F847" s="2">
        <v>5047460.60169229</v>
      </c>
    </row>
    <row r="848" spans="1:6" x14ac:dyDescent="0.3">
      <c r="A848" s="1">
        <v>40329</v>
      </c>
      <c r="B848" t="s">
        <v>21</v>
      </c>
      <c r="C848" t="s">
        <v>14</v>
      </c>
      <c r="D848" s="2">
        <v>559971.87192266004</v>
      </c>
      <c r="E848" s="2">
        <v>4474177.7413235996</v>
      </c>
      <c r="F848" s="2">
        <v>5034149.6132462602</v>
      </c>
    </row>
    <row r="849" spans="1:6" x14ac:dyDescent="0.3">
      <c r="A849" s="1">
        <v>40329</v>
      </c>
      <c r="B849" t="s">
        <v>22</v>
      </c>
      <c r="C849" t="s">
        <v>14</v>
      </c>
      <c r="D849" s="2">
        <v>8494419.4451857507</v>
      </c>
      <c r="E849" s="2">
        <v>4498119.6364559401</v>
      </c>
      <c r="F849" s="2">
        <v>12992539.0916417</v>
      </c>
    </row>
    <row r="850" spans="1:6" x14ac:dyDescent="0.3">
      <c r="A850" s="1">
        <v>40329</v>
      </c>
      <c r="B850" t="s">
        <v>6</v>
      </c>
      <c r="C850" t="s">
        <v>7</v>
      </c>
      <c r="D850" s="2">
        <v>1850310.6565</v>
      </c>
      <c r="E850" s="2">
        <v>5207.1450000000004</v>
      </c>
      <c r="F850" s="2">
        <v>1855517.8015000001</v>
      </c>
    </row>
    <row r="851" spans="1:6" x14ac:dyDescent="0.3">
      <c r="A851" s="1">
        <v>40329</v>
      </c>
      <c r="B851" t="s">
        <v>6</v>
      </c>
      <c r="C851" t="s">
        <v>9</v>
      </c>
      <c r="D851" s="2">
        <v>789716.74505000003</v>
      </c>
      <c r="E851" s="2">
        <v>4014.6691999999998</v>
      </c>
      <c r="F851" s="2">
        <v>793731.41425000003</v>
      </c>
    </row>
    <row r="852" spans="1:6" x14ac:dyDescent="0.3">
      <c r="A852" s="1">
        <v>40329</v>
      </c>
      <c r="B852" t="s">
        <v>6</v>
      </c>
      <c r="C852" t="s">
        <v>12</v>
      </c>
      <c r="D852" s="2">
        <v>0</v>
      </c>
      <c r="E852" s="2">
        <v>11921.24</v>
      </c>
      <c r="F852" s="2">
        <v>11921.25</v>
      </c>
    </row>
    <row r="853" spans="1:6" x14ac:dyDescent="0.3">
      <c r="A853" s="1">
        <v>40329</v>
      </c>
      <c r="B853" t="s">
        <v>6</v>
      </c>
      <c r="C853" t="s">
        <v>8</v>
      </c>
      <c r="D853" s="2">
        <v>4731331.5840999996</v>
      </c>
      <c r="E853" s="2">
        <v>2669.5549999999998</v>
      </c>
      <c r="F853" s="2">
        <v>4734001.1391000003</v>
      </c>
    </row>
    <row r="854" spans="1:6" x14ac:dyDescent="0.3">
      <c r="A854" s="1">
        <v>40329</v>
      </c>
      <c r="B854" t="s">
        <v>6</v>
      </c>
      <c r="C854" t="s">
        <v>10</v>
      </c>
      <c r="D854" s="2">
        <v>563088.58761309006</v>
      </c>
      <c r="E854" s="2">
        <v>129.28593233999999</v>
      </c>
      <c r="F854" s="2">
        <v>563217.87354543002</v>
      </c>
    </row>
    <row r="855" spans="1:6" x14ac:dyDescent="0.3">
      <c r="A855" s="1">
        <v>40329</v>
      </c>
      <c r="B855" t="s">
        <v>15</v>
      </c>
      <c r="C855" t="s">
        <v>16</v>
      </c>
      <c r="D855" s="2">
        <v>29995.18</v>
      </c>
      <c r="E855" s="2">
        <v>0</v>
      </c>
      <c r="F855" s="2">
        <v>29995.18</v>
      </c>
    </row>
    <row r="856" spans="1:6" x14ac:dyDescent="0.3">
      <c r="A856" s="1">
        <v>40329</v>
      </c>
      <c r="B856" t="s">
        <v>15</v>
      </c>
      <c r="C856" t="s">
        <v>23</v>
      </c>
      <c r="D856" s="2">
        <v>4435.6485899999998</v>
      </c>
      <c r="E856" s="2">
        <v>0</v>
      </c>
      <c r="F856" s="2">
        <v>4435.6485899999998</v>
      </c>
    </row>
    <row r="857" spans="1:6" x14ac:dyDescent="0.3">
      <c r="A857" s="1">
        <v>40329</v>
      </c>
      <c r="B857" t="s">
        <v>15</v>
      </c>
      <c r="C857" t="s">
        <v>19</v>
      </c>
      <c r="D857" s="2">
        <v>125056.77392834</v>
      </c>
      <c r="E857" s="2">
        <v>4473685.3882917203</v>
      </c>
      <c r="F857" s="2">
        <v>4598742.1622200599</v>
      </c>
    </row>
    <row r="858" spans="1:6" x14ac:dyDescent="0.3">
      <c r="A858" s="1">
        <v>40329</v>
      </c>
      <c r="B858" t="s">
        <v>15</v>
      </c>
      <c r="C858" t="s">
        <v>24</v>
      </c>
      <c r="D858" s="2">
        <v>0</v>
      </c>
      <c r="E858" s="2">
        <v>492.35303188</v>
      </c>
      <c r="F858" s="2">
        <v>492.35303188</v>
      </c>
    </row>
    <row r="859" spans="1:6" x14ac:dyDescent="0.3">
      <c r="A859" s="1">
        <v>40329</v>
      </c>
      <c r="B859" t="s">
        <v>15</v>
      </c>
      <c r="C859" t="s">
        <v>20</v>
      </c>
      <c r="D859" s="2">
        <v>1298.4524619399999</v>
      </c>
      <c r="E859" s="2">
        <v>0</v>
      </c>
      <c r="F859" s="2">
        <v>1298.4524619399999</v>
      </c>
    </row>
    <row r="860" spans="1:6" x14ac:dyDescent="0.3">
      <c r="A860" s="1">
        <v>40329</v>
      </c>
      <c r="B860" t="s">
        <v>15</v>
      </c>
      <c r="C860" t="s">
        <v>25</v>
      </c>
      <c r="D860" s="2">
        <v>1.0529999999999999</v>
      </c>
      <c r="E860" s="2">
        <v>0</v>
      </c>
      <c r="F860" s="2">
        <v>1.0529999999999999</v>
      </c>
    </row>
    <row r="861" spans="1:6" x14ac:dyDescent="0.3">
      <c r="A861" s="1">
        <v>40329</v>
      </c>
      <c r="B861" t="s">
        <v>15</v>
      </c>
      <c r="C861" t="s">
        <v>17</v>
      </c>
      <c r="D861" s="2">
        <v>209329.90845956001</v>
      </c>
      <c r="E861" s="2">
        <v>0</v>
      </c>
      <c r="F861" s="2">
        <v>209329.90845956001</v>
      </c>
    </row>
    <row r="862" spans="1:6" x14ac:dyDescent="0.3">
      <c r="A862" s="1">
        <v>40329</v>
      </c>
      <c r="B862" t="s">
        <v>15</v>
      </c>
      <c r="C862" t="s">
        <v>18</v>
      </c>
      <c r="D862" s="2">
        <v>189854.85548282001</v>
      </c>
      <c r="E862" s="2">
        <v>0</v>
      </c>
      <c r="F862" s="2">
        <v>189854.85548282001</v>
      </c>
    </row>
    <row r="863" spans="1:6" x14ac:dyDescent="0.3">
      <c r="A863" s="1">
        <v>40329</v>
      </c>
      <c r="B863" t="s">
        <v>13</v>
      </c>
      <c r="C863" t="s">
        <v>14</v>
      </c>
      <c r="D863" s="2">
        <v>7934447.5732630901</v>
      </c>
      <c r="E863" s="2">
        <v>23941.89513234</v>
      </c>
      <c r="F863" s="2">
        <v>7958389.4783954304</v>
      </c>
    </row>
    <row r="864" spans="1:6" x14ac:dyDescent="0.3">
      <c r="A864" s="1">
        <v>40359</v>
      </c>
      <c r="B864" t="s">
        <v>6</v>
      </c>
      <c r="C864" t="s">
        <v>7</v>
      </c>
      <c r="D864" s="2">
        <v>1777031.5301000001</v>
      </c>
      <c r="E864" s="2">
        <v>5494.0309999999999</v>
      </c>
      <c r="F864" s="2">
        <v>1782525.5611</v>
      </c>
    </row>
    <row r="865" spans="1:6" x14ac:dyDescent="0.3">
      <c r="A865" s="1">
        <v>40359</v>
      </c>
      <c r="B865" t="s">
        <v>6</v>
      </c>
      <c r="C865" t="s">
        <v>9</v>
      </c>
      <c r="D865" s="2">
        <v>802589.17665000004</v>
      </c>
      <c r="E865" s="2">
        <v>4216.5562</v>
      </c>
      <c r="F865" s="2">
        <v>806805.73285000003</v>
      </c>
    </row>
    <row r="866" spans="1:6" x14ac:dyDescent="0.3">
      <c r="A866" s="1">
        <v>40359</v>
      </c>
      <c r="B866" t="s">
        <v>6</v>
      </c>
      <c r="C866" t="s">
        <v>12</v>
      </c>
      <c r="D866" s="2">
        <v>0</v>
      </c>
      <c r="E866" s="2">
        <v>10238.99</v>
      </c>
      <c r="F866" s="2">
        <v>10238.99</v>
      </c>
    </row>
    <row r="867" spans="1:6" x14ac:dyDescent="0.3">
      <c r="A867" s="1">
        <v>40359</v>
      </c>
      <c r="B867" t="s">
        <v>6</v>
      </c>
      <c r="C867" t="s">
        <v>8</v>
      </c>
      <c r="D867" s="2">
        <v>4935130.9883000003</v>
      </c>
      <c r="E867" s="2">
        <v>3245.029</v>
      </c>
      <c r="F867" s="2">
        <v>4938376.0173000004</v>
      </c>
    </row>
    <row r="868" spans="1:6" x14ac:dyDescent="0.3">
      <c r="A868" s="1">
        <v>40359</v>
      </c>
      <c r="B868" t="s">
        <v>6</v>
      </c>
      <c r="C868" t="s">
        <v>10</v>
      </c>
      <c r="D868" s="2">
        <v>564314.00039645995</v>
      </c>
      <c r="E868" s="2">
        <v>147.91540510999999</v>
      </c>
      <c r="F868" s="2">
        <v>564461.91580157005</v>
      </c>
    </row>
    <row r="869" spans="1:6" x14ac:dyDescent="0.3">
      <c r="A869" s="1">
        <v>40359</v>
      </c>
      <c r="B869" t="s">
        <v>15</v>
      </c>
      <c r="C869" t="s">
        <v>23</v>
      </c>
      <c r="D869" s="2">
        <v>4035.6485899999998</v>
      </c>
      <c r="E869" s="2">
        <v>0</v>
      </c>
      <c r="F869" s="2">
        <v>4035.6485899999998</v>
      </c>
    </row>
    <row r="870" spans="1:6" x14ac:dyDescent="0.3">
      <c r="A870" s="1">
        <v>40359</v>
      </c>
      <c r="B870" t="s">
        <v>13</v>
      </c>
      <c r="C870" t="s">
        <v>14</v>
      </c>
      <c r="D870" s="2">
        <v>8079065.6954464596</v>
      </c>
      <c r="E870" s="2">
        <v>23342.52160511</v>
      </c>
      <c r="F870" s="2">
        <v>8102408.2170515703</v>
      </c>
    </row>
    <row r="871" spans="1:6" x14ac:dyDescent="0.3">
      <c r="A871" s="1">
        <v>40359</v>
      </c>
      <c r="B871" t="s">
        <v>15</v>
      </c>
      <c r="C871" t="s">
        <v>16</v>
      </c>
      <c r="D871" s="2">
        <v>29995.18</v>
      </c>
      <c r="E871" s="2">
        <v>0</v>
      </c>
      <c r="F871" s="2">
        <v>29995.18</v>
      </c>
    </row>
    <row r="872" spans="1:6" x14ac:dyDescent="0.3">
      <c r="A872" s="1">
        <v>40359</v>
      </c>
      <c r="B872" t="s">
        <v>15</v>
      </c>
      <c r="C872" t="s">
        <v>19</v>
      </c>
      <c r="D872" s="2">
        <v>125611.92823768</v>
      </c>
      <c r="E872" s="2">
        <v>4544276.1743260901</v>
      </c>
      <c r="F872" s="2">
        <v>4669888.1025637696</v>
      </c>
    </row>
    <row r="873" spans="1:6" x14ac:dyDescent="0.3">
      <c r="A873" s="1">
        <v>40359</v>
      </c>
      <c r="B873" t="s">
        <v>15</v>
      </c>
      <c r="C873" t="s">
        <v>24</v>
      </c>
      <c r="D873" s="2">
        <v>0</v>
      </c>
      <c r="E873" s="2">
        <v>492.41494697000002</v>
      </c>
      <c r="F873" s="2">
        <v>492.41494697000002</v>
      </c>
    </row>
    <row r="874" spans="1:6" x14ac:dyDescent="0.3">
      <c r="A874" s="1">
        <v>40359</v>
      </c>
      <c r="B874" t="s">
        <v>15</v>
      </c>
      <c r="C874" t="s">
        <v>20</v>
      </c>
      <c r="D874" s="2">
        <v>1303.71505699</v>
      </c>
      <c r="E874" s="2">
        <v>0</v>
      </c>
      <c r="F874" s="2">
        <v>1303.71505699</v>
      </c>
    </row>
    <row r="875" spans="1:6" x14ac:dyDescent="0.3">
      <c r="A875" s="1">
        <v>40359</v>
      </c>
      <c r="B875" t="s">
        <v>15</v>
      </c>
      <c r="C875" t="s">
        <v>25</v>
      </c>
      <c r="D875" s="2">
        <v>1.0529999999999999</v>
      </c>
      <c r="E875" s="2">
        <v>0</v>
      </c>
      <c r="F875" s="2">
        <v>1.0529999999999999</v>
      </c>
    </row>
    <row r="876" spans="1:6" x14ac:dyDescent="0.3">
      <c r="A876" s="1">
        <v>40359</v>
      </c>
      <c r="B876" t="s">
        <v>15</v>
      </c>
      <c r="C876" t="s">
        <v>17</v>
      </c>
      <c r="D876" s="2">
        <v>204002.4276045</v>
      </c>
      <c r="E876" s="2">
        <v>0</v>
      </c>
      <c r="F876" s="2">
        <v>204002.4276045</v>
      </c>
    </row>
    <row r="877" spans="1:6" x14ac:dyDescent="0.3">
      <c r="A877" s="1">
        <v>40359</v>
      </c>
      <c r="B877" t="s">
        <v>15</v>
      </c>
      <c r="C877" t="s">
        <v>18</v>
      </c>
      <c r="D877" s="2">
        <v>189664.74735465</v>
      </c>
      <c r="E877" s="2">
        <v>0</v>
      </c>
      <c r="F877" s="2">
        <v>189664.74735465</v>
      </c>
    </row>
    <row r="878" spans="1:6" x14ac:dyDescent="0.3">
      <c r="A878" s="1">
        <v>40359</v>
      </c>
      <c r="B878" t="s">
        <v>21</v>
      </c>
      <c r="C878" t="s">
        <v>14</v>
      </c>
      <c r="D878" s="2">
        <v>554614.69984381995</v>
      </c>
      <c r="E878" s="2">
        <v>4544768.5892730597</v>
      </c>
      <c r="F878" s="2">
        <v>5099383.2891168799</v>
      </c>
    </row>
    <row r="879" spans="1:6" x14ac:dyDescent="0.3">
      <c r="A879" s="1">
        <v>40359</v>
      </c>
      <c r="B879" t="s">
        <v>22</v>
      </c>
      <c r="C879" t="s">
        <v>14</v>
      </c>
      <c r="D879" s="2">
        <v>8633680.3952902798</v>
      </c>
      <c r="E879" s="2">
        <v>4568111.1108781695</v>
      </c>
      <c r="F879" s="2">
        <v>13201791.5061685</v>
      </c>
    </row>
    <row r="880" spans="1:6" x14ac:dyDescent="0.3">
      <c r="A880" s="1">
        <v>40390</v>
      </c>
      <c r="B880" t="s">
        <v>6</v>
      </c>
      <c r="C880" t="s">
        <v>7</v>
      </c>
      <c r="D880" s="2">
        <v>1785129.2431000001</v>
      </c>
      <c r="E880" s="2">
        <v>5374.0780000000004</v>
      </c>
      <c r="F880" s="2">
        <v>1790503.3211000001</v>
      </c>
    </row>
    <row r="881" spans="1:6" x14ac:dyDescent="0.3">
      <c r="A881" s="1">
        <v>40390</v>
      </c>
      <c r="B881" t="s">
        <v>6</v>
      </c>
      <c r="C881" t="s">
        <v>9</v>
      </c>
      <c r="D881" s="2">
        <v>815695.74595000001</v>
      </c>
      <c r="E881" s="2">
        <v>4113.4880000000003</v>
      </c>
      <c r="F881" s="2">
        <v>819809.23395000002</v>
      </c>
    </row>
    <row r="882" spans="1:6" x14ac:dyDescent="0.3">
      <c r="A882" s="1">
        <v>40390</v>
      </c>
      <c r="B882" t="s">
        <v>6</v>
      </c>
      <c r="C882" t="s">
        <v>12</v>
      </c>
      <c r="D882" s="2">
        <v>0</v>
      </c>
      <c r="E882" s="2">
        <v>10238.99</v>
      </c>
      <c r="F882" s="2">
        <v>10238.99</v>
      </c>
    </row>
    <row r="883" spans="1:6" x14ac:dyDescent="0.3">
      <c r="A883" s="1">
        <v>40390</v>
      </c>
      <c r="B883" t="s">
        <v>6</v>
      </c>
      <c r="C883" t="s">
        <v>8</v>
      </c>
      <c r="D883" s="2">
        <v>4978424.5783000002</v>
      </c>
      <c r="E883" s="2">
        <v>2965.2350000000001</v>
      </c>
      <c r="F883" s="2">
        <v>4981389.8132999996</v>
      </c>
    </row>
    <row r="884" spans="1:6" x14ac:dyDescent="0.3">
      <c r="A884" s="1">
        <v>40390</v>
      </c>
      <c r="B884" t="s">
        <v>6</v>
      </c>
      <c r="C884" t="s">
        <v>10</v>
      </c>
      <c r="D884" s="2">
        <v>576700.87474091002</v>
      </c>
      <c r="E884" s="2">
        <v>210.2330461</v>
      </c>
      <c r="F884" s="2">
        <v>576911.10778701003</v>
      </c>
    </row>
    <row r="885" spans="1:6" x14ac:dyDescent="0.3">
      <c r="A885" s="1">
        <v>40390</v>
      </c>
      <c r="B885" t="s">
        <v>15</v>
      </c>
      <c r="C885" t="s">
        <v>16</v>
      </c>
      <c r="D885" s="2">
        <v>29995.18</v>
      </c>
      <c r="E885" s="2">
        <v>0</v>
      </c>
      <c r="F885" s="2">
        <v>29995.18</v>
      </c>
    </row>
    <row r="886" spans="1:6" x14ac:dyDescent="0.3">
      <c r="A886" s="1">
        <v>40390</v>
      </c>
      <c r="B886" t="s">
        <v>15</v>
      </c>
      <c r="C886" t="s">
        <v>23</v>
      </c>
      <c r="D886" s="2">
        <v>3385.6485899999998</v>
      </c>
      <c r="E886" s="2">
        <v>0</v>
      </c>
      <c r="F886" s="2">
        <v>3385.6485899999998</v>
      </c>
    </row>
    <row r="887" spans="1:6" x14ac:dyDescent="0.3">
      <c r="A887" s="1">
        <v>40390</v>
      </c>
      <c r="B887" t="s">
        <v>15</v>
      </c>
      <c r="C887" t="s">
        <v>19</v>
      </c>
      <c r="D887" s="2">
        <v>126760.85086491999</v>
      </c>
      <c r="E887" s="2">
        <v>4511874.5762700597</v>
      </c>
      <c r="F887" s="2">
        <v>4638635.5171349803</v>
      </c>
    </row>
    <row r="888" spans="1:6" x14ac:dyDescent="0.3">
      <c r="A888" s="1">
        <v>40390</v>
      </c>
      <c r="B888" t="s">
        <v>15</v>
      </c>
      <c r="C888" t="s">
        <v>24</v>
      </c>
      <c r="D888" s="2">
        <v>0</v>
      </c>
      <c r="E888" s="2">
        <v>492.61382865000002</v>
      </c>
      <c r="F888" s="2">
        <v>492.61382865000002</v>
      </c>
    </row>
    <row r="889" spans="1:6" x14ac:dyDescent="0.3">
      <c r="A889" s="1">
        <v>40390</v>
      </c>
      <c r="B889" t="s">
        <v>15</v>
      </c>
      <c r="C889" t="s">
        <v>20</v>
      </c>
      <c r="D889" s="2">
        <v>1355.0029081099999</v>
      </c>
      <c r="E889" s="2">
        <v>0</v>
      </c>
      <c r="F889" s="2">
        <v>1355.0029081099999</v>
      </c>
    </row>
    <row r="890" spans="1:6" x14ac:dyDescent="0.3">
      <c r="A890" s="1">
        <v>40390</v>
      </c>
      <c r="B890" t="s">
        <v>15</v>
      </c>
      <c r="C890" t="s">
        <v>25</v>
      </c>
      <c r="D890" s="2">
        <v>1.0529999999999999</v>
      </c>
      <c r="E890" s="2">
        <v>0</v>
      </c>
      <c r="F890" s="2">
        <v>1.0529999999999999</v>
      </c>
    </row>
    <row r="891" spans="1:6" x14ac:dyDescent="0.3">
      <c r="A891" s="1">
        <v>40390</v>
      </c>
      <c r="B891" t="s">
        <v>15</v>
      </c>
      <c r="C891" t="s">
        <v>17</v>
      </c>
      <c r="D891" s="2">
        <v>195589.30541296999</v>
      </c>
      <c r="E891" s="2">
        <v>0</v>
      </c>
      <c r="F891" s="2">
        <v>195589.30541296999</v>
      </c>
    </row>
    <row r="892" spans="1:6" x14ac:dyDescent="0.3">
      <c r="A892" s="1">
        <v>40390</v>
      </c>
      <c r="B892" t="s">
        <v>15</v>
      </c>
      <c r="C892" t="s">
        <v>18</v>
      </c>
      <c r="D892" s="2">
        <v>189420.19613937999</v>
      </c>
      <c r="E892" s="2">
        <v>0</v>
      </c>
      <c r="F892" s="2">
        <v>189420.19613937999</v>
      </c>
    </row>
    <row r="893" spans="1:6" x14ac:dyDescent="0.3">
      <c r="A893" s="1">
        <v>40390</v>
      </c>
      <c r="B893" t="s">
        <v>13</v>
      </c>
      <c r="C893" t="s">
        <v>14</v>
      </c>
      <c r="D893" s="2">
        <v>8155950.4420909099</v>
      </c>
      <c r="E893" s="2">
        <v>22902.024046099999</v>
      </c>
      <c r="F893" s="2">
        <v>8178852.4661370097</v>
      </c>
    </row>
    <row r="894" spans="1:6" x14ac:dyDescent="0.3">
      <c r="A894" s="1">
        <v>40390</v>
      </c>
      <c r="B894" t="s">
        <v>21</v>
      </c>
      <c r="C894" t="s">
        <v>14</v>
      </c>
      <c r="D894" s="2">
        <v>546507.23691538</v>
      </c>
      <c r="E894" s="2">
        <v>4512367.1900987104</v>
      </c>
      <c r="F894" s="2">
        <v>5058874.51701409</v>
      </c>
    </row>
    <row r="895" spans="1:6" x14ac:dyDescent="0.3">
      <c r="A895" s="1">
        <v>40390</v>
      </c>
      <c r="B895" t="s">
        <v>22</v>
      </c>
      <c r="C895" t="s">
        <v>14</v>
      </c>
      <c r="D895" s="2">
        <v>8702457.6790062897</v>
      </c>
      <c r="E895" s="2">
        <v>4535269.2141448101</v>
      </c>
      <c r="F895" s="2">
        <v>13237726.983151101</v>
      </c>
    </row>
    <row r="896" spans="1:6" x14ac:dyDescent="0.3">
      <c r="A896" s="1">
        <v>40421</v>
      </c>
      <c r="B896" t="s">
        <v>21</v>
      </c>
      <c r="C896" t="s">
        <v>14</v>
      </c>
      <c r="D896" s="2">
        <v>545372.16104600998</v>
      </c>
      <c r="E896" s="2">
        <v>4499816.8859098498</v>
      </c>
      <c r="F896" s="2">
        <v>5045189.0469558602</v>
      </c>
    </row>
    <row r="897" spans="1:6" x14ac:dyDescent="0.3">
      <c r="A897" s="1">
        <v>40421</v>
      </c>
      <c r="B897" t="s">
        <v>22</v>
      </c>
      <c r="C897" t="s">
        <v>14</v>
      </c>
      <c r="D897" s="2">
        <v>8927061.4203605708</v>
      </c>
      <c r="E897" s="2">
        <v>4522591.2989745699</v>
      </c>
      <c r="F897" s="2">
        <v>13449652.7193351</v>
      </c>
    </row>
    <row r="898" spans="1:6" x14ac:dyDescent="0.3">
      <c r="A898" s="1">
        <v>40421</v>
      </c>
      <c r="B898" t="s">
        <v>6</v>
      </c>
      <c r="C898" t="s">
        <v>7</v>
      </c>
      <c r="D898" s="2">
        <v>1820104.0608999999</v>
      </c>
      <c r="E898" s="2">
        <v>5414.1750000000002</v>
      </c>
      <c r="F898" s="2">
        <v>1825518.2359</v>
      </c>
    </row>
    <row r="899" spans="1:6" x14ac:dyDescent="0.3">
      <c r="A899" s="1">
        <v>40421</v>
      </c>
      <c r="B899" t="s">
        <v>6</v>
      </c>
      <c r="C899" t="s">
        <v>9</v>
      </c>
      <c r="D899" s="2">
        <v>832775.02430000005</v>
      </c>
      <c r="E899" s="2">
        <v>3992.3440000000001</v>
      </c>
      <c r="F899" s="2">
        <v>836767.36829999997</v>
      </c>
    </row>
    <row r="900" spans="1:6" x14ac:dyDescent="0.3">
      <c r="A900" s="1">
        <v>40421</v>
      </c>
      <c r="B900" t="s">
        <v>6</v>
      </c>
      <c r="C900" t="s">
        <v>12</v>
      </c>
      <c r="D900" s="2">
        <v>0</v>
      </c>
      <c r="E900" s="2">
        <v>10238.99</v>
      </c>
      <c r="F900" s="2">
        <v>10238.99</v>
      </c>
    </row>
    <row r="901" spans="1:6" x14ac:dyDescent="0.3">
      <c r="A901" s="1">
        <v>40421</v>
      </c>
      <c r="B901" t="s">
        <v>6</v>
      </c>
      <c r="C901" t="s">
        <v>8</v>
      </c>
      <c r="D901" s="2">
        <v>5145381.4392999997</v>
      </c>
      <c r="E901" s="2">
        <v>2918.7420000000002</v>
      </c>
      <c r="F901" s="2">
        <v>5148300.1813000003</v>
      </c>
    </row>
    <row r="902" spans="1:6" x14ac:dyDescent="0.3">
      <c r="A902" s="1">
        <v>40421</v>
      </c>
      <c r="B902" t="s">
        <v>6</v>
      </c>
      <c r="C902" t="s">
        <v>10</v>
      </c>
      <c r="D902" s="2">
        <v>583428.73481456004</v>
      </c>
      <c r="E902" s="2">
        <v>210.16206471999999</v>
      </c>
      <c r="F902" s="2">
        <v>583638.89687927999</v>
      </c>
    </row>
    <row r="903" spans="1:6" x14ac:dyDescent="0.3">
      <c r="A903" s="1">
        <v>40421</v>
      </c>
      <c r="B903" t="s">
        <v>15</v>
      </c>
      <c r="C903" t="s">
        <v>16</v>
      </c>
      <c r="D903" s="2">
        <v>29995.18</v>
      </c>
      <c r="E903" s="2">
        <v>0</v>
      </c>
      <c r="F903" s="2">
        <v>29995.18</v>
      </c>
    </row>
    <row r="904" spans="1:6" x14ac:dyDescent="0.3">
      <c r="A904" s="1">
        <v>40421</v>
      </c>
      <c r="B904" t="s">
        <v>15</v>
      </c>
      <c r="C904" t="s">
        <v>23</v>
      </c>
      <c r="D904" s="2">
        <v>4185.6485899999998</v>
      </c>
      <c r="E904" s="2">
        <v>0</v>
      </c>
      <c r="F904" s="2">
        <v>4185.6485899999998</v>
      </c>
    </row>
    <row r="905" spans="1:6" x14ac:dyDescent="0.3">
      <c r="A905" s="1">
        <v>40421</v>
      </c>
      <c r="B905" t="s">
        <v>15</v>
      </c>
      <c r="C905" t="s">
        <v>19</v>
      </c>
      <c r="D905" s="2">
        <v>128131.35707472</v>
      </c>
      <c r="E905" s="2">
        <v>4499324.2720812</v>
      </c>
      <c r="F905" s="2">
        <v>4627454.6291559199</v>
      </c>
    </row>
    <row r="906" spans="1:6" x14ac:dyDescent="0.3">
      <c r="A906" s="1">
        <v>40421</v>
      </c>
      <c r="B906" t="s">
        <v>15</v>
      </c>
      <c r="C906" t="s">
        <v>24</v>
      </c>
      <c r="D906" s="2">
        <v>0</v>
      </c>
      <c r="E906" s="2">
        <v>492.61382865000002</v>
      </c>
      <c r="F906" s="2">
        <v>492.61382865000002</v>
      </c>
    </row>
    <row r="907" spans="1:6" x14ac:dyDescent="0.3">
      <c r="A907" s="1">
        <v>40421</v>
      </c>
      <c r="B907" t="s">
        <v>15</v>
      </c>
      <c r="C907" t="s">
        <v>20</v>
      </c>
      <c r="D907" s="2">
        <v>1361.6226111999999</v>
      </c>
      <c r="E907" s="2">
        <v>0</v>
      </c>
      <c r="F907" s="2">
        <v>1361.6226111999999</v>
      </c>
    </row>
    <row r="908" spans="1:6" x14ac:dyDescent="0.3">
      <c r="A908" s="1">
        <v>40421</v>
      </c>
      <c r="B908" t="s">
        <v>15</v>
      </c>
      <c r="C908" t="s">
        <v>25</v>
      </c>
      <c r="D908" s="2">
        <v>1.0529999999999999</v>
      </c>
      <c r="E908" s="2">
        <v>0</v>
      </c>
      <c r="F908" s="2">
        <v>1.0529999999999999</v>
      </c>
    </row>
    <row r="909" spans="1:6" x14ac:dyDescent="0.3">
      <c r="A909" s="1">
        <v>40421</v>
      </c>
      <c r="B909" t="s">
        <v>15</v>
      </c>
      <c r="C909" t="s">
        <v>17</v>
      </c>
      <c r="D909" s="2">
        <v>192657.54221751</v>
      </c>
      <c r="E909" s="2">
        <v>0</v>
      </c>
      <c r="F909" s="2">
        <v>192657.54221751</v>
      </c>
    </row>
    <row r="910" spans="1:6" x14ac:dyDescent="0.3">
      <c r="A910" s="1">
        <v>40421</v>
      </c>
      <c r="B910" t="s">
        <v>15</v>
      </c>
      <c r="C910" t="s">
        <v>18</v>
      </c>
      <c r="D910" s="2">
        <v>189039.75755258001</v>
      </c>
      <c r="E910" s="2">
        <v>0</v>
      </c>
      <c r="F910" s="2">
        <v>189039.75755258001</v>
      </c>
    </row>
    <row r="911" spans="1:6" x14ac:dyDescent="0.3">
      <c r="A911" s="1">
        <v>40421</v>
      </c>
      <c r="B911" t="s">
        <v>13</v>
      </c>
      <c r="C911" t="s">
        <v>14</v>
      </c>
      <c r="D911" s="2">
        <v>8381689.2593145603</v>
      </c>
      <c r="E911" s="2">
        <v>22774.41306472</v>
      </c>
      <c r="F911" s="2">
        <v>8404463.6723792795</v>
      </c>
    </row>
    <row r="912" spans="1:6" x14ac:dyDescent="0.3">
      <c r="A912" s="1">
        <v>40451</v>
      </c>
      <c r="B912" t="s">
        <v>21</v>
      </c>
      <c r="C912" t="s">
        <v>14</v>
      </c>
      <c r="D912" s="2">
        <v>546880.34956755</v>
      </c>
      <c r="E912" s="2">
        <v>4516418.3006575899</v>
      </c>
      <c r="F912" s="2">
        <v>5063297.6502251299</v>
      </c>
    </row>
    <row r="913" spans="1:6" x14ac:dyDescent="0.3">
      <c r="A913" s="1">
        <v>40451</v>
      </c>
      <c r="B913" t="s">
        <v>22</v>
      </c>
      <c r="C913" t="s">
        <v>14</v>
      </c>
      <c r="D913" s="2">
        <v>9022807.6505567208</v>
      </c>
      <c r="E913" s="2">
        <v>4538814.9303635899</v>
      </c>
      <c r="F913" s="2">
        <v>13561622.5809203</v>
      </c>
    </row>
    <row r="914" spans="1:6" x14ac:dyDescent="0.3">
      <c r="A914" s="1">
        <v>40451</v>
      </c>
      <c r="B914" t="s">
        <v>6</v>
      </c>
      <c r="C914" t="s">
        <v>7</v>
      </c>
      <c r="D914" s="2">
        <v>1783674.9198</v>
      </c>
      <c r="E914" s="2">
        <v>4777.9840000000004</v>
      </c>
      <c r="F914" s="2">
        <v>1788452.9038</v>
      </c>
    </row>
    <row r="915" spans="1:6" x14ac:dyDescent="0.3">
      <c r="A915" s="1">
        <v>40451</v>
      </c>
      <c r="B915" t="s">
        <v>6</v>
      </c>
      <c r="C915" t="s">
        <v>9</v>
      </c>
      <c r="D915" s="2">
        <v>846054.28245000006</v>
      </c>
      <c r="E915" s="2">
        <v>3853.3047999999999</v>
      </c>
      <c r="F915" s="2">
        <v>849907.58724999998</v>
      </c>
    </row>
    <row r="916" spans="1:6" x14ac:dyDescent="0.3">
      <c r="A916" s="1">
        <v>40451</v>
      </c>
      <c r="B916" t="s">
        <v>6</v>
      </c>
      <c r="C916" t="s">
        <v>12</v>
      </c>
      <c r="D916" s="2">
        <v>0</v>
      </c>
      <c r="E916" s="2">
        <v>10238.99</v>
      </c>
      <c r="F916" s="2">
        <v>10238.99</v>
      </c>
    </row>
    <row r="917" spans="1:6" x14ac:dyDescent="0.3">
      <c r="A917" s="1">
        <v>40451</v>
      </c>
      <c r="B917" t="s">
        <v>6</v>
      </c>
      <c r="C917" t="s">
        <v>8</v>
      </c>
      <c r="D917" s="2">
        <v>5252584.6487999996</v>
      </c>
      <c r="E917" s="2">
        <v>3300.96</v>
      </c>
      <c r="F917" s="2">
        <v>5255885.6087999996</v>
      </c>
    </row>
    <row r="918" spans="1:6" x14ac:dyDescent="0.3">
      <c r="A918" s="1">
        <v>40451</v>
      </c>
      <c r="B918" t="s">
        <v>6</v>
      </c>
      <c r="C918" t="s">
        <v>10</v>
      </c>
      <c r="D918" s="2">
        <v>593614.44993917004</v>
      </c>
      <c r="E918" s="2">
        <v>225.390906</v>
      </c>
      <c r="F918" s="2">
        <v>593839.84084516997</v>
      </c>
    </row>
    <row r="919" spans="1:6" x14ac:dyDescent="0.3">
      <c r="A919" s="1">
        <v>40451</v>
      </c>
      <c r="B919" t="s">
        <v>15</v>
      </c>
      <c r="C919" t="s">
        <v>16</v>
      </c>
      <c r="D919" s="2">
        <v>29995.18</v>
      </c>
      <c r="E919" s="2">
        <v>0</v>
      </c>
      <c r="F919" s="2">
        <v>29995.18</v>
      </c>
    </row>
    <row r="920" spans="1:6" x14ac:dyDescent="0.3">
      <c r="A920" s="1">
        <v>40451</v>
      </c>
      <c r="B920" t="s">
        <v>15</v>
      </c>
      <c r="C920" t="s">
        <v>23</v>
      </c>
      <c r="D920" s="2">
        <v>4185.6485899999998</v>
      </c>
      <c r="E920" s="2">
        <v>0</v>
      </c>
      <c r="F920" s="2">
        <v>4185.6485899999998</v>
      </c>
    </row>
    <row r="921" spans="1:6" x14ac:dyDescent="0.3">
      <c r="A921" s="1">
        <v>40451</v>
      </c>
      <c r="B921" t="s">
        <v>15</v>
      </c>
      <c r="C921" t="s">
        <v>19</v>
      </c>
      <c r="D921" s="2">
        <v>129355.23754844999</v>
      </c>
      <c r="E921" s="2">
        <v>4515924.6868289402</v>
      </c>
      <c r="F921" s="2">
        <v>4645279.9243773902</v>
      </c>
    </row>
    <row r="922" spans="1:6" x14ac:dyDescent="0.3">
      <c r="A922" s="1">
        <v>40451</v>
      </c>
      <c r="B922" t="s">
        <v>15</v>
      </c>
      <c r="C922" t="s">
        <v>24</v>
      </c>
      <c r="D922" s="2">
        <v>0</v>
      </c>
      <c r="E922" s="2">
        <v>492.61382865000002</v>
      </c>
      <c r="F922" s="2">
        <v>492.61382865000002</v>
      </c>
    </row>
    <row r="923" spans="1:6" x14ac:dyDescent="0.3">
      <c r="A923" s="1">
        <v>40451</v>
      </c>
      <c r="B923" t="s">
        <v>15</v>
      </c>
      <c r="C923" t="s">
        <v>20</v>
      </c>
      <c r="D923" s="2">
        <v>1340.0339126199999</v>
      </c>
      <c r="E923" s="2">
        <v>0</v>
      </c>
      <c r="F923" s="2">
        <v>1340.0339126199999</v>
      </c>
    </row>
    <row r="924" spans="1:6" x14ac:dyDescent="0.3">
      <c r="A924" s="1">
        <v>40451</v>
      </c>
      <c r="B924" t="s">
        <v>15</v>
      </c>
      <c r="C924" t="s">
        <v>25</v>
      </c>
      <c r="D924" s="2">
        <v>0</v>
      </c>
      <c r="E924" s="2">
        <v>0</v>
      </c>
      <c r="F924" s="2">
        <v>0</v>
      </c>
    </row>
    <row r="925" spans="1:6" x14ac:dyDescent="0.3">
      <c r="A925" s="1">
        <v>40451</v>
      </c>
      <c r="B925" t="s">
        <v>15</v>
      </c>
      <c r="C925" t="s">
        <v>17</v>
      </c>
      <c r="D925" s="2">
        <v>193207.84458825001</v>
      </c>
      <c r="E925" s="2">
        <v>0</v>
      </c>
      <c r="F925" s="2">
        <v>193207.84458825001</v>
      </c>
    </row>
    <row r="926" spans="1:6" x14ac:dyDescent="0.3">
      <c r="A926" s="1">
        <v>40451</v>
      </c>
      <c r="B926" t="s">
        <v>15</v>
      </c>
      <c r="C926" t="s">
        <v>18</v>
      </c>
      <c r="D926" s="2">
        <v>188796.40492823001</v>
      </c>
      <c r="E926" s="2">
        <v>0</v>
      </c>
      <c r="F926" s="2">
        <v>188796.40492823001</v>
      </c>
    </row>
    <row r="927" spans="1:6" x14ac:dyDescent="0.3">
      <c r="A927" s="1">
        <v>40451</v>
      </c>
      <c r="B927" t="s">
        <v>13</v>
      </c>
      <c r="C927" t="s">
        <v>14</v>
      </c>
      <c r="D927" s="2">
        <v>8475928.3009891696</v>
      </c>
      <c r="E927" s="2">
        <v>22396.629706</v>
      </c>
      <c r="F927" s="2">
        <v>8498324.9306951705</v>
      </c>
    </row>
    <row r="928" spans="1:6" x14ac:dyDescent="0.3">
      <c r="A928" s="1">
        <v>40482</v>
      </c>
      <c r="B928" t="s">
        <v>15</v>
      </c>
      <c r="C928" t="s">
        <v>19</v>
      </c>
      <c r="D928" s="2">
        <v>129593.86292451</v>
      </c>
      <c r="E928" s="2">
        <v>4576792.8960740101</v>
      </c>
      <c r="F928" s="2">
        <v>4706386.7589985197</v>
      </c>
    </row>
    <row r="929" spans="1:6" x14ac:dyDescent="0.3">
      <c r="A929" s="1">
        <v>40482</v>
      </c>
      <c r="B929" t="s">
        <v>15</v>
      </c>
      <c r="C929" t="s">
        <v>18</v>
      </c>
      <c r="D929" s="2">
        <v>188674.38954703</v>
      </c>
      <c r="E929" s="2">
        <v>0</v>
      </c>
      <c r="F929" s="2">
        <v>188674.38954703</v>
      </c>
    </row>
    <row r="930" spans="1:6" x14ac:dyDescent="0.3">
      <c r="A930" s="1">
        <v>40482</v>
      </c>
      <c r="B930" t="s">
        <v>21</v>
      </c>
      <c r="C930" t="s">
        <v>14</v>
      </c>
      <c r="D930" s="2">
        <v>548820.78352218005</v>
      </c>
      <c r="E930" s="2">
        <v>4577285.6998761399</v>
      </c>
      <c r="F930" s="2">
        <v>5126106.4833983202</v>
      </c>
    </row>
    <row r="931" spans="1:6" x14ac:dyDescent="0.3">
      <c r="A931" s="1">
        <v>40482</v>
      </c>
      <c r="B931" t="s">
        <v>22</v>
      </c>
      <c r="C931" t="s">
        <v>14</v>
      </c>
      <c r="D931" s="2">
        <v>9069879.0484036505</v>
      </c>
      <c r="E931" s="2">
        <v>4598946.4522378398</v>
      </c>
      <c r="F931" s="2">
        <v>13668824.500641501</v>
      </c>
    </row>
    <row r="932" spans="1:6" x14ac:dyDescent="0.3">
      <c r="A932" s="1">
        <v>40482</v>
      </c>
      <c r="B932" t="s">
        <v>6</v>
      </c>
      <c r="C932" t="s">
        <v>7</v>
      </c>
      <c r="D932" s="2">
        <v>1764088.3949</v>
      </c>
      <c r="E932" s="2">
        <v>4371.8389999999999</v>
      </c>
      <c r="F932" s="2">
        <v>1768460.2339000001</v>
      </c>
    </row>
    <row r="933" spans="1:6" x14ac:dyDescent="0.3">
      <c r="A933" s="1">
        <v>40482</v>
      </c>
      <c r="B933" t="s">
        <v>6</v>
      </c>
      <c r="C933" t="s">
        <v>9</v>
      </c>
      <c r="D933" s="2">
        <v>859205.52474999998</v>
      </c>
      <c r="E933" s="2">
        <v>3816.3827999999999</v>
      </c>
      <c r="F933" s="2">
        <v>863021.90755</v>
      </c>
    </row>
    <row r="934" spans="1:6" x14ac:dyDescent="0.3">
      <c r="A934" s="1">
        <v>40482</v>
      </c>
      <c r="B934" t="s">
        <v>6</v>
      </c>
      <c r="C934" t="s">
        <v>12</v>
      </c>
      <c r="D934" s="2">
        <v>0</v>
      </c>
      <c r="E934" s="2">
        <v>10238.99</v>
      </c>
      <c r="F934" s="2">
        <v>10238.99</v>
      </c>
    </row>
    <row r="935" spans="1:6" x14ac:dyDescent="0.3">
      <c r="A935" s="1">
        <v>40482</v>
      </c>
      <c r="B935" t="s">
        <v>6</v>
      </c>
      <c r="C935" t="s">
        <v>8</v>
      </c>
      <c r="D935" s="2">
        <v>5293329.6673999997</v>
      </c>
      <c r="E935" s="2">
        <v>3014.933</v>
      </c>
      <c r="F935" s="2">
        <v>5296344.6003999999</v>
      </c>
    </row>
    <row r="936" spans="1:6" x14ac:dyDescent="0.3">
      <c r="A936" s="1">
        <v>40482</v>
      </c>
      <c r="B936" t="s">
        <v>6</v>
      </c>
      <c r="C936" t="s">
        <v>10</v>
      </c>
      <c r="D936" s="2">
        <v>604434.67783147004</v>
      </c>
      <c r="E936" s="2">
        <v>218.60756169999999</v>
      </c>
      <c r="F936" s="2">
        <v>604653.28539316996</v>
      </c>
    </row>
    <row r="937" spans="1:6" x14ac:dyDescent="0.3">
      <c r="A937" s="1">
        <v>40482</v>
      </c>
      <c r="B937" t="s">
        <v>15</v>
      </c>
      <c r="C937" t="s">
        <v>16</v>
      </c>
      <c r="D937" s="2">
        <v>29995.18</v>
      </c>
      <c r="E937" s="2">
        <v>0</v>
      </c>
      <c r="F937" s="2">
        <v>29995.18</v>
      </c>
    </row>
    <row r="938" spans="1:6" x14ac:dyDescent="0.3">
      <c r="A938" s="1">
        <v>40482</v>
      </c>
      <c r="B938" t="s">
        <v>15</v>
      </c>
      <c r="C938" t="s">
        <v>23</v>
      </c>
      <c r="D938" s="2">
        <v>4185.6485899999998</v>
      </c>
      <c r="E938" s="2">
        <v>0</v>
      </c>
      <c r="F938" s="2">
        <v>4185.6485899999998</v>
      </c>
    </row>
    <row r="939" spans="1:6" x14ac:dyDescent="0.3">
      <c r="A939" s="1">
        <v>40482</v>
      </c>
      <c r="B939" t="s">
        <v>15</v>
      </c>
      <c r="C939" t="s">
        <v>24</v>
      </c>
      <c r="D939" s="2">
        <v>0</v>
      </c>
      <c r="E939" s="2">
        <v>492.80380213000001</v>
      </c>
      <c r="F939" s="2">
        <v>492.80380213000001</v>
      </c>
    </row>
    <row r="940" spans="1:6" x14ac:dyDescent="0.3">
      <c r="A940" s="1">
        <v>40482</v>
      </c>
      <c r="B940" t="s">
        <v>15</v>
      </c>
      <c r="C940" t="s">
        <v>20</v>
      </c>
      <c r="D940" s="2">
        <v>1362.81029982</v>
      </c>
      <c r="E940" s="2">
        <v>0</v>
      </c>
      <c r="F940" s="2">
        <v>1362.81029982</v>
      </c>
    </row>
    <row r="941" spans="1:6" x14ac:dyDescent="0.3">
      <c r="A941" s="1">
        <v>40482</v>
      </c>
      <c r="B941" t="s">
        <v>15</v>
      </c>
      <c r="C941" t="s">
        <v>17</v>
      </c>
      <c r="D941" s="2">
        <v>195008.89216081999</v>
      </c>
      <c r="E941" s="2">
        <v>0</v>
      </c>
      <c r="F941" s="2">
        <v>195008.89216081999</v>
      </c>
    </row>
    <row r="942" spans="1:6" x14ac:dyDescent="0.3">
      <c r="A942" s="1">
        <v>40482</v>
      </c>
      <c r="B942" t="s">
        <v>13</v>
      </c>
      <c r="C942" t="s">
        <v>14</v>
      </c>
      <c r="D942" s="2">
        <v>8521058.2648814693</v>
      </c>
      <c r="E942" s="2">
        <v>21660.752361700001</v>
      </c>
      <c r="F942" s="2">
        <v>8542719.0172431692</v>
      </c>
    </row>
    <row r="943" spans="1:6" x14ac:dyDescent="0.3">
      <c r="A943" s="1">
        <v>40512</v>
      </c>
      <c r="B943" t="s">
        <v>22</v>
      </c>
      <c r="C943" t="s">
        <v>14</v>
      </c>
      <c r="D943" s="2">
        <v>9275024.69144498</v>
      </c>
      <c r="E943" s="2">
        <v>4585749.0681745503</v>
      </c>
      <c r="F943" s="2">
        <v>13860773.7596195</v>
      </c>
    </row>
    <row r="944" spans="1:6" x14ac:dyDescent="0.3">
      <c r="A944" s="1">
        <v>40512</v>
      </c>
      <c r="B944" t="s">
        <v>6</v>
      </c>
      <c r="C944" t="s">
        <v>7</v>
      </c>
      <c r="D944" s="2">
        <v>1771238.4195000001</v>
      </c>
      <c r="E944" s="2">
        <v>4217.625</v>
      </c>
      <c r="F944" s="2">
        <v>1775456.0445000001</v>
      </c>
    </row>
    <row r="945" spans="1:6" x14ac:dyDescent="0.3">
      <c r="A945" s="1">
        <v>40512</v>
      </c>
      <c r="B945" t="s">
        <v>6</v>
      </c>
      <c r="C945" t="s">
        <v>9</v>
      </c>
      <c r="D945" s="2">
        <v>875646.13529999997</v>
      </c>
      <c r="E945" s="2">
        <v>3804.6338000000001</v>
      </c>
      <c r="F945" s="2">
        <v>879450.76910000003</v>
      </c>
    </row>
    <row r="946" spans="1:6" x14ac:dyDescent="0.3">
      <c r="A946" s="1">
        <v>40512</v>
      </c>
      <c r="B946" t="s">
        <v>6</v>
      </c>
      <c r="C946" t="s">
        <v>12</v>
      </c>
      <c r="D946" s="2">
        <v>0</v>
      </c>
      <c r="E946" s="2">
        <v>10238.99</v>
      </c>
      <c r="F946" s="2">
        <v>10238.99</v>
      </c>
    </row>
    <row r="947" spans="1:6" x14ac:dyDescent="0.3">
      <c r="A947" s="1">
        <v>40512</v>
      </c>
      <c r="B947" t="s">
        <v>6</v>
      </c>
      <c r="C947" t="s">
        <v>8</v>
      </c>
      <c r="D947" s="2">
        <v>5464886.7699999996</v>
      </c>
      <c r="E947" s="2">
        <v>2901.192</v>
      </c>
      <c r="F947" s="2">
        <v>5467787.9620000003</v>
      </c>
    </row>
    <row r="948" spans="1:6" x14ac:dyDescent="0.3">
      <c r="A948" s="1">
        <v>40512</v>
      </c>
      <c r="B948" t="s">
        <v>6</v>
      </c>
      <c r="C948" t="s">
        <v>10</v>
      </c>
      <c r="D948" s="2">
        <v>615120.79351439001</v>
      </c>
      <c r="E948" s="2">
        <v>231.81594150000001</v>
      </c>
      <c r="F948" s="2">
        <v>615352.60945589002</v>
      </c>
    </row>
    <row r="949" spans="1:6" x14ac:dyDescent="0.3">
      <c r="A949" s="1">
        <v>40512</v>
      </c>
      <c r="B949" t="s">
        <v>15</v>
      </c>
      <c r="C949" t="s">
        <v>16</v>
      </c>
      <c r="D949" s="2">
        <v>29995.18</v>
      </c>
      <c r="E949" s="2">
        <v>0</v>
      </c>
      <c r="F949" s="2">
        <v>29995.18</v>
      </c>
    </row>
    <row r="950" spans="1:6" x14ac:dyDescent="0.3">
      <c r="A950" s="1">
        <v>40512</v>
      </c>
      <c r="B950" t="s">
        <v>15</v>
      </c>
      <c r="C950" t="s">
        <v>23</v>
      </c>
      <c r="D950" s="2">
        <v>4185.6485899999998</v>
      </c>
      <c r="E950" s="2">
        <v>0</v>
      </c>
      <c r="F950" s="2">
        <v>4185.6485899999998</v>
      </c>
    </row>
    <row r="951" spans="1:6" x14ac:dyDescent="0.3">
      <c r="A951" s="1">
        <v>40512</v>
      </c>
      <c r="B951" t="s">
        <v>15</v>
      </c>
      <c r="C951" t="s">
        <v>19</v>
      </c>
      <c r="D951" s="2">
        <v>130034.34591023</v>
      </c>
      <c r="E951" s="2">
        <v>4563862.00763092</v>
      </c>
      <c r="F951" s="2">
        <v>4693896.3535411498</v>
      </c>
    </row>
    <row r="952" spans="1:6" x14ac:dyDescent="0.3">
      <c r="A952" s="1">
        <v>40512</v>
      </c>
      <c r="B952" t="s">
        <v>15</v>
      </c>
      <c r="C952" t="s">
        <v>24</v>
      </c>
      <c r="D952" s="2">
        <v>0</v>
      </c>
      <c r="E952" s="2">
        <v>492.80380213000001</v>
      </c>
      <c r="F952" s="2">
        <v>492.80380213000001</v>
      </c>
    </row>
    <row r="953" spans="1:6" x14ac:dyDescent="0.3">
      <c r="A953" s="1">
        <v>40512</v>
      </c>
      <c r="B953" t="s">
        <v>15</v>
      </c>
      <c r="C953" t="s">
        <v>20</v>
      </c>
      <c r="D953" s="2">
        <v>1336.0263875600001</v>
      </c>
      <c r="E953" s="2">
        <v>0</v>
      </c>
      <c r="F953" s="2">
        <v>1336.0263875600001</v>
      </c>
    </row>
    <row r="954" spans="1:6" x14ac:dyDescent="0.3">
      <c r="A954" s="1">
        <v>40512</v>
      </c>
      <c r="B954" t="s">
        <v>15</v>
      </c>
      <c r="C954" t="s">
        <v>17</v>
      </c>
      <c r="D954" s="2">
        <v>194180.83978302</v>
      </c>
      <c r="E954" s="2">
        <v>0</v>
      </c>
      <c r="F954" s="2">
        <v>194180.83978302</v>
      </c>
    </row>
    <row r="955" spans="1:6" x14ac:dyDescent="0.3">
      <c r="A955" s="1">
        <v>40512</v>
      </c>
      <c r="B955" t="s">
        <v>15</v>
      </c>
      <c r="C955" t="s">
        <v>18</v>
      </c>
      <c r="D955" s="2">
        <v>188400.53245977999</v>
      </c>
      <c r="E955" s="2">
        <v>0</v>
      </c>
      <c r="F955" s="2">
        <v>188400.53245977999</v>
      </c>
    </row>
    <row r="956" spans="1:6" x14ac:dyDescent="0.3">
      <c r="A956" s="1">
        <v>40512</v>
      </c>
      <c r="B956" t="s">
        <v>13</v>
      </c>
      <c r="C956" t="s">
        <v>14</v>
      </c>
      <c r="D956" s="2">
        <v>8726892.1183143891</v>
      </c>
      <c r="E956" s="2">
        <v>21394.256741500001</v>
      </c>
      <c r="F956" s="2">
        <v>8748286.3750558905</v>
      </c>
    </row>
    <row r="957" spans="1:6" x14ac:dyDescent="0.3">
      <c r="A957" s="1">
        <v>40512</v>
      </c>
      <c r="B957" t="s">
        <v>21</v>
      </c>
      <c r="C957" t="s">
        <v>14</v>
      </c>
      <c r="D957" s="2">
        <v>548132.57313059003</v>
      </c>
      <c r="E957" s="2">
        <v>4564354.8114330499</v>
      </c>
      <c r="F957" s="2">
        <v>5112487.3845636398</v>
      </c>
    </row>
    <row r="958" spans="1:6" x14ac:dyDescent="0.3">
      <c r="A958" s="1">
        <v>40543</v>
      </c>
      <c r="B958" t="s">
        <v>6</v>
      </c>
      <c r="C958" t="s">
        <v>10</v>
      </c>
      <c r="D958" s="2">
        <v>615850.80668498005</v>
      </c>
      <c r="E958" s="2">
        <v>254.732381</v>
      </c>
      <c r="F958" s="2">
        <v>616105.53906598</v>
      </c>
    </row>
    <row r="959" spans="1:6" x14ac:dyDescent="0.3">
      <c r="A959" s="1">
        <v>40543</v>
      </c>
      <c r="B959" t="s">
        <v>15</v>
      </c>
      <c r="C959" t="s">
        <v>16</v>
      </c>
      <c r="D959" s="2">
        <v>29995.18</v>
      </c>
      <c r="E959" s="2">
        <v>0</v>
      </c>
      <c r="F959" s="2">
        <v>29995.18</v>
      </c>
    </row>
    <row r="960" spans="1:6" x14ac:dyDescent="0.3">
      <c r="A960" s="1">
        <v>40543</v>
      </c>
      <c r="B960" t="s">
        <v>15</v>
      </c>
      <c r="C960" t="s">
        <v>23</v>
      </c>
      <c r="D960" s="2">
        <v>3985.6485899999998</v>
      </c>
      <c r="E960" s="2">
        <v>0</v>
      </c>
      <c r="F960" s="2">
        <v>3985.6485899999998</v>
      </c>
    </row>
    <row r="961" spans="1:6" x14ac:dyDescent="0.3">
      <c r="A961" s="1">
        <v>40543</v>
      </c>
      <c r="B961" t="s">
        <v>15</v>
      </c>
      <c r="C961" t="s">
        <v>19</v>
      </c>
      <c r="D961" s="2">
        <v>132852.34679218999</v>
      </c>
      <c r="E961" s="2">
        <v>4612396.8146820404</v>
      </c>
      <c r="F961" s="2">
        <v>4745249.1614742298</v>
      </c>
    </row>
    <row r="962" spans="1:6" x14ac:dyDescent="0.3">
      <c r="A962" s="1">
        <v>40543</v>
      </c>
      <c r="B962" t="s">
        <v>15</v>
      </c>
      <c r="C962" t="s">
        <v>24</v>
      </c>
      <c r="D962" s="2">
        <v>0</v>
      </c>
      <c r="E962" s="2">
        <v>492.80380213000001</v>
      </c>
      <c r="F962" s="2">
        <v>492.80380213000001</v>
      </c>
    </row>
    <row r="963" spans="1:6" x14ac:dyDescent="0.3">
      <c r="A963" s="1">
        <v>40543</v>
      </c>
      <c r="B963" t="s">
        <v>15</v>
      </c>
      <c r="C963" t="s">
        <v>20</v>
      </c>
      <c r="D963" s="2">
        <v>1297.0179075200001</v>
      </c>
      <c r="E963" s="2">
        <v>0</v>
      </c>
      <c r="F963" s="2">
        <v>1297.0179075200001</v>
      </c>
    </row>
    <row r="964" spans="1:6" x14ac:dyDescent="0.3">
      <c r="A964" s="1">
        <v>40543</v>
      </c>
      <c r="B964" t="s">
        <v>15</v>
      </c>
      <c r="C964" t="s">
        <v>17</v>
      </c>
      <c r="D964" s="2">
        <v>192927.93612803001</v>
      </c>
      <c r="E964" s="2">
        <v>0</v>
      </c>
      <c r="F964" s="2">
        <v>192927.93612803001</v>
      </c>
    </row>
    <row r="965" spans="1:6" x14ac:dyDescent="0.3">
      <c r="A965" s="1">
        <v>40543</v>
      </c>
      <c r="B965" t="s">
        <v>15</v>
      </c>
      <c r="C965" t="s">
        <v>18</v>
      </c>
      <c r="D965" s="2">
        <v>188006.87634021</v>
      </c>
      <c r="E965" s="2">
        <v>0</v>
      </c>
      <c r="F965" s="2">
        <v>188006.87634021</v>
      </c>
    </row>
    <row r="966" spans="1:6" x14ac:dyDescent="0.3">
      <c r="A966" s="1">
        <v>40543</v>
      </c>
      <c r="B966" t="s">
        <v>13</v>
      </c>
      <c r="C966" t="s">
        <v>14</v>
      </c>
      <c r="D966" s="2">
        <v>8841411.0848849807</v>
      </c>
      <c r="E966" s="2">
        <v>21849.512180999998</v>
      </c>
      <c r="F966" s="2">
        <v>8863260.5970659908</v>
      </c>
    </row>
    <row r="967" spans="1:6" x14ac:dyDescent="0.3">
      <c r="A967" s="1">
        <v>40543</v>
      </c>
      <c r="B967" t="s">
        <v>21</v>
      </c>
      <c r="C967" t="s">
        <v>14</v>
      </c>
      <c r="D967" s="2">
        <v>549065.00575795001</v>
      </c>
      <c r="E967" s="2">
        <v>4612889.6184841702</v>
      </c>
      <c r="F967" s="2">
        <v>5161954.6242421204</v>
      </c>
    </row>
    <row r="968" spans="1:6" x14ac:dyDescent="0.3">
      <c r="A968" s="1">
        <v>40543</v>
      </c>
      <c r="B968" t="s">
        <v>22</v>
      </c>
      <c r="C968" t="s">
        <v>14</v>
      </c>
      <c r="D968" s="2">
        <v>9390476.0906429291</v>
      </c>
      <c r="E968" s="2">
        <v>4634739.13066517</v>
      </c>
      <c r="F968" s="2">
        <v>14025215.221308099</v>
      </c>
    </row>
    <row r="969" spans="1:6" x14ac:dyDescent="0.3">
      <c r="A969" s="1">
        <v>40543</v>
      </c>
      <c r="B969" t="s">
        <v>6</v>
      </c>
      <c r="C969" t="s">
        <v>7</v>
      </c>
      <c r="D969" s="2">
        <v>1768931.1612</v>
      </c>
      <c r="E969" s="2">
        <v>3596.72</v>
      </c>
      <c r="F969" s="2">
        <v>1772527.8811999999</v>
      </c>
    </row>
    <row r="970" spans="1:6" x14ac:dyDescent="0.3">
      <c r="A970" s="1">
        <v>40543</v>
      </c>
      <c r="B970" t="s">
        <v>6</v>
      </c>
      <c r="C970" t="s">
        <v>9</v>
      </c>
      <c r="D970" s="2">
        <v>888428.59010000003</v>
      </c>
      <c r="E970" s="2">
        <v>4211.0468000000001</v>
      </c>
      <c r="F970" s="2">
        <v>892639.63690000004</v>
      </c>
    </row>
    <row r="971" spans="1:6" x14ac:dyDescent="0.3">
      <c r="A971" s="1">
        <v>40543</v>
      </c>
      <c r="B971" t="s">
        <v>6</v>
      </c>
      <c r="C971" t="s">
        <v>12</v>
      </c>
      <c r="D971" s="2">
        <v>0</v>
      </c>
      <c r="E971" s="2">
        <v>10238.99</v>
      </c>
      <c r="F971" s="2">
        <v>10238.99</v>
      </c>
    </row>
    <row r="972" spans="1:6" x14ac:dyDescent="0.3">
      <c r="A972" s="1">
        <v>40543</v>
      </c>
      <c r="B972" t="s">
        <v>6</v>
      </c>
      <c r="C972" t="s">
        <v>8</v>
      </c>
      <c r="D972" s="2">
        <v>5568200.5268999999</v>
      </c>
      <c r="E972" s="2">
        <v>3548.0230000000001</v>
      </c>
      <c r="F972" s="2">
        <v>5571748.5499</v>
      </c>
    </row>
    <row r="973" spans="1:6" x14ac:dyDescent="0.3">
      <c r="A973" s="1">
        <v>40574</v>
      </c>
      <c r="B973" t="s">
        <v>21</v>
      </c>
      <c r="C973" t="s">
        <v>14</v>
      </c>
      <c r="D973" s="2">
        <v>542561</v>
      </c>
      <c r="E973" s="2">
        <v>4623784.8137699999</v>
      </c>
      <c r="F973" s="2">
        <v>5166346.3354069702</v>
      </c>
    </row>
    <row r="974" spans="1:6" x14ac:dyDescent="0.3">
      <c r="A974" s="1">
        <v>40574</v>
      </c>
      <c r="B974" t="s">
        <v>22</v>
      </c>
      <c r="C974" t="s">
        <v>14</v>
      </c>
      <c r="D974" s="2">
        <v>9485417</v>
      </c>
      <c r="E974" s="2">
        <v>4645633.7037699996</v>
      </c>
      <c r="F974" s="2">
        <v>14131051.338328199</v>
      </c>
    </row>
    <row r="975" spans="1:6" x14ac:dyDescent="0.3">
      <c r="A975" s="1">
        <v>40574</v>
      </c>
      <c r="B975" t="s">
        <v>6</v>
      </c>
      <c r="C975" t="s">
        <v>7</v>
      </c>
      <c r="D975" s="2">
        <v>1756620.0584</v>
      </c>
      <c r="E975" s="2">
        <v>3924.1</v>
      </c>
      <c r="F975" s="2">
        <v>1760544.1584000001</v>
      </c>
    </row>
    <row r="976" spans="1:6" x14ac:dyDescent="0.3">
      <c r="A976" s="1">
        <v>40574</v>
      </c>
      <c r="B976" t="s">
        <v>6</v>
      </c>
      <c r="C976" t="s">
        <v>9</v>
      </c>
      <c r="D976" s="2">
        <v>901966.70369999995</v>
      </c>
      <c r="E976" s="2">
        <v>3957.8</v>
      </c>
      <c r="F976" s="2">
        <v>905924.5037</v>
      </c>
    </row>
    <row r="977" spans="1:6" x14ac:dyDescent="0.3">
      <c r="A977" s="1">
        <v>40574</v>
      </c>
      <c r="B977" t="s">
        <v>6</v>
      </c>
      <c r="C977" t="s">
        <v>12</v>
      </c>
      <c r="D977" s="2">
        <v>0</v>
      </c>
      <c r="E977" s="2">
        <v>10238.99</v>
      </c>
      <c r="F977" s="2">
        <v>10238.99</v>
      </c>
    </row>
    <row r="978" spans="1:6" x14ac:dyDescent="0.3">
      <c r="A978" s="1">
        <v>40574</v>
      </c>
      <c r="B978" t="s">
        <v>6</v>
      </c>
      <c r="C978" t="s">
        <v>8</v>
      </c>
      <c r="D978" s="2">
        <v>5668644.1711999997</v>
      </c>
      <c r="E978" s="2">
        <v>3539.6</v>
      </c>
      <c r="F978" s="2">
        <v>5672183.7712000003</v>
      </c>
    </row>
    <row r="979" spans="1:6" x14ac:dyDescent="0.3">
      <c r="A979" s="1">
        <v>40574</v>
      </c>
      <c r="B979" t="s">
        <v>6</v>
      </c>
      <c r="C979" t="s">
        <v>10</v>
      </c>
      <c r="D979" s="2">
        <v>615625.17962118995</v>
      </c>
      <c r="E979" s="2">
        <v>188.4</v>
      </c>
      <c r="F979" s="2">
        <v>615813.57962118997</v>
      </c>
    </row>
    <row r="980" spans="1:6" x14ac:dyDescent="0.3">
      <c r="A980" s="1">
        <v>40574</v>
      </c>
      <c r="B980" t="s">
        <v>15</v>
      </c>
      <c r="C980" t="s">
        <v>16</v>
      </c>
      <c r="D980" s="2">
        <v>29995.18</v>
      </c>
      <c r="E980" s="2">
        <v>0</v>
      </c>
      <c r="F980" s="2">
        <v>29995.18</v>
      </c>
    </row>
    <row r="981" spans="1:6" x14ac:dyDescent="0.3">
      <c r="A981" s="1">
        <v>40574</v>
      </c>
      <c r="B981" t="s">
        <v>15</v>
      </c>
      <c r="C981" t="s">
        <v>23</v>
      </c>
      <c r="D981" s="2">
        <v>3985.6485899999998</v>
      </c>
      <c r="E981" s="2">
        <v>0</v>
      </c>
      <c r="F981" s="2">
        <v>3985.6485899999998</v>
      </c>
    </row>
    <row r="982" spans="1:6" x14ac:dyDescent="0.3">
      <c r="A982" s="1">
        <v>40574</v>
      </c>
      <c r="B982" t="s">
        <v>15</v>
      </c>
      <c r="C982" t="s">
        <v>19</v>
      </c>
      <c r="D982" s="2">
        <v>132536.56798856001</v>
      </c>
      <c r="E982" s="2">
        <v>4623291.8265503496</v>
      </c>
      <c r="F982" s="2">
        <v>4755829.3945389101</v>
      </c>
    </row>
    <row r="983" spans="1:6" x14ac:dyDescent="0.3">
      <c r="A983" s="1">
        <v>40574</v>
      </c>
      <c r="B983" t="s">
        <v>15</v>
      </c>
      <c r="C983" t="s">
        <v>24</v>
      </c>
      <c r="D983" s="2">
        <v>0</v>
      </c>
      <c r="E983" s="2">
        <v>492.98721964999999</v>
      </c>
      <c r="F983" s="2">
        <v>492.98721964999999</v>
      </c>
    </row>
    <row r="984" spans="1:6" x14ac:dyDescent="0.3">
      <c r="A984" s="1">
        <v>40574</v>
      </c>
      <c r="B984" t="s">
        <v>15</v>
      </c>
      <c r="C984" t="s">
        <v>20</v>
      </c>
      <c r="D984" s="2">
        <v>1292.9775736900001</v>
      </c>
      <c r="E984" s="2">
        <v>0</v>
      </c>
      <c r="F984" s="2">
        <v>1292.9775736900001</v>
      </c>
    </row>
    <row r="985" spans="1:6" x14ac:dyDescent="0.3">
      <c r="A985" s="1">
        <v>40574</v>
      </c>
      <c r="B985" t="s">
        <v>15</v>
      </c>
      <c r="C985" t="s">
        <v>17</v>
      </c>
      <c r="D985" s="2">
        <v>187212.99018920999</v>
      </c>
      <c r="E985" s="2">
        <v>0</v>
      </c>
      <c r="F985" s="2">
        <v>187212.99018920999</v>
      </c>
    </row>
    <row r="986" spans="1:6" x14ac:dyDescent="0.3">
      <c r="A986" s="1">
        <v>40574</v>
      </c>
      <c r="B986" t="s">
        <v>15</v>
      </c>
      <c r="C986" t="s">
        <v>18</v>
      </c>
      <c r="D986" s="2">
        <v>187537.15729551</v>
      </c>
      <c r="E986" s="2">
        <v>0</v>
      </c>
      <c r="F986" s="2">
        <v>187537.15729551</v>
      </c>
    </row>
    <row r="987" spans="1:6" x14ac:dyDescent="0.3">
      <c r="A987" s="1">
        <v>40574</v>
      </c>
      <c r="B987" t="s">
        <v>13</v>
      </c>
      <c r="C987" t="s">
        <v>14</v>
      </c>
      <c r="D987" s="2">
        <v>8942856.1129211895</v>
      </c>
      <c r="E987" s="2">
        <v>21848.89</v>
      </c>
      <c r="F987" s="2">
        <v>8964705.0029211901</v>
      </c>
    </row>
    <row r="988" spans="1:6" x14ac:dyDescent="0.3">
      <c r="A988" s="1">
        <v>40602</v>
      </c>
      <c r="B988" t="s">
        <v>22</v>
      </c>
      <c r="C988" t="s">
        <v>14</v>
      </c>
      <c r="D988" s="2">
        <v>9565541.4324782006</v>
      </c>
      <c r="E988" s="2">
        <v>4629222.7223797403</v>
      </c>
      <c r="F988" s="2">
        <v>14194764.1548579</v>
      </c>
    </row>
    <row r="989" spans="1:6" x14ac:dyDescent="0.3">
      <c r="A989" s="1">
        <v>40602</v>
      </c>
      <c r="B989" t="s">
        <v>6</v>
      </c>
      <c r="C989" t="s">
        <v>7</v>
      </c>
      <c r="D989" s="2">
        <v>1734503.7597000001</v>
      </c>
      <c r="E989" s="2">
        <v>4011.4</v>
      </c>
      <c r="F989" s="2">
        <v>1738515.1597</v>
      </c>
    </row>
    <row r="990" spans="1:6" x14ac:dyDescent="0.3">
      <c r="A990" s="1">
        <v>40602</v>
      </c>
      <c r="B990" t="s">
        <v>6</v>
      </c>
      <c r="C990" t="s">
        <v>9</v>
      </c>
      <c r="D990" s="2">
        <v>918418.0085</v>
      </c>
      <c r="E990" s="2">
        <v>3872.5</v>
      </c>
      <c r="F990" s="2">
        <v>922290.5085</v>
      </c>
    </row>
    <row r="991" spans="1:6" x14ac:dyDescent="0.3">
      <c r="A991" s="1">
        <v>40602</v>
      </c>
      <c r="B991" t="s">
        <v>6</v>
      </c>
      <c r="C991" t="s">
        <v>12</v>
      </c>
      <c r="D991" s="2">
        <v>0</v>
      </c>
      <c r="E991" s="2">
        <v>10238.99</v>
      </c>
      <c r="F991" s="2">
        <v>10238.99</v>
      </c>
    </row>
    <row r="992" spans="1:6" x14ac:dyDescent="0.3">
      <c r="A992" s="1">
        <v>40602</v>
      </c>
      <c r="B992" t="s">
        <v>6</v>
      </c>
      <c r="C992" t="s">
        <v>8</v>
      </c>
      <c r="D992" s="2">
        <v>5747049.7412999999</v>
      </c>
      <c r="E992" s="2">
        <v>3776.9</v>
      </c>
      <c r="F992" s="2">
        <v>5750826.6413000003</v>
      </c>
    </row>
    <row r="993" spans="1:6" x14ac:dyDescent="0.3">
      <c r="A993" s="1">
        <v>40602</v>
      </c>
      <c r="B993" t="s">
        <v>6</v>
      </c>
      <c r="C993" t="s">
        <v>10</v>
      </c>
      <c r="D993" s="2">
        <v>626245.13106957998</v>
      </c>
      <c r="E993" s="2">
        <v>98.3</v>
      </c>
      <c r="F993" s="2">
        <v>626343.43106958002</v>
      </c>
    </row>
    <row r="994" spans="1:6" x14ac:dyDescent="0.3">
      <c r="A994" s="1">
        <v>40602</v>
      </c>
      <c r="B994" t="s">
        <v>15</v>
      </c>
      <c r="C994" t="s">
        <v>16</v>
      </c>
      <c r="D994" s="2">
        <v>29995.18</v>
      </c>
      <c r="E994" s="2">
        <v>0</v>
      </c>
      <c r="F994" s="2">
        <v>29995.18</v>
      </c>
    </row>
    <row r="995" spans="1:6" x14ac:dyDescent="0.3">
      <c r="A995" s="1">
        <v>40602</v>
      </c>
      <c r="B995" t="s">
        <v>15</v>
      </c>
      <c r="C995" t="s">
        <v>23</v>
      </c>
      <c r="D995" s="2">
        <v>3785.6485899999998</v>
      </c>
      <c r="E995" s="2">
        <v>0</v>
      </c>
      <c r="F995" s="2">
        <v>3785.6485899999998</v>
      </c>
    </row>
    <row r="996" spans="1:6" x14ac:dyDescent="0.3">
      <c r="A996" s="1">
        <v>40602</v>
      </c>
      <c r="B996" t="s">
        <v>15</v>
      </c>
      <c r="C996" t="s">
        <v>19</v>
      </c>
      <c r="D996" s="2">
        <v>134592.52061643999</v>
      </c>
      <c r="E996" s="2">
        <v>4606731.6451600902</v>
      </c>
      <c r="F996" s="2">
        <v>4741324.1657765303</v>
      </c>
    </row>
    <row r="997" spans="1:6" x14ac:dyDescent="0.3">
      <c r="A997" s="1">
        <v>40602</v>
      </c>
      <c r="B997" t="s">
        <v>15</v>
      </c>
      <c r="C997" t="s">
        <v>24</v>
      </c>
      <c r="D997" s="2">
        <v>0</v>
      </c>
      <c r="E997" s="2">
        <v>492.98721964999999</v>
      </c>
      <c r="F997" s="2">
        <v>492.98721964999999</v>
      </c>
    </row>
    <row r="998" spans="1:6" x14ac:dyDescent="0.3">
      <c r="A998" s="1">
        <v>40602</v>
      </c>
      <c r="B998" t="s">
        <v>15</v>
      </c>
      <c r="C998" t="s">
        <v>20</v>
      </c>
      <c r="D998" s="2">
        <v>1288.5035279399999</v>
      </c>
      <c r="E998" s="2">
        <v>0</v>
      </c>
      <c r="F998" s="2">
        <v>1288.5035279399999</v>
      </c>
    </row>
    <row r="999" spans="1:6" x14ac:dyDescent="0.3">
      <c r="A999" s="1">
        <v>40602</v>
      </c>
      <c r="B999" t="s">
        <v>15</v>
      </c>
      <c r="C999" t="s">
        <v>17</v>
      </c>
      <c r="D999" s="2">
        <v>182359.67439281</v>
      </c>
      <c r="E999" s="2">
        <v>0</v>
      </c>
      <c r="F999" s="2">
        <v>182359.67439281</v>
      </c>
    </row>
    <row r="1000" spans="1:6" x14ac:dyDescent="0.3">
      <c r="A1000" s="1">
        <v>40602</v>
      </c>
      <c r="B1000" t="s">
        <v>15</v>
      </c>
      <c r="C1000" t="s">
        <v>18</v>
      </c>
      <c r="D1000" s="2">
        <v>187303.26478143001</v>
      </c>
      <c r="E1000" s="2">
        <v>0</v>
      </c>
      <c r="F1000" s="2">
        <v>187303.26478143001</v>
      </c>
    </row>
    <row r="1001" spans="1:6" x14ac:dyDescent="0.3">
      <c r="A1001" s="1">
        <v>40602</v>
      </c>
      <c r="B1001" t="s">
        <v>13</v>
      </c>
      <c r="C1001" t="s">
        <v>14</v>
      </c>
      <c r="D1001" s="2">
        <v>9026216.6405695807</v>
      </c>
      <c r="E1001" s="2">
        <v>21998.09</v>
      </c>
      <c r="F1001" s="2">
        <v>9048214.7305695806</v>
      </c>
    </row>
    <row r="1002" spans="1:6" x14ac:dyDescent="0.3">
      <c r="A1002" s="1">
        <v>40602</v>
      </c>
      <c r="B1002" t="s">
        <v>21</v>
      </c>
      <c r="C1002" t="s">
        <v>14</v>
      </c>
      <c r="D1002" s="2">
        <v>539324.79190862004</v>
      </c>
      <c r="E1002" s="2">
        <v>4607224.6323797395</v>
      </c>
      <c r="F1002" s="2">
        <v>5146550.4242883604</v>
      </c>
    </row>
    <row r="1003" spans="1:6" x14ac:dyDescent="0.3">
      <c r="A1003" s="1">
        <v>40633</v>
      </c>
      <c r="B1003" t="s">
        <v>6</v>
      </c>
      <c r="C1003" t="s">
        <v>7</v>
      </c>
      <c r="D1003" s="2">
        <v>1694692.0334999999</v>
      </c>
      <c r="E1003" s="2">
        <v>3808.8</v>
      </c>
      <c r="F1003" s="2">
        <v>1698500.8334999999</v>
      </c>
    </row>
    <row r="1004" spans="1:6" x14ac:dyDescent="0.3">
      <c r="A1004" s="1">
        <v>40633</v>
      </c>
      <c r="B1004" t="s">
        <v>6</v>
      </c>
      <c r="C1004" t="s">
        <v>9</v>
      </c>
      <c r="D1004" s="2">
        <v>931474.17110000004</v>
      </c>
      <c r="E1004" s="2">
        <v>3815</v>
      </c>
      <c r="F1004" s="2">
        <v>935289.17110000004</v>
      </c>
    </row>
    <row r="1005" spans="1:6" x14ac:dyDescent="0.3">
      <c r="A1005" s="1">
        <v>40633</v>
      </c>
      <c r="B1005" t="s">
        <v>6</v>
      </c>
      <c r="C1005" t="s">
        <v>8</v>
      </c>
      <c r="D1005" s="2">
        <v>5843938.2418</v>
      </c>
      <c r="E1005" s="2">
        <v>3933</v>
      </c>
      <c r="F1005" s="2">
        <v>5847871.2418</v>
      </c>
    </row>
    <row r="1006" spans="1:6" x14ac:dyDescent="0.3">
      <c r="A1006" s="1">
        <v>40633</v>
      </c>
      <c r="B1006" t="s">
        <v>6</v>
      </c>
      <c r="C1006" t="s">
        <v>10</v>
      </c>
      <c r="D1006" s="2">
        <v>640714.40845702996</v>
      </c>
      <c r="E1006" s="2">
        <v>125.4</v>
      </c>
      <c r="F1006" s="2">
        <v>640839.80845702998</v>
      </c>
    </row>
    <row r="1007" spans="1:6" x14ac:dyDescent="0.3">
      <c r="A1007" s="1">
        <v>40633</v>
      </c>
      <c r="B1007" t="s">
        <v>6</v>
      </c>
      <c r="C1007" t="s">
        <v>12</v>
      </c>
      <c r="D1007" s="2">
        <v>0</v>
      </c>
      <c r="E1007" s="2">
        <v>10238.99</v>
      </c>
      <c r="F1007" s="2">
        <v>10238.99</v>
      </c>
    </row>
    <row r="1008" spans="1:6" x14ac:dyDescent="0.3">
      <c r="A1008" s="1">
        <v>40633</v>
      </c>
      <c r="B1008" t="s">
        <v>15</v>
      </c>
      <c r="C1008" t="s">
        <v>16</v>
      </c>
      <c r="D1008" s="2">
        <v>29995.18</v>
      </c>
      <c r="E1008" s="2">
        <v>0</v>
      </c>
      <c r="F1008" s="2">
        <v>29995.18</v>
      </c>
    </row>
    <row r="1009" spans="1:6" x14ac:dyDescent="0.3">
      <c r="A1009" s="1">
        <v>40633</v>
      </c>
      <c r="B1009" t="s">
        <v>15</v>
      </c>
      <c r="C1009" t="s">
        <v>23</v>
      </c>
      <c r="D1009" s="2">
        <v>3785.6485899999998</v>
      </c>
      <c r="E1009" s="2">
        <v>0</v>
      </c>
      <c r="F1009" s="2">
        <v>3785.6485899999998</v>
      </c>
    </row>
    <row r="1010" spans="1:6" x14ac:dyDescent="0.3">
      <c r="A1010" s="1">
        <v>40633</v>
      </c>
      <c r="B1010" t="s">
        <v>15</v>
      </c>
      <c r="C1010" t="s">
        <v>19</v>
      </c>
      <c r="D1010" s="2">
        <v>136956.42394827001</v>
      </c>
      <c r="E1010" s="2">
        <v>4596057.4633971397</v>
      </c>
      <c r="F1010" s="2">
        <v>4733013.88734541</v>
      </c>
    </row>
    <row r="1011" spans="1:6" x14ac:dyDescent="0.3">
      <c r="A1011" s="1">
        <v>40633</v>
      </c>
      <c r="B1011" t="s">
        <v>15</v>
      </c>
      <c r="C1011" t="s">
        <v>24</v>
      </c>
      <c r="D1011" s="2">
        <v>0</v>
      </c>
      <c r="E1011" s="2">
        <v>492.98721964999999</v>
      </c>
      <c r="F1011" s="2">
        <v>492.98721964999999</v>
      </c>
    </row>
    <row r="1012" spans="1:6" x14ac:dyDescent="0.3">
      <c r="A1012" s="1">
        <v>40633</v>
      </c>
      <c r="B1012" t="s">
        <v>15</v>
      </c>
      <c r="C1012" t="s">
        <v>20</v>
      </c>
      <c r="D1012" s="2">
        <v>1301.28830455</v>
      </c>
      <c r="E1012" s="2">
        <v>0</v>
      </c>
      <c r="F1012" s="2">
        <v>1301.28830455</v>
      </c>
    </row>
    <row r="1013" spans="1:6" x14ac:dyDescent="0.3">
      <c r="A1013" s="1">
        <v>40633</v>
      </c>
      <c r="B1013" t="s">
        <v>15</v>
      </c>
      <c r="C1013" t="s">
        <v>17</v>
      </c>
      <c r="D1013" s="2">
        <v>181922.07024979999</v>
      </c>
      <c r="E1013" s="2">
        <v>0</v>
      </c>
      <c r="F1013" s="2">
        <v>181922.07024979999</v>
      </c>
    </row>
    <row r="1014" spans="1:6" x14ac:dyDescent="0.3">
      <c r="A1014" s="1">
        <v>40633</v>
      </c>
      <c r="B1014" t="s">
        <v>15</v>
      </c>
      <c r="C1014" t="s">
        <v>18</v>
      </c>
      <c r="D1014" s="2">
        <v>186863.78408724</v>
      </c>
      <c r="E1014" s="2">
        <v>0</v>
      </c>
      <c r="F1014" s="2">
        <v>186863.78408724</v>
      </c>
    </row>
    <row r="1015" spans="1:6" x14ac:dyDescent="0.3">
      <c r="A1015" s="1">
        <v>40633</v>
      </c>
      <c r="B1015" t="s">
        <v>13</v>
      </c>
      <c r="C1015" t="s">
        <v>14</v>
      </c>
      <c r="D1015" s="2">
        <v>9110818.8548570294</v>
      </c>
      <c r="E1015" s="2">
        <v>21921.19</v>
      </c>
      <c r="F1015" s="2">
        <v>9132740.0448570307</v>
      </c>
    </row>
    <row r="1016" spans="1:6" x14ac:dyDescent="0.3">
      <c r="A1016" s="1">
        <v>40633</v>
      </c>
      <c r="B1016" t="s">
        <v>21</v>
      </c>
      <c r="C1016" t="s">
        <v>14</v>
      </c>
      <c r="D1016" s="2">
        <v>540824.39517985994</v>
      </c>
      <c r="E1016" s="2">
        <v>4596550.45061679</v>
      </c>
      <c r="F1016" s="2">
        <v>5137373.8457966503</v>
      </c>
    </row>
    <row r="1017" spans="1:6" x14ac:dyDescent="0.3">
      <c r="A1017" s="1">
        <v>40633</v>
      </c>
      <c r="B1017" t="s">
        <v>22</v>
      </c>
      <c r="C1017" t="s">
        <v>14</v>
      </c>
      <c r="D1017" s="2">
        <v>9651643.2500368897</v>
      </c>
      <c r="E1017" s="2">
        <v>4618470.6406167904</v>
      </c>
      <c r="F1017" s="2">
        <v>14270114.8906537</v>
      </c>
    </row>
    <row r="1018" spans="1:6" x14ac:dyDescent="0.3">
      <c r="A1018" s="1">
        <v>40663</v>
      </c>
      <c r="B1018" t="s">
        <v>6</v>
      </c>
      <c r="C1018" t="s">
        <v>7</v>
      </c>
      <c r="D1018" s="2">
        <v>1635405.7634000001</v>
      </c>
      <c r="E1018" s="2">
        <v>3086.8</v>
      </c>
      <c r="F1018" s="2">
        <v>1638492.5634000001</v>
      </c>
    </row>
    <row r="1019" spans="1:6" x14ac:dyDescent="0.3">
      <c r="A1019" s="1">
        <v>40663</v>
      </c>
      <c r="B1019" t="s">
        <v>6</v>
      </c>
      <c r="C1019" t="s">
        <v>9</v>
      </c>
      <c r="D1019" s="2">
        <v>945100.46429999999</v>
      </c>
      <c r="E1019" s="2">
        <v>3828.4879999999998</v>
      </c>
      <c r="F1019" s="2">
        <v>948928.9523</v>
      </c>
    </row>
    <row r="1020" spans="1:6" x14ac:dyDescent="0.3">
      <c r="A1020" s="1">
        <v>40663</v>
      </c>
      <c r="B1020" t="s">
        <v>6</v>
      </c>
      <c r="C1020" t="s">
        <v>12</v>
      </c>
      <c r="D1020" s="2">
        <v>0</v>
      </c>
      <c r="E1020" s="2">
        <v>10238.99</v>
      </c>
      <c r="F1020" s="2">
        <v>10238.99</v>
      </c>
    </row>
    <row r="1021" spans="1:6" x14ac:dyDescent="0.3">
      <c r="A1021" s="1">
        <v>40663</v>
      </c>
      <c r="B1021" t="s">
        <v>6</v>
      </c>
      <c r="C1021" t="s">
        <v>8</v>
      </c>
      <c r="D1021" s="2">
        <v>5898888.5480000004</v>
      </c>
      <c r="E1021" s="2">
        <v>4591.8</v>
      </c>
      <c r="F1021" s="2">
        <v>5903480.3480000002</v>
      </c>
    </row>
    <row r="1022" spans="1:6" x14ac:dyDescent="0.3">
      <c r="A1022" s="1">
        <v>40663</v>
      </c>
      <c r="B1022" t="s">
        <v>6</v>
      </c>
      <c r="C1022" t="s">
        <v>10</v>
      </c>
      <c r="D1022" s="2">
        <v>635320.92957495002</v>
      </c>
      <c r="E1022" s="2">
        <v>108.4</v>
      </c>
      <c r="F1022" s="2">
        <v>635429.32957495004</v>
      </c>
    </row>
    <row r="1023" spans="1:6" x14ac:dyDescent="0.3">
      <c r="A1023" s="1">
        <v>40663</v>
      </c>
      <c r="B1023" t="s">
        <v>15</v>
      </c>
      <c r="C1023" t="s">
        <v>16</v>
      </c>
      <c r="D1023" s="2">
        <v>29995.18</v>
      </c>
      <c r="E1023" s="2">
        <v>0</v>
      </c>
      <c r="F1023" s="2">
        <v>29995.18</v>
      </c>
    </row>
    <row r="1024" spans="1:6" x14ac:dyDescent="0.3">
      <c r="A1024" s="1">
        <v>40663</v>
      </c>
      <c r="B1024" t="s">
        <v>15</v>
      </c>
      <c r="C1024" t="s">
        <v>23</v>
      </c>
      <c r="D1024" s="2">
        <v>3785.6485899999998</v>
      </c>
      <c r="E1024" s="2">
        <v>0</v>
      </c>
      <c r="F1024" s="2">
        <v>3785.6485899999998</v>
      </c>
    </row>
    <row r="1025" spans="1:6" x14ac:dyDescent="0.3">
      <c r="A1025" s="1">
        <v>40663</v>
      </c>
      <c r="B1025" t="s">
        <v>15</v>
      </c>
      <c r="C1025" t="s">
        <v>19</v>
      </c>
      <c r="D1025" s="2">
        <v>137706.54768013</v>
      </c>
      <c r="E1025" s="2">
        <v>4610332.1958729001</v>
      </c>
      <c r="F1025" s="2">
        <v>4748038.7435530303</v>
      </c>
    </row>
    <row r="1026" spans="1:6" x14ac:dyDescent="0.3">
      <c r="A1026" s="1">
        <v>40663</v>
      </c>
      <c r="B1026" t="s">
        <v>15</v>
      </c>
      <c r="C1026" t="s">
        <v>24</v>
      </c>
      <c r="D1026" s="2">
        <v>0</v>
      </c>
      <c r="E1026" s="2">
        <v>493.1658296</v>
      </c>
      <c r="F1026" s="2">
        <v>493.1658296</v>
      </c>
    </row>
    <row r="1027" spans="1:6" x14ac:dyDescent="0.3">
      <c r="A1027" s="1">
        <v>40663</v>
      </c>
      <c r="B1027" t="s">
        <v>15</v>
      </c>
      <c r="C1027" t="s">
        <v>20</v>
      </c>
      <c r="D1027" s="2">
        <v>1335.9916354300001</v>
      </c>
      <c r="E1027" s="2">
        <v>0</v>
      </c>
      <c r="F1027" s="2">
        <v>1335.9916354300001</v>
      </c>
    </row>
    <row r="1028" spans="1:6" x14ac:dyDescent="0.3">
      <c r="A1028" s="1">
        <v>40663</v>
      </c>
      <c r="B1028" t="s">
        <v>15</v>
      </c>
      <c r="C1028" t="s">
        <v>17</v>
      </c>
      <c r="D1028" s="2">
        <v>180848.66345612999</v>
      </c>
      <c r="E1028" s="2">
        <v>0</v>
      </c>
      <c r="F1028" s="2">
        <v>180848.66345612999</v>
      </c>
    </row>
    <row r="1029" spans="1:6" x14ac:dyDescent="0.3">
      <c r="A1029" s="1">
        <v>40663</v>
      </c>
      <c r="B1029" t="s">
        <v>15</v>
      </c>
      <c r="C1029" t="s">
        <v>18</v>
      </c>
      <c r="D1029" s="2">
        <v>186561.54460014999</v>
      </c>
      <c r="E1029" s="2">
        <v>0</v>
      </c>
      <c r="F1029" s="2">
        <v>186561.54460014999</v>
      </c>
    </row>
    <row r="1030" spans="1:6" x14ac:dyDescent="0.3">
      <c r="A1030" s="1">
        <v>40663</v>
      </c>
      <c r="B1030" t="s">
        <v>13</v>
      </c>
      <c r="C1030" t="s">
        <v>14</v>
      </c>
      <c r="D1030" s="2">
        <v>9114715.7052749507</v>
      </c>
      <c r="E1030" s="2">
        <v>21855.477999999999</v>
      </c>
      <c r="F1030" s="2">
        <v>9136570.1832749508</v>
      </c>
    </row>
    <row r="1031" spans="1:6" x14ac:dyDescent="0.3">
      <c r="A1031" s="1">
        <v>40663</v>
      </c>
      <c r="B1031" t="s">
        <v>21</v>
      </c>
      <c r="C1031" t="s">
        <v>14</v>
      </c>
      <c r="D1031" s="2">
        <v>540233.57596183999</v>
      </c>
      <c r="E1031" s="2">
        <v>4610825.3617024999</v>
      </c>
      <c r="F1031" s="2">
        <v>5151059.9376643403</v>
      </c>
    </row>
    <row r="1032" spans="1:6" x14ac:dyDescent="0.3">
      <c r="A1032" s="1">
        <v>40663</v>
      </c>
      <c r="B1032" t="s">
        <v>22</v>
      </c>
      <c r="C1032" t="s">
        <v>14</v>
      </c>
      <c r="D1032" s="2">
        <v>9654950.2812367901</v>
      </c>
      <c r="E1032" s="2">
        <v>4632679.8397025</v>
      </c>
      <c r="F1032" s="2">
        <v>14287630.120939299</v>
      </c>
    </row>
    <row r="1033" spans="1:6" x14ac:dyDescent="0.3">
      <c r="A1033" s="1">
        <v>40694</v>
      </c>
      <c r="B1033" t="s">
        <v>22</v>
      </c>
      <c r="C1033" t="s">
        <v>14</v>
      </c>
      <c r="D1033" s="2">
        <v>9723455.5236192308</v>
      </c>
      <c r="E1033" s="2">
        <v>4621212.2003019396</v>
      </c>
      <c r="F1033" s="2">
        <v>14344667.7239212</v>
      </c>
    </row>
    <row r="1034" spans="1:6" x14ac:dyDescent="0.3">
      <c r="A1034" s="1">
        <v>40694</v>
      </c>
      <c r="B1034" t="s">
        <v>6</v>
      </c>
      <c r="C1034" t="s">
        <v>7</v>
      </c>
      <c r="D1034" s="2">
        <v>1576536.1412</v>
      </c>
      <c r="E1034" s="2">
        <v>1968.7</v>
      </c>
      <c r="F1034" s="2">
        <v>1578504.8411999999</v>
      </c>
    </row>
    <row r="1035" spans="1:6" x14ac:dyDescent="0.3">
      <c r="A1035" s="1">
        <v>40694</v>
      </c>
      <c r="B1035" t="s">
        <v>6</v>
      </c>
      <c r="C1035" t="s">
        <v>9</v>
      </c>
      <c r="D1035" s="2">
        <v>961175.64720000001</v>
      </c>
      <c r="E1035" s="2">
        <v>3753.2</v>
      </c>
      <c r="F1035" s="2">
        <v>964928.84719999996</v>
      </c>
    </row>
    <row r="1036" spans="1:6" x14ac:dyDescent="0.3">
      <c r="A1036" s="1">
        <v>40694</v>
      </c>
      <c r="B1036" t="s">
        <v>6</v>
      </c>
      <c r="C1036" t="s">
        <v>12</v>
      </c>
      <c r="D1036" s="2">
        <v>0</v>
      </c>
      <c r="E1036" s="2">
        <v>10238.99</v>
      </c>
      <c r="F1036" s="2">
        <v>10238.99</v>
      </c>
    </row>
    <row r="1037" spans="1:6" x14ac:dyDescent="0.3">
      <c r="A1037" s="1">
        <v>40694</v>
      </c>
      <c r="B1037" t="s">
        <v>6</v>
      </c>
      <c r="C1037" t="s">
        <v>8</v>
      </c>
      <c r="D1037" s="2">
        <v>6049389.9154000003</v>
      </c>
      <c r="E1037" s="2">
        <v>5349.8</v>
      </c>
      <c r="F1037" s="2">
        <v>6054739.7154000001</v>
      </c>
    </row>
    <row r="1038" spans="1:6" x14ac:dyDescent="0.3">
      <c r="A1038" s="1">
        <v>40694</v>
      </c>
      <c r="B1038" t="s">
        <v>6</v>
      </c>
      <c r="C1038" t="s">
        <v>10</v>
      </c>
      <c r="D1038" s="2">
        <v>653685.54899426003</v>
      </c>
      <c r="E1038" s="2">
        <v>132.9</v>
      </c>
      <c r="F1038" s="2">
        <v>653818.44899426005</v>
      </c>
    </row>
    <row r="1039" spans="1:6" x14ac:dyDescent="0.3">
      <c r="A1039" s="1">
        <v>40694</v>
      </c>
      <c r="B1039" t="s">
        <v>15</v>
      </c>
      <c r="C1039" t="s">
        <v>16</v>
      </c>
      <c r="D1039" s="2">
        <v>29995.18</v>
      </c>
      <c r="E1039" s="2">
        <v>0</v>
      </c>
      <c r="F1039" s="2">
        <v>29995.18</v>
      </c>
    </row>
    <row r="1040" spans="1:6" x14ac:dyDescent="0.3">
      <c r="A1040" s="1">
        <v>40694</v>
      </c>
      <c r="B1040" t="s">
        <v>15</v>
      </c>
      <c r="C1040" t="s">
        <v>23</v>
      </c>
      <c r="D1040" s="2">
        <v>3685.6485899999998</v>
      </c>
      <c r="E1040" s="2">
        <v>0</v>
      </c>
      <c r="F1040" s="2">
        <v>3685.6485899999998</v>
      </c>
    </row>
    <row r="1041" spans="1:6" x14ac:dyDescent="0.3">
      <c r="A1041" s="1">
        <v>40694</v>
      </c>
      <c r="B1041" t="s">
        <v>15</v>
      </c>
      <c r="C1041" t="s">
        <v>19</v>
      </c>
      <c r="D1041" s="2">
        <v>85544.927311199994</v>
      </c>
      <c r="E1041" s="2">
        <v>4599276.4444723399</v>
      </c>
      <c r="F1041" s="2">
        <v>4684821.3717835397</v>
      </c>
    </row>
    <row r="1042" spans="1:6" x14ac:dyDescent="0.3">
      <c r="A1042" s="1">
        <v>40694</v>
      </c>
      <c r="B1042" t="s">
        <v>15</v>
      </c>
      <c r="C1042" t="s">
        <v>24</v>
      </c>
      <c r="D1042" s="2">
        <v>0</v>
      </c>
      <c r="E1042" s="2">
        <v>493.1658296</v>
      </c>
      <c r="F1042" s="2">
        <v>493.1658296</v>
      </c>
    </row>
    <row r="1043" spans="1:6" x14ac:dyDescent="0.3">
      <c r="A1043" s="1">
        <v>40694</v>
      </c>
      <c r="B1043" t="s">
        <v>15</v>
      </c>
      <c r="C1043" t="s">
        <v>20</v>
      </c>
      <c r="D1043" s="2">
        <v>1363.7838190099999</v>
      </c>
      <c r="E1043" s="2">
        <v>0</v>
      </c>
      <c r="F1043" s="2">
        <v>1363.7838190099999</v>
      </c>
    </row>
    <row r="1044" spans="1:6" x14ac:dyDescent="0.3">
      <c r="A1044" s="1">
        <v>40694</v>
      </c>
      <c r="B1044" t="s">
        <v>15</v>
      </c>
      <c r="C1044" t="s">
        <v>17</v>
      </c>
      <c r="D1044" s="2">
        <v>175650.68386287999</v>
      </c>
      <c r="E1044" s="2">
        <v>0</v>
      </c>
      <c r="F1044" s="2">
        <v>175650.68386287999</v>
      </c>
    </row>
    <row r="1045" spans="1:6" x14ac:dyDescent="0.3">
      <c r="A1045" s="1">
        <v>40694</v>
      </c>
      <c r="B1045" t="s">
        <v>15</v>
      </c>
      <c r="C1045" t="s">
        <v>18</v>
      </c>
      <c r="D1045" s="2">
        <v>186428.04724188001</v>
      </c>
      <c r="E1045" s="2">
        <v>0</v>
      </c>
      <c r="F1045" s="2">
        <v>186428.04724188001</v>
      </c>
    </row>
    <row r="1046" spans="1:6" x14ac:dyDescent="0.3">
      <c r="A1046" s="1">
        <v>40694</v>
      </c>
      <c r="B1046" t="s">
        <v>13</v>
      </c>
      <c r="C1046" t="s">
        <v>14</v>
      </c>
      <c r="D1046" s="2">
        <v>9240787.2527942602</v>
      </c>
      <c r="E1046" s="2">
        <v>21442.59</v>
      </c>
      <c r="F1046" s="2">
        <v>9262230.8427942693</v>
      </c>
    </row>
    <row r="1047" spans="1:6" x14ac:dyDescent="0.3">
      <c r="A1047" s="1">
        <v>40694</v>
      </c>
      <c r="B1047" t="s">
        <v>21</v>
      </c>
      <c r="C1047" t="s">
        <v>14</v>
      </c>
      <c r="D1047" s="2">
        <v>482669.27082496998</v>
      </c>
      <c r="E1047" s="2">
        <v>4599768.6103019398</v>
      </c>
      <c r="F1047" s="2">
        <v>5082436.8811269104</v>
      </c>
    </row>
    <row r="1048" spans="1:6" x14ac:dyDescent="0.3">
      <c r="A1048" s="1">
        <v>40724</v>
      </c>
      <c r="B1048" t="s">
        <v>21</v>
      </c>
      <c r="C1048" t="s">
        <v>14</v>
      </c>
      <c r="D1048" s="2">
        <v>427362.50734310999</v>
      </c>
      <c r="E1048" s="2">
        <v>4581077.2584157297</v>
      </c>
      <c r="F1048" s="2">
        <v>5008438.7657588404</v>
      </c>
    </row>
    <row r="1049" spans="1:6" x14ac:dyDescent="0.3">
      <c r="A1049" s="1">
        <v>40724</v>
      </c>
      <c r="B1049" t="s">
        <v>22</v>
      </c>
      <c r="C1049" t="s">
        <v>14</v>
      </c>
      <c r="D1049" s="2">
        <v>9742223.4834615402</v>
      </c>
      <c r="E1049" s="2">
        <v>4600863.6384157296</v>
      </c>
      <c r="F1049" s="2">
        <v>14343088.1218773</v>
      </c>
    </row>
    <row r="1050" spans="1:6" x14ac:dyDescent="0.3">
      <c r="A1050" s="1">
        <v>40724</v>
      </c>
      <c r="B1050" t="s">
        <v>6</v>
      </c>
      <c r="C1050" t="s">
        <v>7</v>
      </c>
      <c r="D1050" s="2">
        <v>1529416.7709999999</v>
      </c>
      <c r="E1050" s="2">
        <v>2078.1</v>
      </c>
      <c r="F1050" s="2">
        <v>1531494.871</v>
      </c>
    </row>
    <row r="1051" spans="1:6" x14ac:dyDescent="0.3">
      <c r="A1051" s="1">
        <v>40724</v>
      </c>
      <c r="B1051" t="s">
        <v>6</v>
      </c>
      <c r="C1051" t="s">
        <v>9</v>
      </c>
      <c r="D1051" s="2">
        <v>974150.24780000001</v>
      </c>
      <c r="E1051" s="2">
        <v>3774</v>
      </c>
      <c r="F1051" s="2">
        <v>977924.24780000001</v>
      </c>
    </row>
    <row r="1052" spans="1:6" x14ac:dyDescent="0.3">
      <c r="A1052" s="1">
        <v>40724</v>
      </c>
      <c r="B1052" t="s">
        <v>6</v>
      </c>
      <c r="C1052" t="s">
        <v>12</v>
      </c>
      <c r="D1052" s="2">
        <v>0</v>
      </c>
      <c r="E1052" s="2">
        <v>8441.48</v>
      </c>
      <c r="F1052" s="2">
        <v>8441.48</v>
      </c>
    </row>
    <row r="1053" spans="1:6" x14ac:dyDescent="0.3">
      <c r="A1053" s="1">
        <v>40724</v>
      </c>
      <c r="B1053" t="s">
        <v>6</v>
      </c>
      <c r="C1053" t="s">
        <v>8</v>
      </c>
      <c r="D1053" s="2">
        <v>6145990.8032999998</v>
      </c>
      <c r="E1053" s="2">
        <v>5273.5</v>
      </c>
      <c r="F1053" s="2">
        <v>6151264.3032999998</v>
      </c>
    </row>
    <row r="1054" spans="1:6" x14ac:dyDescent="0.3">
      <c r="A1054" s="1">
        <v>40724</v>
      </c>
      <c r="B1054" t="s">
        <v>6</v>
      </c>
      <c r="C1054" t="s">
        <v>10</v>
      </c>
      <c r="D1054" s="2">
        <v>665303.15401843004</v>
      </c>
      <c r="E1054" s="2">
        <v>220.3</v>
      </c>
      <c r="F1054" s="2">
        <v>665523.45401842997</v>
      </c>
    </row>
    <row r="1055" spans="1:6" x14ac:dyDescent="0.3">
      <c r="A1055" s="1">
        <v>40724</v>
      </c>
      <c r="B1055" t="s">
        <v>15</v>
      </c>
      <c r="C1055" t="s">
        <v>16</v>
      </c>
      <c r="D1055" s="2">
        <v>29995.18</v>
      </c>
      <c r="E1055" s="2">
        <v>0</v>
      </c>
      <c r="F1055" s="2">
        <v>29995.18</v>
      </c>
    </row>
    <row r="1056" spans="1:6" x14ac:dyDescent="0.3">
      <c r="A1056" s="1">
        <v>40724</v>
      </c>
      <c r="B1056" t="s">
        <v>15</v>
      </c>
      <c r="C1056" t="s">
        <v>23</v>
      </c>
      <c r="D1056" s="2">
        <v>3685.6485899999998</v>
      </c>
      <c r="E1056" s="2">
        <v>0</v>
      </c>
      <c r="F1056" s="2">
        <v>3685.6485899999998</v>
      </c>
    </row>
    <row r="1057" spans="1:6" x14ac:dyDescent="0.3">
      <c r="A1057" s="1">
        <v>40724</v>
      </c>
      <c r="B1057" t="s">
        <v>15</v>
      </c>
      <c r="C1057" t="s">
        <v>19</v>
      </c>
      <c r="D1057" s="2">
        <v>39792.82161834</v>
      </c>
      <c r="E1057" s="2">
        <v>4580584.0925861299</v>
      </c>
      <c r="F1057" s="2">
        <v>4620376.9142044699</v>
      </c>
    </row>
    <row r="1058" spans="1:6" x14ac:dyDescent="0.3">
      <c r="A1058" s="1">
        <v>40724</v>
      </c>
      <c r="B1058" t="s">
        <v>15</v>
      </c>
      <c r="C1058" t="s">
        <v>24</v>
      </c>
      <c r="D1058" s="2">
        <v>0</v>
      </c>
      <c r="E1058" s="2">
        <v>493.1658296</v>
      </c>
      <c r="F1058" s="2">
        <v>493.1658296</v>
      </c>
    </row>
    <row r="1059" spans="1:6" x14ac:dyDescent="0.3">
      <c r="A1059" s="1">
        <v>40724</v>
      </c>
      <c r="B1059" t="s">
        <v>15</v>
      </c>
      <c r="C1059" t="s">
        <v>20</v>
      </c>
      <c r="D1059" s="2">
        <v>1380.1113271900001</v>
      </c>
      <c r="E1059" s="2">
        <v>0</v>
      </c>
      <c r="F1059" s="2">
        <v>1380.1113271900001</v>
      </c>
    </row>
    <row r="1060" spans="1:6" x14ac:dyDescent="0.3">
      <c r="A1060" s="1">
        <v>40724</v>
      </c>
      <c r="B1060" t="s">
        <v>15</v>
      </c>
      <c r="C1060" t="s">
        <v>17</v>
      </c>
      <c r="D1060" s="2">
        <v>166423.48110090999</v>
      </c>
      <c r="E1060" s="2">
        <v>0</v>
      </c>
      <c r="F1060" s="2">
        <v>166423.48110090999</v>
      </c>
    </row>
    <row r="1061" spans="1:6" x14ac:dyDescent="0.3">
      <c r="A1061" s="1">
        <v>40724</v>
      </c>
      <c r="B1061" t="s">
        <v>15</v>
      </c>
      <c r="C1061" t="s">
        <v>18</v>
      </c>
      <c r="D1061" s="2">
        <v>186085.26470666999</v>
      </c>
      <c r="E1061" s="2">
        <v>0</v>
      </c>
      <c r="F1061" s="2">
        <v>186085.26470666999</v>
      </c>
    </row>
    <row r="1062" spans="1:6" x14ac:dyDescent="0.3">
      <c r="A1062" s="1">
        <v>40724</v>
      </c>
      <c r="B1062" t="s">
        <v>13</v>
      </c>
      <c r="C1062" t="s">
        <v>14</v>
      </c>
      <c r="D1062" s="2">
        <v>9314860.9761184305</v>
      </c>
      <c r="E1062" s="2">
        <v>19787.38</v>
      </c>
      <c r="F1062" s="2">
        <v>9334648.3561184406</v>
      </c>
    </row>
    <row r="1063" spans="1:6" x14ac:dyDescent="0.3">
      <c r="A1063" s="1">
        <v>40755</v>
      </c>
      <c r="B1063" t="s">
        <v>15</v>
      </c>
      <c r="C1063" t="s">
        <v>20</v>
      </c>
      <c r="D1063" s="2">
        <v>1366.8347894399999</v>
      </c>
      <c r="E1063" s="2">
        <v>0</v>
      </c>
      <c r="F1063" s="2">
        <v>1366.8347894399999</v>
      </c>
    </row>
    <row r="1064" spans="1:6" x14ac:dyDescent="0.3">
      <c r="A1064" s="1">
        <v>40755</v>
      </c>
      <c r="B1064" t="s">
        <v>21</v>
      </c>
      <c r="C1064" t="s">
        <v>14</v>
      </c>
      <c r="D1064" s="2">
        <v>398226.95995762001</v>
      </c>
      <c r="E1064" s="2">
        <v>4566511.99909369</v>
      </c>
      <c r="F1064" s="2">
        <v>4964738.9590513101</v>
      </c>
    </row>
    <row r="1065" spans="1:6" x14ac:dyDescent="0.3">
      <c r="A1065" s="1">
        <v>40755</v>
      </c>
      <c r="B1065" t="s">
        <v>22</v>
      </c>
      <c r="C1065" t="s">
        <v>14</v>
      </c>
      <c r="D1065" s="2">
        <v>9755796.4007976092</v>
      </c>
      <c r="E1065" s="2">
        <v>4586573.9564187303</v>
      </c>
      <c r="F1065" s="2">
        <v>14342369.3572163</v>
      </c>
    </row>
    <row r="1066" spans="1:6" x14ac:dyDescent="0.3">
      <c r="A1066" s="1">
        <v>40755</v>
      </c>
      <c r="B1066" t="s">
        <v>6</v>
      </c>
      <c r="C1066" t="s">
        <v>7</v>
      </c>
      <c r="D1066" s="2">
        <v>1490448.5238999999</v>
      </c>
      <c r="E1066" s="2">
        <v>2048.2660000000001</v>
      </c>
      <c r="F1066" s="2">
        <v>1492496.7899</v>
      </c>
    </row>
    <row r="1067" spans="1:6" x14ac:dyDescent="0.3">
      <c r="A1067" s="1">
        <v>40755</v>
      </c>
      <c r="B1067" t="s">
        <v>6</v>
      </c>
      <c r="C1067" t="s">
        <v>9</v>
      </c>
      <c r="D1067" s="2">
        <v>986819.31195</v>
      </c>
      <c r="E1067" s="2">
        <v>4104.8343999999997</v>
      </c>
      <c r="F1067" s="2">
        <v>990924.14635000005</v>
      </c>
    </row>
    <row r="1068" spans="1:6" x14ac:dyDescent="0.3">
      <c r="A1068" s="1">
        <v>40755</v>
      </c>
      <c r="B1068" t="s">
        <v>6</v>
      </c>
      <c r="C1068" t="s">
        <v>12</v>
      </c>
      <c r="D1068" s="2">
        <v>0</v>
      </c>
      <c r="E1068" s="2">
        <v>8441.48</v>
      </c>
      <c r="F1068" s="2">
        <v>8441.48</v>
      </c>
    </row>
    <row r="1069" spans="1:6" x14ac:dyDescent="0.3">
      <c r="A1069" s="1">
        <v>40755</v>
      </c>
      <c r="B1069" t="s">
        <v>6</v>
      </c>
      <c r="C1069" t="s">
        <v>8</v>
      </c>
      <c r="D1069" s="2">
        <v>6199125.0444999998</v>
      </c>
      <c r="E1069" s="2">
        <v>5138.4610000000002</v>
      </c>
      <c r="F1069" s="2">
        <v>6204263.5055</v>
      </c>
    </row>
    <row r="1070" spans="1:6" x14ac:dyDescent="0.3">
      <c r="A1070" s="1">
        <v>40755</v>
      </c>
      <c r="B1070" t="s">
        <v>6</v>
      </c>
      <c r="C1070" t="s">
        <v>10</v>
      </c>
      <c r="D1070" s="2">
        <v>681175.56048998004</v>
      </c>
      <c r="E1070" s="2">
        <v>328.91592503999999</v>
      </c>
      <c r="F1070" s="2">
        <v>681504.47641501995</v>
      </c>
    </row>
    <row r="1071" spans="1:6" x14ac:dyDescent="0.3">
      <c r="A1071" s="1">
        <v>40755</v>
      </c>
      <c r="B1071" t="s">
        <v>15</v>
      </c>
      <c r="C1071" t="s">
        <v>16</v>
      </c>
      <c r="D1071" s="2">
        <v>29995.18</v>
      </c>
      <c r="E1071" s="2">
        <v>0</v>
      </c>
      <c r="F1071" s="2">
        <v>29995.18</v>
      </c>
    </row>
    <row r="1072" spans="1:6" x14ac:dyDescent="0.3">
      <c r="A1072" s="1">
        <v>40755</v>
      </c>
      <c r="B1072" t="s">
        <v>15</v>
      </c>
      <c r="C1072" t="s">
        <v>23</v>
      </c>
      <c r="D1072" s="2">
        <v>3085.6485899999998</v>
      </c>
      <c r="E1072" s="2">
        <v>0</v>
      </c>
      <c r="F1072" s="2">
        <v>3085.6485899999998</v>
      </c>
    </row>
    <row r="1073" spans="1:6" x14ac:dyDescent="0.3">
      <c r="A1073" s="1">
        <v>40755</v>
      </c>
      <c r="B1073" t="s">
        <v>15</v>
      </c>
      <c r="C1073" t="s">
        <v>19</v>
      </c>
      <c r="D1073" s="2">
        <v>22187.2464244</v>
      </c>
      <c r="E1073" s="2">
        <v>4566017.7447374603</v>
      </c>
      <c r="F1073" s="2">
        <v>4588204.9911618596</v>
      </c>
    </row>
    <row r="1074" spans="1:6" x14ac:dyDescent="0.3">
      <c r="A1074" s="1">
        <v>40755</v>
      </c>
      <c r="B1074" t="s">
        <v>15</v>
      </c>
      <c r="C1074" t="s">
        <v>24</v>
      </c>
      <c r="D1074" s="2">
        <v>0</v>
      </c>
      <c r="E1074" s="2">
        <v>493.25435622999998</v>
      </c>
      <c r="F1074" s="2">
        <v>493.25435622999998</v>
      </c>
    </row>
    <row r="1075" spans="1:6" x14ac:dyDescent="0.3">
      <c r="A1075" s="1">
        <v>40755</v>
      </c>
      <c r="B1075" t="s">
        <v>15</v>
      </c>
      <c r="C1075" t="s">
        <v>17</v>
      </c>
      <c r="D1075" s="2">
        <v>155834.87770545</v>
      </c>
      <c r="E1075" s="2">
        <v>0</v>
      </c>
      <c r="F1075" s="2">
        <v>155834.87770545</v>
      </c>
    </row>
    <row r="1076" spans="1:6" x14ac:dyDescent="0.3">
      <c r="A1076" s="1">
        <v>40755</v>
      </c>
      <c r="B1076" t="s">
        <v>15</v>
      </c>
      <c r="C1076" t="s">
        <v>18</v>
      </c>
      <c r="D1076" s="2">
        <v>185758.17244833001</v>
      </c>
      <c r="E1076" s="2">
        <v>0</v>
      </c>
      <c r="F1076" s="2">
        <v>185758.17244833001</v>
      </c>
    </row>
    <row r="1077" spans="1:6" x14ac:dyDescent="0.3">
      <c r="A1077" s="1">
        <v>40755</v>
      </c>
      <c r="B1077" t="s">
        <v>13</v>
      </c>
      <c r="C1077" t="s">
        <v>14</v>
      </c>
      <c r="D1077" s="2">
        <v>9357568.4408399891</v>
      </c>
      <c r="E1077" s="2">
        <v>20061.957325039999</v>
      </c>
      <c r="F1077" s="2">
        <v>9377630.3981650192</v>
      </c>
    </row>
    <row r="1078" spans="1:6" x14ac:dyDescent="0.3">
      <c r="A1078" s="1">
        <v>40786</v>
      </c>
      <c r="B1078" t="s">
        <v>21</v>
      </c>
      <c r="C1078" t="s">
        <v>14</v>
      </c>
      <c r="D1078" s="2">
        <v>522605.46097706998</v>
      </c>
      <c r="E1078" s="2">
        <v>4639882.7979629003</v>
      </c>
      <c r="F1078" s="2">
        <v>5162488.2589399703</v>
      </c>
    </row>
    <row r="1079" spans="1:6" x14ac:dyDescent="0.3">
      <c r="A1079" s="1">
        <v>40786</v>
      </c>
      <c r="B1079" t="s">
        <v>22</v>
      </c>
      <c r="C1079" t="s">
        <v>14</v>
      </c>
      <c r="D1079" s="2">
        <v>10024253.104963999</v>
      </c>
      <c r="E1079" s="2">
        <v>4660039.5687855799</v>
      </c>
      <c r="F1079" s="2">
        <v>14684292.6737496</v>
      </c>
    </row>
    <row r="1080" spans="1:6" x14ac:dyDescent="0.3">
      <c r="A1080" s="1">
        <v>40786</v>
      </c>
      <c r="B1080" t="s">
        <v>6</v>
      </c>
      <c r="C1080" t="s">
        <v>7</v>
      </c>
      <c r="D1080" s="2">
        <v>1491238.8243</v>
      </c>
      <c r="E1080" s="2">
        <v>2271.16</v>
      </c>
      <c r="F1080" s="2">
        <v>1493509.9842999999</v>
      </c>
    </row>
    <row r="1081" spans="1:6" x14ac:dyDescent="0.3">
      <c r="A1081" s="1">
        <v>40786</v>
      </c>
      <c r="B1081" t="s">
        <v>6</v>
      </c>
      <c r="C1081" t="s">
        <v>9</v>
      </c>
      <c r="D1081" s="2">
        <v>1003416.80985</v>
      </c>
      <c r="E1081" s="2">
        <v>3997.0853999999999</v>
      </c>
      <c r="F1081" s="2">
        <v>1007413.8952499999</v>
      </c>
    </row>
    <row r="1082" spans="1:6" x14ac:dyDescent="0.3">
      <c r="A1082" s="1">
        <v>40786</v>
      </c>
      <c r="B1082" t="s">
        <v>6</v>
      </c>
      <c r="C1082" t="s">
        <v>12</v>
      </c>
      <c r="D1082" s="2">
        <v>0</v>
      </c>
      <c r="E1082" s="2">
        <v>8441.48</v>
      </c>
      <c r="F1082" s="2">
        <v>8441.48</v>
      </c>
    </row>
    <row r="1083" spans="1:6" x14ac:dyDescent="0.3">
      <c r="A1083" s="1">
        <v>40786</v>
      </c>
      <c r="B1083" t="s">
        <v>6</v>
      </c>
      <c r="C1083" t="s">
        <v>8</v>
      </c>
      <c r="D1083" s="2">
        <v>6313529.0980000002</v>
      </c>
      <c r="E1083" s="2">
        <v>5144.8847999999998</v>
      </c>
      <c r="F1083" s="2">
        <v>6318673.9828000003</v>
      </c>
    </row>
    <row r="1084" spans="1:6" x14ac:dyDescent="0.3">
      <c r="A1084" s="1">
        <v>40786</v>
      </c>
      <c r="B1084" t="s">
        <v>6</v>
      </c>
      <c r="C1084" t="s">
        <v>10</v>
      </c>
      <c r="D1084" s="2">
        <v>693463.91183697002</v>
      </c>
      <c r="E1084" s="2">
        <v>302.16062268000002</v>
      </c>
      <c r="F1084" s="2">
        <v>693766.07245964999</v>
      </c>
    </row>
    <row r="1085" spans="1:6" x14ac:dyDescent="0.3">
      <c r="A1085" s="1">
        <v>40786</v>
      </c>
      <c r="B1085" t="s">
        <v>15</v>
      </c>
      <c r="C1085" t="s">
        <v>16</v>
      </c>
      <c r="D1085" s="2">
        <v>29995.18</v>
      </c>
      <c r="E1085" s="2">
        <v>0</v>
      </c>
      <c r="F1085" s="2">
        <v>29995.18</v>
      </c>
    </row>
    <row r="1086" spans="1:6" x14ac:dyDescent="0.3">
      <c r="A1086" s="1">
        <v>40786</v>
      </c>
      <c r="B1086" t="s">
        <v>15</v>
      </c>
      <c r="C1086" t="s">
        <v>23</v>
      </c>
      <c r="D1086" s="2">
        <v>2985.6485899999998</v>
      </c>
      <c r="E1086" s="2">
        <v>0</v>
      </c>
      <c r="F1086" s="2">
        <v>2985.6485899999998</v>
      </c>
    </row>
    <row r="1087" spans="1:6" x14ac:dyDescent="0.3">
      <c r="A1087" s="1">
        <v>40786</v>
      </c>
      <c r="B1087" t="s">
        <v>15</v>
      </c>
      <c r="C1087" t="s">
        <v>19</v>
      </c>
      <c r="D1087" s="2">
        <v>151903.29538890999</v>
      </c>
      <c r="E1087" s="2">
        <v>4639389.5436066696</v>
      </c>
      <c r="F1087" s="2">
        <v>4791291.8389955796</v>
      </c>
    </row>
    <row r="1088" spans="1:6" x14ac:dyDescent="0.3">
      <c r="A1088" s="1">
        <v>40786</v>
      </c>
      <c r="B1088" t="s">
        <v>15</v>
      </c>
      <c r="C1088" t="s">
        <v>24</v>
      </c>
      <c r="D1088" s="2">
        <v>0</v>
      </c>
      <c r="E1088" s="2">
        <v>493.25435622999998</v>
      </c>
      <c r="F1088" s="2">
        <v>493.25435622999998</v>
      </c>
    </row>
    <row r="1089" spans="1:6" x14ac:dyDescent="0.3">
      <c r="A1089" s="1">
        <v>40786</v>
      </c>
      <c r="B1089" t="s">
        <v>15</v>
      </c>
      <c r="C1089" t="s">
        <v>20</v>
      </c>
      <c r="D1089" s="2">
        <v>1435.07705762</v>
      </c>
      <c r="E1089" s="2">
        <v>0</v>
      </c>
      <c r="F1089" s="2">
        <v>1435.07705762</v>
      </c>
    </row>
    <row r="1090" spans="1:6" x14ac:dyDescent="0.3">
      <c r="A1090" s="1">
        <v>40786</v>
      </c>
      <c r="B1090" t="s">
        <v>15</v>
      </c>
      <c r="C1090" t="s">
        <v>17</v>
      </c>
      <c r="D1090" s="2">
        <v>150917.80015642001</v>
      </c>
      <c r="E1090" s="2">
        <v>0</v>
      </c>
      <c r="F1090" s="2">
        <v>150917.80015642001</v>
      </c>
    </row>
    <row r="1091" spans="1:6" x14ac:dyDescent="0.3">
      <c r="A1091" s="1">
        <v>40786</v>
      </c>
      <c r="B1091" t="s">
        <v>15</v>
      </c>
      <c r="C1091" t="s">
        <v>18</v>
      </c>
      <c r="D1091" s="2">
        <v>185368.45978412</v>
      </c>
      <c r="E1091" s="2">
        <v>0</v>
      </c>
      <c r="F1091" s="2">
        <v>185368.45978412</v>
      </c>
    </row>
    <row r="1092" spans="1:6" x14ac:dyDescent="0.3">
      <c r="A1092" s="1">
        <v>40786</v>
      </c>
      <c r="B1092" t="s">
        <v>13</v>
      </c>
      <c r="C1092" t="s">
        <v>14</v>
      </c>
      <c r="D1092" s="2">
        <v>9501648.6439869702</v>
      </c>
      <c r="E1092" s="2">
        <v>20156.770822679999</v>
      </c>
      <c r="F1092" s="2">
        <v>9521805.4148096591</v>
      </c>
    </row>
    <row r="1093" spans="1:6" x14ac:dyDescent="0.3">
      <c r="A1093" s="1">
        <v>40816</v>
      </c>
      <c r="B1093" t="s">
        <v>6</v>
      </c>
      <c r="C1093" t="s">
        <v>12</v>
      </c>
      <c r="D1093" s="2">
        <v>0</v>
      </c>
      <c r="E1093" s="2">
        <v>8441.48</v>
      </c>
      <c r="F1093" s="2">
        <v>8441.48</v>
      </c>
    </row>
    <row r="1094" spans="1:6" x14ac:dyDescent="0.3">
      <c r="A1094" s="1">
        <v>40816</v>
      </c>
      <c r="B1094" t="s">
        <v>6</v>
      </c>
      <c r="C1094" t="s">
        <v>10</v>
      </c>
      <c r="D1094" s="2">
        <v>705352.11288736004</v>
      </c>
      <c r="E1094" s="2">
        <v>340.48847232000003</v>
      </c>
      <c r="F1094" s="2">
        <v>705692.60135967995</v>
      </c>
    </row>
    <row r="1095" spans="1:6" x14ac:dyDescent="0.3">
      <c r="A1095" s="1">
        <v>40816</v>
      </c>
      <c r="B1095" t="s">
        <v>15</v>
      </c>
      <c r="C1095" t="s">
        <v>16</v>
      </c>
      <c r="D1095" s="2">
        <v>29995.18</v>
      </c>
      <c r="E1095" s="2">
        <v>0</v>
      </c>
      <c r="F1095" s="2">
        <v>29995.18</v>
      </c>
    </row>
    <row r="1096" spans="1:6" x14ac:dyDescent="0.3">
      <c r="A1096" s="1">
        <v>40816</v>
      </c>
      <c r="B1096" t="s">
        <v>15</v>
      </c>
      <c r="C1096" t="s">
        <v>23</v>
      </c>
      <c r="D1096" s="2">
        <v>2985.6485899999998</v>
      </c>
      <c r="E1096" s="2">
        <v>0</v>
      </c>
      <c r="F1096" s="2">
        <v>2985.6485899999998</v>
      </c>
    </row>
    <row r="1097" spans="1:6" x14ac:dyDescent="0.3">
      <c r="A1097" s="1">
        <v>40816</v>
      </c>
      <c r="B1097" t="s">
        <v>15</v>
      </c>
      <c r="C1097" t="s">
        <v>19</v>
      </c>
      <c r="D1097" s="2">
        <v>151345.50116119001</v>
      </c>
      <c r="E1097" s="2">
        <v>4642570.2582355104</v>
      </c>
      <c r="F1097" s="2">
        <v>4793915.7593967002</v>
      </c>
    </row>
    <row r="1098" spans="1:6" x14ac:dyDescent="0.3">
      <c r="A1098" s="1">
        <v>40816</v>
      </c>
      <c r="B1098" t="s">
        <v>15</v>
      </c>
      <c r="C1098" t="s">
        <v>24</v>
      </c>
      <c r="D1098" s="2">
        <v>0</v>
      </c>
      <c r="E1098" s="2">
        <v>493.25435622999998</v>
      </c>
      <c r="F1098" s="2">
        <v>493.25435622999998</v>
      </c>
    </row>
    <row r="1099" spans="1:6" x14ac:dyDescent="0.3">
      <c r="A1099" s="1">
        <v>40816</v>
      </c>
      <c r="B1099" t="s">
        <v>15</v>
      </c>
      <c r="C1099" t="s">
        <v>20</v>
      </c>
      <c r="D1099" s="2">
        <v>1386.26995272</v>
      </c>
      <c r="E1099" s="2">
        <v>0</v>
      </c>
      <c r="F1099" s="2">
        <v>1386.26995272</v>
      </c>
    </row>
    <row r="1100" spans="1:6" x14ac:dyDescent="0.3">
      <c r="A1100" s="1">
        <v>40816</v>
      </c>
      <c r="B1100" t="s">
        <v>15</v>
      </c>
      <c r="C1100" t="s">
        <v>17</v>
      </c>
      <c r="D1100" s="2">
        <v>151831.42367926001</v>
      </c>
      <c r="E1100" s="2">
        <v>0</v>
      </c>
      <c r="F1100" s="2">
        <v>151831.42367926001</v>
      </c>
    </row>
    <row r="1101" spans="1:6" x14ac:dyDescent="0.3">
      <c r="A1101" s="1">
        <v>40816</v>
      </c>
      <c r="B1101" t="s">
        <v>15</v>
      </c>
      <c r="C1101" t="s">
        <v>18</v>
      </c>
      <c r="D1101" s="2">
        <v>185187.22859511999</v>
      </c>
      <c r="E1101" s="2">
        <v>0</v>
      </c>
      <c r="F1101" s="2">
        <v>185187.22859511999</v>
      </c>
    </row>
    <row r="1102" spans="1:6" x14ac:dyDescent="0.3">
      <c r="A1102" s="1">
        <v>40816</v>
      </c>
      <c r="B1102" t="s">
        <v>13</v>
      </c>
      <c r="C1102" t="s">
        <v>14</v>
      </c>
      <c r="D1102" s="2">
        <v>9604299.9007373694</v>
      </c>
      <c r="E1102" s="2">
        <v>20245.77567232</v>
      </c>
      <c r="F1102" s="2">
        <v>9624545.6764096897</v>
      </c>
    </row>
    <row r="1103" spans="1:6" x14ac:dyDescent="0.3">
      <c r="A1103" s="1">
        <v>40816</v>
      </c>
      <c r="B1103" t="s">
        <v>21</v>
      </c>
      <c r="C1103" t="s">
        <v>14</v>
      </c>
      <c r="D1103" s="2">
        <v>522731.25197828998</v>
      </c>
      <c r="E1103" s="2">
        <v>4643062.5125917401</v>
      </c>
      <c r="F1103" s="2">
        <v>5165794.7645700304</v>
      </c>
    </row>
    <row r="1104" spans="1:6" x14ac:dyDescent="0.3">
      <c r="A1104" s="1">
        <v>40816</v>
      </c>
      <c r="B1104" t="s">
        <v>22</v>
      </c>
      <c r="C1104" t="s">
        <v>14</v>
      </c>
      <c r="D1104" s="2">
        <v>10127031.1527157</v>
      </c>
      <c r="E1104" s="2">
        <v>4663309.2882640604</v>
      </c>
      <c r="F1104" s="2">
        <v>14790340.440979701</v>
      </c>
    </row>
    <row r="1105" spans="1:6" x14ac:dyDescent="0.3">
      <c r="A1105" s="1">
        <v>40816</v>
      </c>
      <c r="B1105" t="s">
        <v>6</v>
      </c>
      <c r="C1105" t="s">
        <v>7</v>
      </c>
      <c r="D1105" s="2">
        <v>1475557.1672</v>
      </c>
      <c r="E1105" s="2">
        <v>1948.0989999999999</v>
      </c>
      <c r="F1105" s="2">
        <v>1477505.2662</v>
      </c>
    </row>
    <row r="1106" spans="1:6" x14ac:dyDescent="0.3">
      <c r="A1106" s="1">
        <v>40816</v>
      </c>
      <c r="B1106" t="s">
        <v>6</v>
      </c>
      <c r="C1106" t="s">
        <v>9</v>
      </c>
      <c r="D1106" s="2">
        <v>1016407.34665</v>
      </c>
      <c r="E1106" s="2">
        <v>4005.5074</v>
      </c>
      <c r="F1106" s="2">
        <v>1020412.85405</v>
      </c>
    </row>
    <row r="1107" spans="1:6" x14ac:dyDescent="0.3">
      <c r="A1107" s="1">
        <v>40816</v>
      </c>
      <c r="B1107" t="s">
        <v>6</v>
      </c>
      <c r="C1107" t="s">
        <v>8</v>
      </c>
      <c r="D1107" s="2">
        <v>6406983.2740000002</v>
      </c>
      <c r="E1107" s="2">
        <v>5510.2007999999996</v>
      </c>
      <c r="F1107" s="2">
        <v>6412493.4748</v>
      </c>
    </row>
    <row r="1108" spans="1:6" x14ac:dyDescent="0.3">
      <c r="A1108" s="1">
        <v>40847</v>
      </c>
      <c r="B1108" t="s">
        <v>21</v>
      </c>
      <c r="C1108" t="s">
        <v>14</v>
      </c>
      <c r="D1108" s="2">
        <v>529676.47801898001</v>
      </c>
      <c r="E1108" s="2">
        <v>4717499.5281990003</v>
      </c>
      <c r="F1108" s="2">
        <v>5247177.0062179798</v>
      </c>
    </row>
    <row r="1109" spans="1:6" x14ac:dyDescent="0.3">
      <c r="A1109" s="1">
        <v>40847</v>
      </c>
      <c r="B1109" t="s">
        <v>22</v>
      </c>
      <c r="C1109" t="s">
        <v>14</v>
      </c>
      <c r="D1109" s="2">
        <v>10256015.432385299</v>
      </c>
      <c r="E1109" s="2">
        <v>4737693.6127573196</v>
      </c>
      <c r="F1109" s="2">
        <v>14993709.045142701</v>
      </c>
    </row>
    <row r="1110" spans="1:6" x14ac:dyDescent="0.3">
      <c r="A1110" s="1">
        <v>40847</v>
      </c>
      <c r="B1110" t="s">
        <v>6</v>
      </c>
      <c r="C1110" t="s">
        <v>7</v>
      </c>
      <c r="D1110" s="2">
        <v>1480661.7115</v>
      </c>
      <c r="E1110" s="2">
        <v>1841.105</v>
      </c>
      <c r="F1110" s="2">
        <v>1482502.8165</v>
      </c>
    </row>
    <row r="1111" spans="1:6" x14ac:dyDescent="0.3">
      <c r="A1111" s="1">
        <v>40847</v>
      </c>
      <c r="B1111" t="s">
        <v>6</v>
      </c>
      <c r="C1111" t="s">
        <v>9</v>
      </c>
      <c r="D1111" s="2">
        <v>1029426.37555</v>
      </c>
      <c r="E1111" s="2">
        <v>3986.2703999999999</v>
      </c>
      <c r="F1111" s="2">
        <v>1033412.64595</v>
      </c>
    </row>
    <row r="1112" spans="1:6" x14ac:dyDescent="0.3">
      <c r="A1112" s="1">
        <v>40847</v>
      </c>
      <c r="B1112" t="s">
        <v>6</v>
      </c>
      <c r="C1112" t="s">
        <v>12</v>
      </c>
      <c r="D1112" s="2">
        <v>0</v>
      </c>
      <c r="E1112" s="2">
        <v>8441.48</v>
      </c>
      <c r="F1112" s="2">
        <v>8441.48</v>
      </c>
    </row>
    <row r="1113" spans="1:6" x14ac:dyDescent="0.3">
      <c r="A1113" s="1">
        <v>40847</v>
      </c>
      <c r="B1113" t="s">
        <v>6</v>
      </c>
      <c r="C1113" t="s">
        <v>8</v>
      </c>
      <c r="D1113" s="2">
        <v>6501318.932</v>
      </c>
      <c r="E1113" s="2">
        <v>5673.2507999999998</v>
      </c>
      <c r="F1113" s="2">
        <v>6506992.1827999996</v>
      </c>
    </row>
    <row r="1114" spans="1:6" x14ac:dyDescent="0.3">
      <c r="A1114" s="1">
        <v>40847</v>
      </c>
      <c r="B1114" t="s">
        <v>6</v>
      </c>
      <c r="C1114" t="s">
        <v>10</v>
      </c>
      <c r="D1114" s="2">
        <v>714931.93531635997</v>
      </c>
      <c r="E1114" s="2">
        <v>250.97835832000001</v>
      </c>
      <c r="F1114" s="2">
        <v>715182.91367468005</v>
      </c>
    </row>
    <row r="1115" spans="1:6" x14ac:dyDescent="0.3">
      <c r="A1115" s="1">
        <v>40847</v>
      </c>
      <c r="B1115" t="s">
        <v>15</v>
      </c>
      <c r="C1115" t="s">
        <v>16</v>
      </c>
      <c r="D1115" s="2">
        <v>29995.18</v>
      </c>
      <c r="E1115" s="2">
        <v>0</v>
      </c>
      <c r="F1115" s="2">
        <v>29995.18</v>
      </c>
    </row>
    <row r="1116" spans="1:6" x14ac:dyDescent="0.3">
      <c r="A1116" s="1">
        <v>40847</v>
      </c>
      <c r="B1116" t="s">
        <v>15</v>
      </c>
      <c r="C1116" t="s">
        <v>23</v>
      </c>
      <c r="D1116" s="2">
        <v>2985.6485899999998</v>
      </c>
      <c r="E1116" s="2">
        <v>0</v>
      </c>
      <c r="F1116" s="2">
        <v>2985.6485899999998</v>
      </c>
    </row>
    <row r="1117" spans="1:6" x14ac:dyDescent="0.3">
      <c r="A1117" s="1">
        <v>40847</v>
      </c>
      <c r="B1117" t="s">
        <v>15</v>
      </c>
      <c r="C1117" t="s">
        <v>19</v>
      </c>
      <c r="D1117" s="2">
        <v>155187.63670996</v>
      </c>
      <c r="E1117" s="2">
        <v>4717007.2611397896</v>
      </c>
      <c r="F1117" s="2">
        <v>4872194.8978497498</v>
      </c>
    </row>
    <row r="1118" spans="1:6" x14ac:dyDescent="0.3">
      <c r="A1118" s="1">
        <v>40847</v>
      </c>
      <c r="B1118" t="s">
        <v>15</v>
      </c>
      <c r="C1118" t="s">
        <v>24</v>
      </c>
      <c r="D1118" s="2">
        <v>0</v>
      </c>
      <c r="E1118" s="2">
        <v>493.26705921000001</v>
      </c>
      <c r="F1118" s="2">
        <v>493.26705921000001</v>
      </c>
    </row>
    <row r="1119" spans="1:6" x14ac:dyDescent="0.3">
      <c r="A1119" s="1">
        <v>40847</v>
      </c>
      <c r="B1119" t="s">
        <v>15</v>
      </c>
      <c r="C1119" t="s">
        <v>20</v>
      </c>
      <c r="D1119" s="2">
        <v>1406.6767518700001</v>
      </c>
      <c r="E1119" s="2">
        <v>0</v>
      </c>
      <c r="F1119" s="2">
        <v>1406.6767518700001</v>
      </c>
    </row>
    <row r="1120" spans="1:6" x14ac:dyDescent="0.3">
      <c r="A1120" s="1">
        <v>40847</v>
      </c>
      <c r="B1120" t="s">
        <v>15</v>
      </c>
      <c r="C1120" t="s">
        <v>17</v>
      </c>
      <c r="D1120" s="2">
        <v>154479.73243423001</v>
      </c>
      <c r="E1120" s="2">
        <v>0</v>
      </c>
      <c r="F1120" s="2">
        <v>154479.73243423001</v>
      </c>
    </row>
    <row r="1121" spans="1:6" x14ac:dyDescent="0.3">
      <c r="A1121" s="1">
        <v>40847</v>
      </c>
      <c r="B1121" t="s">
        <v>15</v>
      </c>
      <c r="C1121" t="s">
        <v>18</v>
      </c>
      <c r="D1121" s="2">
        <v>185621.60353292001</v>
      </c>
      <c r="E1121" s="2">
        <v>0</v>
      </c>
      <c r="F1121" s="2">
        <v>185621.60353292001</v>
      </c>
    </row>
    <row r="1122" spans="1:6" x14ac:dyDescent="0.3">
      <c r="A1122" s="1">
        <v>40847</v>
      </c>
      <c r="B1122" t="s">
        <v>13</v>
      </c>
      <c r="C1122" t="s">
        <v>14</v>
      </c>
      <c r="D1122" s="2">
        <v>9726338.9543663599</v>
      </c>
      <c r="E1122" s="2">
        <v>20193.084558319999</v>
      </c>
      <c r="F1122" s="2">
        <v>9746532.0389246792</v>
      </c>
    </row>
    <row r="1123" spans="1:6" x14ac:dyDescent="0.3">
      <c r="A1123" s="1">
        <v>40877</v>
      </c>
      <c r="B1123" t="s">
        <v>22</v>
      </c>
      <c r="C1123" t="s">
        <v>14</v>
      </c>
      <c r="D1123" s="2">
        <v>10389957.7807415</v>
      </c>
      <c r="E1123" s="2">
        <v>4720540.7676747199</v>
      </c>
      <c r="F1123" s="2">
        <v>15110498.5484163</v>
      </c>
    </row>
    <row r="1124" spans="1:6" x14ac:dyDescent="0.3">
      <c r="A1124" s="1">
        <v>40877</v>
      </c>
      <c r="B1124" t="s">
        <v>6</v>
      </c>
      <c r="C1124" t="s">
        <v>7</v>
      </c>
      <c r="D1124" s="2">
        <v>1511028.3366</v>
      </c>
      <c r="E1124" s="2">
        <v>1449.635</v>
      </c>
      <c r="F1124" s="2">
        <v>1512477.9716</v>
      </c>
    </row>
    <row r="1125" spans="1:6" x14ac:dyDescent="0.3">
      <c r="A1125" s="1">
        <v>40877</v>
      </c>
      <c r="B1125" t="s">
        <v>6</v>
      </c>
      <c r="C1125" t="s">
        <v>9</v>
      </c>
      <c r="D1125" s="2">
        <v>1046715.06355</v>
      </c>
      <c r="E1125" s="2">
        <v>3921.6914000000002</v>
      </c>
      <c r="F1125" s="2">
        <v>1050636.75495</v>
      </c>
    </row>
    <row r="1126" spans="1:6" x14ac:dyDescent="0.3">
      <c r="A1126" s="1">
        <v>40877</v>
      </c>
      <c r="B1126" t="s">
        <v>6</v>
      </c>
      <c r="C1126" t="s">
        <v>12</v>
      </c>
      <c r="D1126" s="2">
        <v>0</v>
      </c>
      <c r="E1126" s="2">
        <v>8441.48</v>
      </c>
      <c r="F1126" s="2">
        <v>8441.48</v>
      </c>
    </row>
    <row r="1127" spans="1:6" x14ac:dyDescent="0.3">
      <c r="A1127" s="1">
        <v>40877</v>
      </c>
      <c r="B1127" t="s">
        <v>6</v>
      </c>
      <c r="C1127" t="s">
        <v>8</v>
      </c>
      <c r="D1127" s="2">
        <v>6573057.2860000003</v>
      </c>
      <c r="E1127" s="2">
        <v>5900.5298000000003</v>
      </c>
      <c r="F1127" s="2">
        <v>6578957.8158</v>
      </c>
    </row>
    <row r="1128" spans="1:6" x14ac:dyDescent="0.3">
      <c r="A1128" s="1">
        <v>40877</v>
      </c>
      <c r="B1128" t="s">
        <v>6</v>
      </c>
      <c r="C1128" t="s">
        <v>10</v>
      </c>
      <c r="D1128" s="2">
        <v>727578.88476735004</v>
      </c>
      <c r="E1128" s="2">
        <v>223.49764852999999</v>
      </c>
      <c r="F1128" s="2">
        <v>727802.38241587998</v>
      </c>
    </row>
    <row r="1129" spans="1:6" x14ac:dyDescent="0.3">
      <c r="A1129" s="1">
        <v>40877</v>
      </c>
      <c r="B1129" t="s">
        <v>15</v>
      </c>
      <c r="C1129" t="s">
        <v>16</v>
      </c>
      <c r="D1129" s="2">
        <v>29995.18</v>
      </c>
      <c r="E1129" s="2">
        <v>0</v>
      </c>
      <c r="F1129" s="2">
        <v>29995.18</v>
      </c>
    </row>
    <row r="1130" spans="1:6" x14ac:dyDescent="0.3">
      <c r="A1130" s="1">
        <v>40877</v>
      </c>
      <c r="B1130" t="s">
        <v>15</v>
      </c>
      <c r="C1130" t="s">
        <v>23</v>
      </c>
      <c r="D1130" s="2">
        <v>2985.6485899999998</v>
      </c>
      <c r="E1130" s="2">
        <v>0</v>
      </c>
      <c r="F1130" s="2">
        <v>2985.6485899999998</v>
      </c>
    </row>
    <row r="1131" spans="1:6" x14ac:dyDescent="0.3">
      <c r="A1131" s="1">
        <v>40877</v>
      </c>
      <c r="B1131" t="s">
        <v>15</v>
      </c>
      <c r="C1131" t="s">
        <v>19</v>
      </c>
      <c r="D1131" s="2">
        <v>157104.03789926</v>
      </c>
      <c r="E1131" s="2">
        <v>4700110.6667669797</v>
      </c>
      <c r="F1131" s="2">
        <v>4857214.7046662401</v>
      </c>
    </row>
    <row r="1132" spans="1:6" x14ac:dyDescent="0.3">
      <c r="A1132" s="1">
        <v>40877</v>
      </c>
      <c r="B1132" t="s">
        <v>15</v>
      </c>
      <c r="C1132" t="s">
        <v>24</v>
      </c>
      <c r="D1132" s="2">
        <v>0</v>
      </c>
      <c r="E1132" s="2">
        <v>493.26705921000001</v>
      </c>
      <c r="F1132" s="2">
        <v>493.26705921000001</v>
      </c>
    </row>
    <row r="1133" spans="1:6" x14ac:dyDescent="0.3">
      <c r="A1133" s="1">
        <v>40877</v>
      </c>
      <c r="B1133" t="s">
        <v>15</v>
      </c>
      <c r="C1133" t="s">
        <v>20</v>
      </c>
      <c r="D1133" s="2">
        <v>1335.14243941</v>
      </c>
      <c r="E1133" s="2">
        <v>0</v>
      </c>
      <c r="F1133" s="2">
        <v>1335.14243941</v>
      </c>
    </row>
    <row r="1134" spans="1:6" x14ac:dyDescent="0.3">
      <c r="A1134" s="1">
        <v>40877</v>
      </c>
      <c r="B1134" t="s">
        <v>15</v>
      </c>
      <c r="C1134" t="s">
        <v>17</v>
      </c>
      <c r="D1134" s="2">
        <v>154665.3496938</v>
      </c>
      <c r="E1134" s="2">
        <v>0</v>
      </c>
      <c r="F1134" s="2">
        <v>154665.3496938</v>
      </c>
    </row>
    <row r="1135" spans="1:6" x14ac:dyDescent="0.3">
      <c r="A1135" s="1">
        <v>40877</v>
      </c>
      <c r="B1135" t="s">
        <v>15</v>
      </c>
      <c r="C1135" t="s">
        <v>18</v>
      </c>
      <c r="D1135" s="2">
        <v>185492.85120171</v>
      </c>
      <c r="E1135" s="2">
        <v>0</v>
      </c>
      <c r="F1135" s="2">
        <v>185492.85120171</v>
      </c>
    </row>
    <row r="1136" spans="1:6" x14ac:dyDescent="0.3">
      <c r="A1136" s="1">
        <v>40877</v>
      </c>
      <c r="B1136" t="s">
        <v>13</v>
      </c>
      <c r="C1136" t="s">
        <v>14</v>
      </c>
      <c r="D1136" s="2">
        <v>9858379.5709173493</v>
      </c>
      <c r="E1136" s="2">
        <v>19936.833848530001</v>
      </c>
      <c r="F1136" s="2">
        <v>9878316.4047658909</v>
      </c>
    </row>
    <row r="1137" spans="1:6" x14ac:dyDescent="0.3">
      <c r="A1137" s="1">
        <v>40877</v>
      </c>
      <c r="B1137" t="s">
        <v>21</v>
      </c>
      <c r="C1137" t="s">
        <v>14</v>
      </c>
      <c r="D1137" s="2">
        <v>531578.20982418</v>
      </c>
      <c r="E1137" s="2">
        <v>4700603.9338261904</v>
      </c>
      <c r="F1137" s="2">
        <v>5232182.1436503697</v>
      </c>
    </row>
    <row r="1138" spans="1:6" x14ac:dyDescent="0.3">
      <c r="A1138" s="1">
        <v>40908</v>
      </c>
      <c r="B1138" t="s">
        <v>15</v>
      </c>
      <c r="C1138" t="s">
        <v>16</v>
      </c>
      <c r="D1138" s="2">
        <v>29995.18</v>
      </c>
      <c r="E1138" s="2">
        <v>0</v>
      </c>
      <c r="F1138" s="2">
        <v>29995.18</v>
      </c>
    </row>
    <row r="1139" spans="1:6" x14ac:dyDescent="0.3">
      <c r="A1139" s="1">
        <v>40908</v>
      </c>
      <c r="B1139" t="s">
        <v>15</v>
      </c>
      <c r="C1139" t="s">
        <v>23</v>
      </c>
      <c r="D1139" s="2">
        <v>2985.6485899999998</v>
      </c>
      <c r="E1139" s="2">
        <v>0</v>
      </c>
      <c r="F1139" s="2">
        <v>2985.6485899999998</v>
      </c>
    </row>
    <row r="1140" spans="1:6" x14ac:dyDescent="0.3">
      <c r="A1140" s="1">
        <v>40908</v>
      </c>
      <c r="B1140" t="s">
        <v>15</v>
      </c>
      <c r="C1140" t="s">
        <v>19</v>
      </c>
      <c r="D1140" s="2">
        <v>159019.02755855999</v>
      </c>
      <c r="E1140" s="2">
        <v>4754900.2843382005</v>
      </c>
      <c r="F1140" s="2">
        <v>4913919.31189676</v>
      </c>
    </row>
    <row r="1141" spans="1:6" x14ac:dyDescent="0.3">
      <c r="A1141" s="1">
        <v>40908</v>
      </c>
      <c r="B1141" t="s">
        <v>15</v>
      </c>
      <c r="C1141" t="s">
        <v>24</v>
      </c>
      <c r="D1141" s="2">
        <v>0</v>
      </c>
      <c r="E1141" s="2">
        <v>493.26705921000001</v>
      </c>
      <c r="F1141" s="2">
        <v>493.26705921000001</v>
      </c>
    </row>
    <row r="1142" spans="1:6" x14ac:dyDescent="0.3">
      <c r="A1142" s="1">
        <v>40908</v>
      </c>
      <c r="B1142" t="s">
        <v>15</v>
      </c>
      <c r="C1142" t="s">
        <v>20</v>
      </c>
      <c r="D1142" s="2">
        <v>1328.1566279000001</v>
      </c>
      <c r="E1142" s="2">
        <v>0</v>
      </c>
      <c r="F1142" s="2">
        <v>1328.1566279000001</v>
      </c>
    </row>
    <row r="1143" spans="1:6" x14ac:dyDescent="0.3">
      <c r="A1143" s="1">
        <v>40908</v>
      </c>
      <c r="B1143" t="s">
        <v>15</v>
      </c>
      <c r="C1143" t="s">
        <v>17</v>
      </c>
      <c r="D1143" s="2">
        <v>152058.12013195001</v>
      </c>
      <c r="E1143" s="2">
        <v>0</v>
      </c>
      <c r="F1143" s="2">
        <v>152058.12013195001</v>
      </c>
    </row>
    <row r="1144" spans="1:6" x14ac:dyDescent="0.3">
      <c r="A1144" s="1">
        <v>40908</v>
      </c>
      <c r="B1144" t="s">
        <v>15</v>
      </c>
      <c r="C1144" t="s">
        <v>18</v>
      </c>
      <c r="D1144" s="2">
        <v>185278.23502652001</v>
      </c>
      <c r="E1144" s="2">
        <v>0</v>
      </c>
      <c r="F1144" s="2">
        <v>185278.23502652001</v>
      </c>
    </row>
    <row r="1145" spans="1:6" x14ac:dyDescent="0.3">
      <c r="A1145" s="1">
        <v>40908</v>
      </c>
      <c r="B1145" t="s">
        <v>21</v>
      </c>
      <c r="C1145" t="s">
        <v>14</v>
      </c>
      <c r="D1145" s="2">
        <v>530664.36793493002</v>
      </c>
      <c r="E1145" s="2">
        <v>4755393.5513974102</v>
      </c>
      <c r="F1145" s="2">
        <v>5286057.9193323404</v>
      </c>
    </row>
    <row r="1146" spans="1:6" x14ac:dyDescent="0.3">
      <c r="A1146" s="1">
        <v>40908</v>
      </c>
      <c r="B1146" t="s">
        <v>22</v>
      </c>
      <c r="C1146" t="s">
        <v>14</v>
      </c>
      <c r="D1146" s="2">
        <v>10447662.9880831</v>
      </c>
      <c r="E1146" s="2">
        <v>4775277.1936439397</v>
      </c>
      <c r="F1146" s="2">
        <v>15222940.181727</v>
      </c>
    </row>
    <row r="1147" spans="1:6" x14ac:dyDescent="0.3">
      <c r="A1147" s="1">
        <v>40908</v>
      </c>
      <c r="B1147" t="s">
        <v>6</v>
      </c>
      <c r="C1147" t="s">
        <v>7</v>
      </c>
      <c r="D1147" s="2">
        <v>1519461.7091999999</v>
      </c>
      <c r="E1147" s="2">
        <v>1055.55</v>
      </c>
      <c r="F1147" s="2">
        <v>1520517.2592</v>
      </c>
    </row>
    <row r="1148" spans="1:6" x14ac:dyDescent="0.3">
      <c r="A1148" s="1">
        <v>40908</v>
      </c>
      <c r="B1148" t="s">
        <v>6</v>
      </c>
      <c r="C1148" t="s">
        <v>9</v>
      </c>
      <c r="D1148" s="2">
        <v>1060111.2440500001</v>
      </c>
      <c r="E1148" s="2">
        <v>4001.0839999999998</v>
      </c>
      <c r="F1148" s="2">
        <v>1064112.3280499999</v>
      </c>
    </row>
    <row r="1149" spans="1:6" x14ac:dyDescent="0.3">
      <c r="A1149" s="1">
        <v>40908</v>
      </c>
      <c r="B1149" t="s">
        <v>6</v>
      </c>
      <c r="C1149" t="s">
        <v>12</v>
      </c>
      <c r="D1149" s="2">
        <v>0</v>
      </c>
      <c r="E1149" s="2">
        <v>8441.48</v>
      </c>
      <c r="F1149" s="2">
        <v>8441.48</v>
      </c>
    </row>
    <row r="1150" spans="1:6" x14ac:dyDescent="0.3">
      <c r="A1150" s="1">
        <v>40908</v>
      </c>
      <c r="B1150" t="s">
        <v>6</v>
      </c>
      <c r="C1150" t="s">
        <v>8</v>
      </c>
      <c r="D1150" s="2">
        <v>6598893.7273000004</v>
      </c>
      <c r="E1150" s="2">
        <v>6162.0397999999996</v>
      </c>
      <c r="F1150" s="2">
        <v>6605055.7670999998</v>
      </c>
    </row>
    <row r="1151" spans="1:6" x14ac:dyDescent="0.3">
      <c r="A1151" s="1">
        <v>40908</v>
      </c>
      <c r="B1151" t="s">
        <v>6</v>
      </c>
      <c r="C1151" t="s">
        <v>10</v>
      </c>
      <c r="D1151" s="2">
        <v>738531.93959812005</v>
      </c>
      <c r="E1151" s="2">
        <v>223.48844653</v>
      </c>
      <c r="F1151" s="2">
        <v>738755.42804465001</v>
      </c>
    </row>
    <row r="1152" spans="1:6" x14ac:dyDescent="0.3">
      <c r="A1152" s="1">
        <v>40908</v>
      </c>
      <c r="B1152" t="s">
        <v>13</v>
      </c>
      <c r="C1152" t="s">
        <v>14</v>
      </c>
      <c r="D1152" s="2">
        <v>9916998.6201481298</v>
      </c>
      <c r="E1152" s="2">
        <v>19883.642246529998</v>
      </c>
      <c r="F1152" s="2">
        <v>9936882.2623946592</v>
      </c>
    </row>
    <row r="1153" spans="1:6" x14ac:dyDescent="0.3">
      <c r="A1153" s="1">
        <v>40939</v>
      </c>
      <c r="B1153" t="s">
        <v>15</v>
      </c>
      <c r="C1153" t="s">
        <v>24</v>
      </c>
      <c r="D1153" s="2">
        <v>0</v>
      </c>
      <c r="E1153" s="2">
        <v>493.29316857999999</v>
      </c>
      <c r="F1153" s="2">
        <v>493.29316857999999</v>
      </c>
    </row>
    <row r="1154" spans="1:6" x14ac:dyDescent="0.3">
      <c r="A1154" s="1">
        <v>40939</v>
      </c>
      <c r="B1154" t="s">
        <v>15</v>
      </c>
      <c r="C1154" t="s">
        <v>20</v>
      </c>
      <c r="D1154" s="2">
        <v>1317.5054777</v>
      </c>
      <c r="E1154" s="2">
        <v>0</v>
      </c>
      <c r="F1154" s="2">
        <v>1317.5054777</v>
      </c>
    </row>
    <row r="1155" spans="1:6" x14ac:dyDescent="0.3">
      <c r="A1155" s="1">
        <v>40939</v>
      </c>
      <c r="B1155" t="s">
        <v>15</v>
      </c>
      <c r="C1155" t="s">
        <v>17</v>
      </c>
      <c r="D1155" s="2">
        <v>144400.55547610001</v>
      </c>
      <c r="E1155" s="2">
        <v>0</v>
      </c>
      <c r="F1155" s="2">
        <v>144400.55547610001</v>
      </c>
    </row>
    <row r="1156" spans="1:6" x14ac:dyDescent="0.3">
      <c r="A1156" s="1">
        <v>40939</v>
      </c>
      <c r="B1156" t="s">
        <v>15</v>
      </c>
      <c r="C1156" t="s">
        <v>18</v>
      </c>
      <c r="D1156" s="2">
        <v>185198.76093826999</v>
      </c>
      <c r="E1156" s="2">
        <v>0</v>
      </c>
      <c r="F1156" s="2">
        <v>185198.76093826999</v>
      </c>
    </row>
    <row r="1157" spans="1:6" x14ac:dyDescent="0.3">
      <c r="A1157" s="1">
        <v>40939</v>
      </c>
      <c r="B1157" t="s">
        <v>13</v>
      </c>
      <c r="C1157" t="s">
        <v>14</v>
      </c>
      <c r="D1157" s="2">
        <v>10048852.45572</v>
      </c>
      <c r="E1157" s="2">
        <v>20057.102695059999</v>
      </c>
      <c r="F1157" s="2">
        <v>10068909.5584151</v>
      </c>
    </row>
    <row r="1158" spans="1:6" x14ac:dyDescent="0.3">
      <c r="A1158" s="1">
        <v>40939</v>
      </c>
      <c r="B1158" t="s">
        <v>21</v>
      </c>
      <c r="C1158" t="s">
        <v>14</v>
      </c>
      <c r="D1158" s="2">
        <v>523521.93246680999</v>
      </c>
      <c r="E1158" s="2">
        <v>4763709.0032219402</v>
      </c>
      <c r="F1158" s="2">
        <v>5287230.9356887499</v>
      </c>
    </row>
    <row r="1159" spans="1:6" x14ac:dyDescent="0.3">
      <c r="A1159" s="1">
        <v>40939</v>
      </c>
      <c r="B1159" t="s">
        <v>22</v>
      </c>
      <c r="C1159" t="s">
        <v>14</v>
      </c>
      <c r="D1159" s="2">
        <v>10572374.3881869</v>
      </c>
      <c r="E1159" s="2">
        <v>4783766.1059170002</v>
      </c>
      <c r="F1159" s="2">
        <v>15356140.494103899</v>
      </c>
    </row>
    <row r="1160" spans="1:6" x14ac:dyDescent="0.3">
      <c r="A1160" s="1">
        <v>40939</v>
      </c>
      <c r="B1160" t="s">
        <v>6</v>
      </c>
      <c r="C1160" t="s">
        <v>7</v>
      </c>
      <c r="D1160" s="2">
        <v>1524148.7065999999</v>
      </c>
      <c r="E1160" s="2">
        <v>1296.9849999999999</v>
      </c>
      <c r="F1160" s="2">
        <v>1525445.6916</v>
      </c>
    </row>
    <row r="1161" spans="1:6" x14ac:dyDescent="0.3">
      <c r="A1161" s="1">
        <v>40939</v>
      </c>
      <c r="B1161" t="s">
        <v>6</v>
      </c>
      <c r="C1161" t="s">
        <v>9</v>
      </c>
      <c r="D1161" s="2">
        <v>1073882.79635</v>
      </c>
      <c r="E1161" s="2">
        <v>4151.7939999999999</v>
      </c>
      <c r="F1161" s="2">
        <v>1078034.59035</v>
      </c>
    </row>
    <row r="1162" spans="1:6" x14ac:dyDescent="0.3">
      <c r="A1162" s="1">
        <v>40939</v>
      </c>
      <c r="B1162" t="s">
        <v>6</v>
      </c>
      <c r="C1162" t="s">
        <v>12</v>
      </c>
      <c r="D1162" s="2">
        <v>0</v>
      </c>
      <c r="E1162" s="2">
        <v>8441.48</v>
      </c>
      <c r="F1162" s="2">
        <v>8441.48</v>
      </c>
    </row>
    <row r="1163" spans="1:6" x14ac:dyDescent="0.3">
      <c r="A1163" s="1">
        <v>40939</v>
      </c>
      <c r="B1163" t="s">
        <v>6</v>
      </c>
      <c r="C1163" t="s">
        <v>8</v>
      </c>
      <c r="D1163" s="2">
        <v>6705363.6269000098</v>
      </c>
      <c r="E1163" s="2">
        <v>5952.6383999999998</v>
      </c>
      <c r="F1163" s="2">
        <v>6711316.2653000001</v>
      </c>
    </row>
    <row r="1164" spans="1:6" x14ac:dyDescent="0.3">
      <c r="A1164" s="1">
        <v>40939</v>
      </c>
      <c r="B1164" t="s">
        <v>6</v>
      </c>
      <c r="C1164" t="s">
        <v>10</v>
      </c>
      <c r="D1164" s="2">
        <v>745457.32587003999</v>
      </c>
      <c r="E1164" s="2">
        <v>214.20529506</v>
      </c>
      <c r="F1164" s="2">
        <v>745671.53116510005</v>
      </c>
    </row>
    <row r="1165" spans="1:6" x14ac:dyDescent="0.3">
      <c r="A1165" s="1">
        <v>40939</v>
      </c>
      <c r="B1165" t="s">
        <v>15</v>
      </c>
      <c r="C1165" t="s">
        <v>16</v>
      </c>
      <c r="D1165" s="2">
        <v>29995.18</v>
      </c>
      <c r="E1165" s="2">
        <v>0</v>
      </c>
      <c r="F1165" s="2">
        <v>29995.18</v>
      </c>
    </row>
    <row r="1166" spans="1:6" x14ac:dyDescent="0.3">
      <c r="A1166" s="1">
        <v>40939</v>
      </c>
      <c r="B1166" t="s">
        <v>15</v>
      </c>
      <c r="C1166" t="s">
        <v>23</v>
      </c>
      <c r="D1166" s="2">
        <v>3785.6485899999998</v>
      </c>
      <c r="E1166" s="2">
        <v>0</v>
      </c>
      <c r="F1166" s="2">
        <v>3785.6485899999998</v>
      </c>
    </row>
    <row r="1167" spans="1:6" x14ac:dyDescent="0.3">
      <c r="A1167" s="1">
        <v>40939</v>
      </c>
      <c r="B1167" t="s">
        <v>15</v>
      </c>
      <c r="C1167" t="s">
        <v>19</v>
      </c>
      <c r="D1167" s="2">
        <v>158824.28198474</v>
      </c>
      <c r="E1167" s="2">
        <v>4763215.7100533601</v>
      </c>
      <c r="F1167" s="2">
        <v>4922039.9920381</v>
      </c>
    </row>
    <row r="1168" spans="1:6" x14ac:dyDescent="0.3">
      <c r="A1168" s="1">
        <v>40968</v>
      </c>
      <c r="B1168" t="s">
        <v>22</v>
      </c>
      <c r="C1168" t="s">
        <v>14</v>
      </c>
      <c r="D1168" s="2">
        <v>10722996.347253401</v>
      </c>
      <c r="E1168" s="2">
        <v>4765894.9973798003</v>
      </c>
      <c r="F1168" s="2">
        <v>15488891.344633199</v>
      </c>
    </row>
    <row r="1169" spans="1:6" x14ac:dyDescent="0.3">
      <c r="A1169" s="1">
        <v>40968</v>
      </c>
      <c r="B1169" t="s">
        <v>6</v>
      </c>
      <c r="C1169" t="s">
        <v>7</v>
      </c>
      <c r="D1169" s="2">
        <v>1608737.6035</v>
      </c>
      <c r="E1169" s="2">
        <v>1678.5139999999999</v>
      </c>
      <c r="F1169" s="2">
        <v>1610416.1174999999</v>
      </c>
    </row>
    <row r="1170" spans="1:6" x14ac:dyDescent="0.3">
      <c r="A1170" s="1">
        <v>40968</v>
      </c>
      <c r="B1170" t="s">
        <v>6</v>
      </c>
      <c r="C1170" t="s">
        <v>9</v>
      </c>
      <c r="D1170" s="2">
        <v>1091968.03095</v>
      </c>
      <c r="E1170" s="2">
        <v>4017.3472000000002</v>
      </c>
      <c r="F1170" s="2">
        <v>1095985.37815</v>
      </c>
    </row>
    <row r="1171" spans="1:6" x14ac:dyDescent="0.3">
      <c r="A1171" s="1">
        <v>40968</v>
      </c>
      <c r="B1171" t="s">
        <v>6</v>
      </c>
      <c r="C1171" t="s">
        <v>12</v>
      </c>
      <c r="D1171" s="2">
        <v>0</v>
      </c>
      <c r="E1171" s="2">
        <v>8441.48</v>
      </c>
      <c r="F1171" s="2">
        <v>8441.48</v>
      </c>
    </row>
    <row r="1172" spans="1:6" x14ac:dyDescent="0.3">
      <c r="A1172" s="1">
        <v>40968</v>
      </c>
      <c r="B1172" t="s">
        <v>6</v>
      </c>
      <c r="C1172" t="s">
        <v>8</v>
      </c>
      <c r="D1172" s="2">
        <v>6748203.2975000003</v>
      </c>
      <c r="E1172" s="2">
        <v>6211.6804000000002</v>
      </c>
      <c r="F1172" s="2">
        <v>6754414.9779000003</v>
      </c>
    </row>
    <row r="1173" spans="1:6" x14ac:dyDescent="0.3">
      <c r="A1173" s="1">
        <v>40968</v>
      </c>
      <c r="B1173" t="s">
        <v>6</v>
      </c>
      <c r="C1173" t="s">
        <v>10</v>
      </c>
      <c r="D1173" s="2">
        <v>752828.30408627004</v>
      </c>
      <c r="E1173" s="2">
        <v>211.09147981999999</v>
      </c>
      <c r="F1173" s="2">
        <v>753039.39556609001</v>
      </c>
    </row>
    <row r="1174" spans="1:6" x14ac:dyDescent="0.3">
      <c r="A1174" s="1">
        <v>40968</v>
      </c>
      <c r="B1174" t="s">
        <v>15</v>
      </c>
      <c r="C1174" t="s">
        <v>16</v>
      </c>
      <c r="D1174" s="2">
        <v>29995.18</v>
      </c>
      <c r="E1174" s="2">
        <v>0</v>
      </c>
      <c r="F1174" s="2">
        <v>29995.18</v>
      </c>
    </row>
    <row r="1175" spans="1:6" x14ac:dyDescent="0.3">
      <c r="A1175" s="1">
        <v>40968</v>
      </c>
      <c r="B1175" t="s">
        <v>15</v>
      </c>
      <c r="C1175" t="s">
        <v>23</v>
      </c>
      <c r="D1175" s="2">
        <v>3785.6485899999998</v>
      </c>
      <c r="E1175" s="2">
        <v>0</v>
      </c>
      <c r="F1175" s="2">
        <v>3785.6485899999998</v>
      </c>
    </row>
    <row r="1176" spans="1:6" x14ac:dyDescent="0.3">
      <c r="A1176" s="1">
        <v>40968</v>
      </c>
      <c r="B1176" t="s">
        <v>15</v>
      </c>
      <c r="C1176" t="s">
        <v>19</v>
      </c>
      <c r="D1176" s="2">
        <v>157237.0887999</v>
      </c>
      <c r="E1176" s="2">
        <v>4744841.5911314003</v>
      </c>
      <c r="F1176" s="2">
        <v>4902078.6799312998</v>
      </c>
    </row>
    <row r="1177" spans="1:6" x14ac:dyDescent="0.3">
      <c r="A1177" s="1">
        <v>40968</v>
      </c>
      <c r="B1177" t="s">
        <v>15</v>
      </c>
      <c r="C1177" t="s">
        <v>24</v>
      </c>
      <c r="D1177" s="2">
        <v>0</v>
      </c>
      <c r="E1177" s="2">
        <v>493.29316857999999</v>
      </c>
      <c r="F1177" s="2">
        <v>493.29316857999999</v>
      </c>
    </row>
    <row r="1178" spans="1:6" x14ac:dyDescent="0.3">
      <c r="A1178" s="1">
        <v>40968</v>
      </c>
      <c r="B1178" t="s">
        <v>15</v>
      </c>
      <c r="C1178" t="s">
        <v>20</v>
      </c>
      <c r="D1178" s="2">
        <v>1328.0574639199999</v>
      </c>
      <c r="E1178" s="2">
        <v>0</v>
      </c>
      <c r="F1178" s="2">
        <v>1328.0574639199999</v>
      </c>
    </row>
    <row r="1179" spans="1:6" x14ac:dyDescent="0.3">
      <c r="A1179" s="1">
        <v>40968</v>
      </c>
      <c r="B1179" t="s">
        <v>15</v>
      </c>
      <c r="C1179" t="s">
        <v>17</v>
      </c>
      <c r="D1179" s="2">
        <v>143880.09260192001</v>
      </c>
      <c r="E1179" s="2">
        <v>0</v>
      </c>
      <c r="F1179" s="2">
        <v>143880.09260192001</v>
      </c>
    </row>
    <row r="1180" spans="1:6" x14ac:dyDescent="0.3">
      <c r="A1180" s="1">
        <v>40968</v>
      </c>
      <c r="B1180" t="s">
        <v>15</v>
      </c>
      <c r="C1180" t="s">
        <v>18</v>
      </c>
      <c r="D1180" s="2">
        <v>185033.04376137001</v>
      </c>
      <c r="E1180" s="2">
        <v>0</v>
      </c>
      <c r="F1180" s="2">
        <v>185033.04376137001</v>
      </c>
    </row>
    <row r="1181" spans="1:6" x14ac:dyDescent="0.3">
      <c r="A1181" s="1">
        <v>40968</v>
      </c>
      <c r="B1181" t="s">
        <v>13</v>
      </c>
      <c r="C1181" t="s">
        <v>14</v>
      </c>
      <c r="D1181" s="2">
        <v>10201737.236036301</v>
      </c>
      <c r="E1181" s="2">
        <v>20560.113079819999</v>
      </c>
      <c r="F1181" s="2">
        <v>10222297.3491161</v>
      </c>
    </row>
    <row r="1182" spans="1:6" x14ac:dyDescent="0.3">
      <c r="A1182" s="1">
        <v>40968</v>
      </c>
      <c r="B1182" t="s">
        <v>21</v>
      </c>
      <c r="C1182" t="s">
        <v>14</v>
      </c>
      <c r="D1182" s="2">
        <v>521259.11121711001</v>
      </c>
      <c r="E1182" s="2">
        <v>4745334.8842999795</v>
      </c>
      <c r="F1182" s="2">
        <v>5266593.99551709</v>
      </c>
    </row>
    <row r="1183" spans="1:6" x14ac:dyDescent="0.3">
      <c r="A1183" s="1">
        <v>40999</v>
      </c>
      <c r="B1183" t="s">
        <v>21</v>
      </c>
      <c r="C1183" t="s">
        <v>14</v>
      </c>
      <c r="D1183" s="2">
        <v>529196.90254886996</v>
      </c>
      <c r="E1183" s="2">
        <v>4714596.30760484</v>
      </c>
      <c r="F1183" s="2">
        <v>5243793.2101537101</v>
      </c>
    </row>
    <row r="1184" spans="1:6" x14ac:dyDescent="0.3">
      <c r="A1184" s="1">
        <v>40999</v>
      </c>
      <c r="B1184" t="s">
        <v>22</v>
      </c>
      <c r="C1184" t="s">
        <v>14</v>
      </c>
      <c r="D1184" s="2">
        <v>10846824.6399239</v>
      </c>
      <c r="E1184" s="2">
        <v>4735254.13424554</v>
      </c>
      <c r="F1184" s="2">
        <v>15582078.7741694</v>
      </c>
    </row>
    <row r="1185" spans="1:6" x14ac:dyDescent="0.3">
      <c r="A1185" s="1">
        <v>40999</v>
      </c>
      <c r="B1185" t="s">
        <v>6</v>
      </c>
      <c r="C1185" t="s">
        <v>7</v>
      </c>
      <c r="D1185" s="2">
        <v>1672606.6736000001</v>
      </c>
      <c r="E1185" s="2">
        <v>1828.6790000000001</v>
      </c>
      <c r="F1185" s="2">
        <v>1674435.3526000001</v>
      </c>
    </row>
    <row r="1186" spans="1:6" x14ac:dyDescent="0.3">
      <c r="A1186" s="1">
        <v>40999</v>
      </c>
      <c r="B1186" t="s">
        <v>6</v>
      </c>
      <c r="C1186" t="s">
        <v>9</v>
      </c>
      <c r="D1186" s="2">
        <v>1105889.78055</v>
      </c>
      <c r="E1186" s="2">
        <v>3998.2557000000002</v>
      </c>
      <c r="F1186" s="2">
        <v>1109888.0362499999</v>
      </c>
    </row>
    <row r="1187" spans="1:6" x14ac:dyDescent="0.3">
      <c r="A1187" s="1">
        <v>40999</v>
      </c>
      <c r="B1187" t="s">
        <v>6</v>
      </c>
      <c r="C1187" t="s">
        <v>12</v>
      </c>
      <c r="D1187" s="2">
        <v>0</v>
      </c>
      <c r="E1187" s="2">
        <v>8441.48</v>
      </c>
      <c r="F1187" s="2">
        <v>8441.48</v>
      </c>
    </row>
    <row r="1188" spans="1:6" x14ac:dyDescent="0.3">
      <c r="A1188" s="1">
        <v>40999</v>
      </c>
      <c r="B1188" t="s">
        <v>6</v>
      </c>
      <c r="C1188" t="s">
        <v>8</v>
      </c>
      <c r="D1188" s="2">
        <v>6770349.4391000001</v>
      </c>
      <c r="E1188" s="2">
        <v>6134.8108000000002</v>
      </c>
      <c r="F1188" s="2">
        <v>6776484.2499000002</v>
      </c>
    </row>
    <row r="1189" spans="1:6" x14ac:dyDescent="0.3">
      <c r="A1189" s="1">
        <v>40999</v>
      </c>
      <c r="B1189" t="s">
        <v>6</v>
      </c>
      <c r="C1189" t="s">
        <v>10</v>
      </c>
      <c r="D1189" s="2">
        <v>768781.84412500996</v>
      </c>
      <c r="E1189" s="2">
        <v>254.6011407</v>
      </c>
      <c r="F1189" s="2">
        <v>769036.44526571</v>
      </c>
    </row>
    <row r="1190" spans="1:6" x14ac:dyDescent="0.3">
      <c r="A1190" s="1">
        <v>40999</v>
      </c>
      <c r="B1190" t="s">
        <v>15</v>
      </c>
      <c r="C1190" t="s">
        <v>16</v>
      </c>
      <c r="D1190" s="2">
        <v>29995.18</v>
      </c>
      <c r="E1190" s="2">
        <v>0</v>
      </c>
      <c r="F1190" s="2">
        <v>29995.18</v>
      </c>
    </row>
    <row r="1191" spans="1:6" x14ac:dyDescent="0.3">
      <c r="A1191" s="1">
        <v>40999</v>
      </c>
      <c r="B1191" t="s">
        <v>15</v>
      </c>
      <c r="C1191" t="s">
        <v>23</v>
      </c>
      <c r="D1191" s="2">
        <v>3585.6485899999998</v>
      </c>
      <c r="E1191" s="2">
        <v>0</v>
      </c>
      <c r="F1191" s="2">
        <v>3585.6485899999998</v>
      </c>
    </row>
    <row r="1192" spans="1:6" x14ac:dyDescent="0.3">
      <c r="A1192" s="1">
        <v>40999</v>
      </c>
      <c r="B1192" t="s">
        <v>15</v>
      </c>
      <c r="C1192" t="s">
        <v>19</v>
      </c>
      <c r="D1192" s="2">
        <v>156666.63184459999</v>
      </c>
      <c r="E1192" s="2">
        <v>4714103.0144362599</v>
      </c>
      <c r="F1192" s="2">
        <v>4870769.6462808596</v>
      </c>
    </row>
    <row r="1193" spans="1:6" x14ac:dyDescent="0.3">
      <c r="A1193" s="1">
        <v>40999</v>
      </c>
      <c r="B1193" t="s">
        <v>15</v>
      </c>
      <c r="C1193" t="s">
        <v>24</v>
      </c>
      <c r="D1193" s="2">
        <v>0</v>
      </c>
      <c r="E1193" s="2">
        <v>493.29316857999999</v>
      </c>
      <c r="F1193" s="2">
        <v>493.29316857999999</v>
      </c>
    </row>
    <row r="1194" spans="1:6" x14ac:dyDescent="0.3">
      <c r="A1194" s="1">
        <v>40999</v>
      </c>
      <c r="B1194" t="s">
        <v>15</v>
      </c>
      <c r="C1194" t="s">
        <v>20</v>
      </c>
      <c r="D1194" s="2">
        <v>1329.07506855</v>
      </c>
      <c r="E1194" s="2">
        <v>0</v>
      </c>
      <c r="F1194" s="2">
        <v>1329.07506855</v>
      </c>
    </row>
    <row r="1195" spans="1:6" x14ac:dyDescent="0.3">
      <c r="A1195" s="1">
        <v>40999</v>
      </c>
      <c r="B1195" t="s">
        <v>15</v>
      </c>
      <c r="C1195" t="s">
        <v>17</v>
      </c>
      <c r="D1195" s="2">
        <v>152780.73048956</v>
      </c>
      <c r="E1195" s="2">
        <v>0</v>
      </c>
      <c r="F1195" s="2">
        <v>152780.73048956</v>
      </c>
    </row>
    <row r="1196" spans="1:6" x14ac:dyDescent="0.3">
      <c r="A1196" s="1">
        <v>40999</v>
      </c>
      <c r="B1196" t="s">
        <v>15</v>
      </c>
      <c r="C1196" t="s">
        <v>18</v>
      </c>
      <c r="D1196" s="2">
        <v>184839.63655616</v>
      </c>
      <c r="E1196" s="2">
        <v>0</v>
      </c>
      <c r="F1196" s="2">
        <v>184839.63655616</v>
      </c>
    </row>
    <row r="1197" spans="1:6" x14ac:dyDescent="0.3">
      <c r="A1197" s="1">
        <v>40999</v>
      </c>
      <c r="B1197" t="s">
        <v>13</v>
      </c>
      <c r="C1197" t="s">
        <v>14</v>
      </c>
      <c r="D1197" s="2">
        <v>10317627.737375</v>
      </c>
      <c r="E1197" s="2">
        <v>20657.826640700001</v>
      </c>
      <c r="F1197" s="2">
        <v>10338285.5640157</v>
      </c>
    </row>
    <row r="1198" spans="1:6" x14ac:dyDescent="0.3">
      <c r="A1198" s="1">
        <v>41029</v>
      </c>
      <c r="B1198" t="s">
        <v>6</v>
      </c>
      <c r="C1198" t="s">
        <v>7</v>
      </c>
      <c r="D1198" s="2">
        <v>1611353.3160000001</v>
      </c>
      <c r="E1198" s="2">
        <v>2072.252</v>
      </c>
      <c r="F1198" s="2">
        <v>1613425.568</v>
      </c>
    </row>
    <row r="1199" spans="1:6" x14ac:dyDescent="0.3">
      <c r="A1199" s="1">
        <v>41029</v>
      </c>
      <c r="B1199" t="s">
        <v>6</v>
      </c>
      <c r="C1199" t="s">
        <v>9</v>
      </c>
      <c r="D1199" s="2">
        <v>1121252.24655</v>
      </c>
      <c r="E1199" s="2">
        <v>4001.2260000000001</v>
      </c>
      <c r="F1199" s="2">
        <v>1125253.4725500001</v>
      </c>
    </row>
    <row r="1200" spans="1:6" x14ac:dyDescent="0.3">
      <c r="A1200" s="1">
        <v>41029</v>
      </c>
      <c r="B1200" t="s">
        <v>6</v>
      </c>
      <c r="C1200" t="s">
        <v>12</v>
      </c>
      <c r="D1200" s="2">
        <v>0</v>
      </c>
      <c r="E1200" s="2">
        <v>8441.48</v>
      </c>
      <c r="F1200" s="2">
        <v>8441.48</v>
      </c>
    </row>
    <row r="1201" spans="1:6" x14ac:dyDescent="0.3">
      <c r="A1201" s="1">
        <v>41029</v>
      </c>
      <c r="B1201" t="s">
        <v>6</v>
      </c>
      <c r="C1201" t="s">
        <v>8</v>
      </c>
      <c r="D1201" s="2">
        <v>6877079.9846000001</v>
      </c>
      <c r="E1201" s="2">
        <v>6268.9080000000004</v>
      </c>
      <c r="F1201" s="2">
        <v>6883348.8925999999</v>
      </c>
    </row>
    <row r="1202" spans="1:6" x14ac:dyDescent="0.3">
      <c r="A1202" s="1">
        <v>41029</v>
      </c>
      <c r="B1202" t="s">
        <v>6</v>
      </c>
      <c r="C1202" t="s">
        <v>10</v>
      </c>
      <c r="D1202" s="2">
        <v>769330.48618520994</v>
      </c>
      <c r="E1202" s="2">
        <v>276.81447746999999</v>
      </c>
      <c r="F1202" s="2">
        <v>769607.30066267995</v>
      </c>
    </row>
    <row r="1203" spans="1:6" x14ac:dyDescent="0.3">
      <c r="A1203" s="1">
        <v>41029</v>
      </c>
      <c r="B1203" t="s">
        <v>15</v>
      </c>
      <c r="C1203" t="s">
        <v>16</v>
      </c>
      <c r="D1203" s="2">
        <v>29995.18</v>
      </c>
      <c r="E1203" s="2">
        <v>0</v>
      </c>
      <c r="F1203" s="2">
        <v>29995.18</v>
      </c>
    </row>
    <row r="1204" spans="1:6" x14ac:dyDescent="0.3">
      <c r="A1204" s="1">
        <v>41029</v>
      </c>
      <c r="B1204" t="s">
        <v>15</v>
      </c>
      <c r="C1204" t="s">
        <v>23</v>
      </c>
      <c r="D1204" s="2">
        <v>3385.6485899999998</v>
      </c>
      <c r="E1204" s="2">
        <v>0</v>
      </c>
      <c r="F1204" s="2">
        <v>3385.6485899999998</v>
      </c>
    </row>
    <row r="1205" spans="1:6" x14ac:dyDescent="0.3">
      <c r="A1205" s="1">
        <v>41029</v>
      </c>
      <c r="B1205" t="s">
        <v>15</v>
      </c>
      <c r="C1205" t="s">
        <v>19</v>
      </c>
      <c r="D1205" s="2">
        <v>157707.21407823</v>
      </c>
      <c r="E1205" s="2">
        <v>4754743.15663365</v>
      </c>
      <c r="F1205" s="2">
        <v>4912450.3707118798</v>
      </c>
    </row>
    <row r="1206" spans="1:6" x14ac:dyDescent="0.3">
      <c r="A1206" s="1">
        <v>41029</v>
      </c>
      <c r="B1206" t="s">
        <v>15</v>
      </c>
      <c r="C1206" t="s">
        <v>24</v>
      </c>
      <c r="D1206" s="2">
        <v>0</v>
      </c>
      <c r="E1206" s="2">
        <v>493.33209142999999</v>
      </c>
      <c r="F1206" s="2">
        <v>493.33209142999999</v>
      </c>
    </row>
    <row r="1207" spans="1:6" x14ac:dyDescent="0.3">
      <c r="A1207" s="1">
        <v>41029</v>
      </c>
      <c r="B1207" t="s">
        <v>15</v>
      </c>
      <c r="C1207" t="s">
        <v>20</v>
      </c>
      <c r="D1207" s="2">
        <v>1311.4066514199999</v>
      </c>
      <c r="E1207" s="2">
        <v>0</v>
      </c>
      <c r="F1207" s="2">
        <v>1311.4066514199999</v>
      </c>
    </row>
    <row r="1208" spans="1:6" x14ac:dyDescent="0.3">
      <c r="A1208" s="1">
        <v>41029</v>
      </c>
      <c r="B1208" t="s">
        <v>15</v>
      </c>
      <c r="C1208" t="s">
        <v>17</v>
      </c>
      <c r="D1208" s="2">
        <v>159742.08414344001</v>
      </c>
      <c r="E1208" s="2">
        <v>0</v>
      </c>
      <c r="F1208" s="2">
        <v>159742.08414344001</v>
      </c>
    </row>
    <row r="1209" spans="1:6" x14ac:dyDescent="0.3">
      <c r="A1209" s="1">
        <v>41029</v>
      </c>
      <c r="B1209" t="s">
        <v>15</v>
      </c>
      <c r="C1209" t="s">
        <v>18</v>
      </c>
      <c r="D1209" s="2">
        <v>184913.35087292001</v>
      </c>
      <c r="E1209" s="2">
        <v>0</v>
      </c>
      <c r="F1209" s="2">
        <v>184913.35087292001</v>
      </c>
    </row>
    <row r="1210" spans="1:6" x14ac:dyDescent="0.3">
      <c r="A1210" s="1">
        <v>41029</v>
      </c>
      <c r="B1210" t="s">
        <v>13</v>
      </c>
      <c r="C1210" t="s">
        <v>14</v>
      </c>
      <c r="D1210" s="2">
        <v>10379016.0333352</v>
      </c>
      <c r="E1210" s="2">
        <v>21060.680477469999</v>
      </c>
      <c r="F1210" s="2">
        <v>10400076.5138127</v>
      </c>
    </row>
    <row r="1211" spans="1:6" x14ac:dyDescent="0.3">
      <c r="A1211" s="1">
        <v>41029</v>
      </c>
      <c r="B1211" t="s">
        <v>21</v>
      </c>
      <c r="C1211" t="s">
        <v>14</v>
      </c>
      <c r="D1211" s="2">
        <v>537054.88433600997</v>
      </c>
      <c r="E1211" s="2">
        <v>4755236.4887250802</v>
      </c>
      <c r="F1211" s="2">
        <v>5292291.3730610898</v>
      </c>
    </row>
    <row r="1212" spans="1:6" x14ac:dyDescent="0.3">
      <c r="A1212" s="1">
        <v>41029</v>
      </c>
      <c r="B1212" t="s">
        <v>22</v>
      </c>
      <c r="C1212" t="s">
        <v>14</v>
      </c>
      <c r="D1212" s="2">
        <v>10916070.9176712</v>
      </c>
      <c r="E1212" s="2">
        <v>4776297.1692025503</v>
      </c>
      <c r="F1212" s="2">
        <v>15692367.8868738</v>
      </c>
    </row>
    <row r="1213" spans="1:6" x14ac:dyDescent="0.3">
      <c r="A1213" s="1">
        <v>41060</v>
      </c>
      <c r="B1213" t="s">
        <v>6</v>
      </c>
      <c r="C1213" t="s">
        <v>9</v>
      </c>
      <c r="D1213" s="2">
        <v>1138296.67615</v>
      </c>
      <c r="E1213" s="2">
        <v>3957.7919999999999</v>
      </c>
      <c r="F1213" s="2">
        <v>1142254.4681500001</v>
      </c>
    </row>
    <row r="1214" spans="1:6" x14ac:dyDescent="0.3">
      <c r="A1214" s="1">
        <v>41060</v>
      </c>
      <c r="B1214" t="s">
        <v>6</v>
      </c>
      <c r="C1214" t="s">
        <v>12</v>
      </c>
      <c r="D1214" s="2">
        <v>0</v>
      </c>
      <c r="E1214" s="2">
        <v>8441.48</v>
      </c>
      <c r="F1214" s="2">
        <v>8441.48</v>
      </c>
    </row>
    <row r="1215" spans="1:6" x14ac:dyDescent="0.3">
      <c r="A1215" s="1">
        <v>41060</v>
      </c>
      <c r="B1215" t="s">
        <v>6</v>
      </c>
      <c r="C1215" t="s">
        <v>8</v>
      </c>
      <c r="D1215" s="2">
        <v>6935158.7662000004</v>
      </c>
      <c r="E1215" s="2">
        <v>6348.5950000000003</v>
      </c>
      <c r="F1215" s="2">
        <v>6941507.3612000002</v>
      </c>
    </row>
    <row r="1216" spans="1:6" x14ac:dyDescent="0.3">
      <c r="A1216" s="1">
        <v>41060</v>
      </c>
      <c r="B1216" t="s">
        <v>6</v>
      </c>
      <c r="C1216" t="s">
        <v>10</v>
      </c>
      <c r="D1216" s="2">
        <v>788198.61995554995</v>
      </c>
      <c r="E1216" s="2">
        <v>349.34275423000003</v>
      </c>
      <c r="F1216" s="2">
        <v>788547.96270977997</v>
      </c>
    </row>
    <row r="1217" spans="1:6" x14ac:dyDescent="0.3">
      <c r="A1217" s="1">
        <v>41060</v>
      </c>
      <c r="B1217" t="s">
        <v>15</v>
      </c>
      <c r="C1217" t="s">
        <v>16</v>
      </c>
      <c r="D1217" s="2">
        <v>29995.18</v>
      </c>
      <c r="E1217" s="2">
        <v>0</v>
      </c>
      <c r="F1217" s="2">
        <v>29995.18</v>
      </c>
    </row>
    <row r="1218" spans="1:6" x14ac:dyDescent="0.3">
      <c r="A1218" s="1">
        <v>41060</v>
      </c>
      <c r="B1218" t="s">
        <v>15</v>
      </c>
      <c r="C1218" t="s">
        <v>23</v>
      </c>
      <c r="D1218" s="2">
        <v>3185.6485899999998</v>
      </c>
      <c r="E1218" s="2">
        <v>0</v>
      </c>
      <c r="F1218" s="2">
        <v>3185.6485899999998</v>
      </c>
    </row>
    <row r="1219" spans="1:6" x14ac:dyDescent="0.3">
      <c r="A1219" s="1">
        <v>41060</v>
      </c>
      <c r="B1219" t="s">
        <v>15</v>
      </c>
      <c r="C1219" t="s">
        <v>19</v>
      </c>
      <c r="D1219" s="2">
        <v>159011.64852588999</v>
      </c>
      <c r="E1219" s="2">
        <v>4742680.3432876803</v>
      </c>
      <c r="F1219" s="2">
        <v>4901691.9018135704</v>
      </c>
    </row>
    <row r="1220" spans="1:6" x14ac:dyDescent="0.3">
      <c r="A1220" s="1">
        <v>41060</v>
      </c>
      <c r="B1220" t="s">
        <v>15</v>
      </c>
      <c r="C1220" t="s">
        <v>24</v>
      </c>
      <c r="D1220" s="2">
        <v>0</v>
      </c>
      <c r="E1220" s="2">
        <v>493.33209142999999</v>
      </c>
      <c r="F1220" s="2">
        <v>493.33209142999999</v>
      </c>
    </row>
    <row r="1221" spans="1:6" x14ac:dyDescent="0.3">
      <c r="A1221" s="1">
        <v>41060</v>
      </c>
      <c r="B1221" t="s">
        <v>15</v>
      </c>
      <c r="C1221" t="s">
        <v>20</v>
      </c>
      <c r="D1221" s="2">
        <v>1323.4731099000001</v>
      </c>
      <c r="E1221" s="2">
        <v>0</v>
      </c>
      <c r="F1221" s="2">
        <v>1323.4731099000001</v>
      </c>
    </row>
    <row r="1222" spans="1:6" x14ac:dyDescent="0.3">
      <c r="A1222" s="1">
        <v>41060</v>
      </c>
      <c r="B1222" t="s">
        <v>15</v>
      </c>
      <c r="C1222" t="s">
        <v>17</v>
      </c>
      <c r="D1222" s="2">
        <v>163152.79331954999</v>
      </c>
      <c r="E1222" s="2">
        <v>0</v>
      </c>
      <c r="F1222" s="2">
        <v>163152.79331954999</v>
      </c>
    </row>
    <row r="1223" spans="1:6" x14ac:dyDescent="0.3">
      <c r="A1223" s="1">
        <v>41060</v>
      </c>
      <c r="B1223" t="s">
        <v>15</v>
      </c>
      <c r="C1223" t="s">
        <v>18</v>
      </c>
      <c r="D1223" s="2">
        <v>184670.15123535</v>
      </c>
      <c r="E1223" s="2">
        <v>0</v>
      </c>
      <c r="F1223" s="2">
        <v>184670.15123535</v>
      </c>
    </row>
    <row r="1224" spans="1:6" x14ac:dyDescent="0.3">
      <c r="A1224" s="1">
        <v>41060</v>
      </c>
      <c r="B1224" t="s">
        <v>13</v>
      </c>
      <c r="C1224" t="s">
        <v>14</v>
      </c>
      <c r="D1224" s="2">
        <v>10464911.5518055</v>
      </c>
      <c r="E1224" s="2">
        <v>21260.660754230001</v>
      </c>
      <c r="F1224" s="2">
        <v>10486172.012559799</v>
      </c>
    </row>
    <row r="1225" spans="1:6" x14ac:dyDescent="0.3">
      <c r="A1225" s="1">
        <v>41060</v>
      </c>
      <c r="B1225" t="s">
        <v>21</v>
      </c>
      <c r="C1225" t="s">
        <v>14</v>
      </c>
      <c r="D1225" s="2">
        <v>541339.89478068997</v>
      </c>
      <c r="E1225" s="2">
        <v>4743172.6753791096</v>
      </c>
      <c r="F1225" s="2">
        <v>5284513.4801597996</v>
      </c>
    </row>
    <row r="1226" spans="1:6" x14ac:dyDescent="0.3">
      <c r="A1226" s="1">
        <v>41060</v>
      </c>
      <c r="B1226" t="s">
        <v>22</v>
      </c>
      <c r="C1226" t="s">
        <v>14</v>
      </c>
      <c r="D1226" s="2">
        <v>11006251.446586199</v>
      </c>
      <c r="E1226" s="2">
        <v>4764434.3361333404</v>
      </c>
      <c r="F1226" s="2">
        <v>15770685.4927196</v>
      </c>
    </row>
    <row r="1227" spans="1:6" x14ac:dyDescent="0.3">
      <c r="A1227" s="1">
        <v>41060</v>
      </c>
      <c r="B1227" t="s">
        <v>6</v>
      </c>
      <c r="C1227" t="s">
        <v>7</v>
      </c>
      <c r="D1227" s="2">
        <v>1603257.4894999999</v>
      </c>
      <c r="E1227" s="2">
        <v>2163.451</v>
      </c>
      <c r="F1227" s="2">
        <v>1605420.9405</v>
      </c>
    </row>
    <row r="1228" spans="1:6" x14ac:dyDescent="0.3">
      <c r="A1228" s="1">
        <v>41090</v>
      </c>
      <c r="B1228" t="s">
        <v>21</v>
      </c>
      <c r="C1228" t="s">
        <v>14</v>
      </c>
      <c r="D1228" s="2">
        <v>542177.40196894004</v>
      </c>
      <c r="E1228" s="2">
        <v>4792204.8191220304</v>
      </c>
      <c r="F1228" s="2">
        <v>5334383.2210909696</v>
      </c>
    </row>
    <row r="1229" spans="1:6" x14ac:dyDescent="0.3">
      <c r="A1229" s="1">
        <v>41090</v>
      </c>
      <c r="B1229" t="s">
        <v>6</v>
      </c>
      <c r="C1229" t="s">
        <v>12</v>
      </c>
      <c r="D1229" s="2">
        <v>0</v>
      </c>
      <c r="E1229" s="2">
        <v>7112</v>
      </c>
      <c r="F1229" s="2">
        <v>7112</v>
      </c>
    </row>
    <row r="1230" spans="1:6" x14ac:dyDescent="0.3">
      <c r="A1230" s="1">
        <v>41090</v>
      </c>
      <c r="B1230" t="s">
        <v>22</v>
      </c>
      <c r="C1230" t="s">
        <v>14</v>
      </c>
      <c r="D1230" s="2">
        <v>11044184.8280896</v>
      </c>
      <c r="E1230" s="2">
        <v>4810852</v>
      </c>
      <c r="F1230" s="2">
        <v>15855037</v>
      </c>
    </row>
    <row r="1231" spans="1:6" x14ac:dyDescent="0.3">
      <c r="A1231" s="1">
        <v>41090</v>
      </c>
      <c r="B1231" t="s">
        <v>13</v>
      </c>
      <c r="C1231" t="s">
        <v>14</v>
      </c>
      <c r="D1231" s="2">
        <v>10502007.4261207</v>
      </c>
      <c r="E1231" s="2">
        <v>18647</v>
      </c>
      <c r="F1231" s="2">
        <v>10520655</v>
      </c>
    </row>
    <row r="1232" spans="1:6" x14ac:dyDescent="0.3">
      <c r="A1232" s="1">
        <v>41090</v>
      </c>
      <c r="B1232" t="s">
        <v>6</v>
      </c>
      <c r="C1232" t="s">
        <v>7</v>
      </c>
      <c r="D1232" s="2">
        <v>1594426.5699</v>
      </c>
      <c r="E1232" s="2">
        <v>1975.288</v>
      </c>
      <c r="F1232" s="2">
        <v>1596401.8578999999</v>
      </c>
    </row>
    <row r="1233" spans="1:6" x14ac:dyDescent="0.3">
      <c r="A1233" s="1">
        <v>41090</v>
      </c>
      <c r="B1233" t="s">
        <v>6</v>
      </c>
      <c r="C1233" t="s">
        <v>9</v>
      </c>
      <c r="D1233" s="2">
        <v>1152799.9556</v>
      </c>
      <c r="E1233" s="2">
        <v>3372.2539999999999</v>
      </c>
      <c r="F1233" s="2">
        <v>1156172.2095999999</v>
      </c>
    </row>
    <row r="1234" spans="1:6" x14ac:dyDescent="0.3">
      <c r="A1234" s="1">
        <v>41090</v>
      </c>
      <c r="B1234" t="s">
        <v>6</v>
      </c>
      <c r="C1234" t="s">
        <v>8</v>
      </c>
      <c r="D1234" s="2">
        <v>6957008.5783000002</v>
      </c>
      <c r="E1234" s="2">
        <v>5870.7460000000001</v>
      </c>
      <c r="F1234" s="2">
        <v>6962879.3243000004</v>
      </c>
    </row>
    <row r="1235" spans="1:6" x14ac:dyDescent="0.3">
      <c r="A1235" s="1">
        <v>41090</v>
      </c>
      <c r="B1235" t="s">
        <v>6</v>
      </c>
      <c r="C1235" t="s">
        <v>10</v>
      </c>
      <c r="D1235" s="2">
        <v>797772.32232069003</v>
      </c>
      <c r="E1235" s="2">
        <v>317.15142056000002</v>
      </c>
      <c r="F1235" s="2">
        <v>798089.47374125</v>
      </c>
    </row>
    <row r="1236" spans="1:6" x14ac:dyDescent="0.3">
      <c r="A1236" s="1">
        <v>41090</v>
      </c>
      <c r="B1236" t="s">
        <v>15</v>
      </c>
      <c r="C1236" t="s">
        <v>16</v>
      </c>
      <c r="D1236" s="2">
        <v>29995.18</v>
      </c>
      <c r="E1236" s="2">
        <v>0</v>
      </c>
      <c r="F1236" s="2">
        <v>29995.18</v>
      </c>
    </row>
    <row r="1237" spans="1:6" x14ac:dyDescent="0.3">
      <c r="A1237" s="1">
        <v>41090</v>
      </c>
      <c r="B1237" t="s">
        <v>15</v>
      </c>
      <c r="C1237" t="s">
        <v>23</v>
      </c>
      <c r="D1237" s="2">
        <v>2985.6485899999998</v>
      </c>
      <c r="E1237" s="2">
        <v>0</v>
      </c>
      <c r="F1237" s="2">
        <v>2985.6485899999998</v>
      </c>
    </row>
    <row r="1238" spans="1:6" x14ac:dyDescent="0.3">
      <c r="A1238" s="1">
        <v>41090</v>
      </c>
      <c r="B1238" t="s">
        <v>15</v>
      </c>
      <c r="C1238" t="s">
        <v>19</v>
      </c>
      <c r="D1238" s="2">
        <v>161425.33080567999</v>
      </c>
      <c r="E1238" s="2">
        <v>4791712.4870306002</v>
      </c>
      <c r="F1238" s="2">
        <v>4953137.81783628</v>
      </c>
    </row>
    <row r="1239" spans="1:6" x14ac:dyDescent="0.3">
      <c r="A1239" s="1">
        <v>41090</v>
      </c>
      <c r="B1239" t="s">
        <v>15</v>
      </c>
      <c r="C1239" t="s">
        <v>24</v>
      </c>
      <c r="D1239" s="2">
        <v>0</v>
      </c>
      <c r="E1239" s="2">
        <v>493.33209142999999</v>
      </c>
      <c r="F1239" s="2">
        <v>493.33209142999999</v>
      </c>
    </row>
    <row r="1240" spans="1:6" x14ac:dyDescent="0.3">
      <c r="A1240" s="1">
        <v>41090</v>
      </c>
      <c r="B1240" t="s">
        <v>15</v>
      </c>
      <c r="C1240" t="s">
        <v>20</v>
      </c>
      <c r="D1240" s="2">
        <v>1322.95706365</v>
      </c>
      <c r="E1240" s="2">
        <v>0</v>
      </c>
      <c r="F1240" s="2">
        <v>1322.95706365</v>
      </c>
    </row>
    <row r="1241" spans="1:6" x14ac:dyDescent="0.3">
      <c r="A1241" s="1">
        <v>41090</v>
      </c>
      <c r="B1241" t="s">
        <v>15</v>
      </c>
      <c r="C1241" t="s">
        <v>17</v>
      </c>
      <c r="D1241" s="2">
        <v>162015.11668728999</v>
      </c>
      <c r="E1241" s="2">
        <v>0</v>
      </c>
      <c r="F1241" s="2">
        <v>162015.11668728999</v>
      </c>
    </row>
    <row r="1242" spans="1:6" x14ac:dyDescent="0.3">
      <c r="A1242" s="1">
        <v>41090</v>
      </c>
      <c r="B1242" t="s">
        <v>15</v>
      </c>
      <c r="C1242" t="s">
        <v>18</v>
      </c>
      <c r="D1242" s="2">
        <v>184433.16882232</v>
      </c>
      <c r="E1242" s="2">
        <v>0</v>
      </c>
      <c r="F1242" s="2">
        <v>184433.16882232</v>
      </c>
    </row>
    <row r="1243" spans="1:6" x14ac:dyDescent="0.3">
      <c r="A1243" s="1">
        <v>41121</v>
      </c>
      <c r="B1243" t="s">
        <v>13</v>
      </c>
      <c r="C1243" t="s">
        <v>14</v>
      </c>
      <c r="D1243" s="2">
        <v>10588362.170968199</v>
      </c>
      <c r="E1243" s="2">
        <v>18984.98418327</v>
      </c>
      <c r="F1243" s="2">
        <v>10607347.155151401</v>
      </c>
    </row>
    <row r="1244" spans="1:6" x14ac:dyDescent="0.3">
      <c r="A1244" s="1">
        <v>41121</v>
      </c>
      <c r="B1244" t="s">
        <v>21</v>
      </c>
      <c r="C1244" t="s">
        <v>14</v>
      </c>
      <c r="D1244" s="2">
        <v>533919.28405530006</v>
      </c>
      <c r="E1244" s="2">
        <v>4791967.5761411795</v>
      </c>
      <c r="F1244" s="2">
        <v>5325886.8601964796</v>
      </c>
    </row>
    <row r="1245" spans="1:6" x14ac:dyDescent="0.3">
      <c r="A1245" s="1">
        <v>41121</v>
      </c>
      <c r="B1245" t="s">
        <v>22</v>
      </c>
      <c r="C1245" t="s">
        <v>14</v>
      </c>
      <c r="D1245" s="2">
        <v>11122282.455023499</v>
      </c>
      <c r="E1245" s="2">
        <v>4810952.56032445</v>
      </c>
      <c r="F1245" s="2">
        <v>15933235.0153479</v>
      </c>
    </row>
    <row r="1246" spans="1:6" x14ac:dyDescent="0.3">
      <c r="A1246" s="1">
        <v>41121</v>
      </c>
      <c r="B1246" t="s">
        <v>6</v>
      </c>
      <c r="C1246" t="s">
        <v>7</v>
      </c>
      <c r="D1246" s="2">
        <v>1578692.7301</v>
      </c>
      <c r="E1246" s="2">
        <v>2299.56</v>
      </c>
      <c r="F1246" s="2">
        <v>1580992.2901000001</v>
      </c>
    </row>
    <row r="1247" spans="1:6" x14ac:dyDescent="0.3">
      <c r="A1247" s="1">
        <v>41121</v>
      </c>
      <c r="B1247" t="s">
        <v>6</v>
      </c>
      <c r="C1247" t="s">
        <v>9</v>
      </c>
      <c r="D1247" s="2">
        <v>1165649.61965</v>
      </c>
      <c r="E1247" s="2">
        <v>3522.32</v>
      </c>
      <c r="F1247" s="2">
        <v>1169171.9396500001</v>
      </c>
    </row>
    <row r="1248" spans="1:6" x14ac:dyDescent="0.3">
      <c r="A1248" s="1">
        <v>41121</v>
      </c>
      <c r="B1248" t="s">
        <v>6</v>
      </c>
      <c r="C1248" t="s">
        <v>12</v>
      </c>
      <c r="D1248" s="2">
        <v>0</v>
      </c>
      <c r="E1248" s="2">
        <v>7111.5590000000002</v>
      </c>
      <c r="F1248" s="2">
        <v>7111.5590000000002</v>
      </c>
    </row>
    <row r="1249" spans="1:6" x14ac:dyDescent="0.3">
      <c r="A1249" s="1">
        <v>41121</v>
      </c>
      <c r="B1249" t="s">
        <v>6</v>
      </c>
      <c r="C1249" t="s">
        <v>8</v>
      </c>
      <c r="D1249" s="2">
        <v>7061335.3294000002</v>
      </c>
      <c r="E1249" s="2">
        <v>5815.2820000000002</v>
      </c>
      <c r="F1249" s="2">
        <v>7067150.6113999998</v>
      </c>
    </row>
    <row r="1250" spans="1:6" x14ac:dyDescent="0.3">
      <c r="A1250" s="1">
        <v>41121</v>
      </c>
      <c r="B1250" t="s">
        <v>6</v>
      </c>
      <c r="C1250" t="s">
        <v>10</v>
      </c>
      <c r="D1250" s="2">
        <v>782684.49181816005</v>
      </c>
      <c r="E1250" s="2">
        <v>236.26318327000001</v>
      </c>
      <c r="F1250" s="2">
        <v>782920.75500143005</v>
      </c>
    </row>
    <row r="1251" spans="1:6" x14ac:dyDescent="0.3">
      <c r="A1251" s="1">
        <v>41121</v>
      </c>
      <c r="B1251" t="s">
        <v>15</v>
      </c>
      <c r="C1251" t="s">
        <v>16</v>
      </c>
      <c r="D1251" s="2">
        <v>29995.18</v>
      </c>
      <c r="E1251" s="2">
        <v>0</v>
      </c>
      <c r="F1251" s="2">
        <v>29995.18</v>
      </c>
    </row>
    <row r="1252" spans="1:6" x14ac:dyDescent="0.3">
      <c r="A1252" s="1">
        <v>41121</v>
      </c>
      <c r="B1252" t="s">
        <v>15</v>
      </c>
      <c r="C1252" t="s">
        <v>23</v>
      </c>
      <c r="D1252" s="2">
        <v>2985.6485899999998</v>
      </c>
      <c r="E1252" s="2">
        <v>0</v>
      </c>
      <c r="F1252" s="2">
        <v>2985.6485899999998</v>
      </c>
    </row>
    <row r="1253" spans="1:6" x14ac:dyDescent="0.3">
      <c r="A1253" s="1">
        <v>41121</v>
      </c>
      <c r="B1253" t="s">
        <v>15</v>
      </c>
      <c r="C1253" t="s">
        <v>19</v>
      </c>
      <c r="D1253" s="2">
        <v>161378.48953294</v>
      </c>
      <c r="E1253" s="2">
        <v>4791475.1296642898</v>
      </c>
      <c r="F1253" s="2">
        <v>4952851.6191972299</v>
      </c>
    </row>
    <row r="1254" spans="1:6" x14ac:dyDescent="0.3">
      <c r="A1254" s="1">
        <v>41121</v>
      </c>
      <c r="B1254" t="s">
        <v>15</v>
      </c>
      <c r="C1254" t="s">
        <v>24</v>
      </c>
      <c r="D1254" s="2">
        <v>0</v>
      </c>
      <c r="E1254" s="2">
        <v>493.44647688999999</v>
      </c>
      <c r="F1254" s="2">
        <v>493.44647688999999</v>
      </c>
    </row>
    <row r="1255" spans="1:6" x14ac:dyDescent="0.3">
      <c r="A1255" s="1">
        <v>41121</v>
      </c>
      <c r="B1255" t="s">
        <v>15</v>
      </c>
      <c r="C1255" t="s">
        <v>20</v>
      </c>
      <c r="D1255" s="2">
        <v>1329.73279209</v>
      </c>
      <c r="E1255" s="2">
        <v>0</v>
      </c>
      <c r="F1255" s="2">
        <v>1329.73279209</v>
      </c>
    </row>
    <row r="1256" spans="1:6" x14ac:dyDescent="0.3">
      <c r="A1256" s="1">
        <v>41121</v>
      </c>
      <c r="B1256" t="s">
        <v>15</v>
      </c>
      <c r="C1256" t="s">
        <v>17</v>
      </c>
      <c r="D1256" s="2">
        <v>154019.3847465</v>
      </c>
      <c r="E1256" s="2">
        <v>0</v>
      </c>
      <c r="F1256" s="2">
        <v>154019.3847465</v>
      </c>
    </row>
    <row r="1257" spans="1:6" x14ac:dyDescent="0.3">
      <c r="A1257" s="1">
        <v>41121</v>
      </c>
      <c r="B1257" t="s">
        <v>15</v>
      </c>
      <c r="C1257" t="s">
        <v>18</v>
      </c>
      <c r="D1257" s="2">
        <v>184211.84839376999</v>
      </c>
      <c r="E1257" s="2">
        <v>0</v>
      </c>
      <c r="F1257" s="2">
        <v>184211.84839376999</v>
      </c>
    </row>
    <row r="1258" spans="1:6" x14ac:dyDescent="0.3">
      <c r="A1258" s="1">
        <v>41152</v>
      </c>
      <c r="B1258" t="s">
        <v>22</v>
      </c>
      <c r="C1258" t="s">
        <v>14</v>
      </c>
      <c r="D1258" s="2">
        <v>11272625.5059075</v>
      </c>
      <c r="E1258" s="2">
        <v>4743144.28935734</v>
      </c>
      <c r="F1258" s="2">
        <v>16015769.795264799</v>
      </c>
    </row>
    <row r="1259" spans="1:6" x14ac:dyDescent="0.3">
      <c r="A1259" s="1">
        <v>41152</v>
      </c>
      <c r="B1259" t="s">
        <v>6</v>
      </c>
      <c r="C1259" t="s">
        <v>7</v>
      </c>
      <c r="D1259" s="2">
        <v>1659984.0237</v>
      </c>
      <c r="E1259" s="2">
        <v>3021.39</v>
      </c>
      <c r="F1259" s="2">
        <v>1663005.4136999999</v>
      </c>
    </row>
    <row r="1260" spans="1:6" x14ac:dyDescent="0.3">
      <c r="A1260" s="1">
        <v>41152</v>
      </c>
      <c r="B1260" t="s">
        <v>6</v>
      </c>
      <c r="C1260" t="s">
        <v>9</v>
      </c>
      <c r="D1260" s="2">
        <v>1181747.95725</v>
      </c>
      <c r="E1260" s="2">
        <v>3424.16</v>
      </c>
      <c r="F1260" s="2">
        <v>1185172.1172499999</v>
      </c>
    </row>
    <row r="1261" spans="1:6" x14ac:dyDescent="0.3">
      <c r="A1261" s="1">
        <v>41152</v>
      </c>
      <c r="B1261" t="s">
        <v>6</v>
      </c>
      <c r="C1261" t="s">
        <v>12</v>
      </c>
      <c r="D1261" s="2">
        <v>0</v>
      </c>
      <c r="E1261" s="2">
        <v>7111.5590000000002</v>
      </c>
      <c r="F1261" s="2">
        <v>7111.5590000000002</v>
      </c>
    </row>
    <row r="1262" spans="1:6" x14ac:dyDescent="0.3">
      <c r="A1262" s="1">
        <v>41152</v>
      </c>
      <c r="B1262" t="s">
        <v>6</v>
      </c>
      <c r="C1262" t="s">
        <v>8</v>
      </c>
      <c r="D1262" s="2">
        <v>7100324.6310000001</v>
      </c>
      <c r="E1262" s="2">
        <v>5463.9129999999996</v>
      </c>
      <c r="F1262" s="2">
        <v>7105788.5439999998</v>
      </c>
    </row>
    <row r="1263" spans="1:6" x14ac:dyDescent="0.3">
      <c r="A1263" s="1">
        <v>41152</v>
      </c>
      <c r="B1263" t="s">
        <v>6</v>
      </c>
      <c r="C1263" t="s">
        <v>10</v>
      </c>
      <c r="D1263" s="2">
        <v>795644.72677019006</v>
      </c>
      <c r="E1263" s="2">
        <v>302.21844886999997</v>
      </c>
      <c r="F1263" s="2">
        <v>795946.94521906006</v>
      </c>
    </row>
    <row r="1264" spans="1:6" x14ac:dyDescent="0.3">
      <c r="A1264" s="1">
        <v>41152</v>
      </c>
      <c r="B1264" t="s">
        <v>15</v>
      </c>
      <c r="C1264" t="s">
        <v>16</v>
      </c>
      <c r="D1264" s="2">
        <v>29995.18</v>
      </c>
      <c r="E1264" s="2">
        <v>0</v>
      </c>
      <c r="F1264" s="2">
        <v>29995.18</v>
      </c>
    </row>
    <row r="1265" spans="1:6" x14ac:dyDescent="0.3">
      <c r="A1265" s="1">
        <v>41152</v>
      </c>
      <c r="B1265" t="s">
        <v>15</v>
      </c>
      <c r="C1265" t="s">
        <v>23</v>
      </c>
      <c r="D1265" s="2">
        <v>2985.6485899999998</v>
      </c>
      <c r="E1265" s="2">
        <v>0</v>
      </c>
      <c r="F1265" s="2">
        <v>2985.6485899999998</v>
      </c>
    </row>
    <row r="1266" spans="1:6" x14ac:dyDescent="0.3">
      <c r="A1266" s="1">
        <v>41152</v>
      </c>
      <c r="B1266" t="s">
        <v>15</v>
      </c>
      <c r="C1266" t="s">
        <v>19</v>
      </c>
      <c r="D1266" s="2">
        <v>162143.92351803</v>
      </c>
      <c r="E1266" s="2">
        <v>4723326.6024315804</v>
      </c>
      <c r="F1266" s="2">
        <v>4885471.5259496104</v>
      </c>
    </row>
    <row r="1267" spans="1:6" x14ac:dyDescent="0.3">
      <c r="A1267" s="1">
        <v>41152</v>
      </c>
      <c r="B1267" t="s">
        <v>15</v>
      </c>
      <c r="C1267" t="s">
        <v>24</v>
      </c>
      <c r="D1267" s="2">
        <v>0</v>
      </c>
      <c r="E1267" s="2">
        <v>493.44647688999999</v>
      </c>
      <c r="F1267" s="2">
        <v>493.44647688999999</v>
      </c>
    </row>
    <row r="1268" spans="1:6" x14ac:dyDescent="0.3">
      <c r="A1268" s="1">
        <v>41152</v>
      </c>
      <c r="B1268" t="s">
        <v>15</v>
      </c>
      <c r="C1268" t="s">
        <v>20</v>
      </c>
      <c r="D1268" s="2">
        <v>1360.73233813</v>
      </c>
      <c r="E1268" s="2">
        <v>0</v>
      </c>
      <c r="F1268" s="2">
        <v>1360.73233813</v>
      </c>
    </row>
    <row r="1269" spans="1:6" x14ac:dyDescent="0.3">
      <c r="A1269" s="1">
        <v>41152</v>
      </c>
      <c r="B1269" t="s">
        <v>15</v>
      </c>
      <c r="C1269" t="s">
        <v>17</v>
      </c>
      <c r="D1269" s="2">
        <v>154588.92296041001</v>
      </c>
      <c r="E1269" s="2">
        <v>0</v>
      </c>
      <c r="F1269" s="2">
        <v>154588.92296041001</v>
      </c>
    </row>
    <row r="1270" spans="1:6" x14ac:dyDescent="0.3">
      <c r="A1270" s="1">
        <v>41152</v>
      </c>
      <c r="B1270" t="s">
        <v>15</v>
      </c>
      <c r="C1270" t="s">
        <v>18</v>
      </c>
      <c r="D1270" s="2">
        <v>183849.75978071999</v>
      </c>
      <c r="E1270" s="2">
        <v>0</v>
      </c>
      <c r="F1270" s="2">
        <v>183849.75978071999</v>
      </c>
    </row>
    <row r="1271" spans="1:6" x14ac:dyDescent="0.3">
      <c r="A1271" s="1">
        <v>41152</v>
      </c>
      <c r="B1271" t="s">
        <v>13</v>
      </c>
      <c r="C1271" t="s">
        <v>14</v>
      </c>
      <c r="D1271" s="2">
        <v>10737701.338720201</v>
      </c>
      <c r="E1271" s="2">
        <v>19323.240448870001</v>
      </c>
      <c r="F1271" s="2">
        <v>10757024.5791691</v>
      </c>
    </row>
    <row r="1272" spans="1:6" x14ac:dyDescent="0.3">
      <c r="A1272" s="1">
        <v>41152</v>
      </c>
      <c r="B1272" t="s">
        <v>21</v>
      </c>
      <c r="C1272" t="s">
        <v>14</v>
      </c>
      <c r="D1272" s="2">
        <v>534924.16718729003</v>
      </c>
      <c r="E1272" s="2">
        <v>4723821.0489084702</v>
      </c>
      <c r="F1272" s="2">
        <v>5258745.2160957605</v>
      </c>
    </row>
    <row r="1273" spans="1:6" x14ac:dyDescent="0.3">
      <c r="A1273" s="1">
        <v>41182</v>
      </c>
      <c r="B1273" t="s">
        <v>15</v>
      </c>
      <c r="C1273" t="s">
        <v>23</v>
      </c>
      <c r="D1273" s="2">
        <v>2985.6485899999998</v>
      </c>
      <c r="E1273" s="2">
        <v>0</v>
      </c>
      <c r="F1273" s="2">
        <v>2985.6485899999998</v>
      </c>
    </row>
    <row r="1274" spans="1:6" x14ac:dyDescent="0.3">
      <c r="A1274" s="1">
        <v>41182</v>
      </c>
      <c r="B1274" t="s">
        <v>15</v>
      </c>
      <c r="C1274" t="s">
        <v>20</v>
      </c>
      <c r="D1274" s="2">
        <v>1379.5779934699999</v>
      </c>
      <c r="E1274" s="2">
        <v>0</v>
      </c>
      <c r="F1274" s="2">
        <v>1379.5779934699999</v>
      </c>
    </row>
    <row r="1275" spans="1:6" x14ac:dyDescent="0.3">
      <c r="A1275" s="1">
        <v>41182</v>
      </c>
      <c r="B1275" t="s">
        <v>15</v>
      </c>
      <c r="C1275" t="s">
        <v>17</v>
      </c>
      <c r="D1275" s="2">
        <v>158513.73989488001</v>
      </c>
      <c r="E1275" s="2">
        <v>0</v>
      </c>
      <c r="F1275" s="2">
        <v>158513.73989488001</v>
      </c>
    </row>
    <row r="1276" spans="1:6" x14ac:dyDescent="0.3">
      <c r="A1276" s="1">
        <v>41182</v>
      </c>
      <c r="B1276" t="s">
        <v>15</v>
      </c>
      <c r="C1276" t="s">
        <v>18</v>
      </c>
      <c r="D1276" s="2">
        <v>183661.04469004</v>
      </c>
      <c r="E1276" s="2">
        <v>0</v>
      </c>
      <c r="F1276" s="2">
        <v>183661.04469004</v>
      </c>
    </row>
    <row r="1277" spans="1:6" x14ac:dyDescent="0.3">
      <c r="A1277" s="1">
        <v>41182</v>
      </c>
      <c r="B1277" t="s">
        <v>21</v>
      </c>
      <c r="C1277" t="s">
        <v>14</v>
      </c>
      <c r="D1277" s="2">
        <v>539415.35465958004</v>
      </c>
      <c r="E1277" s="2">
        <v>4777067.95515058</v>
      </c>
      <c r="F1277" s="2">
        <v>5316484.3098101597</v>
      </c>
    </row>
    <row r="1278" spans="1:6" x14ac:dyDescent="0.3">
      <c r="A1278" s="1">
        <v>41182</v>
      </c>
      <c r="B1278" t="s">
        <v>22</v>
      </c>
      <c r="C1278" t="s">
        <v>14</v>
      </c>
      <c r="D1278" s="2">
        <v>11269585.7125756</v>
      </c>
      <c r="E1278" s="2">
        <v>4796656.2073373199</v>
      </c>
      <c r="F1278" s="2">
        <v>16066240.919912901</v>
      </c>
    </row>
    <row r="1279" spans="1:6" x14ac:dyDescent="0.3">
      <c r="A1279" s="1">
        <v>41182</v>
      </c>
      <c r="B1279" t="s">
        <v>6</v>
      </c>
      <c r="C1279" t="s">
        <v>7</v>
      </c>
      <c r="D1279" s="2">
        <v>1613025.7897999999</v>
      </c>
      <c r="E1279" s="2">
        <v>2983.02</v>
      </c>
      <c r="F1279" s="2">
        <v>1616008.8097999999</v>
      </c>
    </row>
    <row r="1280" spans="1:6" x14ac:dyDescent="0.3">
      <c r="A1280" s="1">
        <v>41182</v>
      </c>
      <c r="B1280" t="s">
        <v>6</v>
      </c>
      <c r="C1280" t="s">
        <v>9</v>
      </c>
      <c r="D1280" s="2">
        <v>1194715.40445</v>
      </c>
      <c r="E1280" s="2">
        <v>3451.89</v>
      </c>
      <c r="F1280" s="2">
        <v>1198167.2944499999</v>
      </c>
    </row>
    <row r="1281" spans="1:6" x14ac:dyDescent="0.3">
      <c r="A1281" s="1">
        <v>41182</v>
      </c>
      <c r="B1281" t="s">
        <v>6</v>
      </c>
      <c r="C1281" t="s">
        <v>12</v>
      </c>
      <c r="D1281" s="2">
        <v>0</v>
      </c>
      <c r="E1281" s="2">
        <v>7111.5590000000002</v>
      </c>
      <c r="F1281" s="2">
        <v>7111.5590000000002</v>
      </c>
    </row>
    <row r="1282" spans="1:6" x14ac:dyDescent="0.3">
      <c r="A1282" s="1">
        <v>41182</v>
      </c>
      <c r="B1282" t="s">
        <v>6</v>
      </c>
      <c r="C1282" t="s">
        <v>8</v>
      </c>
      <c r="D1282" s="2">
        <v>7114960.4502999997</v>
      </c>
      <c r="E1282" s="2">
        <v>5744.6570000000002</v>
      </c>
      <c r="F1282" s="2">
        <v>7120705.1073000003</v>
      </c>
    </row>
    <row r="1283" spans="1:6" x14ac:dyDescent="0.3">
      <c r="A1283" s="1">
        <v>41182</v>
      </c>
      <c r="B1283" t="s">
        <v>6</v>
      </c>
      <c r="C1283" t="s">
        <v>10</v>
      </c>
      <c r="D1283" s="2">
        <v>807468.71336599998</v>
      </c>
      <c r="E1283" s="2">
        <v>296.12618673999998</v>
      </c>
      <c r="F1283" s="2">
        <v>807764.83955273998</v>
      </c>
    </row>
    <row r="1284" spans="1:6" x14ac:dyDescent="0.3">
      <c r="A1284" s="1">
        <v>41182</v>
      </c>
      <c r="B1284" t="s">
        <v>15</v>
      </c>
      <c r="C1284" t="s">
        <v>16</v>
      </c>
      <c r="D1284" s="2">
        <v>29995.18</v>
      </c>
      <c r="E1284" s="2">
        <v>0</v>
      </c>
      <c r="F1284" s="2">
        <v>29995.18</v>
      </c>
    </row>
    <row r="1285" spans="1:6" x14ac:dyDescent="0.3">
      <c r="A1285" s="1">
        <v>41182</v>
      </c>
      <c r="B1285" t="s">
        <v>15</v>
      </c>
      <c r="C1285" t="s">
        <v>19</v>
      </c>
      <c r="D1285" s="2">
        <v>162880.16349119</v>
      </c>
      <c r="E1285" s="2">
        <v>4776574.5086736903</v>
      </c>
      <c r="F1285" s="2">
        <v>4939454.6721648797</v>
      </c>
    </row>
    <row r="1286" spans="1:6" x14ac:dyDescent="0.3">
      <c r="A1286" s="1">
        <v>41182</v>
      </c>
      <c r="B1286" t="s">
        <v>15</v>
      </c>
      <c r="C1286" t="s">
        <v>24</v>
      </c>
      <c r="D1286" s="2">
        <v>0</v>
      </c>
      <c r="E1286" s="2">
        <v>493.44647688999999</v>
      </c>
      <c r="F1286" s="2">
        <v>493.44647688999999</v>
      </c>
    </row>
    <row r="1287" spans="1:6" x14ac:dyDescent="0.3">
      <c r="A1287" s="1">
        <v>41182</v>
      </c>
      <c r="B1287" t="s">
        <v>13</v>
      </c>
      <c r="C1287" t="s">
        <v>14</v>
      </c>
      <c r="D1287" s="2">
        <v>10730170.357915999</v>
      </c>
      <c r="E1287" s="2">
        <v>19587.252186739999</v>
      </c>
      <c r="F1287" s="2">
        <v>10749757.6101027</v>
      </c>
    </row>
    <row r="1288" spans="1:6" x14ac:dyDescent="0.3">
      <c r="A1288" s="1">
        <v>41213</v>
      </c>
      <c r="B1288" t="s">
        <v>6</v>
      </c>
      <c r="C1288" t="s">
        <v>7</v>
      </c>
      <c r="D1288" s="2">
        <v>1619648.3051</v>
      </c>
      <c r="E1288" s="2">
        <v>2356.33</v>
      </c>
      <c r="F1288" s="2">
        <v>1622004.6351000001</v>
      </c>
    </row>
    <row r="1289" spans="1:6" x14ac:dyDescent="0.3">
      <c r="A1289" s="1">
        <v>41213</v>
      </c>
      <c r="B1289" t="s">
        <v>6</v>
      </c>
      <c r="C1289" t="s">
        <v>9</v>
      </c>
      <c r="D1289" s="2">
        <v>1207849.0654500001</v>
      </c>
      <c r="E1289" s="2">
        <v>3318.14</v>
      </c>
      <c r="F1289" s="2">
        <v>1211167.20545</v>
      </c>
    </row>
    <row r="1290" spans="1:6" x14ac:dyDescent="0.3">
      <c r="A1290" s="1">
        <v>41213</v>
      </c>
      <c r="B1290" t="s">
        <v>6</v>
      </c>
      <c r="C1290" t="s">
        <v>12</v>
      </c>
      <c r="D1290" s="2">
        <v>0</v>
      </c>
      <c r="E1290" s="2">
        <v>7111.5590000000002</v>
      </c>
      <c r="F1290" s="2">
        <v>7111.5590000000002</v>
      </c>
    </row>
    <row r="1291" spans="1:6" x14ac:dyDescent="0.3">
      <c r="A1291" s="1">
        <v>41213</v>
      </c>
      <c r="B1291" t="s">
        <v>6</v>
      </c>
      <c r="C1291" t="s">
        <v>8</v>
      </c>
      <c r="D1291" s="2">
        <v>7221718.0503000002</v>
      </c>
      <c r="E1291" s="2">
        <v>6450.5259999999998</v>
      </c>
      <c r="F1291" s="2">
        <v>7228168.5762999998</v>
      </c>
    </row>
    <row r="1292" spans="1:6" x14ac:dyDescent="0.3">
      <c r="A1292" s="1">
        <v>41213</v>
      </c>
      <c r="B1292" t="s">
        <v>6</v>
      </c>
      <c r="C1292" t="s">
        <v>10</v>
      </c>
      <c r="D1292" s="2">
        <v>818659.53865800996</v>
      </c>
      <c r="E1292" s="2">
        <v>356.51139545000001</v>
      </c>
      <c r="F1292" s="2">
        <v>819016.05005346006</v>
      </c>
    </row>
    <row r="1293" spans="1:6" x14ac:dyDescent="0.3">
      <c r="A1293" s="1">
        <v>41213</v>
      </c>
      <c r="B1293" t="s">
        <v>15</v>
      </c>
      <c r="C1293" t="s">
        <v>16</v>
      </c>
      <c r="D1293" s="2">
        <v>29995.18</v>
      </c>
      <c r="E1293" s="2">
        <v>0</v>
      </c>
      <c r="F1293" s="2">
        <v>29995.18</v>
      </c>
    </row>
    <row r="1294" spans="1:6" x14ac:dyDescent="0.3">
      <c r="A1294" s="1">
        <v>41213</v>
      </c>
      <c r="B1294" t="s">
        <v>15</v>
      </c>
      <c r="C1294" t="s">
        <v>23</v>
      </c>
      <c r="D1294" s="2">
        <v>2985.6485899999998</v>
      </c>
      <c r="E1294" s="2">
        <v>0</v>
      </c>
      <c r="F1294" s="2">
        <v>2985.6485899999998</v>
      </c>
    </row>
    <row r="1295" spans="1:6" x14ac:dyDescent="0.3">
      <c r="A1295" s="1">
        <v>41213</v>
      </c>
      <c r="B1295" t="s">
        <v>15</v>
      </c>
      <c r="C1295" t="s">
        <v>19</v>
      </c>
      <c r="D1295" s="2">
        <v>162354.71960714</v>
      </c>
      <c r="E1295" s="2">
        <v>4829786.21054642</v>
      </c>
      <c r="F1295" s="2">
        <v>4992140.9301535599</v>
      </c>
    </row>
    <row r="1296" spans="1:6" x14ac:dyDescent="0.3">
      <c r="A1296" s="1">
        <v>41213</v>
      </c>
      <c r="B1296" t="s">
        <v>15</v>
      </c>
      <c r="C1296" t="s">
        <v>24</v>
      </c>
      <c r="D1296" s="2">
        <v>0</v>
      </c>
      <c r="E1296" s="2">
        <v>493.57319123000002</v>
      </c>
      <c r="F1296" s="2">
        <v>493.57319123000002</v>
      </c>
    </row>
    <row r="1297" spans="1:6" x14ac:dyDescent="0.3">
      <c r="A1297" s="1">
        <v>41213</v>
      </c>
      <c r="B1297" t="s">
        <v>15</v>
      </c>
      <c r="C1297" t="s">
        <v>20</v>
      </c>
      <c r="D1297" s="2">
        <v>1339.74008185</v>
      </c>
      <c r="E1297" s="2">
        <v>0</v>
      </c>
      <c r="F1297" s="2">
        <v>1339.74008185</v>
      </c>
    </row>
    <row r="1298" spans="1:6" x14ac:dyDescent="0.3">
      <c r="A1298" s="1">
        <v>41213</v>
      </c>
      <c r="B1298" t="s">
        <v>15</v>
      </c>
      <c r="C1298" t="s">
        <v>17</v>
      </c>
      <c r="D1298" s="2">
        <v>163558.18104748</v>
      </c>
      <c r="E1298" s="2">
        <v>0</v>
      </c>
      <c r="F1298" s="2">
        <v>163558.18104748</v>
      </c>
    </row>
    <row r="1299" spans="1:6" x14ac:dyDescent="0.3">
      <c r="A1299" s="1">
        <v>41213</v>
      </c>
      <c r="B1299" t="s">
        <v>15</v>
      </c>
      <c r="C1299" t="s">
        <v>18</v>
      </c>
      <c r="D1299" s="2">
        <v>183489.44950665001</v>
      </c>
      <c r="E1299" s="2">
        <v>0</v>
      </c>
      <c r="F1299" s="2">
        <v>183489.44950665001</v>
      </c>
    </row>
    <row r="1300" spans="1:6" x14ac:dyDescent="0.3">
      <c r="A1300" s="1">
        <v>41213</v>
      </c>
      <c r="B1300" t="s">
        <v>13</v>
      </c>
      <c r="C1300" t="s">
        <v>14</v>
      </c>
      <c r="D1300" s="2">
        <v>10867874.959508</v>
      </c>
      <c r="E1300" s="2">
        <v>19593.066395450001</v>
      </c>
      <c r="F1300" s="2">
        <v>10887468.025903501</v>
      </c>
    </row>
    <row r="1301" spans="1:6" x14ac:dyDescent="0.3">
      <c r="A1301" s="1">
        <v>41213</v>
      </c>
      <c r="B1301" t="s">
        <v>21</v>
      </c>
      <c r="C1301" t="s">
        <v>14</v>
      </c>
      <c r="D1301" s="2">
        <v>543722.91883312003</v>
      </c>
      <c r="E1301" s="2">
        <v>4830278.7837376501</v>
      </c>
      <c r="F1301" s="2">
        <v>5374001.7025707699</v>
      </c>
    </row>
    <row r="1302" spans="1:6" x14ac:dyDescent="0.3">
      <c r="A1302" s="1">
        <v>41213</v>
      </c>
      <c r="B1302" t="s">
        <v>22</v>
      </c>
      <c r="C1302" t="s">
        <v>14</v>
      </c>
      <c r="D1302" s="2">
        <v>11411597.878341099</v>
      </c>
      <c r="E1302" s="2">
        <v>4849871.8501330996</v>
      </c>
      <c r="F1302" s="2">
        <v>16261470.7284742</v>
      </c>
    </row>
    <row r="1303" spans="1:6" x14ac:dyDescent="0.3">
      <c r="A1303" s="1">
        <v>41243</v>
      </c>
      <c r="B1303" t="s">
        <v>21</v>
      </c>
      <c r="C1303" t="s">
        <v>14</v>
      </c>
      <c r="D1303" s="2">
        <v>539992.27332499996</v>
      </c>
      <c r="E1303" s="2">
        <v>4796772.0241902303</v>
      </c>
      <c r="F1303" s="2">
        <v>5336765.2975152303</v>
      </c>
    </row>
    <row r="1304" spans="1:6" x14ac:dyDescent="0.3">
      <c r="A1304" s="1">
        <v>41243</v>
      </c>
      <c r="B1304" t="s">
        <v>22</v>
      </c>
      <c r="C1304" t="s">
        <v>14</v>
      </c>
      <c r="D1304" s="2">
        <v>11553201.428275499</v>
      </c>
      <c r="E1304" s="2">
        <v>4816347.7067069104</v>
      </c>
      <c r="F1304" s="2">
        <v>16369549.1349824</v>
      </c>
    </row>
    <row r="1305" spans="1:6" x14ac:dyDescent="0.3">
      <c r="A1305" s="1">
        <v>41243</v>
      </c>
      <c r="B1305" t="s">
        <v>6</v>
      </c>
      <c r="C1305" t="s">
        <v>7</v>
      </c>
      <c r="D1305" s="2">
        <v>1692740.0053000001</v>
      </c>
      <c r="E1305" s="2">
        <v>2249.2399999999998</v>
      </c>
      <c r="F1305" s="2">
        <v>1694989.2453000001</v>
      </c>
    </row>
    <row r="1306" spans="1:6" x14ac:dyDescent="0.3">
      <c r="A1306" s="1">
        <v>41243</v>
      </c>
      <c r="B1306" t="s">
        <v>6</v>
      </c>
      <c r="C1306" t="s">
        <v>9</v>
      </c>
      <c r="D1306" s="2">
        <v>1223858.2282499999</v>
      </c>
      <c r="E1306" s="2">
        <v>3303.95</v>
      </c>
      <c r="F1306" s="2">
        <v>1227162.1782500001</v>
      </c>
    </row>
    <row r="1307" spans="1:6" x14ac:dyDescent="0.3">
      <c r="A1307" s="1">
        <v>41243</v>
      </c>
      <c r="B1307" t="s">
        <v>6</v>
      </c>
      <c r="C1307" t="s">
        <v>12</v>
      </c>
      <c r="D1307" s="2">
        <v>0</v>
      </c>
      <c r="E1307" s="2">
        <v>7111.5590000000002</v>
      </c>
      <c r="F1307" s="2">
        <v>7111.5590000000002</v>
      </c>
    </row>
    <row r="1308" spans="1:6" x14ac:dyDescent="0.3">
      <c r="A1308" s="1">
        <v>41243</v>
      </c>
      <c r="B1308" t="s">
        <v>6</v>
      </c>
      <c r="C1308" t="s">
        <v>8</v>
      </c>
      <c r="D1308" s="2">
        <v>7261196.8190000001</v>
      </c>
      <c r="E1308" s="2">
        <v>6547.9480000000003</v>
      </c>
      <c r="F1308" s="2">
        <v>7267744.767</v>
      </c>
    </row>
    <row r="1309" spans="1:6" x14ac:dyDescent="0.3">
      <c r="A1309" s="1">
        <v>41243</v>
      </c>
      <c r="B1309" t="s">
        <v>6</v>
      </c>
      <c r="C1309" t="s">
        <v>10</v>
      </c>
      <c r="D1309" s="2">
        <v>835413.10240045004</v>
      </c>
      <c r="E1309" s="2">
        <v>362.98551667999999</v>
      </c>
      <c r="F1309" s="2">
        <v>835776.08791712997</v>
      </c>
    </row>
    <row r="1310" spans="1:6" x14ac:dyDescent="0.3">
      <c r="A1310" s="1">
        <v>41243</v>
      </c>
      <c r="B1310" t="s">
        <v>15</v>
      </c>
      <c r="C1310" t="s">
        <v>16</v>
      </c>
      <c r="D1310" s="2">
        <v>29995.18</v>
      </c>
      <c r="E1310" s="2">
        <v>0</v>
      </c>
      <c r="F1310" s="2">
        <v>29995.18</v>
      </c>
    </row>
    <row r="1311" spans="1:6" x14ac:dyDescent="0.3">
      <c r="A1311" s="1">
        <v>41243</v>
      </c>
      <c r="B1311" t="s">
        <v>15</v>
      </c>
      <c r="C1311" t="s">
        <v>23</v>
      </c>
      <c r="D1311" s="2">
        <v>2985.6485899999998</v>
      </c>
      <c r="E1311" s="2">
        <v>0</v>
      </c>
      <c r="F1311" s="2">
        <v>2985.6485899999998</v>
      </c>
    </row>
    <row r="1312" spans="1:6" x14ac:dyDescent="0.3">
      <c r="A1312" s="1">
        <v>41243</v>
      </c>
      <c r="B1312" t="s">
        <v>15</v>
      </c>
      <c r="C1312" t="s">
        <v>19</v>
      </c>
      <c r="D1312" s="2">
        <v>163626.49914947999</v>
      </c>
      <c r="E1312" s="2">
        <v>4796279.4509990001</v>
      </c>
      <c r="F1312" s="2">
        <v>4959904.95014848</v>
      </c>
    </row>
    <row r="1313" spans="1:6" x14ac:dyDescent="0.3">
      <c r="A1313" s="1">
        <v>41243</v>
      </c>
      <c r="B1313" t="s">
        <v>15</v>
      </c>
      <c r="C1313" t="s">
        <v>24</v>
      </c>
      <c r="D1313" s="2">
        <v>0</v>
      </c>
      <c r="E1313" s="2">
        <v>493.57319123000002</v>
      </c>
      <c r="F1313" s="2">
        <v>493.57319123000002</v>
      </c>
    </row>
    <row r="1314" spans="1:6" x14ac:dyDescent="0.3">
      <c r="A1314" s="1">
        <v>41243</v>
      </c>
      <c r="B1314" t="s">
        <v>15</v>
      </c>
      <c r="C1314" t="s">
        <v>20</v>
      </c>
      <c r="D1314" s="2">
        <v>1333.10594651</v>
      </c>
      <c r="E1314" s="2">
        <v>0</v>
      </c>
      <c r="F1314" s="2">
        <v>1333.10594651</v>
      </c>
    </row>
    <row r="1315" spans="1:6" x14ac:dyDescent="0.3">
      <c r="A1315" s="1">
        <v>41243</v>
      </c>
      <c r="B1315" t="s">
        <v>15</v>
      </c>
      <c r="C1315" t="s">
        <v>17</v>
      </c>
      <c r="D1315" s="2">
        <v>158866.30624085999</v>
      </c>
      <c r="E1315" s="2">
        <v>0</v>
      </c>
      <c r="F1315" s="2">
        <v>158866.30624085999</v>
      </c>
    </row>
    <row r="1316" spans="1:6" x14ac:dyDescent="0.3">
      <c r="A1316" s="1">
        <v>41243</v>
      </c>
      <c r="B1316" t="s">
        <v>15</v>
      </c>
      <c r="C1316" t="s">
        <v>18</v>
      </c>
      <c r="D1316" s="2">
        <v>183186.53339815</v>
      </c>
      <c r="E1316" s="2">
        <v>0</v>
      </c>
      <c r="F1316" s="2">
        <v>183186.53339815</v>
      </c>
    </row>
    <row r="1317" spans="1:6" x14ac:dyDescent="0.3">
      <c r="A1317" s="1">
        <v>41243</v>
      </c>
      <c r="B1317" t="s">
        <v>13</v>
      </c>
      <c r="C1317" t="s">
        <v>14</v>
      </c>
      <c r="D1317" s="2">
        <v>11013208.1549505</v>
      </c>
      <c r="E1317" s="2">
        <v>19575.682516680001</v>
      </c>
      <c r="F1317" s="2">
        <v>11032783.8374671</v>
      </c>
    </row>
    <row r="1318" spans="1:6" x14ac:dyDescent="0.3">
      <c r="A1318" s="1">
        <v>41274</v>
      </c>
      <c r="B1318" t="s">
        <v>22</v>
      </c>
      <c r="C1318" t="s">
        <v>14</v>
      </c>
      <c r="D1318" s="2">
        <v>11581518.467297399</v>
      </c>
      <c r="E1318" s="2">
        <v>4851212.5569979297</v>
      </c>
      <c r="F1318" s="2">
        <v>16432730.0242953</v>
      </c>
    </row>
    <row r="1319" spans="1:6" x14ac:dyDescent="0.3">
      <c r="A1319" s="1">
        <v>41274</v>
      </c>
      <c r="B1319" t="s">
        <v>6</v>
      </c>
      <c r="C1319" t="s">
        <v>7</v>
      </c>
      <c r="D1319" s="2">
        <v>1626479.959</v>
      </c>
      <c r="E1319" s="2">
        <v>2490.62</v>
      </c>
      <c r="F1319" s="2">
        <v>1628970.5789999999</v>
      </c>
    </row>
    <row r="1320" spans="1:6" x14ac:dyDescent="0.3">
      <c r="A1320" s="1">
        <v>41274</v>
      </c>
      <c r="B1320" t="s">
        <v>6</v>
      </c>
      <c r="C1320" t="s">
        <v>9</v>
      </c>
      <c r="D1320" s="2">
        <v>1236668.6660500001</v>
      </c>
      <c r="E1320" s="2">
        <v>3492.47</v>
      </c>
      <c r="F1320" s="2">
        <v>1240161.1360500001</v>
      </c>
    </row>
    <row r="1321" spans="1:6" x14ac:dyDescent="0.3">
      <c r="A1321" s="1">
        <v>41274</v>
      </c>
      <c r="B1321" t="s">
        <v>6</v>
      </c>
      <c r="C1321" t="s">
        <v>12</v>
      </c>
      <c r="D1321" s="2">
        <v>0</v>
      </c>
      <c r="E1321" s="2">
        <v>7111.5590000000002</v>
      </c>
      <c r="F1321" s="2">
        <v>7111.5590000000002</v>
      </c>
    </row>
    <row r="1322" spans="1:6" x14ac:dyDescent="0.3">
      <c r="A1322" s="1">
        <v>41274</v>
      </c>
      <c r="B1322" t="s">
        <v>6</v>
      </c>
      <c r="C1322" t="s">
        <v>8</v>
      </c>
      <c r="D1322" s="2">
        <v>7320862.1178000001</v>
      </c>
      <c r="E1322" s="2">
        <v>6253.3789999999999</v>
      </c>
      <c r="F1322" s="2">
        <v>7327115.4967999998</v>
      </c>
    </row>
    <row r="1323" spans="1:6" x14ac:dyDescent="0.3">
      <c r="A1323" s="1">
        <v>41274</v>
      </c>
      <c r="B1323" t="s">
        <v>6</v>
      </c>
      <c r="C1323" t="s">
        <v>10</v>
      </c>
      <c r="D1323" s="2">
        <v>849472.86975098005</v>
      </c>
      <c r="E1323" s="2">
        <v>370.72022011000001</v>
      </c>
      <c r="F1323" s="2">
        <v>849843.58997108997</v>
      </c>
    </row>
    <row r="1324" spans="1:6" x14ac:dyDescent="0.3">
      <c r="A1324" s="1">
        <v>41274</v>
      </c>
      <c r="B1324" t="s">
        <v>15</v>
      </c>
      <c r="C1324" t="s">
        <v>16</v>
      </c>
      <c r="D1324" s="2">
        <v>29995.18</v>
      </c>
      <c r="E1324" s="2">
        <v>0</v>
      </c>
      <c r="F1324" s="2">
        <v>29995.18</v>
      </c>
    </row>
    <row r="1325" spans="1:6" x14ac:dyDescent="0.3">
      <c r="A1325" s="1">
        <v>41274</v>
      </c>
      <c r="B1325" t="s">
        <v>15</v>
      </c>
      <c r="C1325" t="s">
        <v>23</v>
      </c>
      <c r="D1325" s="2">
        <v>2985.6485899999998</v>
      </c>
      <c r="E1325" s="2">
        <v>0</v>
      </c>
      <c r="F1325" s="2">
        <v>2985.6485899999998</v>
      </c>
    </row>
    <row r="1326" spans="1:6" x14ac:dyDescent="0.3">
      <c r="A1326" s="1">
        <v>41274</v>
      </c>
      <c r="B1326" t="s">
        <v>15</v>
      </c>
      <c r="C1326" t="s">
        <v>19</v>
      </c>
      <c r="D1326" s="2">
        <v>168647.19445688001</v>
      </c>
      <c r="E1326" s="2">
        <v>4831000.2355865901</v>
      </c>
      <c r="F1326" s="2">
        <v>4999647.4300434701</v>
      </c>
    </row>
    <row r="1327" spans="1:6" x14ac:dyDescent="0.3">
      <c r="A1327" s="1">
        <v>41274</v>
      </c>
      <c r="B1327" t="s">
        <v>15</v>
      </c>
      <c r="C1327" t="s">
        <v>24</v>
      </c>
      <c r="D1327" s="2">
        <v>0</v>
      </c>
      <c r="E1327" s="2">
        <v>493.57319123000002</v>
      </c>
      <c r="F1327" s="2">
        <v>493.57319123000002</v>
      </c>
    </row>
    <row r="1328" spans="1:6" x14ac:dyDescent="0.3">
      <c r="A1328" s="1">
        <v>41274</v>
      </c>
      <c r="B1328" t="s">
        <v>15</v>
      </c>
      <c r="C1328" t="s">
        <v>20</v>
      </c>
      <c r="D1328" s="2">
        <v>1305.8844540699999</v>
      </c>
      <c r="E1328" s="2">
        <v>0</v>
      </c>
      <c r="F1328" s="2">
        <v>1305.8844540699999</v>
      </c>
    </row>
    <row r="1329" spans="1:6" x14ac:dyDescent="0.3">
      <c r="A1329" s="1">
        <v>41274</v>
      </c>
      <c r="B1329" t="s">
        <v>15</v>
      </c>
      <c r="C1329" t="s">
        <v>17</v>
      </c>
      <c r="D1329" s="2">
        <v>162586.62037516001</v>
      </c>
      <c r="E1329" s="2">
        <v>0</v>
      </c>
      <c r="F1329" s="2">
        <v>162586.62037516001</v>
      </c>
    </row>
    <row r="1330" spans="1:6" x14ac:dyDescent="0.3">
      <c r="A1330" s="1">
        <v>41274</v>
      </c>
      <c r="B1330" t="s">
        <v>15</v>
      </c>
      <c r="C1330" t="s">
        <v>18</v>
      </c>
      <c r="D1330" s="2">
        <v>182513.32682031</v>
      </c>
      <c r="E1330" s="2">
        <v>0</v>
      </c>
      <c r="F1330" s="2">
        <v>182513.32682031</v>
      </c>
    </row>
    <row r="1331" spans="1:6" x14ac:dyDescent="0.3">
      <c r="A1331" s="1">
        <v>41274</v>
      </c>
      <c r="B1331" t="s">
        <v>13</v>
      </c>
      <c r="C1331" t="s">
        <v>14</v>
      </c>
      <c r="D1331" s="2">
        <v>11033483.612601001</v>
      </c>
      <c r="E1331" s="2">
        <v>19718.748220109999</v>
      </c>
      <c r="F1331" s="2">
        <v>11053202.3608211</v>
      </c>
    </row>
    <row r="1332" spans="1:6" x14ac:dyDescent="0.3">
      <c r="A1332" s="1">
        <v>41274</v>
      </c>
      <c r="B1332" t="s">
        <v>21</v>
      </c>
      <c r="C1332" t="s">
        <v>14</v>
      </c>
      <c r="D1332" s="2">
        <v>548033.85469642002</v>
      </c>
      <c r="E1332" s="2">
        <v>4831493.8087778203</v>
      </c>
      <c r="F1332" s="2">
        <v>5379527.6634742403</v>
      </c>
    </row>
    <row r="1333" spans="1:6" x14ac:dyDescent="0.3">
      <c r="A1333" s="1">
        <v>41305</v>
      </c>
      <c r="B1333" t="s">
        <v>21</v>
      </c>
      <c r="C1333" t="s">
        <v>14</v>
      </c>
      <c r="D1333" s="2">
        <v>464943.52214143</v>
      </c>
      <c r="E1333" s="2">
        <v>4853527.2541120704</v>
      </c>
      <c r="F1333" s="2">
        <v>5318470.7762535</v>
      </c>
    </row>
    <row r="1334" spans="1:6" x14ac:dyDescent="0.3">
      <c r="A1334" s="1">
        <v>41305</v>
      </c>
      <c r="B1334" t="s">
        <v>22</v>
      </c>
      <c r="C1334" t="s">
        <v>14</v>
      </c>
      <c r="D1334" s="2">
        <v>11560176.3640381</v>
      </c>
      <c r="E1334" s="2">
        <v>4873616.4560688902</v>
      </c>
      <c r="F1334" s="2">
        <v>16433791.820107</v>
      </c>
    </row>
    <row r="1335" spans="1:6" x14ac:dyDescent="0.3">
      <c r="A1335" s="1">
        <v>41305</v>
      </c>
      <c r="B1335" t="s">
        <v>6</v>
      </c>
      <c r="C1335" t="s">
        <v>7</v>
      </c>
      <c r="D1335" s="2">
        <v>1604981.4968999999</v>
      </c>
      <c r="E1335" s="2">
        <v>2966.47</v>
      </c>
      <c r="F1335" s="2">
        <v>1607947.9669000001</v>
      </c>
    </row>
    <row r="1336" spans="1:6" x14ac:dyDescent="0.3">
      <c r="A1336" s="1">
        <v>41305</v>
      </c>
      <c r="B1336" t="s">
        <v>6</v>
      </c>
      <c r="C1336" t="s">
        <v>9</v>
      </c>
      <c r="D1336" s="2">
        <v>1249625.2817500001</v>
      </c>
      <c r="E1336" s="2">
        <v>3535.83</v>
      </c>
      <c r="F1336" s="2">
        <v>1253161.1117499999</v>
      </c>
    </row>
    <row r="1337" spans="1:6" x14ac:dyDescent="0.3">
      <c r="A1337" s="1">
        <v>41305</v>
      </c>
      <c r="B1337" t="s">
        <v>6</v>
      </c>
      <c r="C1337" t="s">
        <v>12</v>
      </c>
      <c r="D1337" s="2">
        <v>0</v>
      </c>
      <c r="E1337" s="2">
        <v>7111.5590000000002</v>
      </c>
      <c r="F1337" s="2">
        <v>7111.5590000000002</v>
      </c>
    </row>
    <row r="1338" spans="1:6" x14ac:dyDescent="0.3">
      <c r="A1338" s="1">
        <v>41305</v>
      </c>
      <c r="B1338" t="s">
        <v>6</v>
      </c>
      <c r="C1338" t="s">
        <v>8</v>
      </c>
      <c r="D1338" s="2">
        <v>7380027.6167000001</v>
      </c>
      <c r="E1338" s="2">
        <v>6137.4920000000002</v>
      </c>
      <c r="F1338" s="2">
        <v>7386165.1086999997</v>
      </c>
    </row>
    <row r="1339" spans="1:6" x14ac:dyDescent="0.3">
      <c r="A1339" s="1">
        <v>41305</v>
      </c>
      <c r="B1339" t="s">
        <v>6</v>
      </c>
      <c r="C1339" t="s">
        <v>10</v>
      </c>
      <c r="D1339" s="2">
        <v>860597.44654666004</v>
      </c>
      <c r="E1339" s="2">
        <v>337.85095682000002</v>
      </c>
      <c r="F1339" s="2">
        <v>860935.29750347999</v>
      </c>
    </row>
    <row r="1340" spans="1:6" x14ac:dyDescent="0.3">
      <c r="A1340" s="1">
        <v>41305</v>
      </c>
      <c r="B1340" t="s">
        <v>15</v>
      </c>
      <c r="C1340" t="s">
        <v>16</v>
      </c>
      <c r="D1340" s="2">
        <v>29995.18</v>
      </c>
      <c r="E1340" s="2">
        <v>0</v>
      </c>
      <c r="F1340" s="2">
        <v>29995.18</v>
      </c>
    </row>
    <row r="1341" spans="1:6" x14ac:dyDescent="0.3">
      <c r="A1341" s="1">
        <v>41305</v>
      </c>
      <c r="B1341" t="s">
        <v>15</v>
      </c>
      <c r="C1341" t="s">
        <v>23</v>
      </c>
      <c r="D1341" s="2">
        <v>2985.6485899999998</v>
      </c>
      <c r="E1341" s="2">
        <v>0</v>
      </c>
      <c r="F1341" s="2">
        <v>2985.6485899999998</v>
      </c>
    </row>
    <row r="1342" spans="1:6" x14ac:dyDescent="0.3">
      <c r="A1342" s="1">
        <v>41305</v>
      </c>
      <c r="B1342" t="s">
        <v>15</v>
      </c>
      <c r="C1342" t="s">
        <v>19</v>
      </c>
      <c r="D1342" s="2">
        <v>90661.357043270007</v>
      </c>
      <c r="E1342" s="2">
        <v>4853032.5403403798</v>
      </c>
      <c r="F1342" s="2">
        <v>4943693.8973836498</v>
      </c>
    </row>
    <row r="1343" spans="1:6" x14ac:dyDescent="0.3">
      <c r="A1343" s="1">
        <v>41305</v>
      </c>
      <c r="B1343" t="s">
        <v>15</v>
      </c>
      <c r="C1343" t="s">
        <v>24</v>
      </c>
      <c r="D1343" s="2">
        <v>0</v>
      </c>
      <c r="E1343" s="2">
        <v>493.71377168999999</v>
      </c>
      <c r="F1343" s="2">
        <v>493.71377168999999</v>
      </c>
    </row>
    <row r="1344" spans="1:6" x14ac:dyDescent="0.3">
      <c r="A1344" s="1">
        <v>41305</v>
      </c>
      <c r="B1344" t="s">
        <v>15</v>
      </c>
      <c r="C1344" t="s">
        <v>20</v>
      </c>
      <c r="D1344" s="2">
        <v>1328.2876257400001</v>
      </c>
      <c r="E1344" s="2">
        <v>0</v>
      </c>
      <c r="F1344" s="2">
        <v>1328.2876257400001</v>
      </c>
    </row>
    <row r="1345" spans="1:6" x14ac:dyDescent="0.3">
      <c r="A1345" s="1">
        <v>41305</v>
      </c>
      <c r="B1345" t="s">
        <v>15</v>
      </c>
      <c r="C1345" t="s">
        <v>17</v>
      </c>
      <c r="D1345" s="2">
        <v>157728.50830091001</v>
      </c>
      <c r="E1345" s="2">
        <v>0</v>
      </c>
      <c r="F1345" s="2">
        <v>157728.50830091001</v>
      </c>
    </row>
    <row r="1346" spans="1:6" x14ac:dyDescent="0.3">
      <c r="A1346" s="1">
        <v>41305</v>
      </c>
      <c r="B1346" t="s">
        <v>15</v>
      </c>
      <c r="C1346" t="s">
        <v>18</v>
      </c>
      <c r="D1346" s="2">
        <v>182244.54058150999</v>
      </c>
      <c r="E1346" s="2">
        <v>0</v>
      </c>
      <c r="F1346" s="2">
        <v>182244.54058150999</v>
      </c>
    </row>
    <row r="1347" spans="1:6" x14ac:dyDescent="0.3">
      <c r="A1347" s="1">
        <v>41305</v>
      </c>
      <c r="B1347" t="s">
        <v>13</v>
      </c>
      <c r="C1347" t="s">
        <v>14</v>
      </c>
      <c r="D1347" s="2">
        <v>11095231.8418967</v>
      </c>
      <c r="E1347" s="2">
        <v>20089.201956820001</v>
      </c>
      <c r="F1347" s="2">
        <v>11115321.043853501</v>
      </c>
    </row>
    <row r="1348" spans="1:6" x14ac:dyDescent="0.3">
      <c r="A1348" s="1">
        <v>41333</v>
      </c>
      <c r="B1348" t="s">
        <v>6</v>
      </c>
      <c r="C1348" t="s">
        <v>7</v>
      </c>
      <c r="D1348" s="2">
        <v>1738403.6137999999</v>
      </c>
      <c r="E1348" s="2">
        <v>3546.47</v>
      </c>
      <c r="F1348" s="2">
        <v>1741950.0837999999</v>
      </c>
    </row>
    <row r="1349" spans="1:6" x14ac:dyDescent="0.3">
      <c r="A1349" s="1">
        <v>41333</v>
      </c>
      <c r="B1349" t="s">
        <v>6</v>
      </c>
      <c r="C1349" t="s">
        <v>8</v>
      </c>
      <c r="D1349" s="2">
        <v>7416574.0663000001</v>
      </c>
      <c r="E1349" s="2">
        <v>5887.5410000000002</v>
      </c>
      <c r="F1349" s="2">
        <v>7422461.6073000003</v>
      </c>
    </row>
    <row r="1350" spans="1:6" x14ac:dyDescent="0.3">
      <c r="A1350" s="1">
        <v>41333</v>
      </c>
      <c r="B1350" t="s">
        <v>6</v>
      </c>
      <c r="C1350" t="s">
        <v>9</v>
      </c>
      <c r="D1350" s="2">
        <v>1265672.6202499999</v>
      </c>
      <c r="E1350" s="2">
        <v>3488.25</v>
      </c>
      <c r="F1350" s="2">
        <v>1269160.8702499999</v>
      </c>
    </row>
    <row r="1351" spans="1:6" x14ac:dyDescent="0.3">
      <c r="A1351" s="1">
        <v>41333</v>
      </c>
      <c r="B1351" t="s">
        <v>6</v>
      </c>
      <c r="C1351" t="s">
        <v>12</v>
      </c>
      <c r="D1351" s="2">
        <v>0</v>
      </c>
      <c r="E1351" s="2">
        <v>7111.5590000000002</v>
      </c>
      <c r="F1351" s="2">
        <v>7111.5590000000002</v>
      </c>
    </row>
    <row r="1352" spans="1:6" x14ac:dyDescent="0.3">
      <c r="A1352" s="1">
        <v>41333</v>
      </c>
      <c r="B1352" t="s">
        <v>6</v>
      </c>
      <c r="C1352" t="s">
        <v>10</v>
      </c>
      <c r="D1352" s="2">
        <v>867353.42863709002</v>
      </c>
      <c r="E1352" s="2">
        <v>315.72900305000002</v>
      </c>
      <c r="F1352" s="2">
        <v>867669.15764014004</v>
      </c>
    </row>
    <row r="1353" spans="1:6" x14ac:dyDescent="0.3">
      <c r="A1353" s="1">
        <v>41333</v>
      </c>
      <c r="B1353" t="s">
        <v>15</v>
      </c>
      <c r="C1353" t="s">
        <v>16</v>
      </c>
      <c r="D1353" s="2">
        <v>29995.18</v>
      </c>
      <c r="E1353" s="2">
        <v>0</v>
      </c>
      <c r="F1353" s="2">
        <v>29995.18</v>
      </c>
    </row>
    <row r="1354" spans="1:6" x14ac:dyDescent="0.3">
      <c r="A1354" s="1">
        <v>41333</v>
      </c>
      <c r="B1354" t="s">
        <v>15</v>
      </c>
      <c r="C1354" t="s">
        <v>23</v>
      </c>
      <c r="D1354" s="2">
        <v>2985.6485899999998</v>
      </c>
      <c r="E1354" s="2">
        <v>0</v>
      </c>
      <c r="F1354" s="2">
        <v>2985.6485899999998</v>
      </c>
    </row>
    <row r="1355" spans="1:6" x14ac:dyDescent="0.3">
      <c r="A1355" s="1">
        <v>41333</v>
      </c>
      <c r="B1355" t="s">
        <v>15</v>
      </c>
      <c r="C1355" t="s">
        <v>19</v>
      </c>
      <c r="D1355" s="2">
        <v>164095.46131104001</v>
      </c>
      <c r="E1355" s="2">
        <v>4844010.2797336504</v>
      </c>
      <c r="F1355" s="2">
        <v>5008103.7410446899</v>
      </c>
    </row>
    <row r="1356" spans="1:6" x14ac:dyDescent="0.3">
      <c r="A1356" s="1">
        <v>41333</v>
      </c>
      <c r="B1356" t="s">
        <v>15</v>
      </c>
      <c r="C1356" t="s">
        <v>24</v>
      </c>
      <c r="D1356" s="2">
        <v>0</v>
      </c>
      <c r="E1356" s="2">
        <v>493.71377168999999</v>
      </c>
      <c r="F1356" s="2">
        <v>493.71377168999999</v>
      </c>
    </row>
    <row r="1357" spans="1:6" x14ac:dyDescent="0.3">
      <c r="A1357" s="1">
        <v>41333</v>
      </c>
      <c r="B1357" t="s">
        <v>15</v>
      </c>
      <c r="C1357" t="s">
        <v>20</v>
      </c>
      <c r="D1357" s="2">
        <v>1345.7519237199999</v>
      </c>
      <c r="E1357" s="2">
        <v>0</v>
      </c>
      <c r="F1357" s="2">
        <v>1345.7519237199999</v>
      </c>
    </row>
    <row r="1358" spans="1:6" x14ac:dyDescent="0.3">
      <c r="A1358" s="1">
        <v>41333</v>
      </c>
      <c r="B1358" t="s">
        <v>15</v>
      </c>
      <c r="C1358" t="s">
        <v>17</v>
      </c>
      <c r="D1358" s="2">
        <v>153956.86433504001</v>
      </c>
      <c r="E1358" s="2">
        <v>0</v>
      </c>
      <c r="F1358" s="2">
        <v>153956.86433504001</v>
      </c>
    </row>
    <row r="1359" spans="1:6" x14ac:dyDescent="0.3">
      <c r="A1359" s="1">
        <v>41333</v>
      </c>
      <c r="B1359" t="s">
        <v>15</v>
      </c>
      <c r="C1359" t="s">
        <v>18</v>
      </c>
      <c r="D1359" s="2">
        <v>182054.42935979</v>
      </c>
      <c r="E1359" s="2">
        <v>0</v>
      </c>
      <c r="F1359" s="2">
        <v>182054.42935979</v>
      </c>
    </row>
    <row r="1360" spans="1:6" x14ac:dyDescent="0.3">
      <c r="A1360" s="1">
        <v>41333</v>
      </c>
      <c r="B1360" t="s">
        <v>13</v>
      </c>
      <c r="C1360" t="s">
        <v>14</v>
      </c>
      <c r="D1360" s="2">
        <v>11288003.7289871</v>
      </c>
      <c r="E1360" s="2">
        <v>20349.54900305</v>
      </c>
      <c r="F1360" s="2">
        <v>11308353.277990101</v>
      </c>
    </row>
    <row r="1361" spans="1:6" x14ac:dyDescent="0.3">
      <c r="A1361" s="1">
        <v>41333</v>
      </c>
      <c r="B1361" t="s">
        <v>21</v>
      </c>
      <c r="C1361" t="s">
        <v>14</v>
      </c>
      <c r="D1361" s="2">
        <v>534432.33551958995</v>
      </c>
      <c r="E1361" s="2">
        <v>4844502.9935053401</v>
      </c>
      <c r="F1361" s="2">
        <v>5378936.3290249296</v>
      </c>
    </row>
    <row r="1362" spans="1:6" x14ac:dyDescent="0.3">
      <c r="A1362" s="1">
        <v>41333</v>
      </c>
      <c r="B1362" t="s">
        <v>22</v>
      </c>
      <c r="C1362" t="s">
        <v>14</v>
      </c>
      <c r="D1362" s="2">
        <v>11822436.0645067</v>
      </c>
      <c r="E1362" s="2">
        <v>4864852.5425083898</v>
      </c>
      <c r="F1362" s="2">
        <v>16687288.607015099</v>
      </c>
    </row>
    <row r="1363" spans="1:6" x14ac:dyDescent="0.3">
      <c r="A1363" s="1">
        <v>41364</v>
      </c>
      <c r="B1363" t="s">
        <v>6</v>
      </c>
      <c r="C1363" t="s">
        <v>7</v>
      </c>
      <c r="D1363" s="2">
        <v>1788158.0175999999</v>
      </c>
      <c r="E1363" s="2">
        <v>2794.2719999999999</v>
      </c>
      <c r="F1363" s="2">
        <v>1790952.2896</v>
      </c>
    </row>
    <row r="1364" spans="1:6" x14ac:dyDescent="0.3">
      <c r="A1364" s="1">
        <v>41364</v>
      </c>
      <c r="B1364" t="s">
        <v>6</v>
      </c>
      <c r="C1364" t="s">
        <v>9</v>
      </c>
      <c r="D1364" s="2">
        <v>1278669.82045</v>
      </c>
      <c r="E1364" s="2">
        <v>3491.0083</v>
      </c>
      <c r="F1364" s="2">
        <v>1282160.8287500001</v>
      </c>
    </row>
    <row r="1365" spans="1:6" x14ac:dyDescent="0.3">
      <c r="A1365" s="1">
        <v>41364</v>
      </c>
      <c r="B1365" t="s">
        <v>6</v>
      </c>
      <c r="C1365" t="s">
        <v>12</v>
      </c>
      <c r="D1365" s="2">
        <v>0</v>
      </c>
      <c r="E1365" s="2">
        <v>7111.5590000000002</v>
      </c>
      <c r="F1365" s="2">
        <v>7111.5590000000002</v>
      </c>
    </row>
    <row r="1366" spans="1:6" x14ac:dyDescent="0.3">
      <c r="A1366" s="1">
        <v>41364</v>
      </c>
      <c r="B1366" t="s">
        <v>6</v>
      </c>
      <c r="C1366" t="s">
        <v>8</v>
      </c>
      <c r="D1366" s="2">
        <v>7428092.1204000004</v>
      </c>
      <c r="E1366" s="2">
        <v>6896.0551999999998</v>
      </c>
      <c r="F1366" s="2">
        <v>7434988.1755999997</v>
      </c>
    </row>
    <row r="1367" spans="1:6" x14ac:dyDescent="0.3">
      <c r="A1367" s="1">
        <v>41364</v>
      </c>
      <c r="B1367" t="s">
        <v>6</v>
      </c>
      <c r="C1367" t="s">
        <v>10</v>
      </c>
      <c r="D1367" s="2">
        <v>882496.75135465001</v>
      </c>
      <c r="E1367" s="2">
        <v>295.77994253000003</v>
      </c>
      <c r="F1367" s="2">
        <v>882792.53129717999</v>
      </c>
    </row>
    <row r="1368" spans="1:6" x14ac:dyDescent="0.3">
      <c r="A1368" s="1">
        <v>41364</v>
      </c>
      <c r="B1368" t="s">
        <v>15</v>
      </c>
      <c r="C1368" t="s">
        <v>16</v>
      </c>
      <c r="D1368" s="2">
        <v>29995.18</v>
      </c>
      <c r="E1368" s="2">
        <v>0</v>
      </c>
      <c r="F1368" s="2">
        <v>29995.18</v>
      </c>
    </row>
    <row r="1369" spans="1:6" x14ac:dyDescent="0.3">
      <c r="A1369" s="1">
        <v>41364</v>
      </c>
      <c r="B1369" t="s">
        <v>15</v>
      </c>
      <c r="C1369" t="s">
        <v>23</v>
      </c>
      <c r="D1369" s="2">
        <v>2985.6485899999998</v>
      </c>
      <c r="E1369" s="2">
        <v>0</v>
      </c>
      <c r="F1369" s="2">
        <v>2985.6485899999998</v>
      </c>
    </row>
    <row r="1370" spans="1:6" x14ac:dyDescent="0.3">
      <c r="A1370" s="1">
        <v>41364</v>
      </c>
      <c r="B1370" t="s">
        <v>15</v>
      </c>
      <c r="C1370" t="s">
        <v>19</v>
      </c>
      <c r="D1370" s="2">
        <v>165586.22082603999</v>
      </c>
      <c r="E1370" s="2">
        <v>4833408.8031188501</v>
      </c>
      <c r="F1370" s="2">
        <v>4998995.0239448901</v>
      </c>
    </row>
    <row r="1371" spans="1:6" x14ac:dyDescent="0.3">
      <c r="A1371" s="1">
        <v>41364</v>
      </c>
      <c r="B1371" t="s">
        <v>15</v>
      </c>
      <c r="C1371" t="s">
        <v>24</v>
      </c>
      <c r="D1371" s="2">
        <v>0</v>
      </c>
      <c r="E1371" s="2">
        <v>493.71377168999999</v>
      </c>
      <c r="F1371" s="2">
        <v>493.71377168999999</v>
      </c>
    </row>
    <row r="1372" spans="1:6" x14ac:dyDescent="0.3">
      <c r="A1372" s="1">
        <v>41364</v>
      </c>
      <c r="B1372" t="s">
        <v>15</v>
      </c>
      <c r="C1372" t="s">
        <v>20</v>
      </c>
      <c r="D1372" s="2">
        <v>1306.59058654</v>
      </c>
      <c r="E1372" s="2">
        <v>0</v>
      </c>
      <c r="F1372" s="2">
        <v>1306.59058654</v>
      </c>
    </row>
    <row r="1373" spans="1:6" x14ac:dyDescent="0.3">
      <c r="A1373" s="1">
        <v>41364</v>
      </c>
      <c r="B1373" t="s">
        <v>15</v>
      </c>
      <c r="C1373" t="s">
        <v>17</v>
      </c>
      <c r="D1373" s="2">
        <v>157814.15645215</v>
      </c>
      <c r="E1373" s="2">
        <v>0</v>
      </c>
      <c r="F1373" s="2">
        <v>157814.15645215</v>
      </c>
    </row>
    <row r="1374" spans="1:6" x14ac:dyDescent="0.3">
      <c r="A1374" s="1">
        <v>41364</v>
      </c>
      <c r="B1374" t="s">
        <v>15</v>
      </c>
      <c r="C1374" t="s">
        <v>18</v>
      </c>
      <c r="D1374" s="2">
        <v>181783.33420464999</v>
      </c>
      <c r="E1374" s="2">
        <v>0</v>
      </c>
      <c r="F1374" s="2">
        <v>181783.33420464999</v>
      </c>
    </row>
    <row r="1375" spans="1:6" x14ac:dyDescent="0.3">
      <c r="A1375" s="1">
        <v>41364</v>
      </c>
      <c r="B1375" t="s">
        <v>13</v>
      </c>
      <c r="C1375" t="s">
        <v>14</v>
      </c>
      <c r="D1375" s="2">
        <v>11377416.709804701</v>
      </c>
      <c r="E1375" s="2">
        <v>20588.674442529998</v>
      </c>
      <c r="F1375" s="2">
        <v>11398005.384247201</v>
      </c>
    </row>
    <row r="1376" spans="1:6" x14ac:dyDescent="0.3">
      <c r="A1376" s="1">
        <v>41364</v>
      </c>
      <c r="B1376" t="s">
        <v>21</v>
      </c>
      <c r="C1376" t="s">
        <v>14</v>
      </c>
      <c r="D1376" s="2">
        <v>539471.13065938</v>
      </c>
      <c r="E1376" s="2">
        <v>4833902.5168905398</v>
      </c>
      <c r="F1376" s="2">
        <v>5373373.6475499198</v>
      </c>
    </row>
    <row r="1377" spans="1:6" x14ac:dyDescent="0.3">
      <c r="A1377" s="1">
        <v>41364</v>
      </c>
      <c r="B1377" t="s">
        <v>22</v>
      </c>
      <c r="C1377" t="s">
        <v>14</v>
      </c>
      <c r="D1377" s="2">
        <v>11916887.840464</v>
      </c>
      <c r="E1377" s="2">
        <v>4854491.1913330704</v>
      </c>
      <c r="F1377" s="2">
        <v>16771379.0317971</v>
      </c>
    </row>
    <row r="1378" spans="1:6" x14ac:dyDescent="0.3">
      <c r="A1378" s="1">
        <v>41394</v>
      </c>
      <c r="B1378" t="s">
        <v>22</v>
      </c>
      <c r="C1378" t="s">
        <v>14</v>
      </c>
      <c r="D1378" s="2">
        <v>11943148.302300099</v>
      </c>
      <c r="E1378" s="2">
        <v>4885697.3269434497</v>
      </c>
      <c r="F1378" s="2">
        <v>16828844.629243501</v>
      </c>
    </row>
    <row r="1379" spans="1:6" x14ac:dyDescent="0.3">
      <c r="A1379" s="1">
        <v>41394</v>
      </c>
      <c r="B1379" t="s">
        <v>6</v>
      </c>
      <c r="C1379" t="s">
        <v>7</v>
      </c>
      <c r="D1379" s="2">
        <v>1692539.6677000001</v>
      </c>
      <c r="E1379" s="2">
        <v>2409.6819999999998</v>
      </c>
      <c r="F1379" s="2">
        <v>1694949.3496999999</v>
      </c>
    </row>
    <row r="1380" spans="1:6" x14ac:dyDescent="0.3">
      <c r="A1380" s="1">
        <v>41394</v>
      </c>
      <c r="B1380" t="s">
        <v>6</v>
      </c>
      <c r="C1380" t="s">
        <v>9</v>
      </c>
      <c r="D1380" s="2">
        <v>1291619.00275</v>
      </c>
      <c r="E1380" s="2">
        <v>3541.6803</v>
      </c>
      <c r="F1380" s="2">
        <v>1295160.6830500001</v>
      </c>
    </row>
    <row r="1381" spans="1:6" x14ac:dyDescent="0.3">
      <c r="A1381" s="1">
        <v>41394</v>
      </c>
      <c r="B1381" t="s">
        <v>6</v>
      </c>
      <c r="C1381" t="s">
        <v>12</v>
      </c>
      <c r="D1381" s="2">
        <v>0</v>
      </c>
      <c r="E1381" s="2">
        <v>7111.5590000000002</v>
      </c>
      <c r="F1381" s="2">
        <v>7111.5590000000002</v>
      </c>
    </row>
    <row r="1382" spans="1:6" x14ac:dyDescent="0.3">
      <c r="A1382" s="1">
        <v>41394</v>
      </c>
      <c r="B1382" t="s">
        <v>6</v>
      </c>
      <c r="C1382" t="s">
        <v>8</v>
      </c>
      <c r="D1382" s="2">
        <v>7520728.0586000001</v>
      </c>
      <c r="E1382" s="2">
        <v>7241.8941999999997</v>
      </c>
      <c r="F1382" s="2">
        <v>7527969.9528000001</v>
      </c>
    </row>
    <row r="1383" spans="1:6" x14ac:dyDescent="0.3">
      <c r="A1383" s="1">
        <v>41394</v>
      </c>
      <c r="B1383" t="s">
        <v>6</v>
      </c>
      <c r="C1383" t="s">
        <v>10</v>
      </c>
      <c r="D1383" s="2">
        <v>891250.84985272004</v>
      </c>
      <c r="E1383" s="2">
        <v>318.45392321000003</v>
      </c>
      <c r="F1383" s="2">
        <v>891569.30377592996</v>
      </c>
    </row>
    <row r="1384" spans="1:6" x14ac:dyDescent="0.3">
      <c r="A1384" s="1">
        <v>41394</v>
      </c>
      <c r="B1384" t="s">
        <v>15</v>
      </c>
      <c r="C1384" t="s">
        <v>16</v>
      </c>
      <c r="D1384" s="2">
        <v>29995.18</v>
      </c>
      <c r="E1384" s="2">
        <v>0</v>
      </c>
      <c r="F1384" s="2">
        <v>29995.18</v>
      </c>
    </row>
    <row r="1385" spans="1:6" x14ac:dyDescent="0.3">
      <c r="A1385" s="1">
        <v>41394</v>
      </c>
      <c r="B1385" t="s">
        <v>15</v>
      </c>
      <c r="C1385" t="s">
        <v>23</v>
      </c>
      <c r="D1385" s="2">
        <v>2985.6485899999998</v>
      </c>
      <c r="E1385" s="2">
        <v>0</v>
      </c>
      <c r="F1385" s="2">
        <v>2985.6485899999998</v>
      </c>
    </row>
    <row r="1386" spans="1:6" x14ac:dyDescent="0.3">
      <c r="A1386" s="1">
        <v>41394</v>
      </c>
      <c r="B1386" t="s">
        <v>15</v>
      </c>
      <c r="C1386" t="s">
        <v>19</v>
      </c>
      <c r="D1386" s="2">
        <v>167608.98619455</v>
      </c>
      <c r="E1386" s="2">
        <v>4864580.2463584403</v>
      </c>
      <c r="F1386" s="2">
        <v>5032189.2325529903</v>
      </c>
    </row>
    <row r="1387" spans="1:6" x14ac:dyDescent="0.3">
      <c r="A1387" s="1">
        <v>41394</v>
      </c>
      <c r="B1387" t="s">
        <v>15</v>
      </c>
      <c r="C1387" t="s">
        <v>24</v>
      </c>
      <c r="D1387" s="2">
        <v>0</v>
      </c>
      <c r="E1387" s="2">
        <v>493.81116179999998</v>
      </c>
      <c r="F1387" s="2">
        <v>493.81116179999998</v>
      </c>
    </row>
    <row r="1388" spans="1:6" x14ac:dyDescent="0.3">
      <c r="A1388" s="1">
        <v>41394</v>
      </c>
      <c r="B1388" t="s">
        <v>15</v>
      </c>
      <c r="C1388" t="s">
        <v>20</v>
      </c>
      <c r="D1388" s="2">
        <v>1288.2232381700001</v>
      </c>
      <c r="E1388" s="2">
        <v>0</v>
      </c>
      <c r="F1388" s="2">
        <v>1288.2232381700001</v>
      </c>
    </row>
    <row r="1389" spans="1:6" x14ac:dyDescent="0.3">
      <c r="A1389" s="1">
        <v>41394</v>
      </c>
      <c r="B1389" t="s">
        <v>15</v>
      </c>
      <c r="C1389" t="s">
        <v>17</v>
      </c>
      <c r="D1389" s="2">
        <v>163573.76146775999</v>
      </c>
      <c r="E1389" s="2">
        <v>0</v>
      </c>
      <c r="F1389" s="2">
        <v>163573.76146775999</v>
      </c>
    </row>
    <row r="1390" spans="1:6" x14ac:dyDescent="0.3">
      <c r="A1390" s="1">
        <v>41394</v>
      </c>
      <c r="B1390" t="s">
        <v>15</v>
      </c>
      <c r="C1390" t="s">
        <v>18</v>
      </c>
      <c r="D1390" s="2">
        <v>181558.92390689001</v>
      </c>
      <c r="E1390" s="2">
        <v>0</v>
      </c>
      <c r="F1390" s="2">
        <v>181558.92390689001</v>
      </c>
    </row>
    <row r="1391" spans="1:6" x14ac:dyDescent="0.3">
      <c r="A1391" s="1">
        <v>41394</v>
      </c>
      <c r="B1391" t="s">
        <v>13</v>
      </c>
      <c r="C1391" t="s">
        <v>14</v>
      </c>
      <c r="D1391" s="2">
        <v>11396137.578902701</v>
      </c>
      <c r="E1391" s="2">
        <v>20623.26942321</v>
      </c>
      <c r="F1391" s="2">
        <v>11416760.848325901</v>
      </c>
    </row>
    <row r="1392" spans="1:6" x14ac:dyDescent="0.3">
      <c r="A1392" s="1">
        <v>41394</v>
      </c>
      <c r="B1392" t="s">
        <v>21</v>
      </c>
      <c r="C1392" t="s">
        <v>14</v>
      </c>
      <c r="D1392" s="2">
        <v>547010.72339736996</v>
      </c>
      <c r="E1392" s="2">
        <v>4865074.0575202396</v>
      </c>
      <c r="F1392" s="2">
        <v>5412084.78091761</v>
      </c>
    </row>
    <row r="1393" spans="1:6" x14ac:dyDescent="0.3">
      <c r="A1393" s="1">
        <v>41425</v>
      </c>
      <c r="B1393" t="s">
        <v>15</v>
      </c>
      <c r="C1393" t="s">
        <v>17</v>
      </c>
      <c r="D1393" s="2">
        <v>166692.00965575999</v>
      </c>
      <c r="E1393" s="2">
        <v>0</v>
      </c>
      <c r="F1393" s="2">
        <v>166692.00965575999</v>
      </c>
    </row>
    <row r="1394" spans="1:6" x14ac:dyDescent="0.3">
      <c r="A1394" s="1">
        <v>41425</v>
      </c>
      <c r="B1394" t="s">
        <v>13</v>
      </c>
      <c r="C1394" t="s">
        <v>14</v>
      </c>
      <c r="D1394" s="2">
        <v>11376763.8431029</v>
      </c>
      <c r="E1394" s="2">
        <v>20547.193256129998</v>
      </c>
      <c r="F1394" s="2">
        <v>11397311.036358999</v>
      </c>
    </row>
    <row r="1395" spans="1:6" x14ac:dyDescent="0.3">
      <c r="A1395" s="1">
        <v>41425</v>
      </c>
      <c r="B1395" t="s">
        <v>21</v>
      </c>
      <c r="C1395" t="s">
        <v>14</v>
      </c>
      <c r="D1395" s="2">
        <v>520386.83557413</v>
      </c>
      <c r="E1395" s="2">
        <v>4821124.3081222</v>
      </c>
      <c r="F1395" s="2">
        <v>5341511.1436963296</v>
      </c>
    </row>
    <row r="1396" spans="1:6" x14ac:dyDescent="0.3">
      <c r="A1396" s="1">
        <v>41425</v>
      </c>
      <c r="B1396" t="s">
        <v>22</v>
      </c>
      <c r="C1396" t="s">
        <v>14</v>
      </c>
      <c r="D1396" s="2">
        <v>11897150.678677</v>
      </c>
      <c r="E1396" s="2">
        <v>4841670.5013783397</v>
      </c>
      <c r="F1396" s="2">
        <v>16738822.1800554</v>
      </c>
    </row>
    <row r="1397" spans="1:6" x14ac:dyDescent="0.3">
      <c r="A1397" s="1">
        <v>41425</v>
      </c>
      <c r="B1397" t="s">
        <v>6</v>
      </c>
      <c r="C1397" t="s">
        <v>7</v>
      </c>
      <c r="D1397" s="2">
        <v>1605042.5061999999</v>
      </c>
      <c r="E1397" s="2">
        <v>1897.347</v>
      </c>
      <c r="F1397" s="2">
        <v>1606939.8532</v>
      </c>
    </row>
    <row r="1398" spans="1:6" x14ac:dyDescent="0.3">
      <c r="A1398" s="1">
        <v>41425</v>
      </c>
      <c r="B1398" t="s">
        <v>6</v>
      </c>
      <c r="C1398" t="s">
        <v>9</v>
      </c>
      <c r="D1398" s="2">
        <v>1307774.0762</v>
      </c>
      <c r="E1398" s="2">
        <v>3386.5023000000001</v>
      </c>
      <c r="F1398" s="2">
        <v>1311160.5785000001</v>
      </c>
    </row>
    <row r="1399" spans="1:6" x14ac:dyDescent="0.3">
      <c r="A1399" s="1">
        <v>41425</v>
      </c>
      <c r="B1399" t="s">
        <v>6</v>
      </c>
      <c r="C1399" t="s">
        <v>12</v>
      </c>
      <c r="D1399" s="2">
        <v>0</v>
      </c>
      <c r="E1399" s="2">
        <v>7111.5590000000002</v>
      </c>
      <c r="F1399" s="2">
        <v>7111.5590000000002</v>
      </c>
    </row>
    <row r="1400" spans="1:6" x14ac:dyDescent="0.3">
      <c r="A1400" s="1">
        <v>41425</v>
      </c>
      <c r="B1400" t="s">
        <v>6</v>
      </c>
      <c r="C1400" t="s">
        <v>8</v>
      </c>
      <c r="D1400" s="2">
        <v>7557101.6886</v>
      </c>
      <c r="E1400" s="2">
        <v>7827.5601999999999</v>
      </c>
      <c r="F1400" s="2">
        <v>7564929.2488000002</v>
      </c>
    </row>
    <row r="1401" spans="1:6" x14ac:dyDescent="0.3">
      <c r="A1401" s="1">
        <v>41425</v>
      </c>
      <c r="B1401" t="s">
        <v>6</v>
      </c>
      <c r="C1401" t="s">
        <v>10</v>
      </c>
      <c r="D1401" s="2">
        <v>906845.57210291002</v>
      </c>
      <c r="E1401" s="2">
        <v>324.22475613</v>
      </c>
      <c r="F1401" s="2">
        <v>907169.79685904004</v>
      </c>
    </row>
    <row r="1402" spans="1:6" x14ac:dyDescent="0.3">
      <c r="A1402" s="1">
        <v>41425</v>
      </c>
      <c r="B1402" t="s">
        <v>15</v>
      </c>
      <c r="C1402" t="s">
        <v>16</v>
      </c>
      <c r="D1402" s="2">
        <v>29995.18</v>
      </c>
      <c r="E1402" s="2">
        <v>0</v>
      </c>
      <c r="F1402" s="2">
        <v>29995.18</v>
      </c>
    </row>
    <row r="1403" spans="1:6" x14ac:dyDescent="0.3">
      <c r="A1403" s="1">
        <v>41425</v>
      </c>
      <c r="B1403" t="s">
        <v>15</v>
      </c>
      <c r="C1403" t="s">
        <v>23</v>
      </c>
      <c r="D1403" s="2">
        <v>2985.6485899999998</v>
      </c>
      <c r="E1403" s="2">
        <v>0</v>
      </c>
      <c r="F1403" s="2">
        <v>2985.6485899999998</v>
      </c>
    </row>
    <row r="1404" spans="1:6" x14ac:dyDescent="0.3">
      <c r="A1404" s="1">
        <v>41425</v>
      </c>
      <c r="B1404" t="s">
        <v>15</v>
      </c>
      <c r="C1404" t="s">
        <v>19</v>
      </c>
      <c r="D1404" s="2">
        <v>138165.22879254</v>
      </c>
      <c r="E1404" s="2">
        <v>4820630.4969603997</v>
      </c>
      <c r="F1404" s="2">
        <v>4958795.7257529404</v>
      </c>
    </row>
    <row r="1405" spans="1:6" x14ac:dyDescent="0.3">
      <c r="A1405" s="1">
        <v>41425</v>
      </c>
      <c r="B1405" t="s">
        <v>15</v>
      </c>
      <c r="C1405" t="s">
        <v>24</v>
      </c>
      <c r="D1405" s="2">
        <v>0</v>
      </c>
      <c r="E1405" s="2">
        <v>493.81116179999998</v>
      </c>
      <c r="F1405" s="2">
        <v>493.81116179999998</v>
      </c>
    </row>
    <row r="1406" spans="1:6" x14ac:dyDescent="0.3">
      <c r="A1406" s="1">
        <v>41425</v>
      </c>
      <c r="B1406" t="s">
        <v>15</v>
      </c>
      <c r="C1406" t="s">
        <v>20</v>
      </c>
      <c r="D1406" s="2">
        <v>1315.1975647300001</v>
      </c>
      <c r="E1406" s="2">
        <v>0</v>
      </c>
      <c r="F1406" s="2">
        <v>1315.1975647300001</v>
      </c>
    </row>
    <row r="1407" spans="1:6" x14ac:dyDescent="0.3">
      <c r="A1407" s="1">
        <v>41425</v>
      </c>
      <c r="B1407" t="s">
        <v>15</v>
      </c>
      <c r="C1407" t="s">
        <v>18</v>
      </c>
      <c r="D1407" s="2">
        <v>181232.57097110001</v>
      </c>
      <c r="E1407" s="2">
        <v>0</v>
      </c>
      <c r="F1407" s="2">
        <v>181232.57097110001</v>
      </c>
    </row>
    <row r="1408" spans="1:6" x14ac:dyDescent="0.3">
      <c r="A1408" s="1">
        <v>41455</v>
      </c>
      <c r="B1408" t="s">
        <v>15</v>
      </c>
      <c r="C1408" t="s">
        <v>19</v>
      </c>
      <c r="D1408" s="2">
        <v>155293.23578347001</v>
      </c>
      <c r="E1408" s="2">
        <v>4817399.9359052004</v>
      </c>
      <c r="F1408" s="2">
        <v>4972693.1716886703</v>
      </c>
    </row>
    <row r="1409" spans="1:6" x14ac:dyDescent="0.3">
      <c r="A1409" s="1">
        <v>41455</v>
      </c>
      <c r="B1409" t="s">
        <v>15</v>
      </c>
      <c r="C1409" t="s">
        <v>24</v>
      </c>
      <c r="D1409" s="2">
        <v>0</v>
      </c>
      <c r="E1409" s="2">
        <v>493.81116179999998</v>
      </c>
      <c r="F1409" s="2">
        <v>493.81116179999998</v>
      </c>
    </row>
    <row r="1410" spans="1:6" x14ac:dyDescent="0.3">
      <c r="A1410" s="1">
        <v>41455</v>
      </c>
      <c r="B1410" t="s">
        <v>15</v>
      </c>
      <c r="C1410" t="s">
        <v>20</v>
      </c>
      <c r="D1410" s="2">
        <v>1316.8113271499999</v>
      </c>
      <c r="E1410" s="2">
        <v>0</v>
      </c>
      <c r="F1410" s="2">
        <v>1316.8113271499999</v>
      </c>
    </row>
    <row r="1411" spans="1:6" x14ac:dyDescent="0.3">
      <c r="A1411" s="1">
        <v>41455</v>
      </c>
      <c r="B1411" t="s">
        <v>21</v>
      </c>
      <c r="C1411" t="s">
        <v>14</v>
      </c>
      <c r="D1411" s="2">
        <v>525424.43810211006</v>
      </c>
      <c r="E1411" s="2">
        <v>4817893.7470669998</v>
      </c>
      <c r="F1411" s="2">
        <v>5343317.1851691101</v>
      </c>
    </row>
    <row r="1412" spans="1:6" x14ac:dyDescent="0.3">
      <c r="A1412" s="1">
        <v>41455</v>
      </c>
      <c r="B1412" t="s">
        <v>22</v>
      </c>
      <c r="C1412" t="s">
        <v>14</v>
      </c>
      <c r="D1412" s="2">
        <v>11901292.1252601</v>
      </c>
      <c r="E1412" s="2">
        <v>4837027.9355517896</v>
      </c>
      <c r="F1412" s="2">
        <v>16738320.0608119</v>
      </c>
    </row>
    <row r="1413" spans="1:6" x14ac:dyDescent="0.3">
      <c r="A1413" s="1">
        <v>41455</v>
      </c>
      <c r="B1413" t="s">
        <v>6</v>
      </c>
      <c r="C1413" t="s">
        <v>7</v>
      </c>
      <c r="D1413" s="2">
        <v>1568075.5752000001</v>
      </c>
      <c r="E1413" s="2">
        <v>1874.13</v>
      </c>
      <c r="F1413" s="2">
        <v>1569949.7052</v>
      </c>
    </row>
    <row r="1414" spans="1:6" x14ac:dyDescent="0.3">
      <c r="A1414" s="1">
        <v>41455</v>
      </c>
      <c r="B1414" t="s">
        <v>6</v>
      </c>
      <c r="C1414" t="s">
        <v>9</v>
      </c>
      <c r="D1414" s="2">
        <v>1320621.5285</v>
      </c>
      <c r="E1414" s="2">
        <v>3538.9313000000002</v>
      </c>
      <c r="F1414" s="2">
        <v>1324160.4598000001</v>
      </c>
    </row>
    <row r="1415" spans="1:6" x14ac:dyDescent="0.3">
      <c r="A1415" s="1">
        <v>41455</v>
      </c>
      <c r="B1415" t="s">
        <v>6</v>
      </c>
      <c r="C1415" t="s">
        <v>12</v>
      </c>
      <c r="D1415" s="2">
        <v>0</v>
      </c>
      <c r="E1415" s="2">
        <v>5695.107</v>
      </c>
      <c r="F1415" s="2">
        <v>5695.107</v>
      </c>
    </row>
    <row r="1416" spans="1:6" x14ac:dyDescent="0.3">
      <c r="A1416" s="1">
        <v>41455</v>
      </c>
      <c r="B1416" t="s">
        <v>6</v>
      </c>
      <c r="C1416" t="s">
        <v>8</v>
      </c>
      <c r="D1416" s="2">
        <v>7574018.0877</v>
      </c>
      <c r="E1416" s="2">
        <v>7701.0312000000004</v>
      </c>
      <c r="F1416" s="2">
        <v>7581719.1189000001</v>
      </c>
    </row>
    <row r="1417" spans="1:6" x14ac:dyDescent="0.3">
      <c r="A1417" s="1">
        <v>41455</v>
      </c>
      <c r="B1417" t="s">
        <v>6</v>
      </c>
      <c r="C1417" t="s">
        <v>10</v>
      </c>
      <c r="D1417" s="2">
        <v>913153.49575795</v>
      </c>
      <c r="E1417" s="2">
        <v>324.98898479000002</v>
      </c>
      <c r="F1417" s="2">
        <v>913478.48474274005</v>
      </c>
    </row>
    <row r="1418" spans="1:6" x14ac:dyDescent="0.3">
      <c r="A1418" s="1">
        <v>41455</v>
      </c>
      <c r="B1418" t="s">
        <v>15</v>
      </c>
      <c r="C1418" t="s">
        <v>16</v>
      </c>
      <c r="D1418" s="2">
        <v>29995.18</v>
      </c>
      <c r="E1418" s="2">
        <v>0</v>
      </c>
      <c r="F1418" s="2">
        <v>29995.18</v>
      </c>
    </row>
    <row r="1419" spans="1:6" x14ac:dyDescent="0.3">
      <c r="A1419" s="1">
        <v>41455</v>
      </c>
      <c r="B1419" t="s">
        <v>15</v>
      </c>
      <c r="C1419" t="s">
        <v>23</v>
      </c>
      <c r="D1419" s="2">
        <v>2985.6485899999998</v>
      </c>
      <c r="E1419" s="2">
        <v>0</v>
      </c>
      <c r="F1419" s="2">
        <v>2985.6485899999998</v>
      </c>
    </row>
    <row r="1420" spans="1:6" x14ac:dyDescent="0.3">
      <c r="A1420" s="1">
        <v>41455</v>
      </c>
      <c r="B1420" t="s">
        <v>15</v>
      </c>
      <c r="C1420" t="s">
        <v>17</v>
      </c>
      <c r="D1420" s="2">
        <v>154874.54637428999</v>
      </c>
      <c r="E1420" s="2">
        <v>0</v>
      </c>
      <c r="F1420" s="2">
        <v>154874.54637428999</v>
      </c>
    </row>
    <row r="1421" spans="1:6" x14ac:dyDescent="0.3">
      <c r="A1421" s="1">
        <v>41455</v>
      </c>
      <c r="B1421" t="s">
        <v>15</v>
      </c>
      <c r="C1421" t="s">
        <v>18</v>
      </c>
      <c r="D1421" s="2">
        <v>180958.01602720001</v>
      </c>
      <c r="E1421" s="2">
        <v>0</v>
      </c>
      <c r="F1421" s="2">
        <v>180958.01602720001</v>
      </c>
    </row>
    <row r="1422" spans="1:6" x14ac:dyDescent="0.3">
      <c r="A1422" s="1">
        <v>41455</v>
      </c>
      <c r="B1422" t="s">
        <v>13</v>
      </c>
      <c r="C1422" t="s">
        <v>14</v>
      </c>
      <c r="D1422" s="2">
        <v>11375868.687158</v>
      </c>
      <c r="E1422" s="2">
        <v>19134.18848479</v>
      </c>
      <c r="F1422" s="2">
        <v>11395002.8756427</v>
      </c>
    </row>
    <row r="1423" spans="1:6" x14ac:dyDescent="0.3">
      <c r="A1423" s="1">
        <v>41486</v>
      </c>
      <c r="B1423" t="s">
        <v>15</v>
      </c>
      <c r="C1423" t="s">
        <v>16</v>
      </c>
      <c r="D1423" s="2">
        <v>29995.18</v>
      </c>
      <c r="E1423" s="2">
        <v>0</v>
      </c>
      <c r="F1423" s="2">
        <v>29995.18</v>
      </c>
    </row>
    <row r="1424" spans="1:6" x14ac:dyDescent="0.3">
      <c r="A1424" s="1">
        <v>41486</v>
      </c>
      <c r="B1424" t="s">
        <v>15</v>
      </c>
      <c r="C1424" t="s">
        <v>23</v>
      </c>
      <c r="D1424" s="2">
        <v>2985.6485899999998</v>
      </c>
      <c r="E1424" s="2">
        <v>0</v>
      </c>
      <c r="F1424" s="2">
        <v>2985.6485899999998</v>
      </c>
    </row>
    <row r="1425" spans="1:6" x14ac:dyDescent="0.3">
      <c r="A1425" s="1">
        <v>41486</v>
      </c>
      <c r="B1425" t="s">
        <v>15</v>
      </c>
      <c r="C1425" t="s">
        <v>19</v>
      </c>
      <c r="D1425" s="2">
        <v>99953.695047310001</v>
      </c>
      <c r="E1425" s="2">
        <v>4801611.7854547501</v>
      </c>
      <c r="F1425" s="2">
        <v>4901566.4805020597</v>
      </c>
    </row>
    <row r="1426" spans="1:6" x14ac:dyDescent="0.3">
      <c r="A1426" s="1">
        <v>41486</v>
      </c>
      <c r="B1426" t="s">
        <v>15</v>
      </c>
      <c r="C1426" t="s">
        <v>24</v>
      </c>
      <c r="D1426" s="2">
        <v>0</v>
      </c>
      <c r="E1426" s="2">
        <v>493.88749281999998</v>
      </c>
      <c r="F1426" s="2">
        <v>493.88749281999998</v>
      </c>
    </row>
    <row r="1427" spans="1:6" x14ac:dyDescent="0.3">
      <c r="A1427" s="1">
        <v>41486</v>
      </c>
      <c r="B1427" t="s">
        <v>15</v>
      </c>
      <c r="C1427" t="s">
        <v>20</v>
      </c>
      <c r="D1427" s="2">
        <v>1355.4280758499999</v>
      </c>
      <c r="E1427" s="2">
        <v>0</v>
      </c>
      <c r="F1427" s="2">
        <v>1355.4280758499999</v>
      </c>
    </row>
    <row r="1428" spans="1:6" x14ac:dyDescent="0.3">
      <c r="A1428" s="1">
        <v>41486</v>
      </c>
      <c r="B1428" t="s">
        <v>15</v>
      </c>
      <c r="C1428" t="s">
        <v>17</v>
      </c>
      <c r="D1428" s="2">
        <v>138083.03178570999</v>
      </c>
      <c r="E1428" s="2">
        <v>0</v>
      </c>
      <c r="F1428" s="2">
        <v>138083.03178570999</v>
      </c>
    </row>
    <row r="1429" spans="1:6" x14ac:dyDescent="0.3">
      <c r="A1429" s="1">
        <v>41486</v>
      </c>
      <c r="B1429" t="s">
        <v>15</v>
      </c>
      <c r="C1429" t="s">
        <v>18</v>
      </c>
      <c r="D1429" s="2">
        <v>180629.84898425001</v>
      </c>
      <c r="E1429" s="2">
        <v>0</v>
      </c>
      <c r="F1429" s="2">
        <v>180629.84898425001</v>
      </c>
    </row>
    <row r="1430" spans="1:6" x14ac:dyDescent="0.3">
      <c r="A1430" s="1">
        <v>41486</v>
      </c>
      <c r="B1430" t="s">
        <v>13</v>
      </c>
      <c r="C1430" t="s">
        <v>14</v>
      </c>
      <c r="D1430" s="2">
        <v>11464020.342831699</v>
      </c>
      <c r="E1430" s="2">
        <v>19470.342679239999</v>
      </c>
      <c r="F1430" s="2">
        <v>11483490.685511</v>
      </c>
    </row>
    <row r="1431" spans="1:6" x14ac:dyDescent="0.3">
      <c r="A1431" s="1">
        <v>41486</v>
      </c>
      <c r="B1431" t="s">
        <v>21</v>
      </c>
      <c r="C1431" t="s">
        <v>14</v>
      </c>
      <c r="D1431" s="2">
        <v>453002.83248311997</v>
      </c>
      <c r="E1431" s="2">
        <v>4802105.6729475698</v>
      </c>
      <c r="F1431" s="2">
        <v>5255108.50543069</v>
      </c>
    </row>
    <row r="1432" spans="1:6" x14ac:dyDescent="0.3">
      <c r="A1432" s="1">
        <v>41486</v>
      </c>
      <c r="B1432" t="s">
        <v>22</v>
      </c>
      <c r="C1432" t="s">
        <v>14</v>
      </c>
      <c r="D1432" s="2">
        <v>11917023.175314801</v>
      </c>
      <c r="E1432" s="2">
        <v>4821576.0156268096</v>
      </c>
      <c r="F1432" s="2">
        <v>16738599.190941701</v>
      </c>
    </row>
    <row r="1433" spans="1:6" x14ac:dyDescent="0.3">
      <c r="A1433" s="1">
        <v>41486</v>
      </c>
      <c r="B1433" t="s">
        <v>6</v>
      </c>
      <c r="C1433" t="s">
        <v>7</v>
      </c>
      <c r="D1433" s="2">
        <v>1553784.2494000001</v>
      </c>
      <c r="E1433" s="2">
        <v>2173.5219999999999</v>
      </c>
      <c r="F1433" s="2">
        <v>1555957.7714</v>
      </c>
    </row>
    <row r="1434" spans="1:6" x14ac:dyDescent="0.3">
      <c r="A1434" s="1">
        <v>41486</v>
      </c>
      <c r="B1434" t="s">
        <v>6</v>
      </c>
      <c r="C1434" t="s">
        <v>9</v>
      </c>
      <c r="D1434" s="2">
        <v>1333834.2097</v>
      </c>
      <c r="E1434" s="2">
        <v>3325.3263000000002</v>
      </c>
      <c r="F1434" s="2">
        <v>1337159.5360000001</v>
      </c>
    </row>
    <row r="1435" spans="1:6" x14ac:dyDescent="0.3">
      <c r="A1435" s="1">
        <v>41486</v>
      </c>
      <c r="B1435" t="s">
        <v>6</v>
      </c>
      <c r="C1435" t="s">
        <v>12</v>
      </c>
      <c r="D1435" s="2">
        <v>0</v>
      </c>
      <c r="E1435" s="2">
        <v>5695.107</v>
      </c>
      <c r="F1435" s="2">
        <v>5695.107</v>
      </c>
    </row>
    <row r="1436" spans="1:6" x14ac:dyDescent="0.3">
      <c r="A1436" s="1">
        <v>41486</v>
      </c>
      <c r="B1436" t="s">
        <v>6</v>
      </c>
      <c r="C1436" t="s">
        <v>8</v>
      </c>
      <c r="D1436" s="2">
        <v>7672139.4197000004</v>
      </c>
      <c r="E1436" s="2">
        <v>7943.0371999999998</v>
      </c>
      <c r="F1436" s="2">
        <v>7680082.4568999996</v>
      </c>
    </row>
    <row r="1437" spans="1:6" x14ac:dyDescent="0.3">
      <c r="A1437" s="1">
        <v>41486</v>
      </c>
      <c r="B1437" t="s">
        <v>6</v>
      </c>
      <c r="C1437" t="s">
        <v>10</v>
      </c>
      <c r="D1437" s="2">
        <v>904262.46403172996</v>
      </c>
      <c r="E1437" s="2">
        <v>333.35017923999999</v>
      </c>
      <c r="F1437" s="2">
        <v>904595.81421096995</v>
      </c>
    </row>
    <row r="1438" spans="1:6" x14ac:dyDescent="0.3">
      <c r="A1438" s="1">
        <v>41517</v>
      </c>
      <c r="B1438" t="s">
        <v>21</v>
      </c>
      <c r="C1438" t="s">
        <v>14</v>
      </c>
      <c r="D1438" s="2">
        <v>399801.57603677001</v>
      </c>
      <c r="E1438" s="2">
        <v>4752669.0691690603</v>
      </c>
      <c r="F1438" s="2">
        <v>5152470.6452058302</v>
      </c>
    </row>
    <row r="1439" spans="1:6" x14ac:dyDescent="0.3">
      <c r="A1439" s="1">
        <v>41517</v>
      </c>
      <c r="B1439" t="s">
        <v>22</v>
      </c>
      <c r="C1439" t="s">
        <v>14</v>
      </c>
      <c r="D1439" s="2">
        <v>11967013.9489215</v>
      </c>
      <c r="E1439" s="2">
        <v>4771635.7607061202</v>
      </c>
      <c r="F1439" s="2">
        <v>16738649.709627699</v>
      </c>
    </row>
    <row r="1440" spans="1:6" x14ac:dyDescent="0.3">
      <c r="A1440" s="1">
        <v>41517</v>
      </c>
      <c r="B1440" t="s">
        <v>6</v>
      </c>
      <c r="C1440" t="s">
        <v>7</v>
      </c>
      <c r="D1440" s="2">
        <v>1635748.4550000001</v>
      </c>
      <c r="E1440" s="2">
        <v>2215.6860000000001</v>
      </c>
      <c r="F1440" s="2">
        <v>1637964.1410000001</v>
      </c>
    </row>
    <row r="1441" spans="1:6" x14ac:dyDescent="0.3">
      <c r="A1441" s="1">
        <v>41517</v>
      </c>
      <c r="B1441" t="s">
        <v>6</v>
      </c>
      <c r="C1441" t="s">
        <v>9</v>
      </c>
      <c r="D1441" s="2">
        <v>1350078.5016000001</v>
      </c>
      <c r="E1441" s="2">
        <v>3079.8503000000001</v>
      </c>
      <c r="F1441" s="2">
        <v>1353158.3518999999</v>
      </c>
    </row>
    <row r="1442" spans="1:6" x14ac:dyDescent="0.3">
      <c r="A1442" s="1">
        <v>41517</v>
      </c>
      <c r="B1442" t="s">
        <v>6</v>
      </c>
      <c r="C1442" t="s">
        <v>12</v>
      </c>
      <c r="D1442" s="2">
        <v>0</v>
      </c>
      <c r="E1442" s="2">
        <v>5695.107</v>
      </c>
      <c r="F1442" s="2">
        <v>5695.107</v>
      </c>
    </row>
    <row r="1443" spans="1:6" x14ac:dyDescent="0.3">
      <c r="A1443" s="1">
        <v>41517</v>
      </c>
      <c r="B1443" t="s">
        <v>6</v>
      </c>
      <c r="C1443" t="s">
        <v>8</v>
      </c>
      <c r="D1443" s="2">
        <v>7658872.2315999996</v>
      </c>
      <c r="E1443" s="2">
        <v>7652.6851999999999</v>
      </c>
      <c r="F1443" s="2">
        <v>7666524.9167999998</v>
      </c>
    </row>
    <row r="1444" spans="1:6" x14ac:dyDescent="0.3">
      <c r="A1444" s="1">
        <v>41517</v>
      </c>
      <c r="B1444" t="s">
        <v>6</v>
      </c>
      <c r="C1444" t="s">
        <v>10</v>
      </c>
      <c r="D1444" s="2">
        <v>922513.18468477996</v>
      </c>
      <c r="E1444" s="2">
        <v>323.36303706000001</v>
      </c>
      <c r="F1444" s="2">
        <v>922836.54772183998</v>
      </c>
    </row>
    <row r="1445" spans="1:6" x14ac:dyDescent="0.3">
      <c r="A1445" s="1">
        <v>41517</v>
      </c>
      <c r="B1445" t="s">
        <v>15</v>
      </c>
      <c r="C1445" t="s">
        <v>16</v>
      </c>
      <c r="D1445" s="2">
        <v>29995.18</v>
      </c>
      <c r="E1445" s="2">
        <v>0</v>
      </c>
      <c r="F1445" s="2">
        <v>29995.18</v>
      </c>
    </row>
    <row r="1446" spans="1:6" x14ac:dyDescent="0.3">
      <c r="A1446" s="1">
        <v>41517</v>
      </c>
      <c r="B1446" t="s">
        <v>15</v>
      </c>
      <c r="C1446" t="s">
        <v>23</v>
      </c>
      <c r="D1446" s="2">
        <v>2985.6485899999998</v>
      </c>
      <c r="E1446" s="2">
        <v>0</v>
      </c>
      <c r="F1446" s="2">
        <v>2985.6485899999998</v>
      </c>
    </row>
    <row r="1447" spans="1:6" x14ac:dyDescent="0.3">
      <c r="A1447" s="1">
        <v>41517</v>
      </c>
      <c r="B1447" t="s">
        <v>15</v>
      </c>
      <c r="C1447" t="s">
        <v>19</v>
      </c>
      <c r="D1447" s="2">
        <v>57549.812969450002</v>
      </c>
      <c r="E1447" s="2">
        <v>4752175.1816762397</v>
      </c>
      <c r="F1447" s="2">
        <v>4809724.9946456896</v>
      </c>
    </row>
    <row r="1448" spans="1:6" x14ac:dyDescent="0.3">
      <c r="A1448" s="1">
        <v>41517</v>
      </c>
      <c r="B1448" t="s">
        <v>15</v>
      </c>
      <c r="C1448" t="s">
        <v>24</v>
      </c>
      <c r="D1448" s="2">
        <v>0</v>
      </c>
      <c r="E1448" s="2">
        <v>493.88749281999998</v>
      </c>
      <c r="F1448" s="2">
        <v>493.88749281999998</v>
      </c>
    </row>
    <row r="1449" spans="1:6" x14ac:dyDescent="0.3">
      <c r="A1449" s="1">
        <v>41517</v>
      </c>
      <c r="B1449" t="s">
        <v>15</v>
      </c>
      <c r="C1449" t="s">
        <v>20</v>
      </c>
      <c r="D1449" s="2">
        <v>1368.7080105800001</v>
      </c>
      <c r="E1449" s="2">
        <v>0</v>
      </c>
      <c r="F1449" s="2">
        <v>1368.7080105800001</v>
      </c>
    </row>
    <row r="1450" spans="1:6" x14ac:dyDescent="0.3">
      <c r="A1450" s="1">
        <v>41517</v>
      </c>
      <c r="B1450" t="s">
        <v>15</v>
      </c>
      <c r="C1450" t="s">
        <v>17</v>
      </c>
      <c r="D1450" s="2">
        <v>127632.41207957</v>
      </c>
      <c r="E1450" s="2">
        <v>0</v>
      </c>
      <c r="F1450" s="2">
        <v>127632.41207957</v>
      </c>
    </row>
    <row r="1451" spans="1:6" x14ac:dyDescent="0.3">
      <c r="A1451" s="1">
        <v>41517</v>
      </c>
      <c r="B1451" t="s">
        <v>15</v>
      </c>
      <c r="C1451" t="s">
        <v>18</v>
      </c>
      <c r="D1451" s="2">
        <v>180269.81438716999</v>
      </c>
      <c r="E1451" s="2">
        <v>0</v>
      </c>
      <c r="F1451" s="2">
        <v>180269.81438716999</v>
      </c>
    </row>
    <row r="1452" spans="1:6" x14ac:dyDescent="0.3">
      <c r="A1452" s="1">
        <v>41517</v>
      </c>
      <c r="B1452" t="s">
        <v>13</v>
      </c>
      <c r="C1452" t="s">
        <v>14</v>
      </c>
      <c r="D1452" s="2">
        <v>11567212.372884801</v>
      </c>
      <c r="E1452" s="2">
        <v>18966.69153706</v>
      </c>
      <c r="F1452" s="2">
        <v>11586179.064421801</v>
      </c>
    </row>
    <row r="1453" spans="1:6" x14ac:dyDescent="0.3">
      <c r="A1453" s="1">
        <v>41547</v>
      </c>
      <c r="B1453" t="s">
        <v>22</v>
      </c>
      <c r="C1453" t="s">
        <v>14</v>
      </c>
      <c r="D1453" s="2">
        <v>11976279.213615799</v>
      </c>
      <c r="E1453" s="2">
        <v>4761904.3276782203</v>
      </c>
      <c r="F1453" s="2">
        <v>16738183.5412941</v>
      </c>
    </row>
    <row r="1454" spans="1:6" x14ac:dyDescent="0.3">
      <c r="A1454" s="1">
        <v>41547</v>
      </c>
      <c r="B1454" t="s">
        <v>6</v>
      </c>
      <c r="C1454" t="s">
        <v>7</v>
      </c>
      <c r="D1454" s="2">
        <v>1527908.6018000001</v>
      </c>
      <c r="E1454" s="2">
        <v>2063.1619999999998</v>
      </c>
      <c r="F1454" s="2">
        <v>1529971.7638000001</v>
      </c>
    </row>
    <row r="1455" spans="1:6" x14ac:dyDescent="0.3">
      <c r="A1455" s="1">
        <v>41547</v>
      </c>
      <c r="B1455" t="s">
        <v>6</v>
      </c>
      <c r="C1455" t="s">
        <v>9</v>
      </c>
      <c r="D1455" s="2">
        <v>1363114.0216000001</v>
      </c>
      <c r="E1455" s="2">
        <v>3044.2489999999998</v>
      </c>
      <c r="F1455" s="2">
        <v>1366158.2705999999</v>
      </c>
    </row>
    <row r="1456" spans="1:6" x14ac:dyDescent="0.3">
      <c r="A1456" s="1">
        <v>41547</v>
      </c>
      <c r="B1456" t="s">
        <v>6</v>
      </c>
      <c r="C1456" t="s">
        <v>12</v>
      </c>
      <c r="D1456" s="2">
        <v>0</v>
      </c>
      <c r="E1456" s="2">
        <v>5695.107</v>
      </c>
      <c r="F1456" s="2">
        <v>5695.107</v>
      </c>
    </row>
    <row r="1457" spans="1:6" x14ac:dyDescent="0.3">
      <c r="A1457" s="1">
        <v>41547</v>
      </c>
      <c r="B1457" t="s">
        <v>6</v>
      </c>
      <c r="C1457" t="s">
        <v>8</v>
      </c>
      <c r="D1457" s="2">
        <v>7750335.9996999996</v>
      </c>
      <c r="E1457" s="2">
        <v>7614.7979999999998</v>
      </c>
      <c r="F1457" s="2">
        <v>7757950.7977</v>
      </c>
    </row>
    <row r="1458" spans="1:6" x14ac:dyDescent="0.3">
      <c r="A1458" s="1">
        <v>41547</v>
      </c>
      <c r="B1458" t="s">
        <v>6</v>
      </c>
      <c r="C1458" t="s">
        <v>10</v>
      </c>
      <c r="D1458" s="2">
        <v>936041.49759358005</v>
      </c>
      <c r="E1458" s="2">
        <v>337.58895013</v>
      </c>
      <c r="F1458" s="2">
        <v>936379.08654370997</v>
      </c>
    </row>
    <row r="1459" spans="1:6" x14ac:dyDescent="0.3">
      <c r="A1459" s="1">
        <v>41547</v>
      </c>
      <c r="B1459" t="s">
        <v>15</v>
      </c>
      <c r="C1459" t="s">
        <v>16</v>
      </c>
      <c r="D1459" s="2">
        <v>29995.18</v>
      </c>
      <c r="E1459" s="2">
        <v>0</v>
      </c>
      <c r="F1459" s="2">
        <v>29995.18</v>
      </c>
    </row>
    <row r="1460" spans="1:6" x14ac:dyDescent="0.3">
      <c r="A1460" s="1">
        <v>41547</v>
      </c>
      <c r="B1460" t="s">
        <v>15</v>
      </c>
      <c r="C1460" t="s">
        <v>23</v>
      </c>
      <c r="D1460" s="2">
        <v>2985.6485899999998</v>
      </c>
      <c r="E1460" s="2">
        <v>0</v>
      </c>
      <c r="F1460" s="2">
        <v>2985.6485899999998</v>
      </c>
    </row>
    <row r="1461" spans="1:6" x14ac:dyDescent="0.3">
      <c r="A1461" s="1">
        <v>41547</v>
      </c>
      <c r="B1461" t="s">
        <v>15</v>
      </c>
      <c r="C1461" t="s">
        <v>19</v>
      </c>
      <c r="D1461" s="2">
        <v>60444.583578550002</v>
      </c>
      <c r="E1461" s="2">
        <v>4742654.5352352699</v>
      </c>
      <c r="F1461" s="2">
        <v>4803100.1188138202</v>
      </c>
    </row>
    <row r="1462" spans="1:6" x14ac:dyDescent="0.3">
      <c r="A1462" s="1">
        <v>41547</v>
      </c>
      <c r="B1462" t="s">
        <v>15</v>
      </c>
      <c r="C1462" t="s">
        <v>24</v>
      </c>
      <c r="D1462" s="2">
        <v>0</v>
      </c>
      <c r="E1462" s="2">
        <v>493.88749281999998</v>
      </c>
      <c r="F1462" s="2">
        <v>493.88749281999998</v>
      </c>
    </row>
    <row r="1463" spans="1:6" x14ac:dyDescent="0.3">
      <c r="A1463" s="1">
        <v>41547</v>
      </c>
      <c r="B1463" t="s">
        <v>15</v>
      </c>
      <c r="C1463" t="s">
        <v>20</v>
      </c>
      <c r="D1463" s="2">
        <v>1352.88169406</v>
      </c>
      <c r="E1463" s="2">
        <v>0</v>
      </c>
      <c r="F1463" s="2">
        <v>1352.88169406</v>
      </c>
    </row>
    <row r="1464" spans="1:6" x14ac:dyDescent="0.3">
      <c r="A1464" s="1">
        <v>41547</v>
      </c>
      <c r="B1464" t="s">
        <v>15</v>
      </c>
      <c r="C1464" t="s">
        <v>17</v>
      </c>
      <c r="D1464" s="2">
        <v>124078.78330656</v>
      </c>
      <c r="E1464" s="2">
        <v>0</v>
      </c>
      <c r="F1464" s="2">
        <v>124078.78330656</v>
      </c>
    </row>
    <row r="1465" spans="1:6" x14ac:dyDescent="0.3">
      <c r="A1465" s="1">
        <v>41547</v>
      </c>
      <c r="B1465" t="s">
        <v>15</v>
      </c>
      <c r="C1465" t="s">
        <v>18</v>
      </c>
      <c r="D1465" s="2">
        <v>180022.01575309</v>
      </c>
      <c r="E1465" s="2">
        <v>0</v>
      </c>
      <c r="F1465" s="2">
        <v>180022.01575309</v>
      </c>
    </row>
    <row r="1466" spans="1:6" x14ac:dyDescent="0.3">
      <c r="A1466" s="1">
        <v>41547</v>
      </c>
      <c r="B1466" t="s">
        <v>13</v>
      </c>
      <c r="C1466" t="s">
        <v>14</v>
      </c>
      <c r="D1466" s="2">
        <v>11577400.1206936</v>
      </c>
      <c r="E1466" s="2">
        <v>18754.90495013</v>
      </c>
      <c r="F1466" s="2">
        <v>11596155.025643701</v>
      </c>
    </row>
    <row r="1467" spans="1:6" x14ac:dyDescent="0.3">
      <c r="A1467" s="1">
        <v>41547</v>
      </c>
      <c r="B1467" t="s">
        <v>21</v>
      </c>
      <c r="C1467" t="s">
        <v>14</v>
      </c>
      <c r="D1467" s="2">
        <v>398879.09292226</v>
      </c>
      <c r="E1467" s="2">
        <v>4743149.4227280896</v>
      </c>
      <c r="F1467" s="2">
        <v>5142028.5156503497</v>
      </c>
    </row>
    <row r="1468" spans="1:6" x14ac:dyDescent="0.3">
      <c r="A1468" s="1">
        <v>41578</v>
      </c>
      <c r="B1468" t="s">
        <v>21</v>
      </c>
      <c r="C1468" t="s">
        <v>14</v>
      </c>
      <c r="D1468" s="2">
        <v>515502.03683087003</v>
      </c>
      <c r="E1468" s="2">
        <v>4945617.5741139501</v>
      </c>
      <c r="F1468" s="2">
        <v>5461119.6109448196</v>
      </c>
    </row>
    <row r="1469" spans="1:6" x14ac:dyDescent="0.3">
      <c r="A1469" s="1">
        <v>41578</v>
      </c>
      <c r="B1469" t="s">
        <v>22</v>
      </c>
      <c r="C1469" t="s">
        <v>14</v>
      </c>
      <c r="D1469" s="2">
        <v>12187369.7360433</v>
      </c>
      <c r="E1469" s="2">
        <v>4968747.2119890498</v>
      </c>
      <c r="F1469" s="2">
        <v>17156116.948032301</v>
      </c>
    </row>
    <row r="1470" spans="1:6" x14ac:dyDescent="0.3">
      <c r="A1470" s="1">
        <v>41578</v>
      </c>
      <c r="B1470" t="s">
        <v>6</v>
      </c>
      <c r="C1470" t="s">
        <v>7</v>
      </c>
      <c r="D1470" s="2">
        <v>1543471.0636</v>
      </c>
      <c r="E1470" s="2">
        <v>1490.51</v>
      </c>
      <c r="F1470" s="2">
        <v>1544961.5736</v>
      </c>
    </row>
    <row r="1471" spans="1:6" x14ac:dyDescent="0.3">
      <c r="A1471" s="1">
        <v>41578</v>
      </c>
      <c r="B1471" t="s">
        <v>6</v>
      </c>
      <c r="C1471" t="s">
        <v>9</v>
      </c>
      <c r="D1471" s="2">
        <v>1379098.6364</v>
      </c>
      <c r="E1471" s="2">
        <v>59.597999999999999</v>
      </c>
      <c r="F1471" s="2">
        <v>1379158.2344</v>
      </c>
    </row>
    <row r="1472" spans="1:6" x14ac:dyDescent="0.3">
      <c r="A1472" s="1">
        <v>41578</v>
      </c>
      <c r="B1472" t="s">
        <v>6</v>
      </c>
      <c r="C1472" t="s">
        <v>12</v>
      </c>
      <c r="D1472" s="2">
        <v>0</v>
      </c>
      <c r="E1472" s="2">
        <v>14999.99</v>
      </c>
      <c r="F1472" s="2">
        <v>14999.99</v>
      </c>
    </row>
    <row r="1473" spans="1:6" x14ac:dyDescent="0.3">
      <c r="A1473" s="1">
        <v>41578</v>
      </c>
      <c r="B1473" t="s">
        <v>6</v>
      </c>
      <c r="C1473" t="s">
        <v>8</v>
      </c>
      <c r="D1473" s="2">
        <v>7804727.2729000002</v>
      </c>
      <c r="E1473" s="2">
        <v>6548.0230000000001</v>
      </c>
      <c r="F1473" s="2">
        <v>7811275.2959000003</v>
      </c>
    </row>
    <row r="1474" spans="1:6" x14ac:dyDescent="0.3">
      <c r="A1474" s="1">
        <v>41578</v>
      </c>
      <c r="B1474" t="s">
        <v>6</v>
      </c>
      <c r="C1474" t="s">
        <v>10</v>
      </c>
      <c r="D1474" s="2">
        <v>944570.72631238005</v>
      </c>
      <c r="E1474" s="2">
        <v>31.5168751</v>
      </c>
      <c r="F1474" s="2">
        <v>944602.24318748002</v>
      </c>
    </row>
    <row r="1475" spans="1:6" x14ac:dyDescent="0.3">
      <c r="A1475" s="1">
        <v>41578</v>
      </c>
      <c r="B1475" t="s">
        <v>15</v>
      </c>
      <c r="C1475" t="s">
        <v>16</v>
      </c>
      <c r="D1475" s="2">
        <v>29995.18</v>
      </c>
      <c r="E1475" s="2">
        <v>0</v>
      </c>
      <c r="F1475" s="2">
        <v>29995.18</v>
      </c>
    </row>
    <row r="1476" spans="1:6" x14ac:dyDescent="0.3">
      <c r="A1476" s="1">
        <v>41578</v>
      </c>
      <c r="B1476" t="s">
        <v>15</v>
      </c>
      <c r="C1476" t="s">
        <v>23</v>
      </c>
      <c r="D1476" s="2">
        <v>2985.6485899999998</v>
      </c>
      <c r="E1476" s="2">
        <v>0</v>
      </c>
      <c r="F1476" s="2">
        <v>2985.6485899999998</v>
      </c>
    </row>
    <row r="1477" spans="1:6" x14ac:dyDescent="0.3">
      <c r="A1477" s="1">
        <v>41578</v>
      </c>
      <c r="B1477" t="s">
        <v>15</v>
      </c>
      <c r="C1477" t="s">
        <v>19</v>
      </c>
      <c r="D1477" s="2">
        <v>180786.36625496001</v>
      </c>
      <c r="E1477" s="2">
        <v>4945123.6343367305</v>
      </c>
      <c r="F1477" s="2">
        <v>5125910.0005916897</v>
      </c>
    </row>
    <row r="1478" spans="1:6" x14ac:dyDescent="0.3">
      <c r="A1478" s="1">
        <v>41578</v>
      </c>
      <c r="B1478" t="s">
        <v>15</v>
      </c>
      <c r="C1478" t="s">
        <v>24</v>
      </c>
      <c r="D1478" s="2">
        <v>0</v>
      </c>
      <c r="E1478" s="2">
        <v>493.93977722</v>
      </c>
      <c r="F1478" s="2">
        <v>493.93977722</v>
      </c>
    </row>
    <row r="1479" spans="1:6" x14ac:dyDescent="0.3">
      <c r="A1479" s="1">
        <v>41578</v>
      </c>
      <c r="B1479" t="s">
        <v>15</v>
      </c>
      <c r="C1479" t="s">
        <v>20</v>
      </c>
      <c r="D1479" s="2">
        <v>1344.9738893199999</v>
      </c>
      <c r="E1479" s="2">
        <v>0</v>
      </c>
      <c r="F1479" s="2">
        <v>1344.9738893199999</v>
      </c>
    </row>
    <row r="1480" spans="1:6" x14ac:dyDescent="0.3">
      <c r="A1480" s="1">
        <v>41578</v>
      </c>
      <c r="B1480" t="s">
        <v>15</v>
      </c>
      <c r="C1480" t="s">
        <v>17</v>
      </c>
      <c r="D1480" s="2">
        <v>120597.47808174</v>
      </c>
      <c r="E1480" s="2">
        <v>0</v>
      </c>
      <c r="F1480" s="2">
        <v>120597.47808174</v>
      </c>
    </row>
    <row r="1481" spans="1:6" x14ac:dyDescent="0.3">
      <c r="A1481" s="1">
        <v>41578</v>
      </c>
      <c r="B1481" t="s">
        <v>15</v>
      </c>
      <c r="C1481" t="s">
        <v>18</v>
      </c>
      <c r="D1481" s="2">
        <v>179792.39001485001</v>
      </c>
      <c r="E1481" s="2">
        <v>0</v>
      </c>
      <c r="F1481" s="2">
        <v>179792.39001485001</v>
      </c>
    </row>
    <row r="1482" spans="1:6" x14ac:dyDescent="0.3">
      <c r="A1482" s="1">
        <v>41578</v>
      </c>
      <c r="B1482" t="s">
        <v>13</v>
      </c>
      <c r="C1482" t="s">
        <v>14</v>
      </c>
      <c r="D1482" s="2">
        <v>11671867.6992124</v>
      </c>
      <c r="E1482" s="2">
        <v>23129.637875100001</v>
      </c>
      <c r="F1482" s="2">
        <v>11694997.337087501</v>
      </c>
    </row>
    <row r="1483" spans="1:6" x14ac:dyDescent="0.3">
      <c r="A1483" s="1">
        <v>41608</v>
      </c>
      <c r="B1483" t="s">
        <v>6</v>
      </c>
      <c r="C1483" t="s">
        <v>12</v>
      </c>
      <c r="D1483" s="2">
        <v>0</v>
      </c>
      <c r="E1483" s="2">
        <v>14999.99</v>
      </c>
      <c r="F1483" s="2">
        <v>14999.99</v>
      </c>
    </row>
    <row r="1484" spans="1:6" x14ac:dyDescent="0.3">
      <c r="A1484" s="1">
        <v>41608</v>
      </c>
      <c r="B1484" t="s">
        <v>6</v>
      </c>
      <c r="C1484" t="s">
        <v>8</v>
      </c>
      <c r="D1484" s="2">
        <v>7795110.09909999</v>
      </c>
      <c r="E1484" s="2">
        <v>6675.1149999999998</v>
      </c>
      <c r="F1484" s="2">
        <v>7801785.2140999902</v>
      </c>
    </row>
    <row r="1485" spans="1:6" x14ac:dyDescent="0.3">
      <c r="A1485" s="1">
        <v>41608</v>
      </c>
      <c r="B1485" t="s">
        <v>15</v>
      </c>
      <c r="C1485" t="s">
        <v>16</v>
      </c>
      <c r="D1485" s="2">
        <v>29995.18</v>
      </c>
      <c r="E1485" s="2">
        <v>0</v>
      </c>
      <c r="F1485" s="2">
        <v>29995.18</v>
      </c>
    </row>
    <row r="1486" spans="1:6" x14ac:dyDescent="0.3">
      <c r="A1486" s="1">
        <v>41608</v>
      </c>
      <c r="B1486" t="s">
        <v>15</v>
      </c>
      <c r="C1486" t="s">
        <v>23</v>
      </c>
      <c r="D1486" s="2">
        <v>2985.6485899999998</v>
      </c>
      <c r="E1486" s="2">
        <v>0</v>
      </c>
      <c r="F1486" s="2">
        <v>2985.6485899999998</v>
      </c>
    </row>
    <row r="1487" spans="1:6" x14ac:dyDescent="0.3">
      <c r="A1487" s="1">
        <v>41608</v>
      </c>
      <c r="B1487" t="s">
        <v>15</v>
      </c>
      <c r="C1487" t="s">
        <v>19</v>
      </c>
      <c r="D1487" s="2">
        <v>179951.70163304001</v>
      </c>
      <c r="E1487" s="2">
        <v>4912162.2367372103</v>
      </c>
      <c r="F1487" s="2">
        <v>5092113.5222834898</v>
      </c>
    </row>
    <row r="1488" spans="1:6" x14ac:dyDescent="0.3">
      <c r="A1488" s="1">
        <v>41608</v>
      </c>
      <c r="B1488" t="s">
        <v>15</v>
      </c>
      <c r="C1488" t="s">
        <v>24</v>
      </c>
      <c r="D1488" s="2">
        <v>0</v>
      </c>
      <c r="E1488" s="2">
        <v>493.93977722</v>
      </c>
      <c r="F1488" s="2">
        <v>493.93977722</v>
      </c>
    </row>
    <row r="1489" spans="1:6" x14ac:dyDescent="0.3">
      <c r="A1489" s="1">
        <v>41608</v>
      </c>
      <c r="B1489" t="s">
        <v>15</v>
      </c>
      <c r="C1489" t="s">
        <v>20</v>
      </c>
      <c r="D1489" s="2">
        <v>1381.75064135</v>
      </c>
      <c r="E1489" s="2">
        <v>0</v>
      </c>
      <c r="F1489" s="2">
        <v>1381.75064135</v>
      </c>
    </row>
    <row r="1490" spans="1:6" x14ac:dyDescent="0.3">
      <c r="A1490" s="1">
        <v>41608</v>
      </c>
      <c r="B1490" t="s">
        <v>15</v>
      </c>
      <c r="C1490" t="s">
        <v>17</v>
      </c>
      <c r="D1490" s="2">
        <v>118936.3866858</v>
      </c>
      <c r="E1490" s="2">
        <v>0</v>
      </c>
      <c r="F1490" s="2">
        <v>118936.3866858</v>
      </c>
    </row>
    <row r="1491" spans="1:6" x14ac:dyDescent="0.3">
      <c r="A1491" s="1">
        <v>41608</v>
      </c>
      <c r="B1491" t="s">
        <v>15</v>
      </c>
      <c r="C1491" t="s">
        <v>18</v>
      </c>
      <c r="D1491" s="2">
        <v>179608.13631487999</v>
      </c>
      <c r="E1491" s="2">
        <v>0</v>
      </c>
      <c r="F1491" s="2">
        <v>179608.13631487999</v>
      </c>
    </row>
    <row r="1492" spans="1:6" x14ac:dyDescent="0.3">
      <c r="A1492" s="1">
        <v>41608</v>
      </c>
      <c r="B1492" t="s">
        <v>13</v>
      </c>
      <c r="C1492" t="s">
        <v>14</v>
      </c>
      <c r="D1492" s="2">
        <v>11768268.3759719</v>
      </c>
      <c r="E1492" s="2">
        <v>23369.054449499999</v>
      </c>
      <c r="F1492" s="2">
        <v>11791637.430421401</v>
      </c>
    </row>
    <row r="1493" spans="1:6" x14ac:dyDescent="0.3">
      <c r="A1493" s="1">
        <v>41608</v>
      </c>
      <c r="B1493" t="s">
        <v>21</v>
      </c>
      <c r="C1493" t="s">
        <v>14</v>
      </c>
      <c r="D1493" s="2">
        <v>512857.80386506999</v>
      </c>
      <c r="E1493" s="2">
        <v>4912656.17651443</v>
      </c>
      <c r="F1493" s="2">
        <v>5425513.5642927401</v>
      </c>
    </row>
    <row r="1494" spans="1:6" x14ac:dyDescent="0.3">
      <c r="A1494" s="1">
        <v>41608</v>
      </c>
      <c r="B1494" t="s">
        <v>22</v>
      </c>
      <c r="C1494" t="s">
        <v>14</v>
      </c>
      <c r="D1494" s="2">
        <v>12281126.179836901</v>
      </c>
      <c r="E1494" s="2">
        <v>4936025.2309639296</v>
      </c>
      <c r="F1494" s="2">
        <v>17217151.9947141</v>
      </c>
    </row>
    <row r="1495" spans="1:6" x14ac:dyDescent="0.3">
      <c r="A1495" s="1">
        <v>41608</v>
      </c>
      <c r="B1495" t="s">
        <v>6</v>
      </c>
      <c r="C1495" t="s">
        <v>7</v>
      </c>
      <c r="D1495" s="2">
        <v>1619345.3149999999</v>
      </c>
      <c r="E1495" s="2">
        <v>1610.3820000000001</v>
      </c>
      <c r="F1495" s="2">
        <v>1620955.6969999999</v>
      </c>
    </row>
    <row r="1496" spans="1:6" x14ac:dyDescent="0.3">
      <c r="A1496" s="1">
        <v>41608</v>
      </c>
      <c r="B1496" t="s">
        <v>6</v>
      </c>
      <c r="C1496" t="s">
        <v>9</v>
      </c>
      <c r="D1496" s="2">
        <v>1395101.2283000001</v>
      </c>
      <c r="E1496" s="2">
        <v>52.015000000000001</v>
      </c>
      <c r="F1496" s="2">
        <v>1395153.2433</v>
      </c>
    </row>
    <row r="1497" spans="1:6" x14ac:dyDescent="0.3">
      <c r="A1497" s="1">
        <v>41608</v>
      </c>
      <c r="B1497" t="s">
        <v>6</v>
      </c>
      <c r="C1497" t="s">
        <v>10</v>
      </c>
      <c r="D1497" s="2">
        <v>958711.73357187002</v>
      </c>
      <c r="E1497" s="2">
        <v>31.552449500000002</v>
      </c>
      <c r="F1497" s="2">
        <v>958743.28602136998</v>
      </c>
    </row>
    <row r="1498" spans="1:6" x14ac:dyDescent="0.3">
      <c r="A1498" s="1">
        <v>41639</v>
      </c>
      <c r="B1498" t="s">
        <v>22</v>
      </c>
      <c r="C1498" t="s">
        <v>14</v>
      </c>
      <c r="D1498" s="2">
        <v>12355426.862605499</v>
      </c>
      <c r="E1498" s="2">
        <v>4996544.1646424197</v>
      </c>
      <c r="F1498" s="2">
        <v>17351971.027247999</v>
      </c>
    </row>
    <row r="1499" spans="1:6" x14ac:dyDescent="0.3">
      <c r="A1499" s="1">
        <v>41639</v>
      </c>
      <c r="B1499" t="s">
        <v>6</v>
      </c>
      <c r="C1499" t="s">
        <v>7</v>
      </c>
      <c r="D1499" s="2">
        <v>1590562.6908</v>
      </c>
      <c r="E1499" s="2">
        <v>1388.9380000000001</v>
      </c>
      <c r="F1499" s="2">
        <v>1591951.6288000001</v>
      </c>
    </row>
    <row r="1500" spans="1:6" x14ac:dyDescent="0.3">
      <c r="A1500" s="1">
        <v>41639</v>
      </c>
      <c r="B1500" t="s">
        <v>6</v>
      </c>
      <c r="C1500" t="s">
        <v>9</v>
      </c>
      <c r="D1500" s="2">
        <v>1408109.5930000001</v>
      </c>
      <c r="E1500" s="2">
        <v>43.344999999999999</v>
      </c>
      <c r="F1500" s="2">
        <v>1408152.9380000001</v>
      </c>
    </row>
    <row r="1501" spans="1:6" x14ac:dyDescent="0.3">
      <c r="A1501" s="1">
        <v>41639</v>
      </c>
      <c r="B1501" t="s">
        <v>6</v>
      </c>
      <c r="C1501" t="s">
        <v>12</v>
      </c>
      <c r="D1501" s="2">
        <v>0</v>
      </c>
      <c r="E1501" s="2">
        <v>14999.99</v>
      </c>
      <c r="F1501" s="2">
        <v>14999.99</v>
      </c>
    </row>
    <row r="1502" spans="1:6" x14ac:dyDescent="0.3">
      <c r="A1502" s="1">
        <v>41639</v>
      </c>
      <c r="B1502" t="s">
        <v>6</v>
      </c>
      <c r="C1502" t="s">
        <v>8</v>
      </c>
      <c r="D1502" s="2">
        <v>7875064.9462999897</v>
      </c>
      <c r="E1502" s="2">
        <v>6668.8209999999999</v>
      </c>
      <c r="F1502" s="2">
        <v>7881733.7672999902</v>
      </c>
    </row>
    <row r="1503" spans="1:6" x14ac:dyDescent="0.3">
      <c r="A1503" s="1">
        <v>41639</v>
      </c>
      <c r="B1503" t="s">
        <v>6</v>
      </c>
      <c r="C1503" t="s">
        <v>10</v>
      </c>
      <c r="D1503" s="2">
        <v>972555.13764823996</v>
      </c>
      <c r="E1503" s="2">
        <v>40.712077800000003</v>
      </c>
      <c r="F1503" s="2">
        <v>972595.84972604003</v>
      </c>
    </row>
    <row r="1504" spans="1:6" x14ac:dyDescent="0.3">
      <c r="A1504" s="1">
        <v>41639</v>
      </c>
      <c r="B1504" t="s">
        <v>15</v>
      </c>
      <c r="C1504" t="s">
        <v>16</v>
      </c>
      <c r="D1504" s="2">
        <v>29995.18</v>
      </c>
      <c r="E1504" s="2">
        <v>0</v>
      </c>
      <c r="F1504" s="2">
        <v>29995.18</v>
      </c>
    </row>
    <row r="1505" spans="1:6" x14ac:dyDescent="0.3">
      <c r="A1505" s="1">
        <v>41639</v>
      </c>
      <c r="B1505" t="s">
        <v>15</v>
      </c>
      <c r="C1505" t="s">
        <v>23</v>
      </c>
      <c r="D1505" s="2">
        <v>2985.6485899999998</v>
      </c>
      <c r="E1505" s="2">
        <v>0</v>
      </c>
      <c r="F1505" s="2">
        <v>2985.6485899999998</v>
      </c>
    </row>
    <row r="1506" spans="1:6" x14ac:dyDescent="0.3">
      <c r="A1506" s="1">
        <v>41639</v>
      </c>
      <c r="B1506" t="s">
        <v>15</v>
      </c>
      <c r="C1506" t="s">
        <v>19</v>
      </c>
      <c r="D1506" s="2">
        <v>179999.46769712001</v>
      </c>
      <c r="E1506" s="2">
        <v>4972909.4187874002</v>
      </c>
      <c r="F1506" s="2">
        <v>5152907.8864845196</v>
      </c>
    </row>
    <row r="1507" spans="1:6" x14ac:dyDescent="0.3">
      <c r="A1507" s="1">
        <v>41639</v>
      </c>
      <c r="B1507" t="s">
        <v>15</v>
      </c>
      <c r="C1507" t="s">
        <v>24</v>
      </c>
      <c r="D1507" s="2">
        <v>0</v>
      </c>
      <c r="E1507" s="2">
        <v>493.93977722</v>
      </c>
      <c r="F1507" s="2">
        <v>493.93977722</v>
      </c>
    </row>
    <row r="1508" spans="1:6" x14ac:dyDescent="0.3">
      <c r="A1508" s="1">
        <v>41639</v>
      </c>
      <c r="B1508" t="s">
        <v>15</v>
      </c>
      <c r="C1508" t="s">
        <v>20</v>
      </c>
      <c r="D1508" s="2">
        <v>1440.19237782</v>
      </c>
      <c r="E1508" s="2">
        <v>0</v>
      </c>
      <c r="F1508" s="2">
        <v>1440.19237782</v>
      </c>
    </row>
    <row r="1509" spans="1:6" x14ac:dyDescent="0.3">
      <c r="A1509" s="1">
        <v>41639</v>
      </c>
      <c r="B1509" t="s">
        <v>15</v>
      </c>
      <c r="C1509" t="s">
        <v>17</v>
      </c>
      <c r="D1509" s="2">
        <v>115487.82659416</v>
      </c>
      <c r="E1509" s="2">
        <v>0</v>
      </c>
      <c r="F1509" s="2">
        <v>115487.82659416</v>
      </c>
    </row>
    <row r="1510" spans="1:6" x14ac:dyDescent="0.3">
      <c r="A1510" s="1">
        <v>41639</v>
      </c>
      <c r="B1510" t="s">
        <v>15</v>
      </c>
      <c r="C1510" t="s">
        <v>18</v>
      </c>
      <c r="D1510" s="2">
        <v>179226.17959821</v>
      </c>
      <c r="E1510" s="2">
        <v>0</v>
      </c>
      <c r="F1510" s="2">
        <v>179226.17959821</v>
      </c>
    </row>
    <row r="1511" spans="1:6" x14ac:dyDescent="0.3">
      <c r="A1511" s="1">
        <v>41639</v>
      </c>
      <c r="B1511" t="s">
        <v>13</v>
      </c>
      <c r="C1511" t="s">
        <v>14</v>
      </c>
      <c r="D1511" s="2">
        <v>11846292.367748201</v>
      </c>
      <c r="E1511" s="2">
        <v>23141.8060778</v>
      </c>
      <c r="F1511" s="2">
        <v>11869434.173826</v>
      </c>
    </row>
    <row r="1512" spans="1:6" x14ac:dyDescent="0.3">
      <c r="A1512" s="1">
        <v>41639</v>
      </c>
      <c r="B1512" t="s">
        <v>21</v>
      </c>
      <c r="C1512" t="s">
        <v>14</v>
      </c>
      <c r="D1512" s="2">
        <v>509134.49485731003</v>
      </c>
      <c r="E1512" s="2">
        <v>4973402.3585646199</v>
      </c>
      <c r="F1512" s="2">
        <v>5482536.8534219302</v>
      </c>
    </row>
    <row r="1513" spans="1:6" x14ac:dyDescent="0.3">
      <c r="A1513" s="1">
        <v>41670</v>
      </c>
      <c r="B1513" t="s">
        <v>15</v>
      </c>
      <c r="C1513" t="s">
        <v>17</v>
      </c>
      <c r="D1513" s="2">
        <v>110347.97782843999</v>
      </c>
      <c r="E1513" s="2">
        <v>0</v>
      </c>
      <c r="F1513" s="2">
        <v>110347.97782843999</v>
      </c>
    </row>
    <row r="1514" spans="1:6" x14ac:dyDescent="0.3">
      <c r="A1514" s="1">
        <v>41670</v>
      </c>
      <c r="B1514" t="s">
        <v>15</v>
      </c>
      <c r="C1514" t="s">
        <v>18</v>
      </c>
      <c r="D1514" s="2">
        <v>178858.58078431999</v>
      </c>
      <c r="E1514" s="2">
        <v>0</v>
      </c>
      <c r="F1514" s="2">
        <v>178858.58078431999</v>
      </c>
    </row>
    <row r="1515" spans="1:6" x14ac:dyDescent="0.3">
      <c r="A1515" s="1">
        <v>41670</v>
      </c>
      <c r="B1515" t="s">
        <v>13</v>
      </c>
      <c r="C1515" t="s">
        <v>14</v>
      </c>
      <c r="D1515" s="2">
        <v>11802069.783922</v>
      </c>
      <c r="E1515" s="2">
        <v>23251.81259727</v>
      </c>
      <c r="F1515" s="2">
        <v>11825321.596519301</v>
      </c>
    </row>
    <row r="1516" spans="1:6" x14ac:dyDescent="0.3">
      <c r="A1516" s="1">
        <v>41670</v>
      </c>
      <c r="B1516" t="s">
        <v>21</v>
      </c>
      <c r="C1516" t="s">
        <v>14</v>
      </c>
      <c r="D1516" s="2">
        <v>506073.40481371002</v>
      </c>
      <c r="E1516" s="2">
        <v>4961624.7223538598</v>
      </c>
      <c r="F1516" s="2">
        <v>5467697.9607664105</v>
      </c>
    </row>
    <row r="1517" spans="1:6" x14ac:dyDescent="0.3">
      <c r="A1517" s="1">
        <v>41670</v>
      </c>
      <c r="B1517" t="s">
        <v>22</v>
      </c>
      <c r="C1517" t="s">
        <v>14</v>
      </c>
      <c r="D1517" s="2">
        <v>12308143.188735699</v>
      </c>
      <c r="E1517" s="2">
        <v>4984876.5349511299</v>
      </c>
      <c r="F1517" s="2">
        <v>17293019.5572857</v>
      </c>
    </row>
    <row r="1518" spans="1:6" x14ac:dyDescent="0.3">
      <c r="A1518" s="1">
        <v>41670</v>
      </c>
      <c r="B1518" t="s">
        <v>6</v>
      </c>
      <c r="C1518" t="s">
        <v>7</v>
      </c>
      <c r="D1518" s="2">
        <v>1484437.7774</v>
      </c>
      <c r="E1518" s="2">
        <v>1538.8779999999999</v>
      </c>
      <c r="F1518" s="2">
        <v>1485976.6554</v>
      </c>
    </row>
    <row r="1519" spans="1:6" x14ac:dyDescent="0.3">
      <c r="A1519" s="1">
        <v>41670</v>
      </c>
      <c r="B1519" t="s">
        <v>6</v>
      </c>
      <c r="C1519" t="s">
        <v>9</v>
      </c>
      <c r="D1519" s="2">
        <v>1421109.6850999999</v>
      </c>
      <c r="E1519" s="2">
        <v>43.255000000000003</v>
      </c>
      <c r="F1519" s="2">
        <v>1421152.9401</v>
      </c>
    </row>
    <row r="1520" spans="1:6" x14ac:dyDescent="0.3">
      <c r="A1520" s="1">
        <v>41670</v>
      </c>
      <c r="B1520" t="s">
        <v>6</v>
      </c>
      <c r="C1520" t="s">
        <v>12</v>
      </c>
      <c r="D1520" s="2">
        <v>0</v>
      </c>
      <c r="E1520" s="2">
        <v>14999.99</v>
      </c>
      <c r="F1520" s="2">
        <v>14999.99</v>
      </c>
    </row>
    <row r="1521" spans="1:6" x14ac:dyDescent="0.3">
      <c r="A1521" s="1">
        <v>41670</v>
      </c>
      <c r="B1521" t="s">
        <v>6</v>
      </c>
      <c r="C1521" t="s">
        <v>11</v>
      </c>
      <c r="D1521" s="2">
        <v>15000.077499999999</v>
      </c>
      <c r="E1521" s="2">
        <v>0</v>
      </c>
      <c r="F1521" s="2">
        <v>15000.077499999999</v>
      </c>
    </row>
    <row r="1522" spans="1:6" x14ac:dyDescent="0.3">
      <c r="A1522" s="1">
        <v>41670</v>
      </c>
      <c r="B1522" t="s">
        <v>6</v>
      </c>
      <c r="C1522" t="s">
        <v>8</v>
      </c>
      <c r="D1522" s="2">
        <v>7922463.82109999</v>
      </c>
      <c r="E1522" s="2">
        <v>6629.5959999999995</v>
      </c>
      <c r="F1522" s="2">
        <v>7929093.41709999</v>
      </c>
    </row>
    <row r="1523" spans="1:6" x14ac:dyDescent="0.3">
      <c r="A1523" s="1">
        <v>41670</v>
      </c>
      <c r="B1523" t="s">
        <v>6</v>
      </c>
      <c r="C1523" t="s">
        <v>10</v>
      </c>
      <c r="D1523" s="2">
        <v>959058.42282198998</v>
      </c>
      <c r="E1523" s="2">
        <v>40.093597269999997</v>
      </c>
      <c r="F1523" s="2">
        <v>959098.51641925995</v>
      </c>
    </row>
    <row r="1524" spans="1:6" x14ac:dyDescent="0.3">
      <c r="A1524" s="1">
        <v>41670</v>
      </c>
      <c r="B1524" t="s">
        <v>15</v>
      </c>
      <c r="C1524" t="s">
        <v>16</v>
      </c>
      <c r="D1524" s="2">
        <v>29995.18</v>
      </c>
      <c r="E1524" s="2">
        <v>0</v>
      </c>
      <c r="F1524" s="2">
        <v>29995.18</v>
      </c>
    </row>
    <row r="1525" spans="1:6" x14ac:dyDescent="0.3">
      <c r="A1525" s="1">
        <v>41670</v>
      </c>
      <c r="B1525" t="s">
        <v>15</v>
      </c>
      <c r="C1525" t="s">
        <v>23</v>
      </c>
      <c r="D1525" s="2">
        <v>2985.6485899999998</v>
      </c>
      <c r="E1525" s="2">
        <v>0</v>
      </c>
      <c r="F1525" s="2">
        <v>2985.6485899999998</v>
      </c>
    </row>
    <row r="1526" spans="1:6" x14ac:dyDescent="0.3">
      <c r="A1526" s="1">
        <v>41670</v>
      </c>
      <c r="B1526" t="s">
        <v>15</v>
      </c>
      <c r="C1526" t="s">
        <v>19</v>
      </c>
      <c r="D1526" s="2">
        <v>182464.77796380001</v>
      </c>
      <c r="E1526" s="2">
        <v>4961130.6829767302</v>
      </c>
      <c r="F1526" s="2">
        <v>5143596.2945393696</v>
      </c>
    </row>
    <row r="1527" spans="1:6" x14ac:dyDescent="0.3">
      <c r="A1527" s="1">
        <v>41670</v>
      </c>
      <c r="B1527" t="s">
        <v>15</v>
      </c>
      <c r="C1527" t="s">
        <v>24</v>
      </c>
      <c r="D1527" s="2">
        <v>0</v>
      </c>
      <c r="E1527" s="2">
        <v>494.03937712999999</v>
      </c>
      <c r="F1527" s="2">
        <v>494.03937712999999</v>
      </c>
    </row>
    <row r="1528" spans="1:6" x14ac:dyDescent="0.3">
      <c r="A1528" s="1">
        <v>41670</v>
      </c>
      <c r="B1528" t="s">
        <v>15</v>
      </c>
      <c r="C1528" t="s">
        <v>20</v>
      </c>
      <c r="D1528" s="2">
        <v>1420.2396471500001</v>
      </c>
      <c r="E1528" s="2">
        <v>0</v>
      </c>
      <c r="F1528" s="2">
        <v>1420.2396471500001</v>
      </c>
    </row>
    <row r="1529" spans="1:6" x14ac:dyDescent="0.3">
      <c r="A1529" s="1">
        <v>41698</v>
      </c>
      <c r="B1529" t="s">
        <v>22</v>
      </c>
      <c r="C1529" t="s">
        <v>14</v>
      </c>
      <c r="D1529" s="2">
        <v>12492549.8605683</v>
      </c>
      <c r="E1529" s="2">
        <v>4970678.7466512099</v>
      </c>
      <c r="F1529" s="2">
        <v>17463228.513598301</v>
      </c>
    </row>
    <row r="1530" spans="1:6" x14ac:dyDescent="0.3">
      <c r="A1530" s="1">
        <v>41698</v>
      </c>
      <c r="B1530" t="s">
        <v>6</v>
      </c>
      <c r="C1530" t="s">
        <v>7</v>
      </c>
      <c r="D1530" s="2">
        <v>1612320.9417000001</v>
      </c>
      <c r="E1530" s="2">
        <v>1651.2570000000001</v>
      </c>
      <c r="F1530" s="2">
        <v>1613972.1987000001</v>
      </c>
    </row>
    <row r="1531" spans="1:6" x14ac:dyDescent="0.3">
      <c r="A1531" s="1">
        <v>41698</v>
      </c>
      <c r="B1531" t="s">
        <v>6</v>
      </c>
      <c r="C1531" t="s">
        <v>9</v>
      </c>
      <c r="D1531" s="2">
        <v>1437113.3049000001</v>
      </c>
      <c r="E1531" s="2">
        <v>39.271000000000001</v>
      </c>
      <c r="F1531" s="2">
        <v>1437152.5759000001</v>
      </c>
    </row>
    <row r="1532" spans="1:6" x14ac:dyDescent="0.3">
      <c r="A1532" s="1">
        <v>41698</v>
      </c>
      <c r="B1532" t="s">
        <v>6</v>
      </c>
      <c r="C1532" t="s">
        <v>12</v>
      </c>
      <c r="D1532" s="2">
        <v>0</v>
      </c>
      <c r="E1532" s="2">
        <v>14999.99</v>
      </c>
      <c r="F1532" s="2">
        <v>14999.99</v>
      </c>
    </row>
    <row r="1533" spans="1:6" x14ac:dyDescent="0.3">
      <c r="A1533" s="1">
        <v>41698</v>
      </c>
      <c r="B1533" t="s">
        <v>6</v>
      </c>
      <c r="C1533" t="s">
        <v>11</v>
      </c>
      <c r="D1533" s="2">
        <v>28000.166499999999</v>
      </c>
      <c r="E1533" s="2">
        <v>0</v>
      </c>
      <c r="F1533" s="2">
        <v>28000.166499999999</v>
      </c>
    </row>
    <row r="1534" spans="1:6" x14ac:dyDescent="0.3">
      <c r="A1534" s="1">
        <v>41698</v>
      </c>
      <c r="B1534" t="s">
        <v>6</v>
      </c>
      <c r="C1534" t="s">
        <v>8</v>
      </c>
      <c r="D1534" s="2">
        <v>7942678.0943999896</v>
      </c>
      <c r="E1534" s="2">
        <v>6656.1009999999997</v>
      </c>
      <c r="F1534" s="2">
        <v>7949334.1953999903</v>
      </c>
    </row>
    <row r="1535" spans="1:6" x14ac:dyDescent="0.3">
      <c r="A1535" s="1">
        <v>41698</v>
      </c>
      <c r="B1535" t="s">
        <v>6</v>
      </c>
      <c r="C1535" t="s">
        <v>10</v>
      </c>
      <c r="D1535" s="2">
        <v>967943.73850681004</v>
      </c>
      <c r="E1535" s="2">
        <v>40.073678469999997</v>
      </c>
      <c r="F1535" s="2">
        <v>967983.81218528003</v>
      </c>
    </row>
    <row r="1536" spans="1:6" x14ac:dyDescent="0.3">
      <c r="A1536" s="1">
        <v>41698</v>
      </c>
      <c r="B1536" t="s">
        <v>15</v>
      </c>
      <c r="C1536" t="s">
        <v>16</v>
      </c>
      <c r="D1536" s="2">
        <v>29995.18</v>
      </c>
      <c r="E1536" s="2">
        <v>0</v>
      </c>
      <c r="F1536" s="2">
        <v>29995.18</v>
      </c>
    </row>
    <row r="1537" spans="1:6" x14ac:dyDescent="0.3">
      <c r="A1537" s="1">
        <v>41698</v>
      </c>
      <c r="B1537" t="s">
        <v>15</v>
      </c>
      <c r="C1537" t="s">
        <v>23</v>
      </c>
      <c r="D1537" s="2">
        <v>2985.6485899999998</v>
      </c>
      <c r="E1537" s="2">
        <v>0</v>
      </c>
      <c r="F1537" s="2">
        <v>2985.6485899999998</v>
      </c>
    </row>
    <row r="1538" spans="1:6" x14ac:dyDescent="0.3">
      <c r="A1538" s="1">
        <v>41698</v>
      </c>
      <c r="B1538" t="s">
        <v>15</v>
      </c>
      <c r="C1538" t="s">
        <v>19</v>
      </c>
      <c r="D1538" s="2">
        <v>184273.12632886</v>
      </c>
      <c r="E1538" s="2">
        <v>4946798.0145956101</v>
      </c>
      <c r="F1538" s="2">
        <v>5131071.0473033199</v>
      </c>
    </row>
    <row r="1539" spans="1:6" x14ac:dyDescent="0.3">
      <c r="A1539" s="1">
        <v>41698</v>
      </c>
      <c r="B1539" t="s">
        <v>15</v>
      </c>
      <c r="C1539" t="s">
        <v>24</v>
      </c>
      <c r="D1539" s="2">
        <v>0</v>
      </c>
      <c r="E1539" s="2">
        <v>494.03937712999999</v>
      </c>
      <c r="F1539" s="2">
        <v>494.03937712999999</v>
      </c>
    </row>
    <row r="1540" spans="1:6" x14ac:dyDescent="0.3">
      <c r="A1540" s="1">
        <v>41698</v>
      </c>
      <c r="B1540" t="s">
        <v>15</v>
      </c>
      <c r="C1540" t="s">
        <v>20</v>
      </c>
      <c r="D1540" s="2">
        <v>1385.93359366</v>
      </c>
      <c r="E1540" s="2">
        <v>0</v>
      </c>
      <c r="F1540" s="2">
        <v>1385.93359366</v>
      </c>
    </row>
    <row r="1541" spans="1:6" x14ac:dyDescent="0.3">
      <c r="A1541" s="1">
        <v>41698</v>
      </c>
      <c r="B1541" t="s">
        <v>15</v>
      </c>
      <c r="C1541" t="s">
        <v>17</v>
      </c>
      <c r="D1541" s="2">
        <v>107174.59161086001</v>
      </c>
      <c r="E1541" s="2">
        <v>0</v>
      </c>
      <c r="F1541" s="2">
        <v>107174.59161086001</v>
      </c>
    </row>
    <row r="1542" spans="1:6" x14ac:dyDescent="0.3">
      <c r="A1542" s="1">
        <v>41698</v>
      </c>
      <c r="B1542" t="s">
        <v>15</v>
      </c>
      <c r="C1542" t="s">
        <v>18</v>
      </c>
      <c r="D1542" s="2">
        <v>178679.13443807999</v>
      </c>
      <c r="E1542" s="2">
        <v>0</v>
      </c>
      <c r="F1542" s="2">
        <v>178679.13443807999</v>
      </c>
    </row>
    <row r="1543" spans="1:6" x14ac:dyDescent="0.3">
      <c r="A1543" s="1">
        <v>41698</v>
      </c>
      <c r="B1543" t="s">
        <v>13</v>
      </c>
      <c r="C1543" t="s">
        <v>14</v>
      </c>
      <c r="D1543" s="2">
        <v>11988056.2460068</v>
      </c>
      <c r="E1543" s="2">
        <v>23386.692678470001</v>
      </c>
      <c r="F1543" s="2">
        <v>12011442.9386853</v>
      </c>
    </row>
    <row r="1544" spans="1:6" x14ac:dyDescent="0.3">
      <c r="A1544" s="1">
        <v>41698</v>
      </c>
      <c r="B1544" t="s">
        <v>21</v>
      </c>
      <c r="C1544" t="s">
        <v>14</v>
      </c>
      <c r="D1544" s="2">
        <v>504493.61456145998</v>
      </c>
      <c r="E1544" s="2">
        <v>4947292.0539727397</v>
      </c>
      <c r="F1544" s="2">
        <v>5451785.57491305</v>
      </c>
    </row>
    <row r="1545" spans="1:6" x14ac:dyDescent="0.3">
      <c r="A1545" s="1">
        <v>41729</v>
      </c>
      <c r="B1545" t="s">
        <v>15</v>
      </c>
      <c r="C1545" t="s">
        <v>19</v>
      </c>
      <c r="D1545" s="2">
        <v>186051.18635582001</v>
      </c>
      <c r="E1545" s="2">
        <v>4957942.54625047</v>
      </c>
      <c r="F1545" s="2">
        <v>5143994.6213409305</v>
      </c>
    </row>
    <row r="1546" spans="1:6" x14ac:dyDescent="0.3">
      <c r="A1546" s="1">
        <v>41729</v>
      </c>
      <c r="B1546" t="s">
        <v>15</v>
      </c>
      <c r="C1546" t="s">
        <v>24</v>
      </c>
      <c r="D1546" s="2">
        <v>0</v>
      </c>
      <c r="E1546" s="2">
        <v>494.03937712999999</v>
      </c>
      <c r="F1546" s="2">
        <v>494.03937712999999</v>
      </c>
    </row>
    <row r="1547" spans="1:6" x14ac:dyDescent="0.3">
      <c r="A1547" s="1">
        <v>41729</v>
      </c>
      <c r="B1547" t="s">
        <v>15</v>
      </c>
      <c r="C1547" t="s">
        <v>20</v>
      </c>
      <c r="D1547" s="2">
        <v>1357.58363568</v>
      </c>
      <c r="E1547" s="2">
        <v>0</v>
      </c>
      <c r="F1547" s="2">
        <v>1357.58363568</v>
      </c>
    </row>
    <row r="1548" spans="1:6" x14ac:dyDescent="0.3">
      <c r="A1548" s="1">
        <v>41729</v>
      </c>
      <c r="B1548" t="s">
        <v>15</v>
      </c>
      <c r="C1548" t="s">
        <v>17</v>
      </c>
      <c r="D1548" s="2">
        <v>108535.94346251999</v>
      </c>
      <c r="E1548" s="2">
        <v>0</v>
      </c>
      <c r="F1548" s="2">
        <v>108535.94346251999</v>
      </c>
    </row>
    <row r="1549" spans="1:6" x14ac:dyDescent="0.3">
      <c r="A1549" s="1">
        <v>41729</v>
      </c>
      <c r="B1549" t="s">
        <v>15</v>
      </c>
      <c r="C1549" t="s">
        <v>18</v>
      </c>
      <c r="D1549" s="2">
        <v>178371.99963794</v>
      </c>
      <c r="E1549" s="2">
        <v>0</v>
      </c>
      <c r="F1549" s="2">
        <v>178371.99963794</v>
      </c>
    </row>
    <row r="1550" spans="1:6" x14ac:dyDescent="0.3">
      <c r="A1550" s="1">
        <v>41729</v>
      </c>
      <c r="B1550" t="s">
        <v>21</v>
      </c>
      <c r="C1550" t="s">
        <v>14</v>
      </c>
      <c r="D1550" s="2">
        <v>507297.54168195999</v>
      </c>
      <c r="E1550" s="2">
        <v>4958436.5856275996</v>
      </c>
      <c r="F1550" s="2">
        <v>5465735.0160442004</v>
      </c>
    </row>
    <row r="1551" spans="1:6" x14ac:dyDescent="0.3">
      <c r="A1551" s="1">
        <v>41729</v>
      </c>
      <c r="B1551" t="s">
        <v>22</v>
      </c>
      <c r="C1551" t="s">
        <v>14</v>
      </c>
      <c r="D1551" s="2">
        <v>12619318.895078899</v>
      </c>
      <c r="E1551" s="2">
        <v>4981908.4403978903</v>
      </c>
      <c r="F1551" s="2">
        <v>17601227.224211499</v>
      </c>
    </row>
    <row r="1552" spans="1:6" x14ac:dyDescent="0.3">
      <c r="A1552" s="1">
        <v>41729</v>
      </c>
      <c r="B1552" t="s">
        <v>6</v>
      </c>
      <c r="C1552" t="s">
        <v>7</v>
      </c>
      <c r="D1552" s="2">
        <v>1650232.7216</v>
      </c>
      <c r="E1552" s="2">
        <v>1735.807</v>
      </c>
      <c r="F1552" s="2">
        <v>1651968.5286000001</v>
      </c>
    </row>
    <row r="1553" spans="1:6" x14ac:dyDescent="0.3">
      <c r="A1553" s="1">
        <v>41729</v>
      </c>
      <c r="B1553" t="s">
        <v>6</v>
      </c>
      <c r="C1553" t="s">
        <v>9</v>
      </c>
      <c r="D1553" s="2">
        <v>1450113.6579499999</v>
      </c>
      <c r="E1553" s="2">
        <v>38.929000000000002</v>
      </c>
      <c r="F1553" s="2">
        <v>1450152.5869499999</v>
      </c>
    </row>
    <row r="1554" spans="1:6" x14ac:dyDescent="0.3">
      <c r="A1554" s="1">
        <v>41729</v>
      </c>
      <c r="B1554" t="s">
        <v>6</v>
      </c>
      <c r="C1554" t="s">
        <v>12</v>
      </c>
      <c r="D1554" s="2">
        <v>0</v>
      </c>
      <c r="E1554" s="2">
        <v>14999.99</v>
      </c>
      <c r="F1554" s="2">
        <v>14999.99</v>
      </c>
    </row>
    <row r="1555" spans="1:6" x14ac:dyDescent="0.3">
      <c r="A1555" s="1">
        <v>41729</v>
      </c>
      <c r="B1555" t="s">
        <v>6</v>
      </c>
      <c r="C1555" t="s">
        <v>11</v>
      </c>
      <c r="D1555" s="2">
        <v>41000.317199999998</v>
      </c>
      <c r="E1555" s="2">
        <v>0</v>
      </c>
      <c r="F1555" s="2">
        <v>41000.317199999998</v>
      </c>
    </row>
    <row r="1556" spans="1:6" x14ac:dyDescent="0.3">
      <c r="A1556" s="1">
        <v>41729</v>
      </c>
      <c r="B1556" t="s">
        <v>6</v>
      </c>
      <c r="C1556" t="s">
        <v>8</v>
      </c>
      <c r="D1556" s="2">
        <v>7986238.2297999896</v>
      </c>
      <c r="E1556" s="2">
        <v>6654.3670000000002</v>
      </c>
      <c r="F1556" s="2">
        <v>7992892.5967999902</v>
      </c>
    </row>
    <row r="1557" spans="1:6" x14ac:dyDescent="0.3">
      <c r="A1557" s="1">
        <v>41729</v>
      </c>
      <c r="B1557" t="s">
        <v>6</v>
      </c>
      <c r="C1557" t="s">
        <v>10</v>
      </c>
      <c r="D1557" s="2">
        <v>984436.42684696999</v>
      </c>
      <c r="E1557" s="2">
        <v>41.761770290000001</v>
      </c>
      <c r="F1557" s="2">
        <v>984478.18861725996</v>
      </c>
    </row>
    <row r="1558" spans="1:6" x14ac:dyDescent="0.3">
      <c r="A1558" s="1">
        <v>41729</v>
      </c>
      <c r="B1558" t="s">
        <v>15</v>
      </c>
      <c r="C1558" t="s">
        <v>16</v>
      </c>
      <c r="D1558" s="2">
        <v>29995.18</v>
      </c>
      <c r="E1558" s="2">
        <v>0</v>
      </c>
      <c r="F1558" s="2">
        <v>29995.18</v>
      </c>
    </row>
    <row r="1559" spans="1:6" x14ac:dyDescent="0.3">
      <c r="A1559" s="1">
        <v>41729</v>
      </c>
      <c r="B1559" t="s">
        <v>15</v>
      </c>
      <c r="C1559" t="s">
        <v>23</v>
      </c>
      <c r="D1559" s="2">
        <v>2985.6485899999998</v>
      </c>
      <c r="E1559" s="2">
        <v>0</v>
      </c>
      <c r="F1559" s="2">
        <v>2985.6485899999998</v>
      </c>
    </row>
    <row r="1560" spans="1:6" x14ac:dyDescent="0.3">
      <c r="A1560" s="1">
        <v>41729</v>
      </c>
      <c r="B1560" t="s">
        <v>13</v>
      </c>
      <c r="C1560" t="s">
        <v>14</v>
      </c>
      <c r="D1560" s="2">
        <v>12112021.353397001</v>
      </c>
      <c r="E1560" s="2">
        <v>23470.85477029</v>
      </c>
      <c r="F1560" s="2">
        <v>12135492.2081673</v>
      </c>
    </row>
    <row r="1561" spans="1:6" x14ac:dyDescent="0.3">
      <c r="A1561" s="1">
        <v>41759</v>
      </c>
      <c r="B1561" t="s">
        <v>15</v>
      </c>
      <c r="C1561" t="s">
        <v>16</v>
      </c>
      <c r="D1561" s="2">
        <v>29995.18</v>
      </c>
      <c r="E1561" s="2">
        <v>0</v>
      </c>
      <c r="F1561" s="2">
        <v>29995.18</v>
      </c>
    </row>
    <row r="1562" spans="1:6" x14ac:dyDescent="0.3">
      <c r="A1562" s="1">
        <v>41759</v>
      </c>
      <c r="B1562" t="s">
        <v>15</v>
      </c>
      <c r="C1562" t="s">
        <v>23</v>
      </c>
      <c r="D1562" s="2">
        <v>2985.6485899999998</v>
      </c>
      <c r="E1562" s="2">
        <v>0</v>
      </c>
      <c r="F1562" s="2">
        <v>2985.6485899999998</v>
      </c>
    </row>
    <row r="1563" spans="1:6" x14ac:dyDescent="0.3">
      <c r="A1563" s="1">
        <v>41759</v>
      </c>
      <c r="B1563" t="s">
        <v>15</v>
      </c>
      <c r="C1563" t="s">
        <v>19</v>
      </c>
      <c r="D1563" s="2">
        <v>185731.68956741999</v>
      </c>
      <c r="E1563" s="2">
        <v>4980801.7981714597</v>
      </c>
      <c r="F1563" s="2">
        <v>5166533.4877388701</v>
      </c>
    </row>
    <row r="1564" spans="1:6" x14ac:dyDescent="0.3">
      <c r="A1564" s="1">
        <v>41759</v>
      </c>
      <c r="B1564" t="s">
        <v>15</v>
      </c>
      <c r="C1564" t="s">
        <v>20</v>
      </c>
      <c r="D1564" s="2">
        <v>1375.79800589</v>
      </c>
      <c r="E1564" s="2">
        <v>0</v>
      </c>
      <c r="F1564" s="2">
        <v>1375.79800589</v>
      </c>
    </row>
    <row r="1565" spans="1:6" x14ac:dyDescent="0.3">
      <c r="A1565" s="1">
        <v>41759</v>
      </c>
      <c r="B1565" t="s">
        <v>15</v>
      </c>
      <c r="C1565" t="s">
        <v>17</v>
      </c>
      <c r="D1565" s="2">
        <v>112423.27278393001</v>
      </c>
      <c r="E1565" s="2">
        <v>0</v>
      </c>
      <c r="F1565" s="2">
        <v>112423.27278393001</v>
      </c>
    </row>
    <row r="1566" spans="1:6" x14ac:dyDescent="0.3">
      <c r="A1566" s="1">
        <v>41759</v>
      </c>
      <c r="B1566" t="s">
        <v>15</v>
      </c>
      <c r="C1566" t="s">
        <v>18</v>
      </c>
      <c r="D1566" s="2">
        <v>178127.92303936</v>
      </c>
      <c r="E1566" s="2">
        <v>0</v>
      </c>
      <c r="F1566" s="2">
        <v>178127.92303936</v>
      </c>
    </row>
    <row r="1567" spans="1:6" x14ac:dyDescent="0.3">
      <c r="A1567" s="1">
        <v>41759</v>
      </c>
      <c r="B1567" t="s">
        <v>13</v>
      </c>
      <c r="C1567" t="s">
        <v>14</v>
      </c>
      <c r="D1567" s="2">
        <v>11992828.813530801</v>
      </c>
      <c r="E1567" s="2">
        <v>23672.905867559999</v>
      </c>
      <c r="F1567" s="2">
        <v>12016501.719398299</v>
      </c>
    </row>
    <row r="1568" spans="1:6" x14ac:dyDescent="0.3">
      <c r="A1568" s="1">
        <v>41759</v>
      </c>
      <c r="B1568" t="s">
        <v>21</v>
      </c>
      <c r="C1568" t="s">
        <v>14</v>
      </c>
      <c r="D1568" s="2">
        <v>510639.5119866</v>
      </c>
      <c r="E1568" s="2">
        <v>4981295.8862757701</v>
      </c>
      <c r="F1568" s="2">
        <v>5491935.3982623797</v>
      </c>
    </row>
    <row r="1569" spans="1:6" x14ac:dyDescent="0.3">
      <c r="A1569" s="1">
        <v>41759</v>
      </c>
      <c r="B1569" t="s">
        <v>22</v>
      </c>
      <c r="C1569" t="s">
        <v>14</v>
      </c>
      <c r="D1569" s="2">
        <v>12503468.325517399</v>
      </c>
      <c r="E1569" s="2">
        <v>5004968.79214333</v>
      </c>
      <c r="F1569" s="2">
        <v>17508437.117660701</v>
      </c>
    </row>
    <row r="1570" spans="1:6" x14ac:dyDescent="0.3">
      <c r="A1570" s="1">
        <v>41759</v>
      </c>
      <c r="B1570" t="s">
        <v>6</v>
      </c>
      <c r="C1570" t="s">
        <v>7</v>
      </c>
      <c r="D1570" s="2">
        <v>1457135.9998999999</v>
      </c>
      <c r="E1570" s="2">
        <v>1834.6</v>
      </c>
      <c r="F1570" s="2">
        <v>1458970.5999</v>
      </c>
    </row>
    <row r="1571" spans="1:6" x14ac:dyDescent="0.3">
      <c r="A1571" s="1">
        <v>41759</v>
      </c>
      <c r="B1571" t="s">
        <v>6</v>
      </c>
      <c r="C1571" t="s">
        <v>9</v>
      </c>
      <c r="D1571" s="2">
        <v>1463106.9241500001</v>
      </c>
      <c r="E1571" s="2">
        <v>45.594000000000001</v>
      </c>
      <c r="F1571" s="2">
        <v>1463152.5181499999</v>
      </c>
    </row>
    <row r="1572" spans="1:6" x14ac:dyDescent="0.3">
      <c r="A1572" s="1">
        <v>41759</v>
      </c>
      <c r="B1572" t="s">
        <v>6</v>
      </c>
      <c r="C1572" t="s">
        <v>12</v>
      </c>
      <c r="D1572" s="2">
        <v>0</v>
      </c>
      <c r="E1572" s="2">
        <v>14999.99</v>
      </c>
      <c r="F1572" s="2">
        <v>14999.99</v>
      </c>
    </row>
    <row r="1573" spans="1:6" x14ac:dyDescent="0.3">
      <c r="A1573" s="1">
        <v>41759</v>
      </c>
      <c r="B1573" t="s">
        <v>6</v>
      </c>
      <c r="C1573" t="s">
        <v>11</v>
      </c>
      <c r="D1573" s="2">
        <v>56000.563900000001</v>
      </c>
      <c r="E1573" s="2">
        <v>0</v>
      </c>
      <c r="F1573" s="2">
        <v>56000.563900000001</v>
      </c>
    </row>
    <row r="1574" spans="1:6" x14ac:dyDescent="0.3">
      <c r="A1574" s="1">
        <v>41759</v>
      </c>
      <c r="B1574" t="s">
        <v>6</v>
      </c>
      <c r="C1574" t="s">
        <v>8</v>
      </c>
      <c r="D1574" s="2">
        <v>8027406.0405999897</v>
      </c>
      <c r="E1574" s="2">
        <v>6755.2150000000001</v>
      </c>
      <c r="F1574" s="2">
        <v>8034161.2555999896</v>
      </c>
    </row>
    <row r="1575" spans="1:6" x14ac:dyDescent="0.3">
      <c r="A1575" s="1">
        <v>41759</v>
      </c>
      <c r="B1575" t="s">
        <v>6</v>
      </c>
      <c r="C1575" t="s">
        <v>10</v>
      </c>
      <c r="D1575" s="2">
        <v>989179.28498075996</v>
      </c>
      <c r="E1575" s="2">
        <v>37.506867560000003</v>
      </c>
      <c r="F1575" s="2">
        <v>989216.79184832005</v>
      </c>
    </row>
    <row r="1576" spans="1:6" x14ac:dyDescent="0.3">
      <c r="A1576" s="1">
        <v>41759</v>
      </c>
      <c r="B1576" t="s">
        <v>15</v>
      </c>
      <c r="C1576" t="s">
        <v>24</v>
      </c>
      <c r="D1576" s="2">
        <v>0</v>
      </c>
      <c r="E1576" s="2">
        <v>494.08810432000001</v>
      </c>
      <c r="F1576" s="2">
        <v>494.08810432000001</v>
      </c>
    </row>
    <row r="1577" spans="1:6" x14ac:dyDescent="0.3">
      <c r="A1577" s="1">
        <v>41790</v>
      </c>
      <c r="B1577" t="s">
        <v>21</v>
      </c>
      <c r="C1577" t="s">
        <v>14</v>
      </c>
      <c r="D1577" s="2">
        <v>513427.42181008001</v>
      </c>
      <c r="E1577" s="2">
        <v>4955114.5535627501</v>
      </c>
      <c r="F1577" s="2">
        <v>5468541.9753728304</v>
      </c>
    </row>
    <row r="1578" spans="1:6" x14ac:dyDescent="0.3">
      <c r="A1578" s="1">
        <v>41790</v>
      </c>
      <c r="B1578" t="s">
        <v>22</v>
      </c>
      <c r="C1578" t="s">
        <v>14</v>
      </c>
      <c r="D1578" s="2">
        <v>12538030.3860958</v>
      </c>
      <c r="E1578" s="2">
        <v>4978928.1021279898</v>
      </c>
      <c r="F1578" s="2">
        <v>17516958.488223799</v>
      </c>
    </row>
    <row r="1579" spans="1:6" x14ac:dyDescent="0.3">
      <c r="A1579" s="1">
        <v>41790</v>
      </c>
      <c r="B1579" t="s">
        <v>6</v>
      </c>
      <c r="C1579" t="s">
        <v>7</v>
      </c>
      <c r="D1579" s="2">
        <v>1447025.0359</v>
      </c>
      <c r="E1579" s="2">
        <v>1959.117</v>
      </c>
      <c r="F1579" s="2">
        <v>1448984.1529000001</v>
      </c>
    </row>
    <row r="1580" spans="1:6" x14ac:dyDescent="0.3">
      <c r="A1580" s="1">
        <v>41790</v>
      </c>
      <c r="B1580" t="s">
        <v>6</v>
      </c>
      <c r="C1580" t="s">
        <v>9</v>
      </c>
      <c r="D1580" s="2">
        <v>1479103.6818500001</v>
      </c>
      <c r="E1580" s="2">
        <v>43.966999999999999</v>
      </c>
      <c r="F1580" s="2">
        <v>1479147.64885</v>
      </c>
    </row>
    <row r="1581" spans="1:6" x14ac:dyDescent="0.3">
      <c r="A1581" s="1">
        <v>41790</v>
      </c>
      <c r="B1581" t="s">
        <v>6</v>
      </c>
      <c r="C1581" t="s">
        <v>12</v>
      </c>
      <c r="D1581" s="2">
        <v>0</v>
      </c>
      <c r="E1581" s="2">
        <v>14999.99</v>
      </c>
      <c r="F1581" s="2">
        <v>14999.99</v>
      </c>
    </row>
    <row r="1582" spans="1:6" x14ac:dyDescent="0.3">
      <c r="A1582" s="1">
        <v>41790</v>
      </c>
      <c r="B1582" t="s">
        <v>6</v>
      </c>
      <c r="C1582" t="s">
        <v>11</v>
      </c>
      <c r="D1582" s="2">
        <v>68995.127999999997</v>
      </c>
      <c r="E1582" s="2">
        <v>0</v>
      </c>
      <c r="F1582" s="2">
        <v>68995.127999999997</v>
      </c>
    </row>
    <row r="1583" spans="1:6" x14ac:dyDescent="0.3">
      <c r="A1583" s="1">
        <v>41790</v>
      </c>
      <c r="B1583" t="s">
        <v>6</v>
      </c>
      <c r="C1583" t="s">
        <v>8</v>
      </c>
      <c r="D1583" s="2">
        <v>8021080.91539999</v>
      </c>
      <c r="E1583" s="2">
        <v>6772.0132999999996</v>
      </c>
      <c r="F1583" s="2">
        <v>8027852.9286999898</v>
      </c>
    </row>
    <row r="1584" spans="1:6" x14ac:dyDescent="0.3">
      <c r="A1584" s="1">
        <v>41790</v>
      </c>
      <c r="B1584" t="s">
        <v>6</v>
      </c>
      <c r="C1584" t="s">
        <v>10</v>
      </c>
      <c r="D1584" s="2">
        <v>1008398.2031357</v>
      </c>
      <c r="E1584" s="2">
        <v>38.461265240000003</v>
      </c>
      <c r="F1584" s="2">
        <v>1008436.6644009399</v>
      </c>
    </row>
    <row r="1585" spans="1:6" x14ac:dyDescent="0.3">
      <c r="A1585" s="1">
        <v>41790</v>
      </c>
      <c r="B1585" t="s">
        <v>15</v>
      </c>
      <c r="C1585" t="s">
        <v>16</v>
      </c>
      <c r="D1585" s="2">
        <v>29995.18</v>
      </c>
      <c r="E1585" s="2">
        <v>0</v>
      </c>
      <c r="F1585" s="2">
        <v>29995.18</v>
      </c>
    </row>
    <row r="1586" spans="1:6" x14ac:dyDescent="0.3">
      <c r="A1586" s="1">
        <v>41790</v>
      </c>
      <c r="B1586" t="s">
        <v>15</v>
      </c>
      <c r="C1586" t="s">
        <v>23</v>
      </c>
      <c r="D1586" s="2">
        <v>2985.6485899999998</v>
      </c>
      <c r="E1586" s="2">
        <v>0</v>
      </c>
      <c r="F1586" s="2">
        <v>2985.6485899999998</v>
      </c>
    </row>
    <row r="1587" spans="1:6" x14ac:dyDescent="0.3">
      <c r="A1587" s="1">
        <v>41790</v>
      </c>
      <c r="B1587" t="s">
        <v>15</v>
      </c>
      <c r="C1587" t="s">
        <v>19</v>
      </c>
      <c r="D1587" s="2">
        <v>188739.06798418</v>
      </c>
      <c r="E1587" s="2">
        <v>4954620.4654584303</v>
      </c>
      <c r="F1587" s="2">
        <v>5143359.5334426099</v>
      </c>
    </row>
    <row r="1588" spans="1:6" x14ac:dyDescent="0.3">
      <c r="A1588" s="1">
        <v>41790</v>
      </c>
      <c r="B1588" t="s">
        <v>15</v>
      </c>
      <c r="C1588" t="s">
        <v>24</v>
      </c>
      <c r="D1588" s="2">
        <v>0</v>
      </c>
      <c r="E1588" s="2">
        <v>494.08810432000001</v>
      </c>
      <c r="F1588" s="2">
        <v>494.08810432000001</v>
      </c>
    </row>
    <row r="1589" spans="1:6" x14ac:dyDescent="0.3">
      <c r="A1589" s="1">
        <v>41790</v>
      </c>
      <c r="B1589" t="s">
        <v>15</v>
      </c>
      <c r="C1589" t="s">
        <v>20</v>
      </c>
      <c r="D1589" s="2">
        <v>1430.79458363</v>
      </c>
      <c r="E1589" s="2">
        <v>0</v>
      </c>
      <c r="F1589" s="2">
        <v>1430.79458363</v>
      </c>
    </row>
    <row r="1590" spans="1:6" x14ac:dyDescent="0.3">
      <c r="A1590" s="1">
        <v>41790</v>
      </c>
      <c r="B1590" t="s">
        <v>15</v>
      </c>
      <c r="C1590" t="s">
        <v>17</v>
      </c>
      <c r="D1590" s="2">
        <v>112277.21457075</v>
      </c>
      <c r="E1590" s="2">
        <v>0</v>
      </c>
      <c r="F1590" s="2">
        <v>112277.21457075</v>
      </c>
    </row>
    <row r="1591" spans="1:6" x14ac:dyDescent="0.3">
      <c r="A1591" s="1">
        <v>41790</v>
      </c>
      <c r="B1591" t="s">
        <v>15</v>
      </c>
      <c r="C1591" t="s">
        <v>18</v>
      </c>
      <c r="D1591" s="2">
        <v>177999.51608152001</v>
      </c>
      <c r="E1591" s="2">
        <v>0</v>
      </c>
      <c r="F1591" s="2">
        <v>177999.51608152001</v>
      </c>
    </row>
    <row r="1592" spans="1:6" x14ac:dyDescent="0.3">
      <c r="A1592" s="1">
        <v>41790</v>
      </c>
      <c r="B1592" t="s">
        <v>13</v>
      </c>
      <c r="C1592" t="s">
        <v>14</v>
      </c>
      <c r="D1592" s="2">
        <v>12024602.9642857</v>
      </c>
      <c r="E1592" s="2">
        <v>23813.548565239998</v>
      </c>
      <c r="F1592" s="2">
        <v>12048416.512850899</v>
      </c>
    </row>
    <row r="1593" spans="1:6" x14ac:dyDescent="0.3">
      <c r="A1593" s="1">
        <v>41820</v>
      </c>
      <c r="B1593" t="s">
        <v>21</v>
      </c>
      <c r="C1593" t="s">
        <v>14</v>
      </c>
      <c r="D1593" s="2">
        <v>510512.76821319998</v>
      </c>
      <c r="E1593" s="2">
        <v>5037876.76438135</v>
      </c>
      <c r="F1593" s="2">
        <v>5548388.9733106</v>
      </c>
    </row>
    <row r="1594" spans="1:6" x14ac:dyDescent="0.3">
      <c r="A1594" s="1">
        <v>41820</v>
      </c>
      <c r="B1594" t="s">
        <v>22</v>
      </c>
      <c r="C1594" t="s">
        <v>14</v>
      </c>
      <c r="D1594" s="2">
        <v>12572219.6120096</v>
      </c>
      <c r="E1594" s="2">
        <v>5060386.7194695799</v>
      </c>
      <c r="F1594" s="2">
        <v>17632605.772195201</v>
      </c>
    </row>
    <row r="1595" spans="1:6" x14ac:dyDescent="0.3">
      <c r="A1595" s="1">
        <v>41820</v>
      </c>
      <c r="B1595" t="s">
        <v>6</v>
      </c>
      <c r="C1595" t="s">
        <v>7</v>
      </c>
      <c r="D1595" s="2">
        <v>1386402.3725000001</v>
      </c>
      <c r="E1595" s="2">
        <v>1584.117</v>
      </c>
      <c r="F1595" s="2">
        <v>1387986.4894999999</v>
      </c>
    </row>
    <row r="1596" spans="1:6" x14ac:dyDescent="0.3">
      <c r="A1596" s="1">
        <v>41820</v>
      </c>
      <c r="B1596" t="s">
        <v>6</v>
      </c>
      <c r="C1596" t="s">
        <v>9</v>
      </c>
      <c r="D1596" s="2">
        <v>1492099.86445</v>
      </c>
      <c r="E1596" s="2">
        <v>47.720999999999997</v>
      </c>
      <c r="F1596" s="2">
        <v>1492147.5854499999</v>
      </c>
    </row>
    <row r="1597" spans="1:6" x14ac:dyDescent="0.3">
      <c r="A1597" s="1">
        <v>41820</v>
      </c>
      <c r="B1597" t="s">
        <v>6</v>
      </c>
      <c r="C1597" t="s">
        <v>12</v>
      </c>
      <c r="D1597" s="2">
        <v>0</v>
      </c>
      <c r="E1597" s="2">
        <v>13611.948</v>
      </c>
      <c r="F1597" s="2">
        <v>13611.948</v>
      </c>
    </row>
    <row r="1598" spans="1:6" x14ac:dyDescent="0.3">
      <c r="A1598" s="1">
        <v>41820</v>
      </c>
      <c r="B1598" t="s">
        <v>6</v>
      </c>
      <c r="C1598" t="s">
        <v>11</v>
      </c>
      <c r="D1598" s="2">
        <v>81995.397100000002</v>
      </c>
      <c r="E1598" s="2">
        <v>0</v>
      </c>
      <c r="F1598" s="2">
        <v>81995.397100000002</v>
      </c>
    </row>
    <row r="1599" spans="1:6" x14ac:dyDescent="0.3">
      <c r="A1599" s="1">
        <v>41820</v>
      </c>
      <c r="B1599" t="s">
        <v>6</v>
      </c>
      <c r="C1599" t="s">
        <v>8</v>
      </c>
      <c r="D1599" s="2">
        <v>8082060.8103999896</v>
      </c>
      <c r="E1599" s="2">
        <v>7227.5712999999996</v>
      </c>
      <c r="F1599" s="2">
        <v>8089288.3816999895</v>
      </c>
    </row>
    <row r="1600" spans="1:6" x14ac:dyDescent="0.3">
      <c r="A1600" s="1">
        <v>41820</v>
      </c>
      <c r="B1600" t="s">
        <v>6</v>
      </c>
      <c r="C1600" t="s">
        <v>10</v>
      </c>
      <c r="D1600" s="2">
        <v>1019148.39934636</v>
      </c>
      <c r="E1600" s="2">
        <v>38.597788229999999</v>
      </c>
      <c r="F1600" s="2">
        <v>1019186.9971345901</v>
      </c>
    </row>
    <row r="1601" spans="1:6" x14ac:dyDescent="0.3">
      <c r="A1601" s="1">
        <v>41820</v>
      </c>
      <c r="B1601" t="s">
        <v>15</v>
      </c>
      <c r="C1601" t="s">
        <v>16</v>
      </c>
      <c r="D1601" s="2">
        <v>29995.18</v>
      </c>
      <c r="E1601" s="2">
        <v>0</v>
      </c>
      <c r="F1601" s="2">
        <v>29995.18</v>
      </c>
    </row>
    <row r="1602" spans="1:6" x14ac:dyDescent="0.3">
      <c r="A1602" s="1">
        <v>41820</v>
      </c>
      <c r="B1602" t="s">
        <v>15</v>
      </c>
      <c r="C1602" t="s">
        <v>23</v>
      </c>
      <c r="D1602" s="2">
        <v>2985.6485899999998</v>
      </c>
      <c r="E1602" s="2">
        <v>0</v>
      </c>
      <c r="F1602" s="2">
        <v>2985.6485899999998</v>
      </c>
    </row>
    <row r="1603" spans="1:6" x14ac:dyDescent="0.3">
      <c r="A1603" s="1">
        <v>41820</v>
      </c>
      <c r="B1603" t="s">
        <v>15</v>
      </c>
      <c r="C1603" t="s">
        <v>19</v>
      </c>
      <c r="D1603" s="2">
        <v>186543.58013853</v>
      </c>
      <c r="E1603" s="2">
        <v>5037382.6762770303</v>
      </c>
      <c r="F1603" s="2">
        <v>5223925.6971316095</v>
      </c>
    </row>
    <row r="1604" spans="1:6" x14ac:dyDescent="0.3">
      <c r="A1604" s="1">
        <v>41820</v>
      </c>
      <c r="B1604" t="s">
        <v>15</v>
      </c>
      <c r="C1604" t="s">
        <v>24</v>
      </c>
      <c r="D1604" s="2">
        <v>0</v>
      </c>
      <c r="E1604" s="2">
        <v>494.08810432000001</v>
      </c>
      <c r="F1604" s="2">
        <v>494.08810432000001</v>
      </c>
    </row>
    <row r="1605" spans="1:6" x14ac:dyDescent="0.3">
      <c r="A1605" s="1">
        <v>41820</v>
      </c>
      <c r="B1605" t="s">
        <v>15</v>
      </c>
      <c r="C1605" t="s">
        <v>20</v>
      </c>
      <c r="D1605" s="2">
        <v>1453.6442666999999</v>
      </c>
      <c r="E1605" s="2">
        <v>0</v>
      </c>
      <c r="F1605" s="2">
        <v>1453.6442666999999</v>
      </c>
    </row>
    <row r="1606" spans="1:6" x14ac:dyDescent="0.3">
      <c r="A1606" s="1">
        <v>41820</v>
      </c>
      <c r="B1606" t="s">
        <v>15</v>
      </c>
      <c r="C1606" t="s">
        <v>17</v>
      </c>
      <c r="D1606" s="2">
        <v>111857.81024847001</v>
      </c>
      <c r="E1606" s="2">
        <v>0</v>
      </c>
      <c r="F1606" s="2">
        <v>111857.81024847001</v>
      </c>
    </row>
    <row r="1607" spans="1:6" x14ac:dyDescent="0.3">
      <c r="A1607" s="1">
        <v>41820</v>
      </c>
      <c r="B1607" t="s">
        <v>15</v>
      </c>
      <c r="C1607" t="s">
        <v>18</v>
      </c>
      <c r="D1607" s="2">
        <v>177676.9049695</v>
      </c>
      <c r="E1607" s="2">
        <v>0</v>
      </c>
      <c r="F1607" s="2">
        <v>177676.9049695</v>
      </c>
    </row>
    <row r="1608" spans="1:6" x14ac:dyDescent="0.3">
      <c r="A1608" s="1">
        <v>41820</v>
      </c>
      <c r="B1608" t="s">
        <v>13</v>
      </c>
      <c r="C1608" t="s">
        <v>14</v>
      </c>
      <c r="D1608" s="2">
        <v>12061706.8437964</v>
      </c>
      <c r="E1608" s="2">
        <v>22509.955088229999</v>
      </c>
      <c r="F1608" s="2">
        <v>12084216.7988846</v>
      </c>
    </row>
    <row r="1609" spans="1:6" x14ac:dyDescent="0.3">
      <c r="A1609" s="1">
        <v>41851</v>
      </c>
      <c r="B1609" t="s">
        <v>15</v>
      </c>
      <c r="C1609" t="s">
        <v>20</v>
      </c>
      <c r="D1609" s="2">
        <v>1488.0445025500001</v>
      </c>
      <c r="E1609" s="2">
        <v>0</v>
      </c>
      <c r="F1609" s="2">
        <v>1488.0445025500001</v>
      </c>
    </row>
    <row r="1610" spans="1:6" x14ac:dyDescent="0.3">
      <c r="A1610" s="1">
        <v>41851</v>
      </c>
      <c r="B1610" t="s">
        <v>21</v>
      </c>
      <c r="C1610" t="s">
        <v>14</v>
      </c>
      <c r="D1610" s="2">
        <v>511320.78679351002</v>
      </c>
      <c r="E1610" s="2">
        <v>5012943.5968107404</v>
      </c>
      <c r="F1610" s="2">
        <v>5524264.8295093896</v>
      </c>
    </row>
    <row r="1611" spans="1:6" x14ac:dyDescent="0.3">
      <c r="A1611" s="1">
        <v>41851</v>
      </c>
      <c r="B1611" t="s">
        <v>22</v>
      </c>
      <c r="C1611" t="s">
        <v>14</v>
      </c>
      <c r="D1611" s="2">
        <v>12651478.112988301</v>
      </c>
      <c r="E1611" s="2">
        <v>5035658.7074786602</v>
      </c>
      <c r="F1611" s="2">
        <v>17687137.2663721</v>
      </c>
    </row>
    <row r="1612" spans="1:6" x14ac:dyDescent="0.3">
      <c r="A1612" s="1">
        <v>41851</v>
      </c>
      <c r="B1612" t="s">
        <v>6</v>
      </c>
      <c r="C1612" t="s">
        <v>7</v>
      </c>
      <c r="D1612" s="2">
        <v>1408232.4613999999</v>
      </c>
      <c r="E1612" s="2">
        <v>1754.0940000000001</v>
      </c>
      <c r="F1612" s="2">
        <v>1409986.5554</v>
      </c>
    </row>
    <row r="1613" spans="1:6" x14ac:dyDescent="0.3">
      <c r="A1613" s="1">
        <v>41851</v>
      </c>
      <c r="B1613" t="s">
        <v>6</v>
      </c>
      <c r="C1613" t="s">
        <v>9</v>
      </c>
      <c r="D1613" s="2">
        <v>1505091.0096499999</v>
      </c>
      <c r="E1613" s="2">
        <v>53.542999999999999</v>
      </c>
      <c r="F1613" s="2">
        <v>1505144.55265</v>
      </c>
    </row>
    <row r="1614" spans="1:6" x14ac:dyDescent="0.3">
      <c r="A1614" s="1">
        <v>41851</v>
      </c>
      <c r="B1614" t="s">
        <v>6</v>
      </c>
      <c r="C1614" t="s">
        <v>12</v>
      </c>
      <c r="D1614" s="2">
        <v>0</v>
      </c>
      <c r="E1614" s="2">
        <v>13611.948</v>
      </c>
      <c r="F1614" s="2">
        <v>13611.948</v>
      </c>
    </row>
    <row r="1615" spans="1:6" x14ac:dyDescent="0.3">
      <c r="A1615" s="1">
        <v>41851</v>
      </c>
      <c r="B1615" t="s">
        <v>6</v>
      </c>
      <c r="C1615" t="s">
        <v>11</v>
      </c>
      <c r="D1615" s="2">
        <v>96995.494699999996</v>
      </c>
      <c r="E1615" s="2">
        <v>0</v>
      </c>
      <c r="F1615" s="2">
        <v>96995.494699999996</v>
      </c>
    </row>
    <row r="1616" spans="1:6" x14ac:dyDescent="0.3">
      <c r="A1616" s="1">
        <v>41851</v>
      </c>
      <c r="B1616" t="s">
        <v>6</v>
      </c>
      <c r="C1616" t="s">
        <v>8</v>
      </c>
      <c r="D1616" s="2">
        <v>8116077.5538999904</v>
      </c>
      <c r="E1616" s="2">
        <v>7259.2093000000004</v>
      </c>
      <c r="F1616" s="2">
        <v>8123336.7631999897</v>
      </c>
    </row>
    <row r="1617" spans="1:6" x14ac:dyDescent="0.3">
      <c r="A1617" s="1">
        <v>41851</v>
      </c>
      <c r="B1617" t="s">
        <v>6</v>
      </c>
      <c r="C1617" t="s">
        <v>10</v>
      </c>
      <c r="D1617" s="2">
        <v>1013760.80654476</v>
      </c>
      <c r="E1617" s="2">
        <v>35.316367919999998</v>
      </c>
      <c r="F1617" s="2">
        <v>1013796.12291268</v>
      </c>
    </row>
    <row r="1618" spans="1:6" x14ac:dyDescent="0.3">
      <c r="A1618" s="1">
        <v>41851</v>
      </c>
      <c r="B1618" t="s">
        <v>15</v>
      </c>
      <c r="C1618" t="s">
        <v>16</v>
      </c>
      <c r="D1618" s="2">
        <v>29995.18</v>
      </c>
      <c r="E1618" s="2">
        <v>0</v>
      </c>
      <c r="F1618" s="2">
        <v>29995.18</v>
      </c>
    </row>
    <row r="1619" spans="1:6" x14ac:dyDescent="0.3">
      <c r="A1619" s="1">
        <v>41851</v>
      </c>
      <c r="B1619" t="s">
        <v>15</v>
      </c>
      <c r="C1619" t="s">
        <v>23</v>
      </c>
      <c r="D1619" s="2">
        <v>2985.6485899999998</v>
      </c>
      <c r="E1619" s="2">
        <v>0</v>
      </c>
      <c r="F1619" s="2">
        <v>2985.6485899999998</v>
      </c>
    </row>
    <row r="1620" spans="1:6" x14ac:dyDescent="0.3">
      <c r="A1620" s="1">
        <v>41851</v>
      </c>
      <c r="B1620" t="s">
        <v>15</v>
      </c>
      <c r="C1620" t="s">
        <v>19</v>
      </c>
      <c r="D1620" s="2">
        <v>190687.13954865001</v>
      </c>
      <c r="E1620" s="2">
        <v>5012450.45943298</v>
      </c>
      <c r="F1620" s="2">
        <v>5203137.0448867697</v>
      </c>
    </row>
    <row r="1621" spans="1:6" x14ac:dyDescent="0.3">
      <c r="A1621" s="1">
        <v>41851</v>
      </c>
      <c r="B1621" t="s">
        <v>15</v>
      </c>
      <c r="C1621" t="s">
        <v>24</v>
      </c>
      <c r="D1621" s="2">
        <v>0</v>
      </c>
      <c r="E1621" s="2">
        <v>494.13737775999999</v>
      </c>
      <c r="F1621" s="2">
        <v>494.13737775999999</v>
      </c>
    </row>
    <row r="1622" spans="1:6" x14ac:dyDescent="0.3">
      <c r="A1622" s="1">
        <v>41851</v>
      </c>
      <c r="B1622" t="s">
        <v>15</v>
      </c>
      <c r="C1622" t="s">
        <v>17</v>
      </c>
      <c r="D1622" s="2">
        <v>108821.521098</v>
      </c>
      <c r="E1622" s="2">
        <v>0</v>
      </c>
      <c r="F1622" s="2">
        <v>108821.521098</v>
      </c>
    </row>
    <row r="1623" spans="1:6" x14ac:dyDescent="0.3">
      <c r="A1623" s="1">
        <v>41851</v>
      </c>
      <c r="B1623" t="s">
        <v>15</v>
      </c>
      <c r="C1623" t="s">
        <v>18</v>
      </c>
      <c r="D1623" s="2">
        <v>177343.25305430999</v>
      </c>
      <c r="E1623" s="2">
        <v>0</v>
      </c>
      <c r="F1623" s="2">
        <v>177343.25305430999</v>
      </c>
    </row>
    <row r="1624" spans="1:6" x14ac:dyDescent="0.3">
      <c r="A1624" s="1">
        <v>41851</v>
      </c>
      <c r="B1624" t="s">
        <v>13</v>
      </c>
      <c r="C1624" t="s">
        <v>14</v>
      </c>
      <c r="D1624" s="2">
        <v>12140157.3261948</v>
      </c>
      <c r="E1624" s="2">
        <v>22714.110667919998</v>
      </c>
      <c r="F1624" s="2">
        <v>12162871.4368627</v>
      </c>
    </row>
    <row r="1625" spans="1:6" x14ac:dyDescent="0.3">
      <c r="A1625" s="1">
        <v>41882</v>
      </c>
      <c r="B1625" t="s">
        <v>6</v>
      </c>
      <c r="C1625" t="s">
        <v>11</v>
      </c>
      <c r="D1625" s="2">
        <v>109995.6612</v>
      </c>
      <c r="E1625" s="2">
        <v>0</v>
      </c>
      <c r="F1625" s="2">
        <v>109995.6612</v>
      </c>
    </row>
    <row r="1626" spans="1:6" x14ac:dyDescent="0.3">
      <c r="A1626" s="1">
        <v>41882</v>
      </c>
      <c r="B1626" t="s">
        <v>6</v>
      </c>
      <c r="C1626" t="s">
        <v>8</v>
      </c>
      <c r="D1626" s="2">
        <v>8109268.6506999899</v>
      </c>
      <c r="E1626" s="2">
        <v>7365.3453</v>
      </c>
      <c r="F1626" s="2">
        <v>8116633.99599999</v>
      </c>
    </row>
    <row r="1627" spans="1:6" x14ac:dyDescent="0.3">
      <c r="A1627" s="1">
        <v>41882</v>
      </c>
      <c r="B1627" t="s">
        <v>6</v>
      </c>
      <c r="C1627" t="s">
        <v>10</v>
      </c>
      <c r="D1627" s="2">
        <v>1031836.2532831701</v>
      </c>
      <c r="E1627" s="2">
        <v>51.519030999999998</v>
      </c>
      <c r="F1627" s="2">
        <v>1031887.77231417</v>
      </c>
    </row>
    <row r="1628" spans="1:6" x14ac:dyDescent="0.3">
      <c r="A1628" s="1">
        <v>41882</v>
      </c>
      <c r="B1628" t="s">
        <v>15</v>
      </c>
      <c r="C1628" t="s">
        <v>16</v>
      </c>
      <c r="D1628" s="2">
        <v>29995.18</v>
      </c>
      <c r="E1628" s="2">
        <v>0</v>
      </c>
      <c r="F1628" s="2">
        <v>29995.18</v>
      </c>
    </row>
    <row r="1629" spans="1:6" x14ac:dyDescent="0.3">
      <c r="A1629" s="1">
        <v>41882</v>
      </c>
      <c r="B1629" t="s">
        <v>15</v>
      </c>
      <c r="C1629" t="s">
        <v>23</v>
      </c>
      <c r="D1629" s="2">
        <v>2985.6485899999998</v>
      </c>
      <c r="E1629" s="2">
        <v>0</v>
      </c>
      <c r="F1629" s="2">
        <v>2985.6485899999998</v>
      </c>
    </row>
    <row r="1630" spans="1:6" x14ac:dyDescent="0.3">
      <c r="A1630" s="1">
        <v>41882</v>
      </c>
      <c r="B1630" t="s">
        <v>15</v>
      </c>
      <c r="C1630" t="s">
        <v>19</v>
      </c>
      <c r="D1630" s="2">
        <v>193237.23212945001</v>
      </c>
      <c r="E1630" s="2">
        <v>4993277.2111068303</v>
      </c>
      <c r="F1630" s="2">
        <v>5186513.7146699699</v>
      </c>
    </row>
    <row r="1631" spans="1:6" x14ac:dyDescent="0.3">
      <c r="A1631" s="1">
        <v>41882</v>
      </c>
      <c r="B1631" t="s">
        <v>15</v>
      </c>
      <c r="C1631" t="s">
        <v>24</v>
      </c>
      <c r="D1631" s="2">
        <v>0</v>
      </c>
      <c r="E1631" s="2">
        <v>494.13737775999999</v>
      </c>
      <c r="F1631" s="2">
        <v>494.13737775999999</v>
      </c>
    </row>
    <row r="1632" spans="1:6" x14ac:dyDescent="0.3">
      <c r="A1632" s="1">
        <v>41882</v>
      </c>
      <c r="B1632" t="s">
        <v>15</v>
      </c>
      <c r="C1632" t="s">
        <v>20</v>
      </c>
      <c r="D1632" s="2">
        <v>1442.8107996799999</v>
      </c>
      <c r="E1632" s="2">
        <v>0</v>
      </c>
      <c r="F1632" s="2">
        <v>1442.8107996799999</v>
      </c>
    </row>
    <row r="1633" spans="1:6" x14ac:dyDescent="0.3">
      <c r="A1633" s="1">
        <v>41882</v>
      </c>
      <c r="B1633" t="s">
        <v>15</v>
      </c>
      <c r="C1633" t="s">
        <v>17</v>
      </c>
      <c r="D1633" s="2">
        <v>105439.88178407001</v>
      </c>
      <c r="E1633" s="2">
        <v>0</v>
      </c>
      <c r="F1633" s="2">
        <v>105439.88178407001</v>
      </c>
    </row>
    <row r="1634" spans="1:6" x14ac:dyDescent="0.3">
      <c r="A1634" s="1">
        <v>41882</v>
      </c>
      <c r="B1634" t="s">
        <v>15</v>
      </c>
      <c r="C1634" t="s">
        <v>18</v>
      </c>
      <c r="D1634" s="2">
        <v>177029.57703454999</v>
      </c>
      <c r="E1634" s="2">
        <v>0</v>
      </c>
      <c r="F1634" s="2">
        <v>177029.57703454999</v>
      </c>
    </row>
    <row r="1635" spans="1:6" x14ac:dyDescent="0.3">
      <c r="A1635" s="1">
        <v>41882</v>
      </c>
      <c r="B1635" t="s">
        <v>13</v>
      </c>
      <c r="C1635" t="s">
        <v>14</v>
      </c>
      <c r="D1635" s="2">
        <v>12222481.4516332</v>
      </c>
      <c r="E1635" s="2">
        <v>22790.028331000001</v>
      </c>
      <c r="F1635" s="2">
        <v>12245271.4799642</v>
      </c>
    </row>
    <row r="1636" spans="1:6" x14ac:dyDescent="0.3">
      <c r="A1636" s="1">
        <v>41882</v>
      </c>
      <c r="B1636" t="s">
        <v>21</v>
      </c>
      <c r="C1636" t="s">
        <v>14</v>
      </c>
      <c r="D1636" s="2">
        <v>510130.33033775003</v>
      </c>
      <c r="E1636" s="2">
        <v>4993771.3484845897</v>
      </c>
      <c r="F1636" s="2">
        <v>5503900.9502560301</v>
      </c>
    </row>
    <row r="1637" spans="1:6" x14ac:dyDescent="0.3">
      <c r="A1637" s="1">
        <v>41882</v>
      </c>
      <c r="B1637" t="s">
        <v>22</v>
      </c>
      <c r="C1637" t="s">
        <v>14</v>
      </c>
      <c r="D1637" s="2">
        <v>12732611.7819709</v>
      </c>
      <c r="E1637" s="2">
        <v>5016561.3768155901</v>
      </c>
      <c r="F1637" s="2">
        <v>17749172.430220202</v>
      </c>
    </row>
    <row r="1638" spans="1:6" x14ac:dyDescent="0.3">
      <c r="A1638" s="1">
        <v>41882</v>
      </c>
      <c r="B1638" t="s">
        <v>6</v>
      </c>
      <c r="C1638" t="s">
        <v>7</v>
      </c>
      <c r="D1638" s="2">
        <v>1450293.3504999999</v>
      </c>
      <c r="E1638" s="2">
        <v>1704.317</v>
      </c>
      <c r="F1638" s="2">
        <v>1451997.6675</v>
      </c>
    </row>
    <row r="1639" spans="1:6" x14ac:dyDescent="0.3">
      <c r="A1639" s="1">
        <v>41882</v>
      </c>
      <c r="B1639" t="s">
        <v>6</v>
      </c>
      <c r="C1639" t="s">
        <v>9</v>
      </c>
      <c r="D1639" s="2">
        <v>1521087.5359499999</v>
      </c>
      <c r="E1639" s="2">
        <v>56.899000000000001</v>
      </c>
      <c r="F1639" s="2">
        <v>1521144.4349499999</v>
      </c>
    </row>
    <row r="1640" spans="1:6" x14ac:dyDescent="0.3">
      <c r="A1640" s="1">
        <v>41882</v>
      </c>
      <c r="B1640" t="s">
        <v>6</v>
      </c>
      <c r="C1640" t="s">
        <v>12</v>
      </c>
      <c r="D1640" s="2">
        <v>0</v>
      </c>
      <c r="E1640" s="2">
        <v>13611.948</v>
      </c>
      <c r="F1640" s="2">
        <v>13611.948</v>
      </c>
    </row>
    <row r="1641" spans="1:6" x14ac:dyDescent="0.3">
      <c r="A1641" s="1">
        <v>41912</v>
      </c>
      <c r="B1641" t="s">
        <v>21</v>
      </c>
      <c r="C1641" t="s">
        <v>14</v>
      </c>
      <c r="D1641" s="2">
        <v>513418.68265119998</v>
      </c>
      <c r="E1641" s="2">
        <v>5016440.4644755404</v>
      </c>
      <c r="F1641" s="2">
        <v>5529858.9907510802</v>
      </c>
    </row>
    <row r="1642" spans="1:6" x14ac:dyDescent="0.3">
      <c r="A1642" s="1">
        <v>41912</v>
      </c>
      <c r="B1642" t="s">
        <v>22</v>
      </c>
      <c r="C1642" t="s">
        <v>14</v>
      </c>
      <c r="D1642" s="2">
        <v>12784971.020747701</v>
      </c>
      <c r="E1642" s="2">
        <v>5039099.7585249403</v>
      </c>
      <c r="F1642" s="2">
        <v>17824070.622896899</v>
      </c>
    </row>
    <row r="1643" spans="1:6" x14ac:dyDescent="0.3">
      <c r="A1643" s="1">
        <v>41912</v>
      </c>
      <c r="B1643" t="s">
        <v>6</v>
      </c>
      <c r="C1643" t="s">
        <v>7</v>
      </c>
      <c r="D1643" s="2">
        <v>1409627.5995</v>
      </c>
      <c r="E1643" s="2">
        <v>1352.4169999999999</v>
      </c>
      <c r="F1643" s="2">
        <v>1410980.0164999999</v>
      </c>
    </row>
    <row r="1644" spans="1:6" x14ac:dyDescent="0.3">
      <c r="A1644" s="1">
        <v>41912</v>
      </c>
      <c r="B1644" t="s">
        <v>6</v>
      </c>
      <c r="C1644" t="s">
        <v>9</v>
      </c>
      <c r="D1644" s="2">
        <v>1534068.5188500001</v>
      </c>
      <c r="E1644" s="2">
        <v>75.921999999999997</v>
      </c>
      <c r="F1644" s="2">
        <v>1534144.4408499999</v>
      </c>
    </row>
    <row r="1645" spans="1:6" x14ac:dyDescent="0.3">
      <c r="A1645" s="1">
        <v>41912</v>
      </c>
      <c r="B1645" t="s">
        <v>6</v>
      </c>
      <c r="C1645" t="s">
        <v>12</v>
      </c>
      <c r="D1645" s="2">
        <v>0</v>
      </c>
      <c r="E1645" s="2">
        <v>13611.948</v>
      </c>
      <c r="F1645" s="2">
        <v>13611.948</v>
      </c>
    </row>
    <row r="1646" spans="1:6" x14ac:dyDescent="0.3">
      <c r="A1646" s="1">
        <v>41912</v>
      </c>
      <c r="B1646" t="s">
        <v>6</v>
      </c>
      <c r="C1646" t="s">
        <v>11</v>
      </c>
      <c r="D1646" s="2">
        <v>122984.81909999999</v>
      </c>
      <c r="E1646" s="2">
        <v>5.6</v>
      </c>
      <c r="F1646" s="2">
        <v>122990.4191</v>
      </c>
    </row>
    <row r="1647" spans="1:6" x14ac:dyDescent="0.3">
      <c r="A1647" s="1">
        <v>41912</v>
      </c>
      <c r="B1647" t="s">
        <v>6</v>
      </c>
      <c r="C1647" t="s">
        <v>8</v>
      </c>
      <c r="D1647" s="2">
        <v>8160195.7565999897</v>
      </c>
      <c r="E1647" s="2">
        <v>7562.8683000000001</v>
      </c>
      <c r="F1647" s="2">
        <v>8167758.6248999899</v>
      </c>
    </row>
    <row r="1648" spans="1:6" x14ac:dyDescent="0.3">
      <c r="A1648" s="1">
        <v>41912</v>
      </c>
      <c r="B1648" t="s">
        <v>6</v>
      </c>
      <c r="C1648" t="s">
        <v>10</v>
      </c>
      <c r="D1648" s="2">
        <v>1044675.6440464701</v>
      </c>
      <c r="E1648" s="2">
        <v>51.5387494</v>
      </c>
      <c r="F1648" s="2">
        <v>1044727.18279587</v>
      </c>
    </row>
    <row r="1649" spans="1:6" x14ac:dyDescent="0.3">
      <c r="A1649" s="1">
        <v>41912</v>
      </c>
      <c r="B1649" t="s">
        <v>15</v>
      </c>
      <c r="C1649" t="s">
        <v>16</v>
      </c>
      <c r="D1649" s="2">
        <v>29995.18</v>
      </c>
      <c r="E1649" s="2">
        <v>0</v>
      </c>
      <c r="F1649" s="2">
        <v>29995.18</v>
      </c>
    </row>
    <row r="1650" spans="1:6" x14ac:dyDescent="0.3">
      <c r="A1650" s="1">
        <v>41912</v>
      </c>
      <c r="B1650" t="s">
        <v>15</v>
      </c>
      <c r="C1650" t="s">
        <v>23</v>
      </c>
      <c r="D1650" s="2">
        <v>2985.6485899999998</v>
      </c>
      <c r="E1650" s="2">
        <v>0</v>
      </c>
      <c r="F1650" s="2">
        <v>2985.6485899999998</v>
      </c>
    </row>
    <row r="1651" spans="1:6" x14ac:dyDescent="0.3">
      <c r="A1651" s="1">
        <v>41912</v>
      </c>
      <c r="B1651" t="s">
        <v>15</v>
      </c>
      <c r="C1651" t="s">
        <v>19</v>
      </c>
      <c r="D1651" s="2">
        <v>196520.04999321001</v>
      </c>
      <c r="E1651" s="2">
        <v>5015946.3270977801</v>
      </c>
      <c r="F1651" s="2">
        <v>5212466.22071533</v>
      </c>
    </row>
    <row r="1652" spans="1:6" x14ac:dyDescent="0.3">
      <c r="A1652" s="1">
        <v>41912</v>
      </c>
      <c r="B1652" t="s">
        <v>15</v>
      </c>
      <c r="C1652" t="s">
        <v>24</v>
      </c>
      <c r="D1652" s="2">
        <v>0</v>
      </c>
      <c r="E1652" s="2">
        <v>494.13737775999999</v>
      </c>
      <c r="F1652" s="2">
        <v>494.13737775999999</v>
      </c>
    </row>
    <row r="1653" spans="1:6" x14ac:dyDescent="0.3">
      <c r="A1653" s="1">
        <v>41912</v>
      </c>
      <c r="B1653" t="s">
        <v>15</v>
      </c>
      <c r="C1653" t="s">
        <v>20</v>
      </c>
      <c r="D1653" s="2">
        <v>1488.6690910299999</v>
      </c>
      <c r="E1653" s="2">
        <v>0</v>
      </c>
      <c r="F1653" s="2">
        <v>1488.6690910299999</v>
      </c>
    </row>
    <row r="1654" spans="1:6" x14ac:dyDescent="0.3">
      <c r="A1654" s="1">
        <v>41912</v>
      </c>
      <c r="B1654" t="s">
        <v>15</v>
      </c>
      <c r="C1654" t="s">
        <v>17</v>
      </c>
      <c r="D1654" s="2">
        <v>105667.57422672999</v>
      </c>
      <c r="E1654" s="2">
        <v>0</v>
      </c>
      <c r="F1654" s="2">
        <v>105667.57422672999</v>
      </c>
    </row>
    <row r="1655" spans="1:6" x14ac:dyDescent="0.3">
      <c r="A1655" s="1">
        <v>41912</v>
      </c>
      <c r="B1655" t="s">
        <v>15</v>
      </c>
      <c r="C1655" t="s">
        <v>18</v>
      </c>
      <c r="D1655" s="2">
        <v>176761.56075023001</v>
      </c>
      <c r="E1655" s="2">
        <v>0</v>
      </c>
      <c r="F1655" s="2">
        <v>176761.56075023001</v>
      </c>
    </row>
    <row r="1656" spans="1:6" x14ac:dyDescent="0.3">
      <c r="A1656" s="1">
        <v>41912</v>
      </c>
      <c r="B1656" t="s">
        <v>13</v>
      </c>
      <c r="C1656" t="s">
        <v>14</v>
      </c>
      <c r="D1656" s="2">
        <v>12271552.338096499</v>
      </c>
      <c r="E1656" s="2">
        <v>22660.294049399999</v>
      </c>
      <c r="F1656" s="2">
        <v>12294212.6321459</v>
      </c>
    </row>
    <row r="1657" spans="1:6" x14ac:dyDescent="0.3">
      <c r="A1657" s="1">
        <v>41943</v>
      </c>
      <c r="B1657" t="s">
        <v>22</v>
      </c>
      <c r="C1657" t="s">
        <v>14</v>
      </c>
      <c r="D1657" s="2">
        <v>12857056.069025399</v>
      </c>
      <c r="E1657" s="2">
        <v>5080104.4285037396</v>
      </c>
      <c r="F1657" s="2">
        <v>17937160.497529101</v>
      </c>
    </row>
    <row r="1658" spans="1:6" x14ac:dyDescent="0.3">
      <c r="A1658" s="1">
        <v>41943</v>
      </c>
      <c r="B1658" t="s">
        <v>6</v>
      </c>
      <c r="C1658" t="s">
        <v>7</v>
      </c>
      <c r="D1658" s="2">
        <v>1412388.199</v>
      </c>
      <c r="E1658" s="2">
        <v>1557</v>
      </c>
      <c r="F1658" s="2">
        <v>1413945.199</v>
      </c>
    </row>
    <row r="1659" spans="1:6" x14ac:dyDescent="0.3">
      <c r="A1659" s="1">
        <v>41943</v>
      </c>
      <c r="B1659" t="s">
        <v>6</v>
      </c>
      <c r="C1659" t="s">
        <v>9</v>
      </c>
      <c r="D1659" s="2">
        <v>1547072.7763499999</v>
      </c>
      <c r="E1659" s="2">
        <v>71.625</v>
      </c>
      <c r="F1659" s="2">
        <v>1547144.4013499999</v>
      </c>
    </row>
    <row r="1660" spans="1:6" x14ac:dyDescent="0.3">
      <c r="A1660" s="1">
        <v>41943</v>
      </c>
      <c r="B1660" t="s">
        <v>6</v>
      </c>
      <c r="C1660" t="s">
        <v>12</v>
      </c>
      <c r="D1660" s="2">
        <v>0</v>
      </c>
      <c r="E1660" s="2">
        <v>13611.948</v>
      </c>
      <c r="F1660" s="2">
        <v>13611.948</v>
      </c>
    </row>
    <row r="1661" spans="1:6" x14ac:dyDescent="0.3">
      <c r="A1661" s="1">
        <v>41943</v>
      </c>
      <c r="B1661" t="s">
        <v>6</v>
      </c>
      <c r="C1661" t="s">
        <v>11</v>
      </c>
      <c r="D1661" s="2">
        <v>137990.60920000001</v>
      </c>
      <c r="E1661" s="2">
        <v>0</v>
      </c>
      <c r="F1661" s="2">
        <v>137990.60920000001</v>
      </c>
    </row>
    <row r="1662" spans="1:6" x14ac:dyDescent="0.3">
      <c r="A1662" s="1">
        <v>41943</v>
      </c>
      <c r="B1662" t="s">
        <v>6</v>
      </c>
      <c r="C1662" t="s">
        <v>8</v>
      </c>
      <c r="D1662" s="2">
        <v>8192466.0755999899</v>
      </c>
      <c r="E1662" s="2">
        <v>7251.9072999999999</v>
      </c>
      <c r="F1662" s="2">
        <v>8199717.9828999899</v>
      </c>
    </row>
    <row r="1663" spans="1:6" x14ac:dyDescent="0.3">
      <c r="A1663" s="1">
        <v>41943</v>
      </c>
      <c r="B1663" t="s">
        <v>6</v>
      </c>
      <c r="C1663" t="s">
        <v>10</v>
      </c>
      <c r="D1663" s="2">
        <v>1050109.9071434699</v>
      </c>
      <c r="E1663" s="2">
        <v>54.321832499999999</v>
      </c>
      <c r="F1663" s="2">
        <v>1050164.2289759701</v>
      </c>
    </row>
    <row r="1664" spans="1:6" x14ac:dyDescent="0.3">
      <c r="A1664" s="1">
        <v>41943</v>
      </c>
      <c r="B1664" t="s">
        <v>15</v>
      </c>
      <c r="C1664" t="s">
        <v>16</v>
      </c>
      <c r="D1664" s="2">
        <v>29995.18</v>
      </c>
      <c r="E1664" s="2">
        <v>0</v>
      </c>
      <c r="F1664" s="2">
        <v>29995.18</v>
      </c>
    </row>
    <row r="1665" spans="1:6" x14ac:dyDescent="0.3">
      <c r="A1665" s="1">
        <v>41943</v>
      </c>
      <c r="B1665" t="s">
        <v>15</v>
      </c>
      <c r="C1665" t="s">
        <v>23</v>
      </c>
      <c r="D1665" s="2">
        <v>264.34199999999998</v>
      </c>
      <c r="E1665" s="2">
        <v>0</v>
      </c>
      <c r="F1665" s="2">
        <v>264.34199999999998</v>
      </c>
    </row>
    <row r="1666" spans="1:6" x14ac:dyDescent="0.3">
      <c r="A1666" s="1">
        <v>41943</v>
      </c>
      <c r="B1666" t="s">
        <v>15</v>
      </c>
      <c r="C1666" t="s">
        <v>19</v>
      </c>
      <c r="D1666" s="2">
        <v>201681.79379088001</v>
      </c>
      <c r="E1666" s="2">
        <v>5057063.4516285798</v>
      </c>
      <c r="F1666" s="2">
        <v>5258745.2454194603</v>
      </c>
    </row>
    <row r="1667" spans="1:6" x14ac:dyDescent="0.3">
      <c r="A1667" s="1">
        <v>41943</v>
      </c>
      <c r="B1667" t="s">
        <v>15</v>
      </c>
      <c r="C1667" t="s">
        <v>24</v>
      </c>
      <c r="D1667" s="2">
        <v>0</v>
      </c>
      <c r="E1667" s="2">
        <v>494.17474265999999</v>
      </c>
      <c r="F1667" s="2">
        <v>494.17474265999999</v>
      </c>
    </row>
    <row r="1668" spans="1:6" x14ac:dyDescent="0.3">
      <c r="A1668" s="1">
        <v>41943</v>
      </c>
      <c r="B1668" t="s">
        <v>15</v>
      </c>
      <c r="C1668" t="s">
        <v>20</v>
      </c>
      <c r="D1668" s="2">
        <v>1562.89976305</v>
      </c>
      <c r="E1668" s="2">
        <v>0</v>
      </c>
      <c r="F1668" s="2">
        <v>1562.89976305</v>
      </c>
    </row>
    <row r="1669" spans="1:6" x14ac:dyDescent="0.3">
      <c r="A1669" s="1">
        <v>41943</v>
      </c>
      <c r="B1669" t="s">
        <v>15</v>
      </c>
      <c r="C1669" t="s">
        <v>17</v>
      </c>
      <c r="D1669" s="2">
        <v>106914.6485469</v>
      </c>
      <c r="E1669" s="2">
        <v>0</v>
      </c>
      <c r="F1669" s="2">
        <v>106914.6485469</v>
      </c>
    </row>
    <row r="1670" spans="1:6" x14ac:dyDescent="0.3">
      <c r="A1670" s="1">
        <v>41943</v>
      </c>
      <c r="B1670" t="s">
        <v>15</v>
      </c>
      <c r="C1670" t="s">
        <v>18</v>
      </c>
      <c r="D1670" s="2">
        <v>176609.63763109999</v>
      </c>
      <c r="E1670" s="2">
        <v>0</v>
      </c>
      <c r="F1670" s="2">
        <v>176609.63763109999</v>
      </c>
    </row>
    <row r="1671" spans="1:6" x14ac:dyDescent="0.3">
      <c r="A1671" s="1">
        <v>41943</v>
      </c>
      <c r="B1671" t="s">
        <v>13</v>
      </c>
      <c r="C1671" t="s">
        <v>14</v>
      </c>
      <c r="D1671" s="2">
        <v>12340027.567293501</v>
      </c>
      <c r="E1671" s="2">
        <v>22546.802132500001</v>
      </c>
      <c r="F1671" s="2">
        <v>12362574.369426001</v>
      </c>
    </row>
    <row r="1672" spans="1:6" x14ac:dyDescent="0.3">
      <c r="A1672" s="1">
        <v>41943</v>
      </c>
      <c r="B1672" t="s">
        <v>21</v>
      </c>
      <c r="C1672" t="s">
        <v>14</v>
      </c>
      <c r="D1672" s="2">
        <v>517028.50173193001</v>
      </c>
      <c r="E1672" s="2">
        <v>5057556.6263712402</v>
      </c>
      <c r="F1672" s="2">
        <v>5574586.1281031603</v>
      </c>
    </row>
    <row r="1673" spans="1:6" x14ac:dyDescent="0.3">
      <c r="A1673" s="1">
        <v>41973</v>
      </c>
      <c r="B1673" t="s">
        <v>21</v>
      </c>
      <c r="C1673" t="s">
        <v>14</v>
      </c>
      <c r="D1673" s="2">
        <v>523816.37724695</v>
      </c>
      <c r="E1673" s="2">
        <v>5060333.2991549801</v>
      </c>
      <c r="F1673" s="2">
        <v>5584148.2020867299</v>
      </c>
    </row>
    <row r="1674" spans="1:6" x14ac:dyDescent="0.3">
      <c r="A1674" s="1">
        <v>41973</v>
      </c>
      <c r="B1674" t="s">
        <v>22</v>
      </c>
      <c r="C1674" t="s">
        <v>14</v>
      </c>
      <c r="D1674" s="2">
        <v>12922681.5072018</v>
      </c>
      <c r="E1674" s="2">
        <v>5082868.3618683796</v>
      </c>
      <c r="F1674" s="2">
        <v>18005549.394754998</v>
      </c>
    </row>
    <row r="1675" spans="1:6" x14ac:dyDescent="0.3">
      <c r="A1675" s="1">
        <v>41973</v>
      </c>
      <c r="B1675" t="s">
        <v>6</v>
      </c>
      <c r="C1675" t="s">
        <v>7</v>
      </c>
      <c r="D1675" s="2">
        <v>1438321.3777000001</v>
      </c>
      <c r="E1675" s="2">
        <v>1600.7070000000001</v>
      </c>
      <c r="F1675" s="2">
        <v>1439922.0847</v>
      </c>
    </row>
    <row r="1676" spans="1:6" x14ac:dyDescent="0.3">
      <c r="A1676" s="1">
        <v>41973</v>
      </c>
      <c r="B1676" t="s">
        <v>6</v>
      </c>
      <c r="C1676" t="s">
        <v>9</v>
      </c>
      <c r="D1676" s="2">
        <v>1563086.18405</v>
      </c>
      <c r="E1676" s="2">
        <v>79.602000000000004</v>
      </c>
      <c r="F1676" s="2">
        <v>1563165.78605</v>
      </c>
    </row>
    <row r="1677" spans="1:6" x14ac:dyDescent="0.3">
      <c r="A1677" s="1">
        <v>41973</v>
      </c>
      <c r="B1677" t="s">
        <v>6</v>
      </c>
      <c r="C1677" t="s">
        <v>12</v>
      </c>
      <c r="D1677" s="2">
        <v>0</v>
      </c>
      <c r="E1677" s="2">
        <v>13611.948</v>
      </c>
      <c r="F1677" s="2">
        <v>13611.948</v>
      </c>
    </row>
    <row r="1678" spans="1:6" x14ac:dyDescent="0.3">
      <c r="A1678" s="1">
        <v>41973</v>
      </c>
      <c r="B1678" t="s">
        <v>6</v>
      </c>
      <c r="C1678" t="s">
        <v>11</v>
      </c>
      <c r="D1678" s="2">
        <v>150990.68160000001</v>
      </c>
      <c r="E1678" s="2">
        <v>0</v>
      </c>
      <c r="F1678" s="2">
        <v>150990.68160000001</v>
      </c>
    </row>
    <row r="1679" spans="1:6" x14ac:dyDescent="0.3">
      <c r="A1679" s="1">
        <v>41973</v>
      </c>
      <c r="B1679" t="s">
        <v>6</v>
      </c>
      <c r="C1679" t="s">
        <v>8</v>
      </c>
      <c r="D1679" s="2">
        <v>8182672.8507999899</v>
      </c>
      <c r="E1679" s="2">
        <v>7189.7682999999997</v>
      </c>
      <c r="F1679" s="2">
        <v>8189862.6190999905</v>
      </c>
    </row>
    <row r="1680" spans="1:6" x14ac:dyDescent="0.3">
      <c r="A1680" s="1">
        <v>41973</v>
      </c>
      <c r="B1680" t="s">
        <v>6</v>
      </c>
      <c r="C1680" t="s">
        <v>10</v>
      </c>
      <c r="D1680" s="2">
        <v>1063795.03580484</v>
      </c>
      <c r="E1680" s="2">
        <v>53.037413399999998</v>
      </c>
      <c r="F1680" s="2">
        <v>1063848.0732182399</v>
      </c>
    </row>
    <row r="1681" spans="1:6" x14ac:dyDescent="0.3">
      <c r="A1681" s="1">
        <v>41973</v>
      </c>
      <c r="B1681" t="s">
        <v>15</v>
      </c>
      <c r="C1681" t="s">
        <v>16</v>
      </c>
      <c r="D1681" s="2">
        <v>29995.18</v>
      </c>
      <c r="E1681" s="2">
        <v>0</v>
      </c>
      <c r="F1681" s="2">
        <v>29995.18</v>
      </c>
    </row>
    <row r="1682" spans="1:6" x14ac:dyDescent="0.3">
      <c r="A1682" s="1">
        <v>41973</v>
      </c>
      <c r="B1682" t="s">
        <v>15</v>
      </c>
      <c r="C1682" t="s">
        <v>23</v>
      </c>
      <c r="D1682" s="2">
        <v>264.34199999999998</v>
      </c>
      <c r="E1682" s="2">
        <v>0</v>
      </c>
      <c r="F1682" s="2">
        <v>264.34199999999998</v>
      </c>
    </row>
    <row r="1683" spans="1:6" x14ac:dyDescent="0.3">
      <c r="A1683" s="1">
        <v>41973</v>
      </c>
      <c r="B1683" t="s">
        <v>15</v>
      </c>
      <c r="C1683" t="s">
        <v>19</v>
      </c>
      <c r="D1683" s="2">
        <v>203272.16524967001</v>
      </c>
      <c r="E1683" s="2">
        <v>5059838.1244123196</v>
      </c>
      <c r="F1683" s="2">
        <v>5263110.8153467895</v>
      </c>
    </row>
    <row r="1684" spans="1:6" x14ac:dyDescent="0.3">
      <c r="A1684" s="1">
        <v>41973</v>
      </c>
      <c r="B1684" t="s">
        <v>15</v>
      </c>
      <c r="C1684" t="s">
        <v>24</v>
      </c>
      <c r="D1684" s="2">
        <v>0</v>
      </c>
      <c r="E1684" s="2">
        <v>494.17474265999999</v>
      </c>
      <c r="F1684" s="2">
        <v>494.17474265999999</v>
      </c>
    </row>
    <row r="1685" spans="1:6" x14ac:dyDescent="0.3">
      <c r="A1685" s="1">
        <v>41973</v>
      </c>
      <c r="B1685" t="s">
        <v>15</v>
      </c>
      <c r="C1685" t="s">
        <v>20</v>
      </c>
      <c r="D1685" s="2">
        <v>1560.1653366200001</v>
      </c>
      <c r="E1685" s="2">
        <v>0</v>
      </c>
      <c r="F1685" s="2">
        <v>1560.1653366200001</v>
      </c>
    </row>
    <row r="1686" spans="1:6" x14ac:dyDescent="0.3">
      <c r="A1686" s="1">
        <v>41973</v>
      </c>
      <c r="B1686" t="s">
        <v>15</v>
      </c>
      <c r="C1686" t="s">
        <v>17</v>
      </c>
      <c r="D1686" s="2">
        <v>112324.18369224999</v>
      </c>
      <c r="E1686" s="2">
        <v>0</v>
      </c>
      <c r="F1686" s="2">
        <v>112324.18369224999</v>
      </c>
    </row>
    <row r="1687" spans="1:6" x14ac:dyDescent="0.3">
      <c r="A1687" s="1">
        <v>41973</v>
      </c>
      <c r="B1687" t="s">
        <v>15</v>
      </c>
      <c r="C1687" t="s">
        <v>18</v>
      </c>
      <c r="D1687" s="2">
        <v>176399.34096840999</v>
      </c>
      <c r="E1687" s="2">
        <v>0</v>
      </c>
      <c r="F1687" s="2">
        <v>176399.34096840999</v>
      </c>
    </row>
    <row r="1688" spans="1:6" x14ac:dyDescent="0.3">
      <c r="A1688" s="1">
        <v>41973</v>
      </c>
      <c r="B1688" t="s">
        <v>13</v>
      </c>
      <c r="C1688" t="s">
        <v>14</v>
      </c>
      <c r="D1688" s="2">
        <v>12398866.1299548</v>
      </c>
      <c r="E1688" s="2">
        <v>22535.062713399999</v>
      </c>
      <c r="F1688" s="2">
        <v>12421401.1926682</v>
      </c>
    </row>
    <row r="1689" spans="1:6" x14ac:dyDescent="0.3">
      <c r="A1689" s="1">
        <v>42004</v>
      </c>
      <c r="B1689" t="s">
        <v>6</v>
      </c>
      <c r="C1689" t="s">
        <v>9</v>
      </c>
      <c r="D1689" s="2">
        <v>1576086.72505</v>
      </c>
      <c r="E1689" s="2">
        <v>79.066999999999993</v>
      </c>
      <c r="F1689" s="2">
        <v>1576165.79205</v>
      </c>
    </row>
    <row r="1690" spans="1:6" x14ac:dyDescent="0.3">
      <c r="A1690" s="1">
        <v>42004</v>
      </c>
      <c r="B1690" t="s">
        <v>6</v>
      </c>
      <c r="C1690" t="s">
        <v>12</v>
      </c>
      <c r="D1690" s="2">
        <v>0</v>
      </c>
      <c r="E1690" s="2">
        <v>13611.948</v>
      </c>
      <c r="F1690" s="2">
        <v>13611.948</v>
      </c>
    </row>
    <row r="1691" spans="1:6" x14ac:dyDescent="0.3">
      <c r="A1691" s="1">
        <v>42004</v>
      </c>
      <c r="B1691" t="s">
        <v>6</v>
      </c>
      <c r="C1691" t="s">
        <v>11</v>
      </c>
      <c r="D1691" s="2">
        <v>163990.78279999999</v>
      </c>
      <c r="E1691" s="2">
        <v>0</v>
      </c>
      <c r="F1691" s="2">
        <v>163990.78279999999</v>
      </c>
    </row>
    <row r="1692" spans="1:6" x14ac:dyDescent="0.3">
      <c r="A1692" s="1">
        <v>42004</v>
      </c>
      <c r="B1692" t="s">
        <v>6</v>
      </c>
      <c r="C1692" t="s">
        <v>8</v>
      </c>
      <c r="D1692" s="2">
        <v>8221365.83539999</v>
      </c>
      <c r="E1692" s="2">
        <v>7820.2883000000002</v>
      </c>
      <c r="F1692" s="2">
        <v>8229186.1236999901</v>
      </c>
    </row>
    <row r="1693" spans="1:6" x14ac:dyDescent="0.3">
      <c r="A1693" s="1">
        <v>42004</v>
      </c>
      <c r="B1693" t="s">
        <v>6</v>
      </c>
      <c r="C1693" t="s">
        <v>10</v>
      </c>
      <c r="D1693" s="2">
        <v>1077502.6321131501</v>
      </c>
      <c r="E1693" s="2">
        <v>51.785628299999999</v>
      </c>
      <c r="F1693" s="2">
        <v>1077554.41774145</v>
      </c>
    </row>
    <row r="1694" spans="1:6" x14ac:dyDescent="0.3">
      <c r="A1694" s="1">
        <v>42004</v>
      </c>
      <c r="B1694" t="s">
        <v>15</v>
      </c>
      <c r="C1694" t="s">
        <v>16</v>
      </c>
      <c r="D1694" s="2">
        <v>29995.18</v>
      </c>
      <c r="E1694" s="2">
        <v>0</v>
      </c>
      <c r="F1694" s="2">
        <v>29995.18</v>
      </c>
    </row>
    <row r="1695" spans="1:6" x14ac:dyDescent="0.3">
      <c r="A1695" s="1">
        <v>42004</v>
      </c>
      <c r="B1695" t="s">
        <v>15</v>
      </c>
      <c r="C1695" t="s">
        <v>23</v>
      </c>
      <c r="D1695" s="2">
        <v>264.34199999999998</v>
      </c>
      <c r="E1695" s="2">
        <v>0</v>
      </c>
      <c r="F1695" s="2">
        <v>264.34199999999998</v>
      </c>
    </row>
    <row r="1696" spans="1:6" x14ac:dyDescent="0.3">
      <c r="A1696" s="1">
        <v>42004</v>
      </c>
      <c r="B1696" t="s">
        <v>15</v>
      </c>
      <c r="C1696" t="s">
        <v>19</v>
      </c>
      <c r="D1696" s="2">
        <v>203968.14698677001</v>
      </c>
      <c r="E1696" s="2">
        <v>5094242.7744475603</v>
      </c>
      <c r="F1696" s="2">
        <v>5298210.9214343298</v>
      </c>
    </row>
    <row r="1697" spans="1:6" x14ac:dyDescent="0.3">
      <c r="A1697" s="1">
        <v>42004</v>
      </c>
      <c r="B1697" t="s">
        <v>15</v>
      </c>
      <c r="C1697" t="s">
        <v>24</v>
      </c>
      <c r="D1697" s="2">
        <v>0</v>
      </c>
      <c r="E1697" s="2">
        <v>494.17474265999999</v>
      </c>
      <c r="F1697" s="2">
        <v>494.17474265999999</v>
      </c>
    </row>
    <row r="1698" spans="1:6" x14ac:dyDescent="0.3">
      <c r="A1698" s="1">
        <v>42004</v>
      </c>
      <c r="B1698" t="s">
        <v>15</v>
      </c>
      <c r="C1698" t="s">
        <v>20</v>
      </c>
      <c r="D1698" s="2">
        <v>1625.3213520300001</v>
      </c>
      <c r="E1698" s="2">
        <v>0</v>
      </c>
      <c r="F1698" s="2">
        <v>1625.3213520300001</v>
      </c>
    </row>
    <row r="1699" spans="1:6" x14ac:dyDescent="0.3">
      <c r="A1699" s="1">
        <v>42004</v>
      </c>
      <c r="B1699" t="s">
        <v>15</v>
      </c>
      <c r="C1699" t="s">
        <v>17</v>
      </c>
      <c r="D1699" s="2">
        <v>116489.98449564</v>
      </c>
      <c r="E1699" s="2">
        <v>0</v>
      </c>
      <c r="F1699" s="2">
        <v>116489.98449564</v>
      </c>
    </row>
    <row r="1700" spans="1:6" x14ac:dyDescent="0.3">
      <c r="A1700" s="1">
        <v>42004</v>
      </c>
      <c r="B1700" t="s">
        <v>15</v>
      </c>
      <c r="C1700" t="s">
        <v>18</v>
      </c>
      <c r="D1700" s="2">
        <v>175969.82492128</v>
      </c>
      <c r="E1700" s="2">
        <v>0</v>
      </c>
      <c r="F1700" s="2">
        <v>175969.82492128</v>
      </c>
    </row>
    <row r="1701" spans="1:6" x14ac:dyDescent="0.3">
      <c r="A1701" s="1">
        <v>42004</v>
      </c>
      <c r="B1701" t="s">
        <v>13</v>
      </c>
      <c r="C1701" t="s">
        <v>14</v>
      </c>
      <c r="D1701" s="2">
        <v>12495638.362763099</v>
      </c>
      <c r="E1701" s="2">
        <v>22755.795928299998</v>
      </c>
      <c r="F1701" s="2">
        <v>12518394.158691401</v>
      </c>
    </row>
    <row r="1702" spans="1:6" x14ac:dyDescent="0.3">
      <c r="A1702" s="1">
        <v>42004</v>
      </c>
      <c r="B1702" t="s">
        <v>21</v>
      </c>
      <c r="C1702" t="s">
        <v>14</v>
      </c>
      <c r="D1702" s="2">
        <v>528312.79975571996</v>
      </c>
      <c r="E1702" s="2">
        <v>5094736.9491902199</v>
      </c>
      <c r="F1702" s="2">
        <v>5623049.74894593</v>
      </c>
    </row>
    <row r="1703" spans="1:6" x14ac:dyDescent="0.3">
      <c r="A1703" s="1">
        <v>42004</v>
      </c>
      <c r="B1703" t="s">
        <v>22</v>
      </c>
      <c r="C1703" t="s">
        <v>14</v>
      </c>
      <c r="D1703" s="2">
        <v>13023951.1625189</v>
      </c>
      <c r="E1703" s="2">
        <v>5117492.7451185202</v>
      </c>
      <c r="F1703" s="2">
        <v>18141443.907637399</v>
      </c>
    </row>
    <row r="1704" spans="1:6" x14ac:dyDescent="0.3">
      <c r="A1704" s="1">
        <v>42004</v>
      </c>
      <c r="B1704" t="s">
        <v>6</v>
      </c>
      <c r="C1704" t="s">
        <v>7</v>
      </c>
      <c r="D1704" s="2">
        <v>1456692.3873999999</v>
      </c>
      <c r="E1704" s="2">
        <v>1192.7070000000001</v>
      </c>
      <c r="F1704" s="2">
        <v>1457885.0944000001</v>
      </c>
    </row>
    <row r="1705" spans="1:6" x14ac:dyDescent="0.3">
      <c r="A1705" s="1">
        <v>42035</v>
      </c>
      <c r="B1705" t="s">
        <v>21</v>
      </c>
      <c r="C1705" t="s">
        <v>14</v>
      </c>
      <c r="D1705" s="2">
        <v>524573.05028903997</v>
      </c>
      <c r="E1705" s="2">
        <v>5074424.5393495299</v>
      </c>
      <c r="F1705" s="2">
        <v>5598997.4141260805</v>
      </c>
    </row>
    <row r="1706" spans="1:6" x14ac:dyDescent="0.3">
      <c r="A1706" s="1">
        <v>42035</v>
      </c>
      <c r="B1706" t="s">
        <v>22</v>
      </c>
      <c r="C1706" t="s">
        <v>14</v>
      </c>
      <c r="D1706" s="2">
        <v>12984929.959734401</v>
      </c>
      <c r="E1706" s="2">
        <v>5097364.3246637303</v>
      </c>
      <c r="F1706" s="2">
        <v>18082294.108885702</v>
      </c>
    </row>
    <row r="1707" spans="1:6" x14ac:dyDescent="0.3">
      <c r="A1707" s="1">
        <v>42035</v>
      </c>
      <c r="B1707" t="s">
        <v>6</v>
      </c>
      <c r="C1707" t="s">
        <v>7</v>
      </c>
      <c r="D1707" s="2">
        <v>1411505.4997</v>
      </c>
      <c r="E1707" s="2">
        <v>1381.4069999999999</v>
      </c>
      <c r="F1707" s="2">
        <v>1412886.9066999999</v>
      </c>
    </row>
    <row r="1708" spans="1:6" x14ac:dyDescent="0.3">
      <c r="A1708" s="1">
        <v>42035</v>
      </c>
      <c r="B1708" t="s">
        <v>6</v>
      </c>
      <c r="C1708" t="s">
        <v>9</v>
      </c>
      <c r="D1708" s="2">
        <v>1589088.3361500001</v>
      </c>
      <c r="E1708" s="2">
        <v>76.921999999999997</v>
      </c>
      <c r="F1708" s="2">
        <v>1589165.2581499999</v>
      </c>
    </row>
    <row r="1709" spans="1:6" x14ac:dyDescent="0.3">
      <c r="A1709" s="1">
        <v>42035</v>
      </c>
      <c r="B1709" t="s">
        <v>6</v>
      </c>
      <c r="C1709" t="s">
        <v>12</v>
      </c>
      <c r="D1709" s="2">
        <v>0</v>
      </c>
      <c r="E1709" s="2">
        <v>13611.948</v>
      </c>
      <c r="F1709" s="2">
        <v>13611.948</v>
      </c>
    </row>
    <row r="1710" spans="1:6" x14ac:dyDescent="0.3">
      <c r="A1710" s="1">
        <v>42035</v>
      </c>
      <c r="B1710" t="s">
        <v>6</v>
      </c>
      <c r="C1710" t="s">
        <v>11</v>
      </c>
      <c r="D1710" s="2">
        <v>163988.6678</v>
      </c>
      <c r="E1710" s="2">
        <v>2.1150000000000002</v>
      </c>
      <c r="F1710" s="2">
        <v>163990.78279999999</v>
      </c>
    </row>
    <row r="1711" spans="1:6" x14ac:dyDescent="0.3">
      <c r="A1711" s="1">
        <v>42035</v>
      </c>
      <c r="B1711" t="s">
        <v>6</v>
      </c>
      <c r="C1711" t="s">
        <v>8</v>
      </c>
      <c r="D1711" s="2">
        <v>8232100.3806999903</v>
      </c>
      <c r="E1711" s="2">
        <v>7814.1662999999999</v>
      </c>
      <c r="F1711" s="2">
        <v>8239914.54699999</v>
      </c>
    </row>
    <row r="1712" spans="1:6" x14ac:dyDescent="0.3">
      <c r="A1712" s="1">
        <v>42035</v>
      </c>
      <c r="B1712" t="s">
        <v>6</v>
      </c>
      <c r="C1712" t="s">
        <v>10</v>
      </c>
      <c r="D1712" s="2">
        <v>1063675.0250954099</v>
      </c>
      <c r="E1712" s="2">
        <v>52.227014199999999</v>
      </c>
      <c r="F1712" s="2">
        <v>1063727.25210961</v>
      </c>
    </row>
    <row r="1713" spans="1:6" x14ac:dyDescent="0.3">
      <c r="A1713" s="1">
        <v>42035</v>
      </c>
      <c r="B1713" t="s">
        <v>15</v>
      </c>
      <c r="C1713" t="s">
        <v>16</v>
      </c>
      <c r="D1713" s="2">
        <v>29995.18</v>
      </c>
      <c r="E1713" s="2">
        <v>0</v>
      </c>
      <c r="F1713" s="2">
        <v>29995.18</v>
      </c>
    </row>
    <row r="1714" spans="1:6" x14ac:dyDescent="0.3">
      <c r="A1714" s="1">
        <v>42035</v>
      </c>
      <c r="B1714" t="s">
        <v>15</v>
      </c>
      <c r="C1714" t="s">
        <v>23</v>
      </c>
      <c r="D1714" s="2">
        <v>264.34199999999998</v>
      </c>
      <c r="E1714" s="2">
        <v>0</v>
      </c>
      <c r="F1714" s="2">
        <v>264.34199999999998</v>
      </c>
    </row>
    <row r="1715" spans="1:6" x14ac:dyDescent="0.3">
      <c r="A1715" s="1">
        <v>42035</v>
      </c>
      <c r="B1715" t="s">
        <v>15</v>
      </c>
      <c r="C1715" t="s">
        <v>19</v>
      </c>
      <c r="D1715" s="2">
        <v>203424.44919156999</v>
      </c>
      <c r="E1715" s="2">
        <v>5073931.3396950401</v>
      </c>
      <c r="F1715" s="2">
        <v>5277354.6133741196</v>
      </c>
    </row>
    <row r="1716" spans="1:6" x14ac:dyDescent="0.3">
      <c r="A1716" s="1">
        <v>42035</v>
      </c>
      <c r="B1716" t="s">
        <v>15</v>
      </c>
      <c r="C1716" t="s">
        <v>24</v>
      </c>
      <c r="D1716" s="2">
        <v>0</v>
      </c>
      <c r="E1716" s="2">
        <v>494.19965449</v>
      </c>
      <c r="F1716" s="2">
        <v>494.19965449</v>
      </c>
    </row>
    <row r="1717" spans="1:6" x14ac:dyDescent="0.3">
      <c r="A1717" s="1">
        <v>42035</v>
      </c>
      <c r="B1717" t="s">
        <v>15</v>
      </c>
      <c r="C1717" t="s">
        <v>20</v>
      </c>
      <c r="D1717" s="2">
        <v>1566.8260473600001</v>
      </c>
      <c r="E1717" s="2">
        <v>0</v>
      </c>
      <c r="F1717" s="2">
        <v>1566.8260473600001</v>
      </c>
    </row>
    <row r="1718" spans="1:6" x14ac:dyDescent="0.3">
      <c r="A1718" s="1">
        <v>42035</v>
      </c>
      <c r="B1718" t="s">
        <v>15</v>
      </c>
      <c r="C1718" t="s">
        <v>17</v>
      </c>
      <c r="D1718" s="2">
        <v>113684.42731374</v>
      </c>
      <c r="E1718" s="2">
        <v>0</v>
      </c>
      <c r="F1718" s="2">
        <v>113684.42731374</v>
      </c>
    </row>
    <row r="1719" spans="1:6" x14ac:dyDescent="0.3">
      <c r="A1719" s="1">
        <v>42035</v>
      </c>
      <c r="B1719" t="s">
        <v>15</v>
      </c>
      <c r="C1719" t="s">
        <v>18</v>
      </c>
      <c r="D1719" s="2">
        <v>175637.82573637</v>
      </c>
      <c r="E1719" s="2">
        <v>0</v>
      </c>
      <c r="F1719" s="2">
        <v>175637.82573637</v>
      </c>
    </row>
    <row r="1720" spans="1:6" x14ac:dyDescent="0.3">
      <c r="A1720" s="1">
        <v>42035</v>
      </c>
      <c r="B1720" t="s">
        <v>13</v>
      </c>
      <c r="C1720" t="s">
        <v>14</v>
      </c>
      <c r="D1720" s="2">
        <v>12460357.909445399</v>
      </c>
      <c r="E1720" s="2">
        <v>22938.785314199999</v>
      </c>
      <c r="F1720" s="2">
        <v>12483296.6947596</v>
      </c>
    </row>
    <row r="1721" spans="1:6" x14ac:dyDescent="0.3">
      <c r="A1721" s="1">
        <v>42063</v>
      </c>
      <c r="B1721" t="s">
        <v>22</v>
      </c>
      <c r="C1721" t="s">
        <v>14</v>
      </c>
      <c r="D1721" s="2">
        <v>13074035.584404601</v>
      </c>
      <c r="E1721" s="2">
        <v>5081818.4799320903</v>
      </c>
      <c r="F1721" s="2">
        <v>18155854.064335302</v>
      </c>
    </row>
    <row r="1722" spans="1:6" x14ac:dyDescent="0.3">
      <c r="A1722" s="1">
        <v>42063</v>
      </c>
      <c r="B1722" t="s">
        <v>6</v>
      </c>
      <c r="C1722" t="s">
        <v>7</v>
      </c>
      <c r="D1722" s="2">
        <v>1471553.0329</v>
      </c>
      <c r="E1722" s="2">
        <v>1334.7070000000001</v>
      </c>
      <c r="F1722" s="2">
        <v>1472887.7398999999</v>
      </c>
    </row>
    <row r="1723" spans="1:6" x14ac:dyDescent="0.3">
      <c r="A1723" s="1">
        <v>42063</v>
      </c>
      <c r="B1723" t="s">
        <v>6</v>
      </c>
      <c r="C1723" t="s">
        <v>9</v>
      </c>
      <c r="D1723" s="2">
        <v>1594569.9500500001</v>
      </c>
      <c r="E1723" s="2">
        <v>78.274000000000001</v>
      </c>
      <c r="F1723" s="2">
        <v>1594648.2240500001</v>
      </c>
    </row>
    <row r="1724" spans="1:6" x14ac:dyDescent="0.3">
      <c r="A1724" s="1">
        <v>42063</v>
      </c>
      <c r="B1724" t="s">
        <v>6</v>
      </c>
      <c r="C1724" t="s">
        <v>12</v>
      </c>
      <c r="D1724" s="2">
        <v>0</v>
      </c>
      <c r="E1724" s="2">
        <v>13611.948</v>
      </c>
      <c r="F1724" s="2">
        <v>13611.948</v>
      </c>
    </row>
    <row r="1725" spans="1:6" x14ac:dyDescent="0.3">
      <c r="A1725" s="1">
        <v>42063</v>
      </c>
      <c r="B1725" t="s">
        <v>6</v>
      </c>
      <c r="C1725" t="s">
        <v>11</v>
      </c>
      <c r="D1725" s="2">
        <v>191990.6446</v>
      </c>
      <c r="E1725" s="2">
        <v>0.59499999999999997</v>
      </c>
      <c r="F1725" s="2">
        <v>191991.2396</v>
      </c>
    </row>
    <row r="1726" spans="1:6" x14ac:dyDescent="0.3">
      <c r="A1726" s="1">
        <v>42063</v>
      </c>
      <c r="B1726" t="s">
        <v>6</v>
      </c>
      <c r="C1726" t="s">
        <v>8</v>
      </c>
      <c r="D1726" s="2">
        <v>8222351.36769999</v>
      </c>
      <c r="E1726" s="2">
        <v>7764.0253000000002</v>
      </c>
      <c r="F1726" s="2">
        <v>8230115.3929999899</v>
      </c>
    </row>
    <row r="1727" spans="1:6" x14ac:dyDescent="0.3">
      <c r="A1727" s="1">
        <v>42063</v>
      </c>
      <c r="B1727" t="s">
        <v>6</v>
      </c>
      <c r="C1727" t="s">
        <v>10</v>
      </c>
      <c r="D1727" s="2">
        <v>1066997.5637093501</v>
      </c>
      <c r="E1727" s="2">
        <v>72.640849700000004</v>
      </c>
      <c r="F1727" s="2">
        <v>1067070.20455905</v>
      </c>
    </row>
    <row r="1728" spans="1:6" x14ac:dyDescent="0.3">
      <c r="A1728" s="1">
        <v>42063</v>
      </c>
      <c r="B1728" t="s">
        <v>15</v>
      </c>
      <c r="C1728" t="s">
        <v>16</v>
      </c>
      <c r="D1728" s="2">
        <v>29995.18</v>
      </c>
      <c r="E1728" s="2">
        <v>0</v>
      </c>
      <c r="F1728" s="2">
        <v>29995.18</v>
      </c>
    </row>
    <row r="1729" spans="1:6" x14ac:dyDescent="0.3">
      <c r="A1729" s="1">
        <v>42063</v>
      </c>
      <c r="B1729" t="s">
        <v>15</v>
      </c>
      <c r="C1729" t="s">
        <v>23</v>
      </c>
      <c r="D1729" s="2">
        <v>264.34199999999998</v>
      </c>
      <c r="E1729" s="2">
        <v>0</v>
      </c>
      <c r="F1729" s="2">
        <v>264.34199999999998</v>
      </c>
    </row>
    <row r="1730" spans="1:6" x14ac:dyDescent="0.3">
      <c r="A1730" s="1">
        <v>42063</v>
      </c>
      <c r="B1730" t="s">
        <v>15</v>
      </c>
      <c r="C1730" t="s">
        <v>19</v>
      </c>
      <c r="D1730" s="2">
        <v>206691.63341195</v>
      </c>
      <c r="E1730" s="2">
        <v>5058461.0901279002</v>
      </c>
      <c r="F1730" s="2">
        <v>5265152.7235384304</v>
      </c>
    </row>
    <row r="1731" spans="1:6" x14ac:dyDescent="0.3">
      <c r="A1731" s="1">
        <v>42063</v>
      </c>
      <c r="B1731" t="s">
        <v>15</v>
      </c>
      <c r="C1731" t="s">
        <v>24</v>
      </c>
      <c r="D1731" s="2">
        <v>0</v>
      </c>
      <c r="E1731" s="2">
        <v>494.19965449</v>
      </c>
      <c r="F1731" s="2">
        <v>494.19965449</v>
      </c>
    </row>
    <row r="1732" spans="1:6" x14ac:dyDescent="0.3">
      <c r="A1732" s="1">
        <v>42063</v>
      </c>
      <c r="B1732" t="s">
        <v>15</v>
      </c>
      <c r="C1732" t="s">
        <v>20</v>
      </c>
      <c r="D1732" s="2">
        <v>1527.5540559200001</v>
      </c>
      <c r="E1732" s="2">
        <v>0</v>
      </c>
      <c r="F1732" s="2">
        <v>1527.5540559200001</v>
      </c>
    </row>
    <row r="1733" spans="1:6" x14ac:dyDescent="0.3">
      <c r="A1733" s="1">
        <v>42063</v>
      </c>
      <c r="B1733" t="s">
        <v>15</v>
      </c>
      <c r="C1733" t="s">
        <v>17</v>
      </c>
      <c r="D1733" s="2">
        <v>112763.62929563</v>
      </c>
      <c r="E1733" s="2">
        <v>0</v>
      </c>
      <c r="F1733" s="2">
        <v>112763.62929563</v>
      </c>
    </row>
    <row r="1734" spans="1:6" x14ac:dyDescent="0.3">
      <c r="A1734" s="1">
        <v>42063</v>
      </c>
      <c r="B1734" t="s">
        <v>15</v>
      </c>
      <c r="C1734" t="s">
        <v>18</v>
      </c>
      <c r="D1734" s="2">
        <v>175330.68668173999</v>
      </c>
      <c r="E1734" s="2">
        <v>0</v>
      </c>
      <c r="F1734" s="2">
        <v>175330.68668173999</v>
      </c>
    </row>
    <row r="1735" spans="1:6" x14ac:dyDescent="0.3">
      <c r="A1735" s="1">
        <v>42063</v>
      </c>
      <c r="B1735" t="s">
        <v>13</v>
      </c>
      <c r="C1735" t="s">
        <v>14</v>
      </c>
      <c r="D1735" s="2">
        <v>12547462.5589593</v>
      </c>
      <c r="E1735" s="2">
        <v>22862.1901497</v>
      </c>
      <c r="F1735" s="2">
        <v>12570324.749109</v>
      </c>
    </row>
    <row r="1736" spans="1:6" x14ac:dyDescent="0.3">
      <c r="A1736" s="1">
        <v>42063</v>
      </c>
      <c r="B1736" t="s">
        <v>21</v>
      </c>
      <c r="C1736" t="s">
        <v>14</v>
      </c>
      <c r="D1736" s="2">
        <v>526574.02544523997</v>
      </c>
      <c r="E1736" s="2">
        <v>5058955.28978239</v>
      </c>
      <c r="F1736" s="2">
        <v>5585529.3152262103</v>
      </c>
    </row>
    <row r="1737" spans="1:6" x14ac:dyDescent="0.3">
      <c r="A1737" s="1">
        <v>42094</v>
      </c>
      <c r="B1737" t="s">
        <v>21</v>
      </c>
      <c r="C1737" t="s">
        <v>14</v>
      </c>
      <c r="D1737" s="2">
        <v>469475.69742349</v>
      </c>
      <c r="E1737" s="2">
        <v>5038774.2054035002</v>
      </c>
      <c r="F1737" s="2">
        <v>5508250.3420123504</v>
      </c>
    </row>
    <row r="1738" spans="1:6" x14ac:dyDescent="0.3">
      <c r="A1738" s="1">
        <v>42094</v>
      </c>
      <c r="B1738" t="s">
        <v>22</v>
      </c>
      <c r="C1738" t="s">
        <v>14</v>
      </c>
      <c r="D1738" s="2">
        <v>13090399.075396599</v>
      </c>
      <c r="E1738" s="2">
        <v>5061657.4008764997</v>
      </c>
      <c r="F1738" s="2">
        <v>18152055.9154585</v>
      </c>
    </row>
    <row r="1739" spans="1:6" x14ac:dyDescent="0.3">
      <c r="A1739" s="1">
        <v>42094</v>
      </c>
      <c r="B1739" t="s">
        <v>6</v>
      </c>
      <c r="C1739" t="s">
        <v>7</v>
      </c>
      <c r="D1739" s="2">
        <v>1476540.1536000001</v>
      </c>
      <c r="E1739" s="2">
        <v>1359.432</v>
      </c>
      <c r="F1739" s="2">
        <v>1477899.5856000001</v>
      </c>
    </row>
    <row r="1740" spans="1:6" x14ac:dyDescent="0.3">
      <c r="A1740" s="1">
        <v>42094</v>
      </c>
      <c r="B1740" t="s">
        <v>6</v>
      </c>
      <c r="C1740" t="s">
        <v>9</v>
      </c>
      <c r="D1740" s="2">
        <v>1607585.2673500001</v>
      </c>
      <c r="E1740" s="2">
        <v>61.701000000000001</v>
      </c>
      <c r="F1740" s="2">
        <v>1607646.96835</v>
      </c>
    </row>
    <row r="1741" spans="1:6" x14ac:dyDescent="0.3">
      <c r="A1741" s="1">
        <v>42094</v>
      </c>
      <c r="B1741" t="s">
        <v>6</v>
      </c>
      <c r="C1741" t="s">
        <v>12</v>
      </c>
      <c r="D1741" s="2">
        <v>0</v>
      </c>
      <c r="E1741" s="2">
        <v>13611.948</v>
      </c>
      <c r="F1741" s="2">
        <v>13611.948</v>
      </c>
    </row>
    <row r="1742" spans="1:6" x14ac:dyDescent="0.3">
      <c r="A1742" s="1">
        <v>42094</v>
      </c>
      <c r="B1742" t="s">
        <v>6</v>
      </c>
      <c r="C1742" t="s">
        <v>11</v>
      </c>
      <c r="D1742" s="2">
        <v>204991.45199999999</v>
      </c>
      <c r="E1742" s="2">
        <v>0</v>
      </c>
      <c r="F1742" s="2">
        <v>204991.45199999999</v>
      </c>
    </row>
    <row r="1743" spans="1:6" x14ac:dyDescent="0.3">
      <c r="A1743" s="1">
        <v>42094</v>
      </c>
      <c r="B1743" t="s">
        <v>6</v>
      </c>
      <c r="C1743" t="s">
        <v>8</v>
      </c>
      <c r="D1743" s="2">
        <v>8256665.8053999897</v>
      </c>
      <c r="E1743" s="2">
        <v>7767.0762999999997</v>
      </c>
      <c r="F1743" s="2">
        <v>8264432.8816999895</v>
      </c>
    </row>
    <row r="1744" spans="1:6" x14ac:dyDescent="0.3">
      <c r="A1744" s="1">
        <v>42094</v>
      </c>
      <c r="B1744" t="s">
        <v>6</v>
      </c>
      <c r="C1744" t="s">
        <v>10</v>
      </c>
      <c r="D1744" s="2">
        <v>1075140.69962311</v>
      </c>
      <c r="E1744" s="2">
        <v>83.038173</v>
      </c>
      <c r="F1744" s="2">
        <v>1075223.7377961101</v>
      </c>
    </row>
    <row r="1745" spans="1:6" x14ac:dyDescent="0.3">
      <c r="A1745" s="1">
        <v>42094</v>
      </c>
      <c r="B1745" t="s">
        <v>15</v>
      </c>
      <c r="C1745" t="s">
        <v>16</v>
      </c>
      <c r="D1745" s="2">
        <v>29995.18</v>
      </c>
      <c r="E1745" s="2">
        <v>0</v>
      </c>
      <c r="F1745" s="2">
        <v>29995.18</v>
      </c>
    </row>
    <row r="1746" spans="1:6" x14ac:dyDescent="0.3">
      <c r="A1746" s="1">
        <v>42094</v>
      </c>
      <c r="B1746" t="s">
        <v>15</v>
      </c>
      <c r="C1746" t="s">
        <v>23</v>
      </c>
      <c r="D1746" s="2">
        <v>264.34199999999998</v>
      </c>
      <c r="E1746" s="2">
        <v>0</v>
      </c>
      <c r="F1746" s="2">
        <v>264.34199999999998</v>
      </c>
    </row>
    <row r="1747" spans="1:6" x14ac:dyDescent="0.3">
      <c r="A1747" s="1">
        <v>42094</v>
      </c>
      <c r="B1747" t="s">
        <v>15</v>
      </c>
      <c r="C1747" t="s">
        <v>19</v>
      </c>
      <c r="D1747" s="2">
        <v>144795.60447647001</v>
      </c>
      <c r="E1747" s="2">
        <v>5038280.0057490095</v>
      </c>
      <c r="F1747" s="2">
        <v>5183075.0494108396</v>
      </c>
    </row>
    <row r="1748" spans="1:6" x14ac:dyDescent="0.3">
      <c r="A1748" s="1">
        <v>42094</v>
      </c>
      <c r="B1748" t="s">
        <v>15</v>
      </c>
      <c r="C1748" t="s">
        <v>24</v>
      </c>
      <c r="D1748" s="2">
        <v>0</v>
      </c>
      <c r="E1748" s="2">
        <v>494.19965449</v>
      </c>
      <c r="F1748" s="2">
        <v>494.19965449</v>
      </c>
    </row>
    <row r="1749" spans="1:6" x14ac:dyDescent="0.3">
      <c r="A1749" s="1">
        <v>42094</v>
      </c>
      <c r="B1749" t="s">
        <v>15</v>
      </c>
      <c r="C1749" t="s">
        <v>20</v>
      </c>
      <c r="D1749" s="2">
        <v>1530.01739092</v>
      </c>
      <c r="E1749" s="2">
        <v>0</v>
      </c>
      <c r="F1749" s="2">
        <v>1530.01739092</v>
      </c>
    </row>
    <row r="1750" spans="1:6" x14ac:dyDescent="0.3">
      <c r="A1750" s="1">
        <v>42094</v>
      </c>
      <c r="B1750" t="s">
        <v>15</v>
      </c>
      <c r="C1750" t="s">
        <v>17</v>
      </c>
      <c r="D1750" s="2">
        <v>117932.69551224999</v>
      </c>
      <c r="E1750" s="2">
        <v>0</v>
      </c>
      <c r="F1750" s="2">
        <v>117932.69551224999</v>
      </c>
    </row>
    <row r="1751" spans="1:6" x14ac:dyDescent="0.3">
      <c r="A1751" s="1">
        <v>42094</v>
      </c>
      <c r="B1751" t="s">
        <v>15</v>
      </c>
      <c r="C1751" t="s">
        <v>18</v>
      </c>
      <c r="D1751" s="2">
        <v>174957.85804384999</v>
      </c>
      <c r="E1751" s="2">
        <v>0</v>
      </c>
      <c r="F1751" s="2">
        <v>174957.85804384999</v>
      </c>
    </row>
    <row r="1752" spans="1:6" x14ac:dyDescent="0.3">
      <c r="A1752" s="1">
        <v>42094</v>
      </c>
      <c r="B1752" t="s">
        <v>13</v>
      </c>
      <c r="C1752" t="s">
        <v>14</v>
      </c>
      <c r="D1752" s="2">
        <v>12620923.3779731</v>
      </c>
      <c r="E1752" s="2">
        <v>22883.195473</v>
      </c>
      <c r="F1752" s="2">
        <v>12643806.573446101</v>
      </c>
    </row>
    <row r="1753" spans="1:6" x14ac:dyDescent="0.3">
      <c r="A1753" s="1">
        <v>42124</v>
      </c>
      <c r="B1753" t="s">
        <v>6</v>
      </c>
      <c r="C1753" t="s">
        <v>12</v>
      </c>
      <c r="D1753" s="2">
        <v>0</v>
      </c>
      <c r="E1753" s="2">
        <v>13611.948</v>
      </c>
      <c r="F1753" s="2">
        <v>13611.948</v>
      </c>
    </row>
    <row r="1754" spans="1:6" x14ac:dyDescent="0.3">
      <c r="A1754" s="1">
        <v>42124</v>
      </c>
      <c r="B1754" t="s">
        <v>15</v>
      </c>
      <c r="C1754" t="s">
        <v>16</v>
      </c>
      <c r="D1754" s="2">
        <v>29995.18</v>
      </c>
      <c r="E1754" s="2">
        <v>0</v>
      </c>
      <c r="F1754" s="2">
        <v>29995.18</v>
      </c>
    </row>
    <row r="1755" spans="1:6" x14ac:dyDescent="0.3">
      <c r="A1755" s="1">
        <v>42124</v>
      </c>
      <c r="B1755" t="s">
        <v>15</v>
      </c>
      <c r="C1755" t="s">
        <v>23</v>
      </c>
      <c r="D1755" s="2">
        <v>264.34199999999998</v>
      </c>
      <c r="E1755" s="2">
        <v>0</v>
      </c>
      <c r="F1755" s="2">
        <v>264.34199999999998</v>
      </c>
    </row>
    <row r="1756" spans="1:6" x14ac:dyDescent="0.3">
      <c r="A1756" s="1">
        <v>42124</v>
      </c>
      <c r="B1756" t="s">
        <v>15</v>
      </c>
      <c r="C1756" t="s">
        <v>19</v>
      </c>
      <c r="D1756" s="2">
        <v>107557.66366866</v>
      </c>
      <c r="E1756" s="2">
        <v>5075170.4414440403</v>
      </c>
      <c r="F1756" s="2">
        <v>5182727.5216257405</v>
      </c>
    </row>
    <row r="1757" spans="1:6" x14ac:dyDescent="0.3">
      <c r="A1757" s="1">
        <v>42124</v>
      </c>
      <c r="B1757" t="s">
        <v>15</v>
      </c>
      <c r="C1757" t="s">
        <v>24</v>
      </c>
      <c r="D1757" s="2">
        <v>0</v>
      </c>
      <c r="E1757" s="2">
        <v>494.24839750000001</v>
      </c>
      <c r="F1757" s="2">
        <v>494.24839750000001</v>
      </c>
    </row>
    <row r="1758" spans="1:6" x14ac:dyDescent="0.3">
      <c r="A1758" s="1">
        <v>42124</v>
      </c>
      <c r="B1758" t="s">
        <v>15</v>
      </c>
      <c r="C1758" t="s">
        <v>20</v>
      </c>
      <c r="D1758" s="2">
        <v>1517.5603146599999</v>
      </c>
      <c r="E1758" s="2">
        <v>0</v>
      </c>
      <c r="F1758" s="2">
        <v>1517.5603146599999</v>
      </c>
    </row>
    <row r="1759" spans="1:6" x14ac:dyDescent="0.3">
      <c r="A1759" s="1">
        <v>42124</v>
      </c>
      <c r="B1759" t="s">
        <v>15</v>
      </c>
      <c r="C1759" t="s">
        <v>17</v>
      </c>
      <c r="D1759" s="2">
        <v>117427.0313858</v>
      </c>
      <c r="E1759" s="2">
        <v>0</v>
      </c>
      <c r="F1759" s="2">
        <v>117427.0313858</v>
      </c>
    </row>
    <row r="1760" spans="1:6" x14ac:dyDescent="0.3">
      <c r="A1760" s="1">
        <v>42124</v>
      </c>
      <c r="B1760" t="s">
        <v>15</v>
      </c>
      <c r="C1760" t="s">
        <v>18</v>
      </c>
      <c r="D1760" s="2">
        <v>174629.56588181999</v>
      </c>
      <c r="E1760" s="2">
        <v>0</v>
      </c>
      <c r="F1760" s="2">
        <v>174629.56588181999</v>
      </c>
    </row>
    <row r="1761" spans="1:6" x14ac:dyDescent="0.3">
      <c r="A1761" s="1">
        <v>42124</v>
      </c>
      <c r="B1761" t="s">
        <v>13</v>
      </c>
      <c r="C1761" t="s">
        <v>14</v>
      </c>
      <c r="D1761" s="2">
        <v>12622289.686437801</v>
      </c>
      <c r="E1761" s="2">
        <v>23214.817062300001</v>
      </c>
      <c r="F1761" s="2">
        <v>12645504.5035001</v>
      </c>
    </row>
    <row r="1762" spans="1:6" x14ac:dyDescent="0.3">
      <c r="A1762" s="1">
        <v>42124</v>
      </c>
      <c r="B1762" t="s">
        <v>21</v>
      </c>
      <c r="C1762" t="s">
        <v>14</v>
      </c>
      <c r="D1762" s="2">
        <v>431392.34325093997</v>
      </c>
      <c r="E1762" s="2">
        <v>5075663.6898415396</v>
      </c>
      <c r="F1762" s="2">
        <v>5507056.4496055199</v>
      </c>
    </row>
    <row r="1763" spans="1:6" x14ac:dyDescent="0.3">
      <c r="A1763" s="1">
        <v>42124</v>
      </c>
      <c r="B1763" t="s">
        <v>22</v>
      </c>
      <c r="C1763" t="s">
        <v>14</v>
      </c>
      <c r="D1763" s="2">
        <v>13053681.0296888</v>
      </c>
      <c r="E1763" s="2">
        <v>5098878.5069038402</v>
      </c>
      <c r="F1763" s="2">
        <v>18152559.953105599</v>
      </c>
    </row>
    <row r="1764" spans="1:6" x14ac:dyDescent="0.3">
      <c r="A1764" s="1">
        <v>42124</v>
      </c>
      <c r="B1764" t="s">
        <v>6</v>
      </c>
      <c r="C1764" t="s">
        <v>7</v>
      </c>
      <c r="D1764" s="2">
        <v>1431244.7834999999</v>
      </c>
      <c r="E1764" s="2">
        <v>1689.8420000000001</v>
      </c>
      <c r="F1764" s="2">
        <v>1432934.6255000001</v>
      </c>
    </row>
    <row r="1765" spans="1:6" x14ac:dyDescent="0.3">
      <c r="A1765" s="1">
        <v>42124</v>
      </c>
      <c r="B1765" t="s">
        <v>6</v>
      </c>
      <c r="C1765" t="s">
        <v>9</v>
      </c>
      <c r="D1765" s="2">
        <v>1620594.55235</v>
      </c>
      <c r="E1765" s="2">
        <v>51.459800000000001</v>
      </c>
      <c r="F1765" s="2">
        <v>1620646.0121500001</v>
      </c>
    </row>
    <row r="1766" spans="1:6" x14ac:dyDescent="0.3">
      <c r="A1766" s="1">
        <v>42124</v>
      </c>
      <c r="B1766" t="s">
        <v>6</v>
      </c>
      <c r="C1766" t="s">
        <v>11</v>
      </c>
      <c r="D1766" s="2">
        <v>220043.37729999999</v>
      </c>
      <c r="E1766" s="2">
        <v>2.9950000000000001</v>
      </c>
      <c r="F1766" s="2">
        <v>220046.37229999999</v>
      </c>
    </row>
    <row r="1767" spans="1:6" x14ac:dyDescent="0.3">
      <c r="A1767" s="1">
        <v>42124</v>
      </c>
      <c r="B1767" t="s">
        <v>6</v>
      </c>
      <c r="C1767" t="s">
        <v>8</v>
      </c>
      <c r="D1767" s="2">
        <v>8276264.4946999997</v>
      </c>
      <c r="E1767" s="2">
        <v>7758.9642999999996</v>
      </c>
      <c r="F1767" s="2">
        <v>8284023.4589999998</v>
      </c>
    </row>
    <row r="1768" spans="1:6" x14ac:dyDescent="0.3">
      <c r="A1768" s="1">
        <v>42124</v>
      </c>
      <c r="B1768" t="s">
        <v>6</v>
      </c>
      <c r="C1768" t="s">
        <v>10</v>
      </c>
      <c r="D1768" s="2">
        <v>1074142.47858782</v>
      </c>
      <c r="E1768" s="2">
        <v>99.607962299999997</v>
      </c>
      <c r="F1768" s="2">
        <v>1074242.08655012</v>
      </c>
    </row>
    <row r="1769" spans="1:6" x14ac:dyDescent="0.3">
      <c r="A1769" s="1">
        <v>42155</v>
      </c>
      <c r="B1769" t="s">
        <v>15</v>
      </c>
      <c r="C1769" t="s">
        <v>20</v>
      </c>
      <c r="D1769" s="2">
        <v>1513.8625820499999</v>
      </c>
      <c r="E1769" s="2">
        <v>0</v>
      </c>
      <c r="F1769" s="2">
        <v>1513.8625820499999</v>
      </c>
    </row>
    <row r="1770" spans="1:6" x14ac:dyDescent="0.3">
      <c r="A1770" s="1">
        <v>42155</v>
      </c>
      <c r="B1770" t="s">
        <v>15</v>
      </c>
      <c r="C1770" t="s">
        <v>17</v>
      </c>
      <c r="D1770" s="2">
        <v>110686.68434717999</v>
      </c>
      <c r="E1770" s="2">
        <v>0</v>
      </c>
      <c r="F1770" s="2">
        <v>110686.68434717999</v>
      </c>
    </row>
    <row r="1771" spans="1:6" x14ac:dyDescent="0.3">
      <c r="A1771" s="1">
        <v>42155</v>
      </c>
      <c r="B1771" t="s">
        <v>15</v>
      </c>
      <c r="C1771" t="s">
        <v>18</v>
      </c>
      <c r="D1771" s="2">
        <v>174359.39348964</v>
      </c>
      <c r="E1771" s="2">
        <v>0</v>
      </c>
      <c r="F1771" s="2">
        <v>174359.39348964</v>
      </c>
    </row>
    <row r="1772" spans="1:6" x14ac:dyDescent="0.3">
      <c r="A1772" s="1">
        <v>42155</v>
      </c>
      <c r="B1772" t="s">
        <v>13</v>
      </c>
      <c r="C1772" t="s">
        <v>14</v>
      </c>
      <c r="D1772" s="2">
        <v>12664716.235188499</v>
      </c>
      <c r="E1772" s="2">
        <v>23302.250276660001</v>
      </c>
      <c r="F1772" s="2">
        <v>12688018.4854651</v>
      </c>
    </row>
    <row r="1773" spans="1:6" x14ac:dyDescent="0.3">
      <c r="A1773" s="1">
        <v>42155</v>
      </c>
      <c r="B1773" t="s">
        <v>21</v>
      </c>
      <c r="C1773" t="s">
        <v>14</v>
      </c>
      <c r="D1773" s="2">
        <v>387990.15524708002</v>
      </c>
      <c r="E1773" s="2">
        <v>5076842.9903066102</v>
      </c>
      <c r="F1773" s="2">
        <v>5464833.3538040901</v>
      </c>
    </row>
    <row r="1774" spans="1:6" x14ac:dyDescent="0.3">
      <c r="A1774" s="1">
        <v>42155</v>
      </c>
      <c r="B1774" t="s">
        <v>22</v>
      </c>
      <c r="C1774" t="s">
        <v>14</v>
      </c>
      <c r="D1774" s="2">
        <v>13052706.3904355</v>
      </c>
      <c r="E1774" s="2">
        <v>5100145.2405832699</v>
      </c>
      <c r="F1774" s="2">
        <v>18152851.839269198</v>
      </c>
    </row>
    <row r="1775" spans="1:6" x14ac:dyDescent="0.3">
      <c r="A1775" s="1">
        <v>42155</v>
      </c>
      <c r="B1775" t="s">
        <v>6</v>
      </c>
      <c r="C1775" t="s">
        <v>7</v>
      </c>
      <c r="D1775" s="2">
        <v>1445235.9463</v>
      </c>
      <c r="E1775" s="2">
        <v>1722.3920000000001</v>
      </c>
      <c r="F1775" s="2">
        <v>1446958.3382999999</v>
      </c>
    </row>
    <row r="1776" spans="1:6" x14ac:dyDescent="0.3">
      <c r="A1776" s="1">
        <v>42155</v>
      </c>
      <c r="B1776" t="s">
        <v>6</v>
      </c>
      <c r="C1776" t="s">
        <v>9</v>
      </c>
      <c r="D1776" s="2">
        <v>1636949.922</v>
      </c>
      <c r="E1776" s="2">
        <v>57.771999999999998</v>
      </c>
      <c r="F1776" s="2">
        <v>1637007.6939999999</v>
      </c>
    </row>
    <row r="1777" spans="1:6" x14ac:dyDescent="0.3">
      <c r="A1777" s="1">
        <v>42155</v>
      </c>
      <c r="B1777" t="s">
        <v>6</v>
      </c>
      <c r="C1777" t="s">
        <v>12</v>
      </c>
      <c r="D1777" s="2">
        <v>0</v>
      </c>
      <c r="E1777" s="2">
        <v>13611.948</v>
      </c>
      <c r="F1777" s="2">
        <v>13611.948</v>
      </c>
    </row>
    <row r="1778" spans="1:6" x14ac:dyDescent="0.3">
      <c r="A1778" s="1">
        <v>42155</v>
      </c>
      <c r="B1778" t="s">
        <v>6</v>
      </c>
      <c r="C1778" t="s">
        <v>11</v>
      </c>
      <c r="D1778" s="2">
        <v>233023.69779999999</v>
      </c>
      <c r="E1778" s="2">
        <v>22.695</v>
      </c>
      <c r="F1778" s="2">
        <v>233046.3928</v>
      </c>
    </row>
    <row r="1779" spans="1:6" x14ac:dyDescent="0.3">
      <c r="A1779" s="1">
        <v>42155</v>
      </c>
      <c r="B1779" t="s">
        <v>6</v>
      </c>
      <c r="C1779" t="s">
        <v>8</v>
      </c>
      <c r="D1779" s="2">
        <v>8256835.5676999902</v>
      </c>
      <c r="E1779" s="2">
        <v>7799.1769999999997</v>
      </c>
      <c r="F1779" s="2">
        <v>8264634.7446999997</v>
      </c>
    </row>
    <row r="1780" spans="1:6" x14ac:dyDescent="0.3">
      <c r="A1780" s="1">
        <v>42155</v>
      </c>
      <c r="B1780" t="s">
        <v>6</v>
      </c>
      <c r="C1780" t="s">
        <v>10</v>
      </c>
      <c r="D1780" s="2">
        <v>1092671.10138847</v>
      </c>
      <c r="E1780" s="2">
        <v>88.266276660000003</v>
      </c>
      <c r="F1780" s="2">
        <v>1092759.3676651299</v>
      </c>
    </row>
    <row r="1781" spans="1:6" x14ac:dyDescent="0.3">
      <c r="A1781" s="1">
        <v>42155</v>
      </c>
      <c r="B1781" t="s">
        <v>15</v>
      </c>
      <c r="C1781" t="s">
        <v>16</v>
      </c>
      <c r="D1781" s="2">
        <v>29995.18</v>
      </c>
      <c r="E1781" s="2">
        <v>0</v>
      </c>
      <c r="F1781" s="2">
        <v>29995.18</v>
      </c>
    </row>
    <row r="1782" spans="1:6" x14ac:dyDescent="0.3">
      <c r="A1782" s="1">
        <v>42155</v>
      </c>
      <c r="B1782" t="s">
        <v>15</v>
      </c>
      <c r="C1782" t="s">
        <v>23</v>
      </c>
      <c r="D1782" s="2">
        <v>264.34199999999998</v>
      </c>
      <c r="E1782" s="2">
        <v>0</v>
      </c>
      <c r="F1782" s="2">
        <v>264.34199999999998</v>
      </c>
    </row>
    <row r="1783" spans="1:6" x14ac:dyDescent="0.3">
      <c r="A1783" s="1">
        <v>42155</v>
      </c>
      <c r="B1783" t="s">
        <v>15</v>
      </c>
      <c r="C1783" t="s">
        <v>19</v>
      </c>
      <c r="D1783" s="2">
        <v>71170.692828209998</v>
      </c>
      <c r="E1783" s="2">
        <v>5076348.74190911</v>
      </c>
      <c r="F1783" s="2">
        <v>5147518.6429877197</v>
      </c>
    </row>
    <row r="1784" spans="1:6" x14ac:dyDescent="0.3">
      <c r="A1784" s="1">
        <v>42155</v>
      </c>
      <c r="B1784" t="s">
        <v>15</v>
      </c>
      <c r="C1784" t="s">
        <v>24</v>
      </c>
      <c r="D1784" s="2">
        <v>0</v>
      </c>
      <c r="E1784" s="2">
        <v>494.24839750000001</v>
      </c>
      <c r="F1784" s="2">
        <v>494.24839750000001</v>
      </c>
    </row>
    <row r="1785" spans="1:6" x14ac:dyDescent="0.3">
      <c r="A1785" s="1">
        <v>42185</v>
      </c>
      <c r="B1785" t="s">
        <v>22</v>
      </c>
      <c r="C1785" t="s">
        <v>14</v>
      </c>
      <c r="D1785" s="2">
        <v>13076413.927094501</v>
      </c>
      <c r="E1785" s="2">
        <v>5075583.42108298</v>
      </c>
      <c r="F1785" s="2">
        <v>18151998.177522399</v>
      </c>
    </row>
    <row r="1786" spans="1:6" x14ac:dyDescent="0.3">
      <c r="A1786" s="1">
        <v>42185</v>
      </c>
      <c r="B1786" t="s">
        <v>6</v>
      </c>
      <c r="C1786" t="s">
        <v>7</v>
      </c>
      <c r="D1786" s="2">
        <v>1393162.3078999999</v>
      </c>
      <c r="E1786" s="2">
        <v>1829.192</v>
      </c>
      <c r="F1786" s="2">
        <v>1394991.4998999999</v>
      </c>
    </row>
    <row r="1787" spans="1:6" x14ac:dyDescent="0.3">
      <c r="A1787" s="1">
        <v>42185</v>
      </c>
      <c r="B1787" t="s">
        <v>6</v>
      </c>
      <c r="C1787" t="s">
        <v>9</v>
      </c>
      <c r="D1787" s="2">
        <v>1649925.1965000001</v>
      </c>
      <c r="E1787" s="2">
        <v>82.144999999999996</v>
      </c>
      <c r="F1787" s="2">
        <v>1650007.3415000001</v>
      </c>
    </row>
    <row r="1788" spans="1:6" x14ac:dyDescent="0.3">
      <c r="A1788" s="1">
        <v>42185</v>
      </c>
      <c r="B1788" t="s">
        <v>6</v>
      </c>
      <c r="C1788" t="s">
        <v>12</v>
      </c>
      <c r="D1788" s="2">
        <v>0</v>
      </c>
      <c r="E1788" s="2">
        <v>12314.993</v>
      </c>
      <c r="F1788" s="2">
        <v>12314.993</v>
      </c>
    </row>
    <row r="1789" spans="1:6" x14ac:dyDescent="0.3">
      <c r="A1789" s="1">
        <v>42185</v>
      </c>
      <c r="B1789" t="s">
        <v>6</v>
      </c>
      <c r="C1789" t="s">
        <v>11</v>
      </c>
      <c r="D1789" s="2">
        <v>246045.36629999999</v>
      </c>
      <c r="E1789" s="2">
        <v>0.78</v>
      </c>
      <c r="F1789" s="2">
        <v>246046.14629999999</v>
      </c>
    </row>
    <row r="1790" spans="1:6" x14ac:dyDescent="0.3">
      <c r="A1790" s="1">
        <v>42185</v>
      </c>
      <c r="B1790" t="s">
        <v>6</v>
      </c>
      <c r="C1790" t="s">
        <v>8</v>
      </c>
      <c r="D1790" s="2">
        <v>8297600.7355000004</v>
      </c>
      <c r="E1790" s="2">
        <v>7778.4709999999995</v>
      </c>
      <c r="F1790" s="2">
        <v>8305379.2065000003</v>
      </c>
    </row>
    <row r="1791" spans="1:6" x14ac:dyDescent="0.3">
      <c r="A1791" s="1">
        <v>42185</v>
      </c>
      <c r="B1791" t="s">
        <v>6</v>
      </c>
      <c r="C1791" t="s">
        <v>10</v>
      </c>
      <c r="D1791" s="2">
        <v>1102262.4725029301</v>
      </c>
      <c r="E1791" s="2">
        <v>92.257277180000003</v>
      </c>
      <c r="F1791" s="2">
        <v>1102354.7297801101</v>
      </c>
    </row>
    <row r="1792" spans="1:6" x14ac:dyDescent="0.3">
      <c r="A1792" s="1">
        <v>42185</v>
      </c>
      <c r="B1792" t="s">
        <v>15</v>
      </c>
      <c r="C1792" t="s">
        <v>16</v>
      </c>
      <c r="D1792" s="2">
        <v>29995.18</v>
      </c>
      <c r="E1792" s="2">
        <v>0</v>
      </c>
      <c r="F1792" s="2">
        <v>29995.18</v>
      </c>
    </row>
    <row r="1793" spans="1:6" x14ac:dyDescent="0.3">
      <c r="A1793" s="1">
        <v>42185</v>
      </c>
      <c r="B1793" t="s">
        <v>15</v>
      </c>
      <c r="C1793" t="s">
        <v>23</v>
      </c>
      <c r="D1793" s="2">
        <v>264.34199999999998</v>
      </c>
      <c r="E1793" s="2">
        <v>0</v>
      </c>
      <c r="F1793" s="2">
        <v>264.34199999999998</v>
      </c>
    </row>
    <row r="1794" spans="1:6" x14ac:dyDescent="0.3">
      <c r="A1794" s="1">
        <v>42185</v>
      </c>
      <c r="B1794" t="s">
        <v>15</v>
      </c>
      <c r="C1794" t="s">
        <v>19</v>
      </c>
      <c r="D1794" s="2">
        <v>81883.931513200005</v>
      </c>
      <c r="E1794" s="2">
        <v>5052991.3344083</v>
      </c>
      <c r="F1794" s="2">
        <v>5134875.0952663701</v>
      </c>
    </row>
    <row r="1795" spans="1:6" x14ac:dyDescent="0.3">
      <c r="A1795" s="1">
        <v>42185</v>
      </c>
      <c r="B1795" t="s">
        <v>15</v>
      </c>
      <c r="C1795" t="s">
        <v>24</v>
      </c>
      <c r="D1795" s="2">
        <v>0</v>
      </c>
      <c r="E1795" s="2">
        <v>494.24839750000001</v>
      </c>
      <c r="F1795" s="2">
        <v>494.24839750000001</v>
      </c>
    </row>
    <row r="1796" spans="1:6" x14ac:dyDescent="0.3">
      <c r="A1796" s="1">
        <v>42185</v>
      </c>
      <c r="B1796" t="s">
        <v>15</v>
      </c>
      <c r="C1796" t="s">
        <v>20</v>
      </c>
      <c r="D1796" s="2">
        <v>1526.2568839200001</v>
      </c>
      <c r="E1796" s="2">
        <v>0</v>
      </c>
      <c r="F1796" s="2">
        <v>1526.2568839200001</v>
      </c>
    </row>
    <row r="1797" spans="1:6" x14ac:dyDescent="0.3">
      <c r="A1797" s="1">
        <v>42185</v>
      </c>
      <c r="B1797" t="s">
        <v>15</v>
      </c>
      <c r="C1797" t="s">
        <v>17</v>
      </c>
      <c r="D1797" s="2">
        <v>99767.29021074</v>
      </c>
      <c r="E1797" s="2">
        <v>0</v>
      </c>
      <c r="F1797" s="2">
        <v>99767.29021074</v>
      </c>
    </row>
    <row r="1798" spans="1:6" x14ac:dyDescent="0.3">
      <c r="A1798" s="1">
        <v>42185</v>
      </c>
      <c r="B1798" t="s">
        <v>15</v>
      </c>
      <c r="C1798" t="s">
        <v>18</v>
      </c>
      <c r="D1798" s="2">
        <v>173980.84778372</v>
      </c>
      <c r="E1798" s="2">
        <v>0</v>
      </c>
      <c r="F1798" s="2">
        <v>173980.84778372</v>
      </c>
    </row>
    <row r="1799" spans="1:6" x14ac:dyDescent="0.3">
      <c r="A1799" s="1">
        <v>42185</v>
      </c>
      <c r="B1799" t="s">
        <v>13</v>
      </c>
      <c r="C1799" t="s">
        <v>14</v>
      </c>
      <c r="D1799" s="2">
        <v>12688996.078702901</v>
      </c>
      <c r="E1799" s="2">
        <v>22097.838277179999</v>
      </c>
      <c r="F1799" s="2">
        <v>12711093.916980101</v>
      </c>
    </row>
    <row r="1800" spans="1:6" x14ac:dyDescent="0.3">
      <c r="A1800" s="1">
        <v>42185</v>
      </c>
      <c r="B1800" t="s">
        <v>21</v>
      </c>
      <c r="C1800" t="s">
        <v>14</v>
      </c>
      <c r="D1800" s="2">
        <v>387417.84839157999</v>
      </c>
      <c r="E1800" s="2">
        <v>5053485.5828058003</v>
      </c>
      <c r="F1800" s="2">
        <v>5440904.2605422502</v>
      </c>
    </row>
    <row r="1801" spans="1:6" x14ac:dyDescent="0.3">
      <c r="A1801" s="1">
        <v>42216</v>
      </c>
      <c r="B1801" t="s">
        <v>21</v>
      </c>
      <c r="C1801" t="s">
        <v>14</v>
      </c>
      <c r="D1801" s="2">
        <v>343708.08466867998</v>
      </c>
      <c r="E1801" s="2">
        <v>4994182.8357557496</v>
      </c>
      <c r="F1801" s="2">
        <v>5337890.9204244297</v>
      </c>
    </row>
    <row r="1802" spans="1:6" x14ac:dyDescent="0.3">
      <c r="A1802" s="1">
        <v>42216</v>
      </c>
      <c r="B1802" t="s">
        <v>22</v>
      </c>
      <c r="C1802" t="s">
        <v>14</v>
      </c>
      <c r="D1802" s="2">
        <v>13135044.915571</v>
      </c>
      <c r="E1802" s="2">
        <v>5016277.62609025</v>
      </c>
      <c r="F1802" s="2">
        <v>18151322.541661199</v>
      </c>
    </row>
    <row r="1803" spans="1:6" x14ac:dyDescent="0.3">
      <c r="A1803" s="1">
        <v>42216</v>
      </c>
      <c r="B1803" t="s">
        <v>6</v>
      </c>
      <c r="C1803" t="s">
        <v>7</v>
      </c>
      <c r="D1803" s="2">
        <v>1438153.922</v>
      </c>
      <c r="E1803" s="2">
        <v>1834.7929999999999</v>
      </c>
      <c r="F1803" s="2">
        <v>1439988.7150000001</v>
      </c>
    </row>
    <row r="1804" spans="1:6" x14ac:dyDescent="0.3">
      <c r="A1804" s="1">
        <v>42216</v>
      </c>
      <c r="B1804" t="s">
        <v>6</v>
      </c>
      <c r="C1804" t="s">
        <v>9</v>
      </c>
      <c r="D1804" s="2">
        <v>1662888.5745999999</v>
      </c>
      <c r="E1804" s="2">
        <v>118.751</v>
      </c>
      <c r="F1804" s="2">
        <v>1663007.3256000001</v>
      </c>
    </row>
    <row r="1805" spans="1:6" x14ac:dyDescent="0.3">
      <c r="A1805" s="1">
        <v>42216</v>
      </c>
      <c r="B1805" t="s">
        <v>6</v>
      </c>
      <c r="C1805" t="s">
        <v>12</v>
      </c>
      <c r="D1805" s="2">
        <v>0</v>
      </c>
      <c r="E1805" s="2">
        <v>12314.993</v>
      </c>
      <c r="F1805" s="2">
        <v>12314.993</v>
      </c>
    </row>
    <row r="1806" spans="1:6" x14ac:dyDescent="0.3">
      <c r="A1806" s="1">
        <v>42216</v>
      </c>
      <c r="B1806" t="s">
        <v>6</v>
      </c>
      <c r="C1806" t="s">
        <v>11</v>
      </c>
      <c r="D1806" s="2">
        <v>261046.27</v>
      </c>
      <c r="E1806" s="2">
        <v>0</v>
      </c>
      <c r="F1806" s="2">
        <v>261046.27</v>
      </c>
    </row>
    <row r="1807" spans="1:6" x14ac:dyDescent="0.3">
      <c r="A1807" s="1">
        <v>42216</v>
      </c>
      <c r="B1807" t="s">
        <v>6</v>
      </c>
      <c r="C1807" t="s">
        <v>8</v>
      </c>
      <c r="D1807" s="2">
        <v>8327379.9401000002</v>
      </c>
      <c r="E1807" s="2">
        <v>7765.3190000000004</v>
      </c>
      <c r="F1807" s="2">
        <v>8335145.2591000004</v>
      </c>
    </row>
    <row r="1808" spans="1:6" x14ac:dyDescent="0.3">
      <c r="A1808" s="1">
        <v>42216</v>
      </c>
      <c r="B1808" t="s">
        <v>6</v>
      </c>
      <c r="C1808" t="s">
        <v>10</v>
      </c>
      <c r="D1808" s="2">
        <v>1101868.1242022901</v>
      </c>
      <c r="E1808" s="2">
        <v>60.934334499999999</v>
      </c>
      <c r="F1808" s="2">
        <v>1101929.0585367901</v>
      </c>
    </row>
    <row r="1809" spans="1:6" x14ac:dyDescent="0.3">
      <c r="A1809" s="1">
        <v>42216</v>
      </c>
      <c r="B1809" t="s">
        <v>15</v>
      </c>
      <c r="C1809" t="s">
        <v>16</v>
      </c>
      <c r="D1809" s="2">
        <v>29995.18</v>
      </c>
      <c r="E1809" s="2">
        <v>0</v>
      </c>
      <c r="F1809" s="2">
        <v>29995.18</v>
      </c>
    </row>
    <row r="1810" spans="1:6" x14ac:dyDescent="0.3">
      <c r="A1810" s="1">
        <v>42216</v>
      </c>
      <c r="B1810" t="s">
        <v>15</v>
      </c>
      <c r="C1810" t="s">
        <v>23</v>
      </c>
      <c r="D1810" s="2">
        <v>264.34199999999998</v>
      </c>
      <c r="E1810" s="2">
        <v>0</v>
      </c>
      <c r="F1810" s="2">
        <v>264.34199999999998</v>
      </c>
    </row>
    <row r="1811" spans="1:6" x14ac:dyDescent="0.3">
      <c r="A1811" s="1">
        <v>42216</v>
      </c>
      <c r="B1811" t="s">
        <v>15</v>
      </c>
      <c r="C1811" t="s">
        <v>19</v>
      </c>
      <c r="D1811" s="2">
        <v>49284.704442800001</v>
      </c>
      <c r="E1811" s="2">
        <v>4993688.5627135299</v>
      </c>
      <c r="F1811" s="2">
        <v>5042973.2671563299</v>
      </c>
    </row>
    <row r="1812" spans="1:6" x14ac:dyDescent="0.3">
      <c r="A1812" s="1">
        <v>42216</v>
      </c>
      <c r="B1812" t="s">
        <v>15</v>
      </c>
      <c r="C1812" t="s">
        <v>24</v>
      </c>
      <c r="D1812" s="2">
        <v>0</v>
      </c>
      <c r="E1812" s="2">
        <v>494.27304221999998</v>
      </c>
      <c r="F1812" s="2">
        <v>494.27304221999998</v>
      </c>
    </row>
    <row r="1813" spans="1:6" x14ac:dyDescent="0.3">
      <c r="A1813" s="1">
        <v>42216</v>
      </c>
      <c r="B1813" t="s">
        <v>15</v>
      </c>
      <c r="C1813" t="s">
        <v>20</v>
      </c>
      <c r="D1813" s="2">
        <v>1540.7707496400001</v>
      </c>
      <c r="E1813" s="2">
        <v>0</v>
      </c>
      <c r="F1813" s="2">
        <v>1540.7707496400001</v>
      </c>
    </row>
    <row r="1814" spans="1:6" x14ac:dyDescent="0.3">
      <c r="A1814" s="1">
        <v>42216</v>
      </c>
      <c r="B1814" t="s">
        <v>15</v>
      </c>
      <c r="C1814" t="s">
        <v>17</v>
      </c>
      <c r="D1814" s="2">
        <v>88985.720711119997</v>
      </c>
      <c r="E1814" s="2">
        <v>0</v>
      </c>
      <c r="F1814" s="2">
        <v>88985.720711119997</v>
      </c>
    </row>
    <row r="1815" spans="1:6" x14ac:dyDescent="0.3">
      <c r="A1815" s="1">
        <v>42216</v>
      </c>
      <c r="B1815" t="s">
        <v>15</v>
      </c>
      <c r="C1815" t="s">
        <v>18</v>
      </c>
      <c r="D1815" s="2">
        <v>173637.36676512001</v>
      </c>
      <c r="E1815" s="2">
        <v>0</v>
      </c>
      <c r="F1815" s="2">
        <v>173637.36676512001</v>
      </c>
    </row>
    <row r="1816" spans="1:6" x14ac:dyDescent="0.3">
      <c r="A1816" s="1">
        <v>42216</v>
      </c>
      <c r="B1816" t="s">
        <v>13</v>
      </c>
      <c r="C1816" t="s">
        <v>14</v>
      </c>
      <c r="D1816" s="2">
        <v>12791336.830902301</v>
      </c>
      <c r="E1816" s="2">
        <v>22094.790334500001</v>
      </c>
      <c r="F1816" s="2">
        <v>12813431.621236799</v>
      </c>
    </row>
    <row r="1817" spans="1:6" x14ac:dyDescent="0.3">
      <c r="A1817" s="1">
        <v>42247</v>
      </c>
      <c r="B1817" t="s">
        <v>6</v>
      </c>
      <c r="C1817" t="s">
        <v>7</v>
      </c>
      <c r="D1817" s="2">
        <v>1421704.6213</v>
      </c>
      <c r="E1817" s="2">
        <v>2270.4430000000002</v>
      </c>
      <c r="F1817" s="2">
        <v>1423975.0643</v>
      </c>
    </row>
    <row r="1818" spans="1:6" x14ac:dyDescent="0.3">
      <c r="A1818" s="1">
        <v>42247</v>
      </c>
      <c r="B1818" t="s">
        <v>6</v>
      </c>
      <c r="C1818" t="s">
        <v>11</v>
      </c>
      <c r="D1818" s="2">
        <v>274038.85859999998</v>
      </c>
      <c r="E1818" s="2">
        <v>7.165</v>
      </c>
      <c r="F1818" s="2">
        <v>274046.02360000001</v>
      </c>
    </row>
    <row r="1819" spans="1:6" x14ac:dyDescent="0.3">
      <c r="A1819" s="1">
        <v>42247</v>
      </c>
      <c r="B1819" t="s">
        <v>6</v>
      </c>
      <c r="C1819" t="s">
        <v>10</v>
      </c>
      <c r="D1819" s="2">
        <v>1122081.9622964701</v>
      </c>
      <c r="E1819" s="2">
        <v>66.028838390000004</v>
      </c>
      <c r="F1819" s="2">
        <v>1122147.9911348601</v>
      </c>
    </row>
    <row r="1820" spans="1:6" x14ac:dyDescent="0.3">
      <c r="A1820" s="1">
        <v>42247</v>
      </c>
      <c r="B1820" t="s">
        <v>6</v>
      </c>
      <c r="C1820" t="s">
        <v>12</v>
      </c>
      <c r="D1820" s="2">
        <v>0</v>
      </c>
      <c r="E1820" s="2">
        <v>12314.993</v>
      </c>
      <c r="F1820" s="2">
        <v>12314.993</v>
      </c>
    </row>
    <row r="1821" spans="1:6" x14ac:dyDescent="0.3">
      <c r="A1821" s="1">
        <v>42247</v>
      </c>
      <c r="B1821" t="s">
        <v>6</v>
      </c>
      <c r="C1821" t="s">
        <v>8</v>
      </c>
      <c r="D1821" s="2">
        <v>8331370.7708999999</v>
      </c>
      <c r="E1821" s="2">
        <v>7387.8360000000002</v>
      </c>
      <c r="F1821" s="2">
        <v>8338758.6069</v>
      </c>
    </row>
    <row r="1822" spans="1:6" x14ac:dyDescent="0.3">
      <c r="A1822" s="1">
        <v>42247</v>
      </c>
      <c r="B1822" t="s">
        <v>6</v>
      </c>
      <c r="C1822" t="s">
        <v>9</v>
      </c>
      <c r="D1822" s="2">
        <v>1675201.3214</v>
      </c>
      <c r="E1822" s="2">
        <v>104.72</v>
      </c>
      <c r="F1822" s="2">
        <v>1675306.0414</v>
      </c>
    </row>
    <row r="1823" spans="1:6" x14ac:dyDescent="0.3">
      <c r="A1823" s="1">
        <v>42247</v>
      </c>
      <c r="B1823" t="s">
        <v>13</v>
      </c>
      <c r="C1823" t="s">
        <v>14</v>
      </c>
      <c r="D1823" s="2">
        <v>12824397.534496499</v>
      </c>
      <c r="E1823" s="2">
        <v>22151.18583839</v>
      </c>
      <c r="F1823" s="2">
        <v>12846548.720334901</v>
      </c>
    </row>
    <row r="1824" spans="1:6" x14ac:dyDescent="0.3">
      <c r="A1824" s="1">
        <v>42247</v>
      </c>
      <c r="B1824" t="s">
        <v>15</v>
      </c>
      <c r="C1824" t="s">
        <v>20</v>
      </c>
      <c r="D1824" s="2">
        <v>1616.0363057300001</v>
      </c>
      <c r="E1824" s="2">
        <v>0</v>
      </c>
      <c r="F1824" s="2">
        <v>1616.0363057300001</v>
      </c>
    </row>
    <row r="1825" spans="1:6" x14ac:dyDescent="0.3">
      <c r="A1825" s="1">
        <v>42247</v>
      </c>
      <c r="B1825" t="s">
        <v>15</v>
      </c>
      <c r="C1825" t="s">
        <v>16</v>
      </c>
      <c r="D1825" s="2">
        <v>29995.18</v>
      </c>
      <c r="E1825" s="2">
        <v>0</v>
      </c>
      <c r="F1825" s="2">
        <v>29995.18</v>
      </c>
    </row>
    <row r="1826" spans="1:6" x14ac:dyDescent="0.3">
      <c r="A1826" s="1">
        <v>42247</v>
      </c>
      <c r="B1826" t="s">
        <v>21</v>
      </c>
      <c r="C1826" t="s">
        <v>14</v>
      </c>
      <c r="D1826" s="2">
        <v>295355.18429109</v>
      </c>
      <c r="E1826" s="2">
        <v>5009245.6001001801</v>
      </c>
      <c r="F1826" s="2">
        <v>5304600.78439127</v>
      </c>
    </row>
    <row r="1827" spans="1:6" x14ac:dyDescent="0.3">
      <c r="A1827" s="1">
        <v>42247</v>
      </c>
      <c r="B1827" t="s">
        <v>22</v>
      </c>
      <c r="C1827" t="s">
        <v>14</v>
      </c>
      <c r="D1827" s="2">
        <v>13119752.718787599</v>
      </c>
      <c r="E1827" s="2">
        <v>5031396.7859385703</v>
      </c>
      <c r="F1827" s="2">
        <v>18151149.504726101</v>
      </c>
    </row>
    <row r="1828" spans="1:6" x14ac:dyDescent="0.3">
      <c r="A1828" s="1">
        <v>42247</v>
      </c>
      <c r="B1828" t="s">
        <v>15</v>
      </c>
      <c r="C1828" t="s">
        <v>23</v>
      </c>
      <c r="D1828" s="2">
        <v>264.34199999999998</v>
      </c>
      <c r="E1828" s="2">
        <v>0</v>
      </c>
      <c r="F1828" s="2">
        <v>264.34199999999998</v>
      </c>
    </row>
    <row r="1829" spans="1:6" x14ac:dyDescent="0.3">
      <c r="A1829" s="1">
        <v>42247</v>
      </c>
      <c r="B1829" t="s">
        <v>15</v>
      </c>
      <c r="C1829" t="s">
        <v>19</v>
      </c>
      <c r="D1829" s="2">
        <v>9147.6506063199995</v>
      </c>
      <c r="E1829" s="2">
        <v>5008752.3270579604</v>
      </c>
      <c r="F1829" s="2">
        <v>5017899.9776642798</v>
      </c>
    </row>
    <row r="1830" spans="1:6" x14ac:dyDescent="0.3">
      <c r="A1830" s="1">
        <v>42247</v>
      </c>
      <c r="B1830" t="s">
        <v>15</v>
      </c>
      <c r="C1830" t="s">
        <v>17</v>
      </c>
      <c r="D1830" s="2">
        <v>81077.184387729998</v>
      </c>
      <c r="E1830" s="2">
        <v>0</v>
      </c>
      <c r="F1830" s="2">
        <v>81077.184387729998</v>
      </c>
    </row>
    <row r="1831" spans="1:6" x14ac:dyDescent="0.3">
      <c r="A1831" s="1">
        <v>42247</v>
      </c>
      <c r="B1831" t="s">
        <v>15</v>
      </c>
      <c r="C1831" t="s">
        <v>18</v>
      </c>
      <c r="D1831" s="2">
        <v>173254.79099131</v>
      </c>
      <c r="E1831" s="2">
        <v>0</v>
      </c>
      <c r="F1831" s="2">
        <v>173254.79099131</v>
      </c>
    </row>
    <row r="1832" spans="1:6" x14ac:dyDescent="0.3">
      <c r="A1832" s="1">
        <v>42247</v>
      </c>
      <c r="B1832" t="s">
        <v>15</v>
      </c>
      <c r="C1832" t="s">
        <v>24</v>
      </c>
      <c r="D1832" s="2">
        <v>0</v>
      </c>
      <c r="E1832" s="2">
        <v>494.27304221999998</v>
      </c>
      <c r="F1832" s="2">
        <v>494.27304221999998</v>
      </c>
    </row>
    <row r="1833" spans="1:6" x14ac:dyDescent="0.3">
      <c r="A1833" s="1">
        <v>42277</v>
      </c>
      <c r="B1833" t="s">
        <v>15</v>
      </c>
      <c r="C1833" t="s">
        <v>20</v>
      </c>
      <c r="D1833" s="2">
        <v>1641.40782745</v>
      </c>
      <c r="E1833" s="2">
        <v>0</v>
      </c>
      <c r="F1833" s="2">
        <v>1641.40782745</v>
      </c>
    </row>
    <row r="1834" spans="1:6" x14ac:dyDescent="0.3">
      <c r="A1834" s="1">
        <v>42277</v>
      </c>
      <c r="B1834" t="s">
        <v>21</v>
      </c>
      <c r="C1834" t="s">
        <v>14</v>
      </c>
      <c r="D1834" s="2">
        <v>291979.80751294002</v>
      </c>
      <c r="E1834" s="2">
        <v>5004887.0378823197</v>
      </c>
      <c r="F1834" s="2">
        <v>5296866.5032686703</v>
      </c>
    </row>
    <row r="1835" spans="1:6" x14ac:dyDescent="0.3">
      <c r="A1835" s="1">
        <v>42277</v>
      </c>
      <c r="B1835" t="s">
        <v>22</v>
      </c>
      <c r="C1835" t="s">
        <v>14</v>
      </c>
      <c r="D1835" s="2">
        <v>13123847.1631286</v>
      </c>
      <c r="E1835" s="2">
        <v>5026770.4681365201</v>
      </c>
      <c r="F1835" s="2">
        <v>18150618.2891385</v>
      </c>
    </row>
    <row r="1836" spans="1:6" x14ac:dyDescent="0.3">
      <c r="A1836" s="1">
        <v>42277</v>
      </c>
      <c r="B1836" t="s">
        <v>6</v>
      </c>
      <c r="C1836" t="s">
        <v>7</v>
      </c>
      <c r="D1836" s="2">
        <v>1355231.4484000001</v>
      </c>
      <c r="E1836" s="2">
        <v>2765.5520000000001</v>
      </c>
      <c r="F1836" s="2">
        <v>1357997.0004</v>
      </c>
    </row>
    <row r="1837" spans="1:6" x14ac:dyDescent="0.3">
      <c r="A1837" s="1">
        <v>42277</v>
      </c>
      <c r="B1837" t="s">
        <v>6</v>
      </c>
      <c r="C1837" t="s">
        <v>10</v>
      </c>
      <c r="D1837" s="2">
        <v>1135362.77516563</v>
      </c>
      <c r="E1837" s="2">
        <v>68.0982542</v>
      </c>
      <c r="F1837" s="2">
        <v>1135430.8734198301</v>
      </c>
    </row>
    <row r="1838" spans="1:6" x14ac:dyDescent="0.3">
      <c r="A1838" s="1">
        <v>42277</v>
      </c>
      <c r="B1838" t="s">
        <v>6</v>
      </c>
      <c r="C1838" t="s">
        <v>8</v>
      </c>
      <c r="D1838" s="2">
        <v>8366026.2819999997</v>
      </c>
      <c r="E1838" s="2">
        <v>6630.5940000000001</v>
      </c>
      <c r="F1838" s="2">
        <v>8372656.8760000002</v>
      </c>
    </row>
    <row r="1839" spans="1:6" x14ac:dyDescent="0.3">
      <c r="A1839" s="1">
        <v>42277</v>
      </c>
      <c r="B1839" t="s">
        <v>6</v>
      </c>
      <c r="C1839" t="s">
        <v>9</v>
      </c>
      <c r="D1839" s="2">
        <v>1688208.1779499999</v>
      </c>
      <c r="E1839" s="2">
        <v>97.028000000000006</v>
      </c>
      <c r="F1839" s="2">
        <v>1688305.2059500001</v>
      </c>
    </row>
    <row r="1840" spans="1:6" x14ac:dyDescent="0.3">
      <c r="A1840" s="1">
        <v>42277</v>
      </c>
      <c r="B1840" t="s">
        <v>6</v>
      </c>
      <c r="C1840" t="s">
        <v>11</v>
      </c>
      <c r="D1840" s="2">
        <v>287038.67210000003</v>
      </c>
      <c r="E1840" s="2">
        <v>7.165</v>
      </c>
      <c r="F1840" s="2">
        <v>287045.8371</v>
      </c>
    </row>
    <row r="1841" spans="1:6" x14ac:dyDescent="0.3">
      <c r="A1841" s="1">
        <v>42277</v>
      </c>
      <c r="B1841" t="s">
        <v>6</v>
      </c>
      <c r="C1841" t="s">
        <v>12</v>
      </c>
      <c r="D1841" s="2">
        <v>0</v>
      </c>
      <c r="E1841" s="2">
        <v>12314.993</v>
      </c>
      <c r="F1841" s="2">
        <v>12314.993</v>
      </c>
    </row>
    <row r="1842" spans="1:6" x14ac:dyDescent="0.3">
      <c r="A1842" s="1">
        <v>42277</v>
      </c>
      <c r="B1842" t="s">
        <v>13</v>
      </c>
      <c r="C1842" t="s">
        <v>14</v>
      </c>
      <c r="D1842" s="2">
        <v>12831867.355615599</v>
      </c>
      <c r="E1842" s="2">
        <v>21883.4302542</v>
      </c>
      <c r="F1842" s="2">
        <v>12853750.7858698</v>
      </c>
    </row>
    <row r="1843" spans="1:6" x14ac:dyDescent="0.3">
      <c r="A1843" s="1">
        <v>42277</v>
      </c>
      <c r="B1843" t="s">
        <v>15</v>
      </c>
      <c r="C1843" t="s">
        <v>16</v>
      </c>
      <c r="D1843" s="2">
        <v>29995.18</v>
      </c>
      <c r="E1843" s="2">
        <v>0</v>
      </c>
      <c r="F1843" s="2">
        <v>29995.18</v>
      </c>
    </row>
    <row r="1844" spans="1:6" x14ac:dyDescent="0.3">
      <c r="A1844" s="1">
        <v>42277</v>
      </c>
      <c r="B1844" t="s">
        <v>15</v>
      </c>
      <c r="C1844" t="s">
        <v>17</v>
      </c>
      <c r="D1844" s="2">
        <v>78115.40491605</v>
      </c>
      <c r="E1844" s="2">
        <v>0</v>
      </c>
      <c r="F1844" s="2">
        <v>78115.40491605</v>
      </c>
    </row>
    <row r="1845" spans="1:6" x14ac:dyDescent="0.3">
      <c r="A1845" s="1">
        <v>42277</v>
      </c>
      <c r="B1845" t="s">
        <v>15</v>
      </c>
      <c r="C1845" t="s">
        <v>18</v>
      </c>
      <c r="D1845" s="2">
        <v>172825.91665048001</v>
      </c>
      <c r="E1845" s="2">
        <v>0</v>
      </c>
      <c r="F1845" s="2">
        <v>172825.91665048001</v>
      </c>
    </row>
    <row r="1846" spans="1:6" x14ac:dyDescent="0.3">
      <c r="A1846" s="1">
        <v>42277</v>
      </c>
      <c r="B1846" t="s">
        <v>15</v>
      </c>
      <c r="C1846" t="s">
        <v>23</v>
      </c>
      <c r="D1846" s="2">
        <v>264.34199999999998</v>
      </c>
      <c r="E1846" s="2">
        <v>0</v>
      </c>
      <c r="F1846" s="2">
        <v>264.34199999999998</v>
      </c>
    </row>
    <row r="1847" spans="1:6" x14ac:dyDescent="0.3">
      <c r="A1847" s="1">
        <v>42277</v>
      </c>
      <c r="B1847" t="s">
        <v>15</v>
      </c>
      <c r="C1847" t="s">
        <v>19</v>
      </c>
      <c r="D1847" s="2">
        <v>9137.5561189599994</v>
      </c>
      <c r="E1847" s="2">
        <v>5004392.7648401</v>
      </c>
      <c r="F1847" s="2">
        <v>5013529.9788324703</v>
      </c>
    </row>
    <row r="1848" spans="1:6" x14ac:dyDescent="0.3">
      <c r="A1848" s="1">
        <v>42277</v>
      </c>
      <c r="B1848" t="s">
        <v>15</v>
      </c>
      <c r="C1848" t="s">
        <v>24</v>
      </c>
      <c r="D1848" s="2">
        <v>0</v>
      </c>
      <c r="E1848" s="2">
        <v>494.27304221999998</v>
      </c>
      <c r="F1848" s="2">
        <v>494.27304221999998</v>
      </c>
    </row>
    <row r="1849" spans="1:6" x14ac:dyDescent="0.3">
      <c r="A1849" s="1">
        <v>42308</v>
      </c>
      <c r="B1849" t="s">
        <v>15</v>
      </c>
      <c r="C1849" t="s">
        <v>23</v>
      </c>
      <c r="D1849" s="2">
        <v>264.34199999999998</v>
      </c>
      <c r="E1849" s="2">
        <v>0</v>
      </c>
      <c r="F1849" s="2">
        <v>264.34199999999998</v>
      </c>
    </row>
    <row r="1850" spans="1:6" x14ac:dyDescent="0.3">
      <c r="A1850" s="1">
        <v>42308</v>
      </c>
      <c r="B1850" t="s">
        <v>15</v>
      </c>
      <c r="C1850" t="s">
        <v>19</v>
      </c>
      <c r="D1850" s="2">
        <v>5859.4744490100002</v>
      </c>
      <c r="E1850" s="2">
        <v>5064638.1826252304</v>
      </c>
      <c r="F1850" s="2">
        <v>5070497.65707424</v>
      </c>
    </row>
    <row r="1851" spans="1:6" x14ac:dyDescent="0.3">
      <c r="A1851" s="1">
        <v>42308</v>
      </c>
      <c r="B1851" t="s">
        <v>15</v>
      </c>
      <c r="C1851" t="s">
        <v>17</v>
      </c>
      <c r="D1851" s="2">
        <v>74962.984692960003</v>
      </c>
      <c r="E1851" s="2">
        <v>0</v>
      </c>
      <c r="F1851" s="2">
        <v>74962.984692960003</v>
      </c>
    </row>
    <row r="1852" spans="1:6" x14ac:dyDescent="0.3">
      <c r="A1852" s="1">
        <v>42308</v>
      </c>
      <c r="B1852" t="s">
        <v>15</v>
      </c>
      <c r="C1852" t="s">
        <v>18</v>
      </c>
      <c r="D1852" s="2">
        <v>172536.82025364999</v>
      </c>
      <c r="E1852" s="2">
        <v>0</v>
      </c>
      <c r="F1852" s="2">
        <v>172536.82025364999</v>
      </c>
    </row>
    <row r="1853" spans="1:6" x14ac:dyDescent="0.3">
      <c r="A1853" s="1">
        <v>42308</v>
      </c>
      <c r="B1853" t="s">
        <v>15</v>
      </c>
      <c r="C1853" t="s">
        <v>24</v>
      </c>
      <c r="D1853" s="2">
        <v>0</v>
      </c>
      <c r="E1853" s="2">
        <v>39.285500589999998</v>
      </c>
      <c r="F1853" s="2">
        <v>39.285500589999998</v>
      </c>
    </row>
    <row r="1854" spans="1:6" x14ac:dyDescent="0.3">
      <c r="A1854" s="1">
        <v>42308</v>
      </c>
      <c r="B1854" t="s">
        <v>15</v>
      </c>
      <c r="C1854" t="s">
        <v>20</v>
      </c>
      <c r="D1854" s="2">
        <v>1666.67078659</v>
      </c>
      <c r="E1854" s="2">
        <v>0</v>
      </c>
      <c r="F1854" s="2">
        <v>1666.67078659</v>
      </c>
    </row>
    <row r="1855" spans="1:6" x14ac:dyDescent="0.3">
      <c r="A1855" s="1">
        <v>42308</v>
      </c>
      <c r="B1855" t="s">
        <v>21</v>
      </c>
      <c r="C1855" t="s">
        <v>14</v>
      </c>
      <c r="D1855" s="2">
        <v>285285.47218221001</v>
      </c>
      <c r="E1855" s="2">
        <v>5064677.4681258202</v>
      </c>
      <c r="F1855" s="2">
        <v>5349962.9403080298</v>
      </c>
    </row>
    <row r="1856" spans="1:6" x14ac:dyDescent="0.3">
      <c r="A1856" s="1">
        <v>42308</v>
      </c>
      <c r="B1856" t="s">
        <v>22</v>
      </c>
      <c r="C1856" t="s">
        <v>14</v>
      </c>
      <c r="D1856" s="2">
        <v>13060656.864967501</v>
      </c>
      <c r="E1856" s="2">
        <v>5092324.8107799897</v>
      </c>
      <c r="F1856" s="2">
        <v>18152981.675747499</v>
      </c>
    </row>
    <row r="1857" spans="1:6" x14ac:dyDescent="0.3">
      <c r="A1857" s="1">
        <v>42308</v>
      </c>
      <c r="B1857" t="s">
        <v>6</v>
      </c>
      <c r="C1857" t="s">
        <v>7</v>
      </c>
      <c r="D1857" s="2">
        <v>1269905.8426999999</v>
      </c>
      <c r="E1857" s="2">
        <v>3092.1309999999999</v>
      </c>
      <c r="F1857" s="2">
        <v>1272997.9737</v>
      </c>
    </row>
    <row r="1858" spans="1:6" x14ac:dyDescent="0.3">
      <c r="A1858" s="1">
        <v>42308</v>
      </c>
      <c r="B1858" t="s">
        <v>6</v>
      </c>
      <c r="C1858" t="s">
        <v>8</v>
      </c>
      <c r="D1858" s="2">
        <v>8378695.6153999995</v>
      </c>
      <c r="E1858" s="2">
        <v>6961.6819999999998</v>
      </c>
      <c r="F1858" s="2">
        <v>8385657.2973999996</v>
      </c>
    </row>
    <row r="1859" spans="1:6" x14ac:dyDescent="0.3">
      <c r="A1859" s="1">
        <v>42308</v>
      </c>
      <c r="B1859" t="s">
        <v>6</v>
      </c>
      <c r="C1859" t="s">
        <v>9</v>
      </c>
      <c r="D1859" s="2">
        <v>1699231.03465</v>
      </c>
      <c r="E1859" s="2">
        <v>2073.846</v>
      </c>
      <c r="F1859" s="2">
        <v>1701304.8806499999</v>
      </c>
    </row>
    <row r="1860" spans="1:6" x14ac:dyDescent="0.3">
      <c r="A1860" s="1">
        <v>42308</v>
      </c>
      <c r="B1860" t="s">
        <v>6</v>
      </c>
      <c r="C1860" t="s">
        <v>10</v>
      </c>
      <c r="D1860" s="2">
        <v>1140502.6179352701</v>
      </c>
      <c r="E1860" s="2">
        <v>510.13865417</v>
      </c>
      <c r="F1860" s="2">
        <v>1141012.7565894399</v>
      </c>
    </row>
    <row r="1861" spans="1:6" x14ac:dyDescent="0.3">
      <c r="A1861" s="1">
        <v>42308</v>
      </c>
      <c r="B1861" t="s">
        <v>6</v>
      </c>
      <c r="C1861" t="s">
        <v>11</v>
      </c>
      <c r="D1861" s="2">
        <v>287036.28210000001</v>
      </c>
      <c r="E1861" s="2">
        <v>9.5549999999999997</v>
      </c>
      <c r="F1861" s="2">
        <v>287045.8371</v>
      </c>
    </row>
    <row r="1862" spans="1:6" x14ac:dyDescent="0.3">
      <c r="A1862" s="1">
        <v>42308</v>
      </c>
      <c r="B1862" t="s">
        <v>6</v>
      </c>
      <c r="C1862" t="s">
        <v>12</v>
      </c>
      <c r="D1862" s="2">
        <v>0</v>
      </c>
      <c r="E1862" s="2">
        <v>14999.99</v>
      </c>
      <c r="F1862" s="2">
        <v>14999.99</v>
      </c>
    </row>
    <row r="1863" spans="1:6" x14ac:dyDescent="0.3">
      <c r="A1863" s="1">
        <v>42308</v>
      </c>
      <c r="B1863" t="s">
        <v>13</v>
      </c>
      <c r="C1863" t="s">
        <v>14</v>
      </c>
      <c r="D1863" s="2">
        <v>12775371.3927853</v>
      </c>
      <c r="E1863" s="2">
        <v>27647.342654169999</v>
      </c>
      <c r="F1863" s="2">
        <v>12803018.735439399</v>
      </c>
    </row>
    <row r="1864" spans="1:6" x14ac:dyDescent="0.3">
      <c r="A1864" s="1">
        <v>42308</v>
      </c>
      <c r="B1864" t="s">
        <v>15</v>
      </c>
      <c r="C1864" t="s">
        <v>16</v>
      </c>
      <c r="D1864" s="2">
        <v>29995.18</v>
      </c>
      <c r="E1864" s="2">
        <v>0</v>
      </c>
      <c r="F1864" s="2">
        <v>29995.18</v>
      </c>
    </row>
    <row r="1865" spans="1:6" x14ac:dyDescent="0.3">
      <c r="A1865" s="1">
        <v>42338</v>
      </c>
      <c r="B1865" t="s">
        <v>6</v>
      </c>
      <c r="C1865" t="s">
        <v>7</v>
      </c>
      <c r="D1865" s="2">
        <v>1503010.017</v>
      </c>
      <c r="E1865" s="2">
        <v>2964.8209999999999</v>
      </c>
      <c r="F1865" s="2">
        <v>1505974.838</v>
      </c>
    </row>
    <row r="1866" spans="1:6" x14ac:dyDescent="0.3">
      <c r="A1866" s="1">
        <v>42338</v>
      </c>
      <c r="B1866" t="s">
        <v>6</v>
      </c>
      <c r="C1866" t="s">
        <v>11</v>
      </c>
      <c r="D1866" s="2">
        <v>315039.33</v>
      </c>
      <c r="E1866" s="2">
        <v>6.5149999999999997</v>
      </c>
      <c r="F1866" s="2">
        <v>315045.84499999997</v>
      </c>
    </row>
    <row r="1867" spans="1:6" x14ac:dyDescent="0.3">
      <c r="A1867" s="1">
        <v>42338</v>
      </c>
      <c r="B1867" t="s">
        <v>6</v>
      </c>
      <c r="C1867" t="s">
        <v>12</v>
      </c>
      <c r="D1867" s="2">
        <v>0</v>
      </c>
      <c r="E1867" s="2">
        <v>14999.99</v>
      </c>
      <c r="F1867" s="2">
        <v>14999.99</v>
      </c>
    </row>
    <row r="1868" spans="1:6" x14ac:dyDescent="0.3">
      <c r="A1868" s="1">
        <v>42338</v>
      </c>
      <c r="B1868" t="s">
        <v>6</v>
      </c>
      <c r="C1868" t="s">
        <v>10</v>
      </c>
      <c r="D1868" s="2">
        <v>1152134.9661431699</v>
      </c>
      <c r="E1868" s="2">
        <v>100.0918211</v>
      </c>
      <c r="F1868" s="2">
        <v>1152235.05796427</v>
      </c>
    </row>
    <row r="1869" spans="1:6" x14ac:dyDescent="0.3">
      <c r="A1869" s="1">
        <v>42338</v>
      </c>
      <c r="B1869" t="s">
        <v>6</v>
      </c>
      <c r="C1869" t="s">
        <v>8</v>
      </c>
      <c r="D1869" s="2">
        <v>8416433.0837999992</v>
      </c>
      <c r="E1869" s="2">
        <v>6151.6319999999996</v>
      </c>
      <c r="F1869" s="2">
        <v>8422584.7158000004</v>
      </c>
    </row>
    <row r="1870" spans="1:6" x14ac:dyDescent="0.3">
      <c r="A1870" s="1">
        <v>42338</v>
      </c>
      <c r="B1870" t="s">
        <v>6</v>
      </c>
      <c r="C1870" t="s">
        <v>9</v>
      </c>
      <c r="D1870" s="2">
        <v>1711698.18545</v>
      </c>
      <c r="E1870" s="2">
        <v>104.316</v>
      </c>
      <c r="F1870" s="2">
        <v>1711802.5014500001</v>
      </c>
    </row>
    <row r="1871" spans="1:6" x14ac:dyDescent="0.3">
      <c r="A1871" s="1">
        <v>42338</v>
      </c>
      <c r="B1871" t="s">
        <v>13</v>
      </c>
      <c r="C1871" t="s">
        <v>14</v>
      </c>
      <c r="D1871" s="2">
        <v>13098315.582393199</v>
      </c>
      <c r="E1871" s="2">
        <v>24327.3658211</v>
      </c>
      <c r="F1871" s="2">
        <v>13122642.9482143</v>
      </c>
    </row>
    <row r="1872" spans="1:6" x14ac:dyDescent="0.3">
      <c r="A1872" s="1">
        <v>42338</v>
      </c>
      <c r="B1872" t="s">
        <v>15</v>
      </c>
      <c r="C1872" t="s">
        <v>16</v>
      </c>
      <c r="D1872" s="2">
        <v>29995.18</v>
      </c>
      <c r="E1872" s="2">
        <v>0</v>
      </c>
      <c r="F1872" s="2">
        <v>29995.18</v>
      </c>
    </row>
    <row r="1873" spans="1:6" x14ac:dyDescent="0.3">
      <c r="A1873" s="1">
        <v>42338</v>
      </c>
      <c r="B1873" t="s">
        <v>15</v>
      </c>
      <c r="C1873" t="s">
        <v>24</v>
      </c>
      <c r="D1873" s="2">
        <v>0</v>
      </c>
      <c r="E1873" s="2">
        <v>39.285500589999998</v>
      </c>
      <c r="F1873" s="2">
        <v>39.285500589999998</v>
      </c>
    </row>
    <row r="1874" spans="1:6" x14ac:dyDescent="0.3">
      <c r="A1874" s="1">
        <v>42338</v>
      </c>
      <c r="B1874" t="s">
        <v>15</v>
      </c>
      <c r="C1874" t="s">
        <v>17</v>
      </c>
      <c r="D1874" s="2">
        <v>74168.84896196</v>
      </c>
      <c r="E1874" s="2">
        <v>0</v>
      </c>
      <c r="F1874" s="2">
        <v>74168.84896196</v>
      </c>
    </row>
    <row r="1875" spans="1:6" x14ac:dyDescent="0.3">
      <c r="A1875" s="1">
        <v>42338</v>
      </c>
      <c r="B1875" t="s">
        <v>15</v>
      </c>
      <c r="C1875" t="s">
        <v>18</v>
      </c>
      <c r="D1875" s="2">
        <v>172186.84839815999</v>
      </c>
      <c r="E1875" s="2">
        <v>0</v>
      </c>
      <c r="F1875" s="2">
        <v>172186.84839815999</v>
      </c>
    </row>
    <row r="1876" spans="1:6" x14ac:dyDescent="0.3">
      <c r="A1876" s="1">
        <v>42338</v>
      </c>
      <c r="B1876" t="s">
        <v>15</v>
      </c>
      <c r="C1876" t="s">
        <v>19</v>
      </c>
      <c r="D1876" s="2">
        <v>212347.63537003999</v>
      </c>
      <c r="E1876" s="2">
        <v>5213967.7675374504</v>
      </c>
      <c r="F1876" s="2">
        <v>5426314.6029082499</v>
      </c>
    </row>
    <row r="1877" spans="1:6" x14ac:dyDescent="0.3">
      <c r="A1877" s="1">
        <v>42338</v>
      </c>
      <c r="B1877" t="s">
        <v>15</v>
      </c>
      <c r="C1877" t="s">
        <v>23</v>
      </c>
      <c r="D1877" s="2">
        <v>264.34199999999998</v>
      </c>
      <c r="E1877" s="2">
        <v>0</v>
      </c>
      <c r="F1877" s="2">
        <v>264.34199999999998</v>
      </c>
    </row>
    <row r="1878" spans="1:6" x14ac:dyDescent="0.3">
      <c r="A1878" s="1">
        <v>42338</v>
      </c>
      <c r="B1878" t="s">
        <v>15</v>
      </c>
      <c r="C1878" t="s">
        <v>20</v>
      </c>
      <c r="D1878" s="2">
        <v>1709.92136327</v>
      </c>
      <c r="E1878" s="2">
        <v>0</v>
      </c>
      <c r="F1878" s="2">
        <v>1709.92136327</v>
      </c>
    </row>
    <row r="1879" spans="1:6" x14ac:dyDescent="0.3">
      <c r="A1879" s="1">
        <v>42338</v>
      </c>
      <c r="B1879" t="s">
        <v>21</v>
      </c>
      <c r="C1879" t="s">
        <v>14</v>
      </c>
      <c r="D1879" s="2">
        <v>490672.77609343</v>
      </c>
      <c r="E1879" s="2">
        <v>5214007.0530380402</v>
      </c>
      <c r="F1879" s="2">
        <v>5704680.0291322302</v>
      </c>
    </row>
    <row r="1880" spans="1:6" x14ac:dyDescent="0.3">
      <c r="A1880" s="1">
        <v>42338</v>
      </c>
      <c r="B1880" t="s">
        <v>22</v>
      </c>
      <c r="C1880" t="s">
        <v>14</v>
      </c>
      <c r="D1880" s="2">
        <v>13588989.3584866</v>
      </c>
      <c r="E1880" s="2">
        <v>5238334.41885914</v>
      </c>
      <c r="F1880" s="2">
        <v>18827322.977346499</v>
      </c>
    </row>
    <row r="1881" spans="1:6" x14ac:dyDescent="0.3">
      <c r="A1881" s="1">
        <v>42369</v>
      </c>
      <c r="B1881" t="s">
        <v>6</v>
      </c>
      <c r="C1881" t="s">
        <v>7</v>
      </c>
      <c r="D1881" s="2">
        <v>1511029.5976</v>
      </c>
      <c r="E1881" s="2">
        <v>2927.623</v>
      </c>
      <c r="F1881" s="2">
        <v>1513957.2205999999</v>
      </c>
    </row>
    <row r="1882" spans="1:6" x14ac:dyDescent="0.3">
      <c r="A1882" s="1">
        <v>42369</v>
      </c>
      <c r="B1882" t="s">
        <v>6</v>
      </c>
      <c r="C1882" t="s">
        <v>11</v>
      </c>
      <c r="D1882" s="2">
        <v>328034.74739999999</v>
      </c>
      <c r="E1882" s="2">
        <v>6.5149999999999997</v>
      </c>
      <c r="F1882" s="2">
        <v>328041.26240000001</v>
      </c>
    </row>
    <row r="1883" spans="1:6" x14ac:dyDescent="0.3">
      <c r="A1883" s="1">
        <v>42369</v>
      </c>
      <c r="B1883" t="s">
        <v>6</v>
      </c>
      <c r="C1883" t="s">
        <v>12</v>
      </c>
      <c r="D1883" s="2">
        <v>0</v>
      </c>
      <c r="E1883" s="2">
        <v>14999.99</v>
      </c>
      <c r="F1883" s="2">
        <v>14999.99</v>
      </c>
    </row>
    <row r="1884" spans="1:6" x14ac:dyDescent="0.3">
      <c r="A1884" s="1">
        <v>42369</v>
      </c>
      <c r="B1884" t="s">
        <v>6</v>
      </c>
      <c r="C1884" t="s">
        <v>10</v>
      </c>
      <c r="D1884" s="2">
        <v>1167828.3831440699</v>
      </c>
      <c r="E1884" s="2">
        <v>95.376349399999995</v>
      </c>
      <c r="F1884" s="2">
        <v>1167923.75949347</v>
      </c>
    </row>
    <row r="1885" spans="1:6" x14ac:dyDescent="0.3">
      <c r="A1885" s="1">
        <v>42369</v>
      </c>
      <c r="B1885" t="s">
        <v>6</v>
      </c>
      <c r="C1885" t="s">
        <v>8</v>
      </c>
      <c r="D1885" s="2">
        <v>8450685.8267000001</v>
      </c>
      <c r="E1885" s="2">
        <v>6145.1639999999998</v>
      </c>
      <c r="F1885" s="2">
        <v>8456830.9907000009</v>
      </c>
    </row>
    <row r="1886" spans="1:6" x14ac:dyDescent="0.3">
      <c r="A1886" s="1">
        <v>42369</v>
      </c>
      <c r="B1886" t="s">
        <v>6</v>
      </c>
      <c r="C1886" t="s">
        <v>9</v>
      </c>
      <c r="D1886" s="2">
        <v>1724692.14925</v>
      </c>
      <c r="E1886" s="2">
        <v>110.01900000000001</v>
      </c>
      <c r="F1886" s="2">
        <v>1724802.1682500001</v>
      </c>
    </row>
    <row r="1887" spans="1:6" x14ac:dyDescent="0.3">
      <c r="A1887" s="1">
        <v>42369</v>
      </c>
      <c r="B1887" t="s">
        <v>13</v>
      </c>
      <c r="C1887" t="s">
        <v>14</v>
      </c>
      <c r="D1887" s="2">
        <v>13182270.704094101</v>
      </c>
      <c r="E1887" s="2">
        <v>24284.687349399999</v>
      </c>
      <c r="F1887" s="2">
        <v>13206555.3914435</v>
      </c>
    </row>
    <row r="1888" spans="1:6" x14ac:dyDescent="0.3">
      <c r="A1888" s="1">
        <v>42369</v>
      </c>
      <c r="B1888" t="s">
        <v>15</v>
      </c>
      <c r="C1888" t="s">
        <v>16</v>
      </c>
      <c r="D1888" s="2">
        <v>29995.18</v>
      </c>
      <c r="E1888" s="2">
        <v>0</v>
      </c>
      <c r="F1888" s="2">
        <v>29995.18</v>
      </c>
    </row>
    <row r="1889" spans="1:6" x14ac:dyDescent="0.3">
      <c r="A1889" s="1">
        <v>42369</v>
      </c>
      <c r="B1889" t="s">
        <v>15</v>
      </c>
      <c r="C1889" t="s">
        <v>23</v>
      </c>
      <c r="D1889" s="2">
        <v>264.34199999999998</v>
      </c>
      <c r="E1889" s="2">
        <v>0</v>
      </c>
      <c r="F1889" s="2">
        <v>264.34199999999998</v>
      </c>
    </row>
    <row r="1890" spans="1:6" x14ac:dyDescent="0.3">
      <c r="A1890" s="1">
        <v>42369</v>
      </c>
      <c r="B1890" t="s">
        <v>15</v>
      </c>
      <c r="C1890" t="s">
        <v>17</v>
      </c>
      <c r="D1890" s="2">
        <v>75153.635156310003</v>
      </c>
      <c r="E1890" s="2">
        <v>0</v>
      </c>
      <c r="F1890" s="2">
        <v>75153.635156310003</v>
      </c>
    </row>
    <row r="1891" spans="1:6" x14ac:dyDescent="0.3">
      <c r="A1891" s="1">
        <v>42369</v>
      </c>
      <c r="B1891" t="s">
        <v>15</v>
      </c>
      <c r="C1891" t="s">
        <v>18</v>
      </c>
      <c r="D1891" s="2">
        <v>171630.12123933001</v>
      </c>
      <c r="E1891" s="2">
        <v>0</v>
      </c>
      <c r="F1891" s="2">
        <v>171630.12123933001</v>
      </c>
    </row>
    <row r="1892" spans="1:6" x14ac:dyDescent="0.3">
      <c r="A1892" s="1">
        <v>42369</v>
      </c>
      <c r="B1892" t="s">
        <v>15</v>
      </c>
      <c r="C1892" t="s">
        <v>19</v>
      </c>
      <c r="D1892" s="2">
        <v>211479.40248635999</v>
      </c>
      <c r="E1892" s="2">
        <v>5225332.76440892</v>
      </c>
      <c r="F1892" s="2">
        <v>5436812.1665697303</v>
      </c>
    </row>
    <row r="1893" spans="1:6" x14ac:dyDescent="0.3">
      <c r="A1893" s="1">
        <v>42369</v>
      </c>
      <c r="B1893" t="s">
        <v>15</v>
      </c>
      <c r="C1893" t="s">
        <v>20</v>
      </c>
      <c r="D1893" s="2">
        <v>1728.8764008200001</v>
      </c>
      <c r="E1893" s="2">
        <v>0</v>
      </c>
      <c r="F1893" s="2">
        <v>1728.8764008200001</v>
      </c>
    </row>
    <row r="1894" spans="1:6" x14ac:dyDescent="0.3">
      <c r="A1894" s="1">
        <v>42369</v>
      </c>
      <c r="B1894" t="s">
        <v>22</v>
      </c>
      <c r="C1894" t="s">
        <v>14</v>
      </c>
      <c r="D1894" s="2">
        <v>13672522.261376901</v>
      </c>
      <c r="E1894" s="2">
        <v>5249656.7372589102</v>
      </c>
      <c r="F1894" s="2">
        <v>18922178.998310201</v>
      </c>
    </row>
    <row r="1895" spans="1:6" x14ac:dyDescent="0.3">
      <c r="A1895" s="1">
        <v>42369</v>
      </c>
      <c r="B1895" t="s">
        <v>15</v>
      </c>
      <c r="C1895" t="s">
        <v>24</v>
      </c>
      <c r="D1895" s="2">
        <v>0</v>
      </c>
      <c r="E1895" s="2">
        <v>39.285500589999998</v>
      </c>
      <c r="F1895" s="2">
        <v>39.285500589999998</v>
      </c>
    </row>
    <row r="1896" spans="1:6" x14ac:dyDescent="0.3">
      <c r="A1896" s="1">
        <v>42369</v>
      </c>
      <c r="B1896" t="s">
        <v>21</v>
      </c>
      <c r="C1896" t="s">
        <v>14</v>
      </c>
      <c r="D1896" s="2">
        <v>490251.55728281999</v>
      </c>
      <c r="E1896" s="2">
        <v>5225372.0499095097</v>
      </c>
      <c r="F1896" s="2">
        <v>5715623.6068667797</v>
      </c>
    </row>
    <row r="1897" spans="1:6" x14ac:dyDescent="0.3">
      <c r="A1897" s="1">
        <v>42400</v>
      </c>
      <c r="B1897" t="s">
        <v>21</v>
      </c>
      <c r="C1897" t="s">
        <v>14</v>
      </c>
      <c r="D1897" s="2">
        <v>492599.53287504002</v>
      </c>
      <c r="E1897" s="2">
        <v>5331269.0154237002</v>
      </c>
      <c r="F1897" s="2">
        <v>5823868.6136396797</v>
      </c>
    </row>
    <row r="1898" spans="1:6" x14ac:dyDescent="0.3">
      <c r="A1898" s="1">
        <v>42400</v>
      </c>
      <c r="B1898" t="s">
        <v>22</v>
      </c>
      <c r="C1898" t="s">
        <v>14</v>
      </c>
      <c r="D1898" s="2">
        <v>13657155.193714</v>
      </c>
      <c r="E1898" s="2">
        <v>5355672.5002814</v>
      </c>
      <c r="F1898" s="2">
        <v>19012827.7593363</v>
      </c>
    </row>
    <row r="1899" spans="1:6" x14ac:dyDescent="0.3">
      <c r="A1899" s="1">
        <v>42400</v>
      </c>
      <c r="B1899" t="s">
        <v>6</v>
      </c>
      <c r="C1899" t="s">
        <v>7</v>
      </c>
      <c r="D1899" s="2">
        <v>1475291.2955</v>
      </c>
      <c r="E1899" s="2">
        <v>2642.4229999999998</v>
      </c>
      <c r="F1899" s="2">
        <v>1477933.7185</v>
      </c>
    </row>
    <row r="1900" spans="1:6" x14ac:dyDescent="0.3">
      <c r="A1900" s="1">
        <v>42400</v>
      </c>
      <c r="B1900" t="s">
        <v>6</v>
      </c>
      <c r="C1900" t="s">
        <v>8</v>
      </c>
      <c r="D1900" s="2">
        <v>8463345.7185999993</v>
      </c>
      <c r="E1900" s="2">
        <v>6483.6229999999996</v>
      </c>
      <c r="F1900" s="2">
        <v>8469829.3416000009</v>
      </c>
    </row>
    <row r="1901" spans="1:6" x14ac:dyDescent="0.3">
      <c r="A1901" s="1">
        <v>42400</v>
      </c>
      <c r="B1901" t="s">
        <v>6</v>
      </c>
      <c r="C1901" t="s">
        <v>9</v>
      </c>
      <c r="D1901" s="2">
        <v>1737697.5088500001</v>
      </c>
      <c r="E1901" s="2">
        <v>99.444999999999993</v>
      </c>
      <c r="F1901" s="2">
        <v>1737796.9538499999</v>
      </c>
    </row>
    <row r="1902" spans="1:6" x14ac:dyDescent="0.3">
      <c r="A1902" s="1">
        <v>42400</v>
      </c>
      <c r="B1902" t="s">
        <v>6</v>
      </c>
      <c r="C1902" t="s">
        <v>10</v>
      </c>
      <c r="D1902" s="2">
        <v>1160179.8754889299</v>
      </c>
      <c r="E1902" s="2">
        <v>178.0038577</v>
      </c>
      <c r="F1902" s="2">
        <v>1160357.8793466301</v>
      </c>
    </row>
    <row r="1903" spans="1:6" x14ac:dyDescent="0.3">
      <c r="A1903" s="1">
        <v>42400</v>
      </c>
      <c r="B1903" t="s">
        <v>6</v>
      </c>
      <c r="C1903" t="s">
        <v>11</v>
      </c>
      <c r="D1903" s="2">
        <v>328041.26240000001</v>
      </c>
      <c r="E1903" s="2">
        <v>0</v>
      </c>
      <c r="F1903" s="2">
        <v>328041.26240000001</v>
      </c>
    </row>
    <row r="1904" spans="1:6" x14ac:dyDescent="0.3">
      <c r="A1904" s="1">
        <v>42400</v>
      </c>
      <c r="B1904" t="s">
        <v>6</v>
      </c>
      <c r="C1904" t="s">
        <v>12</v>
      </c>
      <c r="D1904" s="2">
        <v>0</v>
      </c>
      <c r="E1904" s="2">
        <v>14999.99</v>
      </c>
      <c r="F1904" s="2">
        <v>14999.99</v>
      </c>
    </row>
    <row r="1905" spans="1:6" x14ac:dyDescent="0.3">
      <c r="A1905" s="1">
        <v>42400</v>
      </c>
      <c r="B1905" t="s">
        <v>13</v>
      </c>
      <c r="C1905" t="s">
        <v>14</v>
      </c>
      <c r="D1905" s="2">
        <v>13164555.6608389</v>
      </c>
      <c r="E1905" s="2">
        <v>24403.484857700001</v>
      </c>
      <c r="F1905" s="2">
        <v>13188959.145696601</v>
      </c>
    </row>
    <row r="1906" spans="1:6" x14ac:dyDescent="0.3">
      <c r="A1906" s="1">
        <v>42400</v>
      </c>
      <c r="B1906" t="s">
        <v>15</v>
      </c>
      <c r="C1906" t="s">
        <v>16</v>
      </c>
      <c r="D1906" s="2">
        <v>29995.18</v>
      </c>
      <c r="E1906" s="2">
        <v>0</v>
      </c>
      <c r="F1906" s="2">
        <v>29995.18</v>
      </c>
    </row>
    <row r="1907" spans="1:6" x14ac:dyDescent="0.3">
      <c r="A1907" s="1">
        <v>42400</v>
      </c>
      <c r="B1907" t="s">
        <v>15</v>
      </c>
      <c r="C1907" t="s">
        <v>23</v>
      </c>
      <c r="D1907" s="2">
        <v>264.34199999999998</v>
      </c>
      <c r="E1907" s="2">
        <v>0</v>
      </c>
      <c r="F1907" s="2">
        <v>264.34199999999998</v>
      </c>
    </row>
    <row r="1908" spans="1:6" x14ac:dyDescent="0.3">
      <c r="A1908" s="1">
        <v>42400</v>
      </c>
      <c r="B1908" t="s">
        <v>15</v>
      </c>
      <c r="C1908" t="s">
        <v>17</v>
      </c>
      <c r="D1908" s="2">
        <v>73299.535464770001</v>
      </c>
      <c r="E1908" s="2">
        <v>0</v>
      </c>
      <c r="F1908" s="2">
        <v>73299.535464770001</v>
      </c>
    </row>
    <row r="1909" spans="1:6" x14ac:dyDescent="0.3">
      <c r="A1909" s="1">
        <v>42400</v>
      </c>
      <c r="B1909" t="s">
        <v>15</v>
      </c>
      <c r="C1909" t="s">
        <v>18</v>
      </c>
      <c r="D1909" s="2">
        <v>171159.68352076999</v>
      </c>
      <c r="E1909" s="2">
        <v>0</v>
      </c>
      <c r="F1909" s="2">
        <v>171159.68352076999</v>
      </c>
    </row>
    <row r="1910" spans="1:6" x14ac:dyDescent="0.3">
      <c r="A1910" s="1">
        <v>42400</v>
      </c>
      <c r="B1910" t="s">
        <v>15</v>
      </c>
      <c r="C1910" t="s">
        <v>19</v>
      </c>
      <c r="D1910" s="2">
        <v>216186.55547614</v>
      </c>
      <c r="E1910" s="2">
        <v>5331229.7299231105</v>
      </c>
      <c r="F1910" s="2">
        <v>5547416.3507401897</v>
      </c>
    </row>
    <row r="1911" spans="1:6" x14ac:dyDescent="0.3">
      <c r="A1911" s="1">
        <v>42400</v>
      </c>
      <c r="B1911" t="s">
        <v>15</v>
      </c>
      <c r="C1911" t="s">
        <v>24</v>
      </c>
      <c r="D1911" s="2">
        <v>0</v>
      </c>
      <c r="E1911" s="2">
        <v>39.285500589999998</v>
      </c>
      <c r="F1911" s="2">
        <v>39.285500589999998</v>
      </c>
    </row>
    <row r="1912" spans="1:6" x14ac:dyDescent="0.3">
      <c r="A1912" s="1">
        <v>42400</v>
      </c>
      <c r="B1912" t="s">
        <v>15</v>
      </c>
      <c r="C1912" t="s">
        <v>20</v>
      </c>
      <c r="D1912" s="2">
        <v>1694.2364133599999</v>
      </c>
      <c r="E1912" s="2">
        <v>0</v>
      </c>
      <c r="F1912" s="2">
        <v>1694.2364133599999</v>
      </c>
    </row>
    <row r="1913" spans="1:6" x14ac:dyDescent="0.3">
      <c r="A1913" s="1">
        <v>42429</v>
      </c>
      <c r="B1913" t="s">
        <v>21</v>
      </c>
      <c r="C1913" t="s">
        <v>14</v>
      </c>
      <c r="D1913" s="2">
        <v>497001.86259030999</v>
      </c>
      <c r="E1913" s="2">
        <v>5315721.5496871304</v>
      </c>
      <c r="F1913" s="2">
        <v>5812724.4144913396</v>
      </c>
    </row>
    <row r="1914" spans="1:6" x14ac:dyDescent="0.3">
      <c r="A1914" s="1">
        <v>42429</v>
      </c>
      <c r="B1914" t="s">
        <v>22</v>
      </c>
      <c r="C1914" t="s">
        <v>14</v>
      </c>
      <c r="D1914" s="2">
        <v>13785189.2275711</v>
      </c>
      <c r="E1914" s="2">
        <v>5340266.0070756301</v>
      </c>
      <c r="F1914" s="2">
        <v>19125455.236860599</v>
      </c>
    </row>
    <row r="1915" spans="1:6" x14ac:dyDescent="0.3">
      <c r="A1915" s="1">
        <v>42429</v>
      </c>
      <c r="B1915" t="s">
        <v>6</v>
      </c>
      <c r="C1915" t="s">
        <v>11</v>
      </c>
      <c r="D1915" s="2">
        <v>315313.55729999999</v>
      </c>
      <c r="E1915" s="2">
        <v>0</v>
      </c>
      <c r="F1915" s="2">
        <v>315313.55729999999</v>
      </c>
    </row>
    <row r="1916" spans="1:6" x14ac:dyDescent="0.3">
      <c r="A1916" s="1">
        <v>42429</v>
      </c>
      <c r="B1916" t="s">
        <v>6</v>
      </c>
      <c r="C1916" t="s">
        <v>12</v>
      </c>
      <c r="D1916" s="2">
        <v>0</v>
      </c>
      <c r="E1916" s="2">
        <v>14999.99</v>
      </c>
      <c r="F1916" s="2">
        <v>14999.99</v>
      </c>
    </row>
    <row r="1917" spans="1:6" x14ac:dyDescent="0.3">
      <c r="A1917" s="1">
        <v>42429</v>
      </c>
      <c r="B1917" t="s">
        <v>13</v>
      </c>
      <c r="C1917" t="s">
        <v>14</v>
      </c>
      <c r="D1917" s="2">
        <v>13288187.364980699</v>
      </c>
      <c r="E1917" s="2">
        <v>24543.457388499999</v>
      </c>
      <c r="F1917" s="2">
        <v>13312730.8223693</v>
      </c>
    </row>
    <row r="1918" spans="1:6" x14ac:dyDescent="0.3">
      <c r="A1918" s="1">
        <v>42429</v>
      </c>
      <c r="B1918" t="s">
        <v>15</v>
      </c>
      <c r="C1918" t="s">
        <v>19</v>
      </c>
      <c r="D1918" s="2">
        <v>218635.17111274</v>
      </c>
      <c r="E1918" s="2">
        <v>5315683.2641865397</v>
      </c>
      <c r="F1918" s="2">
        <v>5534318.4375131801</v>
      </c>
    </row>
    <row r="1919" spans="1:6" x14ac:dyDescent="0.3">
      <c r="A1919" s="1">
        <v>42429</v>
      </c>
      <c r="B1919" t="s">
        <v>15</v>
      </c>
      <c r="C1919" t="s">
        <v>23</v>
      </c>
      <c r="D1919" s="2">
        <v>264.34199999999998</v>
      </c>
      <c r="E1919" s="2">
        <v>0</v>
      </c>
      <c r="F1919" s="2">
        <v>264.34199999999998</v>
      </c>
    </row>
    <row r="1920" spans="1:6" x14ac:dyDescent="0.3">
      <c r="A1920" s="1">
        <v>42429</v>
      </c>
      <c r="B1920" t="s">
        <v>15</v>
      </c>
      <c r="C1920" t="s">
        <v>24</v>
      </c>
      <c r="D1920" s="2">
        <v>0</v>
      </c>
      <c r="E1920" s="2">
        <v>39.285500589999998</v>
      </c>
      <c r="F1920" s="2">
        <v>39.285500589999998</v>
      </c>
    </row>
    <row r="1921" spans="1:6" x14ac:dyDescent="0.3">
      <c r="A1921" s="1">
        <v>42429</v>
      </c>
      <c r="B1921" t="s">
        <v>15</v>
      </c>
      <c r="C1921" t="s">
        <v>17</v>
      </c>
      <c r="D1921" s="2">
        <v>75617.503580999997</v>
      </c>
      <c r="E1921" s="2">
        <v>0</v>
      </c>
      <c r="F1921" s="2">
        <v>75617.503580999997</v>
      </c>
    </row>
    <row r="1922" spans="1:6" x14ac:dyDescent="0.3">
      <c r="A1922" s="1">
        <v>42429</v>
      </c>
      <c r="B1922" t="s">
        <v>15</v>
      </c>
      <c r="C1922" t="s">
        <v>18</v>
      </c>
      <c r="D1922" s="2">
        <v>170824.48271934001</v>
      </c>
      <c r="E1922" s="2">
        <v>0</v>
      </c>
      <c r="F1922" s="2">
        <v>170824.48271934001</v>
      </c>
    </row>
    <row r="1923" spans="1:6" x14ac:dyDescent="0.3">
      <c r="A1923" s="1">
        <v>42429</v>
      </c>
      <c r="B1923" t="s">
        <v>15</v>
      </c>
      <c r="C1923" t="s">
        <v>16</v>
      </c>
      <c r="D1923" s="2">
        <v>29995.18</v>
      </c>
      <c r="E1923" s="2">
        <v>0</v>
      </c>
      <c r="F1923" s="2">
        <v>29995.18</v>
      </c>
    </row>
    <row r="1924" spans="1:6" x14ac:dyDescent="0.3">
      <c r="A1924" s="1">
        <v>42429</v>
      </c>
      <c r="B1924" t="s">
        <v>15</v>
      </c>
      <c r="C1924" t="s">
        <v>20</v>
      </c>
      <c r="D1924" s="2">
        <v>1665.18317723</v>
      </c>
      <c r="E1924" s="2">
        <v>0</v>
      </c>
      <c r="F1924" s="2">
        <v>1665.18317723</v>
      </c>
    </row>
    <row r="1925" spans="1:6" x14ac:dyDescent="0.3">
      <c r="A1925" s="1">
        <v>42429</v>
      </c>
      <c r="B1925" t="s">
        <v>6</v>
      </c>
      <c r="C1925" t="s">
        <v>7</v>
      </c>
      <c r="D1925" s="2">
        <v>1548363.3947999999</v>
      </c>
      <c r="E1925" s="2">
        <v>3583.723</v>
      </c>
      <c r="F1925" s="2">
        <v>1551947.1177999999</v>
      </c>
    </row>
    <row r="1926" spans="1:6" x14ac:dyDescent="0.3">
      <c r="A1926" s="1">
        <v>42429</v>
      </c>
      <c r="B1926" t="s">
        <v>6</v>
      </c>
      <c r="C1926" t="s">
        <v>8</v>
      </c>
      <c r="D1926" s="2">
        <v>8510277.2520000003</v>
      </c>
      <c r="E1926" s="2">
        <v>5661.857</v>
      </c>
      <c r="F1926" s="2">
        <v>8515939.1089999992</v>
      </c>
    </row>
    <row r="1927" spans="1:6" x14ac:dyDescent="0.3">
      <c r="A1927" s="1">
        <v>42429</v>
      </c>
      <c r="B1927" t="s">
        <v>6</v>
      </c>
      <c r="C1927" t="s">
        <v>9</v>
      </c>
      <c r="D1927" s="2">
        <v>1748434.89255</v>
      </c>
      <c r="E1927" s="2">
        <v>106.636</v>
      </c>
      <c r="F1927" s="2">
        <v>1748541.5285499999</v>
      </c>
    </row>
    <row r="1928" spans="1:6" x14ac:dyDescent="0.3">
      <c r="A1928" s="1">
        <v>42429</v>
      </c>
      <c r="B1928" t="s">
        <v>6</v>
      </c>
      <c r="C1928" t="s">
        <v>10</v>
      </c>
      <c r="D1928" s="2">
        <v>1165798.2683307501</v>
      </c>
      <c r="E1928" s="2">
        <v>191.25138849999999</v>
      </c>
      <c r="F1928" s="2">
        <v>1165989.51971925</v>
      </c>
    </row>
    <row r="1929" spans="1:6" x14ac:dyDescent="0.3">
      <c r="A1929" s="1">
        <v>42460</v>
      </c>
      <c r="B1929" t="s">
        <v>21</v>
      </c>
      <c r="C1929" t="s">
        <v>14</v>
      </c>
      <c r="D1929" s="2">
        <v>503261.95979494997</v>
      </c>
      <c r="E1929" s="2">
        <v>5315536.29902915</v>
      </c>
      <c r="F1929" s="2">
        <v>5818798.2588240998</v>
      </c>
    </row>
    <row r="1930" spans="1:6" x14ac:dyDescent="0.3">
      <c r="A1930" s="1">
        <v>42460</v>
      </c>
      <c r="B1930" t="s">
        <v>22</v>
      </c>
      <c r="C1930" t="s">
        <v>14</v>
      </c>
      <c r="D1930" s="2">
        <v>13924877.6533246</v>
      </c>
      <c r="E1930" s="2">
        <v>5340060.9806862501</v>
      </c>
      <c r="F1930" s="2">
        <v>19264938.6340109</v>
      </c>
    </row>
    <row r="1931" spans="1:6" x14ac:dyDescent="0.3">
      <c r="A1931" s="1">
        <v>42460</v>
      </c>
      <c r="B1931" t="s">
        <v>6</v>
      </c>
      <c r="C1931" t="s">
        <v>7</v>
      </c>
      <c r="D1931" s="2">
        <v>1614378.0693000001</v>
      </c>
      <c r="E1931" s="2">
        <v>3581.5230000000001</v>
      </c>
      <c r="F1931" s="2">
        <v>1617959.5922999999</v>
      </c>
    </row>
    <row r="1932" spans="1:6" x14ac:dyDescent="0.3">
      <c r="A1932" s="1">
        <v>42460</v>
      </c>
      <c r="B1932" t="s">
        <v>6</v>
      </c>
      <c r="C1932" t="s">
        <v>8</v>
      </c>
      <c r="D1932" s="2">
        <v>8537558.9406000003</v>
      </c>
      <c r="E1932" s="2">
        <v>5640.741</v>
      </c>
      <c r="F1932" s="2">
        <v>8543199.6816000007</v>
      </c>
    </row>
    <row r="1933" spans="1:6" x14ac:dyDescent="0.3">
      <c r="A1933" s="1">
        <v>42460</v>
      </c>
      <c r="B1933" t="s">
        <v>6</v>
      </c>
      <c r="C1933" t="s">
        <v>9</v>
      </c>
      <c r="D1933" s="2">
        <v>1760426.9075499999</v>
      </c>
      <c r="E1933" s="2">
        <v>112.69499999999999</v>
      </c>
      <c r="F1933" s="2">
        <v>1760539.60255</v>
      </c>
    </row>
    <row r="1934" spans="1:6" x14ac:dyDescent="0.3">
      <c r="A1934" s="1">
        <v>42460</v>
      </c>
      <c r="B1934" t="s">
        <v>6</v>
      </c>
      <c r="C1934" t="s">
        <v>10</v>
      </c>
      <c r="D1934" s="2">
        <v>1180938.1543796801</v>
      </c>
      <c r="E1934" s="2">
        <v>189.73265710000001</v>
      </c>
      <c r="F1934" s="2">
        <v>1181127.8870367799</v>
      </c>
    </row>
    <row r="1935" spans="1:6" x14ac:dyDescent="0.3">
      <c r="A1935" s="1">
        <v>42460</v>
      </c>
      <c r="B1935" t="s">
        <v>6</v>
      </c>
      <c r="C1935" t="s">
        <v>11</v>
      </c>
      <c r="D1935" s="2">
        <v>328313.62170000002</v>
      </c>
      <c r="E1935" s="2">
        <v>0</v>
      </c>
      <c r="F1935" s="2">
        <v>328313.62170000002</v>
      </c>
    </row>
    <row r="1936" spans="1:6" x14ac:dyDescent="0.3">
      <c r="A1936" s="1">
        <v>42460</v>
      </c>
      <c r="B1936" t="s">
        <v>6</v>
      </c>
      <c r="C1936" t="s">
        <v>12</v>
      </c>
      <c r="D1936" s="2">
        <v>0</v>
      </c>
      <c r="E1936" s="2">
        <v>14999.99</v>
      </c>
      <c r="F1936" s="2">
        <v>14999.99</v>
      </c>
    </row>
    <row r="1937" spans="1:6" x14ac:dyDescent="0.3">
      <c r="A1937" s="1">
        <v>42460</v>
      </c>
      <c r="B1937" t="s">
        <v>13</v>
      </c>
      <c r="C1937" t="s">
        <v>14</v>
      </c>
      <c r="D1937" s="2">
        <v>13421615.693529701</v>
      </c>
      <c r="E1937" s="2">
        <v>24524.681657100002</v>
      </c>
      <c r="F1937" s="2">
        <v>13446140.375186799</v>
      </c>
    </row>
    <row r="1938" spans="1:6" x14ac:dyDescent="0.3">
      <c r="A1938" s="1">
        <v>42460</v>
      </c>
      <c r="B1938" t="s">
        <v>15</v>
      </c>
      <c r="C1938" t="s">
        <v>16</v>
      </c>
      <c r="D1938" s="2">
        <v>29995.18</v>
      </c>
      <c r="E1938" s="2">
        <v>0</v>
      </c>
      <c r="F1938" s="2">
        <v>29995.18</v>
      </c>
    </row>
    <row r="1939" spans="1:6" x14ac:dyDescent="0.3">
      <c r="A1939" s="1">
        <v>42460</v>
      </c>
      <c r="B1939" t="s">
        <v>15</v>
      </c>
      <c r="C1939" t="s">
        <v>17</v>
      </c>
      <c r="D1939" s="2">
        <v>82799.092150070006</v>
      </c>
      <c r="E1939" s="2">
        <v>0</v>
      </c>
      <c r="F1939" s="2">
        <v>82799.092150070006</v>
      </c>
    </row>
    <row r="1940" spans="1:6" x14ac:dyDescent="0.3">
      <c r="A1940" s="1">
        <v>42460</v>
      </c>
      <c r="B1940" t="s">
        <v>15</v>
      </c>
      <c r="C1940" t="s">
        <v>18</v>
      </c>
      <c r="D1940" s="2">
        <v>170370.14015620001</v>
      </c>
      <c r="E1940" s="2">
        <v>0</v>
      </c>
      <c r="F1940" s="2">
        <v>170370.14015620001</v>
      </c>
    </row>
    <row r="1941" spans="1:6" x14ac:dyDescent="0.3">
      <c r="A1941" s="1">
        <v>42460</v>
      </c>
      <c r="B1941" t="s">
        <v>15</v>
      </c>
      <c r="C1941" t="s">
        <v>23</v>
      </c>
      <c r="D1941" s="2">
        <v>264.34199999999998</v>
      </c>
      <c r="E1941" s="2">
        <v>0</v>
      </c>
      <c r="F1941" s="2">
        <v>264.34199999999998</v>
      </c>
    </row>
    <row r="1942" spans="1:6" x14ac:dyDescent="0.3">
      <c r="A1942" s="1">
        <v>42460</v>
      </c>
      <c r="B1942" t="s">
        <v>15</v>
      </c>
      <c r="C1942" t="s">
        <v>19</v>
      </c>
      <c r="D1942" s="2">
        <v>218156.51492404999</v>
      </c>
      <c r="E1942" s="2">
        <v>5315497.0135285603</v>
      </c>
      <c r="F1942" s="2">
        <v>5533653.5284526097</v>
      </c>
    </row>
    <row r="1943" spans="1:6" x14ac:dyDescent="0.3">
      <c r="A1943" s="1">
        <v>42460</v>
      </c>
      <c r="B1943" t="s">
        <v>15</v>
      </c>
      <c r="C1943" t="s">
        <v>24</v>
      </c>
      <c r="D1943" s="2">
        <v>0</v>
      </c>
      <c r="E1943" s="2">
        <v>39.285500589999998</v>
      </c>
      <c r="F1943" s="2">
        <v>39.285500589999998</v>
      </c>
    </row>
    <row r="1944" spans="1:6" x14ac:dyDescent="0.3">
      <c r="A1944" s="1">
        <v>42460</v>
      </c>
      <c r="B1944" t="s">
        <v>15</v>
      </c>
      <c r="C1944" t="s">
        <v>20</v>
      </c>
      <c r="D1944" s="2">
        <v>1676.6905646299999</v>
      </c>
      <c r="E1944" s="2">
        <v>0</v>
      </c>
      <c r="F1944" s="2">
        <v>1676.6905646299999</v>
      </c>
    </row>
    <row r="1945" spans="1:6" x14ac:dyDescent="0.3">
      <c r="A1945" s="1">
        <v>42490</v>
      </c>
      <c r="B1945" t="s">
        <v>6</v>
      </c>
      <c r="C1945" t="s">
        <v>7</v>
      </c>
      <c r="D1945" s="2">
        <v>1522780.3509</v>
      </c>
      <c r="E1945" s="2">
        <v>4175.5590000000002</v>
      </c>
      <c r="F1945" s="2">
        <v>1526955.9099000001</v>
      </c>
    </row>
    <row r="1946" spans="1:6" x14ac:dyDescent="0.3">
      <c r="A1946" s="1">
        <v>42490</v>
      </c>
      <c r="B1946" t="s">
        <v>6</v>
      </c>
      <c r="C1946" t="s">
        <v>8</v>
      </c>
      <c r="D1946" s="2">
        <v>8550339.2916999906</v>
      </c>
      <c r="E1946" s="2">
        <v>5143.9690000000001</v>
      </c>
      <c r="F1946" s="2">
        <v>8555483.2606999893</v>
      </c>
    </row>
    <row r="1947" spans="1:6" x14ac:dyDescent="0.3">
      <c r="A1947" s="1">
        <v>42490</v>
      </c>
      <c r="B1947" t="s">
        <v>6</v>
      </c>
      <c r="C1947" t="s">
        <v>9</v>
      </c>
      <c r="D1947" s="2">
        <v>1772499.90925</v>
      </c>
      <c r="E1947" s="2">
        <v>118.04900000000001</v>
      </c>
      <c r="F1947" s="2">
        <v>1772617.9582499999</v>
      </c>
    </row>
    <row r="1948" spans="1:6" x14ac:dyDescent="0.3">
      <c r="A1948" s="1">
        <v>42490</v>
      </c>
      <c r="B1948" t="s">
        <v>6</v>
      </c>
      <c r="C1948" t="s">
        <v>10</v>
      </c>
      <c r="D1948" s="2">
        <v>1156634.5617061299</v>
      </c>
      <c r="E1948" s="2">
        <v>165.5333076</v>
      </c>
      <c r="F1948" s="2">
        <v>1156800.09501373</v>
      </c>
    </row>
    <row r="1949" spans="1:6" x14ac:dyDescent="0.3">
      <c r="A1949" s="1">
        <v>42490</v>
      </c>
      <c r="B1949" t="s">
        <v>6</v>
      </c>
      <c r="C1949" t="s">
        <v>11</v>
      </c>
      <c r="D1949" s="2">
        <v>328313.62170000002</v>
      </c>
      <c r="E1949" s="2">
        <v>0</v>
      </c>
      <c r="F1949" s="2">
        <v>328313.62170000002</v>
      </c>
    </row>
    <row r="1950" spans="1:6" x14ac:dyDescent="0.3">
      <c r="A1950" s="1">
        <v>42490</v>
      </c>
      <c r="B1950" t="s">
        <v>6</v>
      </c>
      <c r="C1950" t="s">
        <v>12</v>
      </c>
      <c r="D1950" s="2">
        <v>0</v>
      </c>
      <c r="E1950" s="2">
        <v>14999.99</v>
      </c>
      <c r="F1950" s="2">
        <v>14999.99</v>
      </c>
    </row>
    <row r="1951" spans="1:6" x14ac:dyDescent="0.3">
      <c r="A1951" s="1">
        <v>42490</v>
      </c>
      <c r="B1951" t="s">
        <v>13</v>
      </c>
      <c r="C1951" t="s">
        <v>14</v>
      </c>
      <c r="D1951" s="2">
        <v>13330567.7352561</v>
      </c>
      <c r="E1951" s="2">
        <v>24603.100307600002</v>
      </c>
      <c r="F1951" s="2">
        <v>13355170.835563701</v>
      </c>
    </row>
    <row r="1952" spans="1:6" x14ac:dyDescent="0.3">
      <c r="A1952" s="1">
        <v>42490</v>
      </c>
      <c r="B1952" t="s">
        <v>15</v>
      </c>
      <c r="C1952" t="s">
        <v>16</v>
      </c>
      <c r="D1952" s="2">
        <v>29995.18</v>
      </c>
      <c r="E1952" s="2">
        <v>0</v>
      </c>
      <c r="F1952" s="2">
        <v>29995.18</v>
      </c>
    </row>
    <row r="1953" spans="1:6" x14ac:dyDescent="0.3">
      <c r="A1953" s="1">
        <v>42490</v>
      </c>
      <c r="B1953" t="s">
        <v>15</v>
      </c>
      <c r="C1953" t="s">
        <v>23</v>
      </c>
      <c r="D1953" s="2">
        <v>264.34199999999998</v>
      </c>
      <c r="E1953" s="2">
        <v>0</v>
      </c>
      <c r="F1953" s="2">
        <v>264.34199999999998</v>
      </c>
    </row>
    <row r="1954" spans="1:6" x14ac:dyDescent="0.3">
      <c r="A1954" s="1">
        <v>42490</v>
      </c>
      <c r="B1954" t="s">
        <v>15</v>
      </c>
      <c r="C1954" t="s">
        <v>17</v>
      </c>
      <c r="D1954" s="2">
        <v>90015.897531549999</v>
      </c>
      <c r="E1954" s="2">
        <v>0</v>
      </c>
      <c r="F1954" s="2">
        <v>90015.897531549999</v>
      </c>
    </row>
    <row r="1955" spans="1:6" x14ac:dyDescent="0.3">
      <c r="A1955" s="1">
        <v>42490</v>
      </c>
      <c r="B1955" t="s">
        <v>15</v>
      </c>
      <c r="C1955" t="s">
        <v>18</v>
      </c>
      <c r="D1955" s="2">
        <v>169955.87681059001</v>
      </c>
      <c r="E1955" s="2">
        <v>0</v>
      </c>
      <c r="F1955" s="2">
        <v>169955.87681059001</v>
      </c>
    </row>
    <row r="1956" spans="1:6" x14ac:dyDescent="0.3">
      <c r="A1956" s="1">
        <v>42490</v>
      </c>
      <c r="B1956" t="s">
        <v>15</v>
      </c>
      <c r="C1956" t="s">
        <v>19</v>
      </c>
      <c r="D1956" s="2">
        <v>218709.34729854899</v>
      </c>
      <c r="E1956" s="2">
        <v>5321589.6503767399</v>
      </c>
      <c r="F1956" s="2">
        <v>5540298.9976752903</v>
      </c>
    </row>
    <row r="1957" spans="1:6" x14ac:dyDescent="0.3">
      <c r="A1957" s="1">
        <v>42490</v>
      </c>
      <c r="B1957" t="s">
        <v>15</v>
      </c>
      <c r="C1957" t="s">
        <v>20</v>
      </c>
      <c r="D1957" s="2">
        <v>1686.3714020800001</v>
      </c>
      <c r="E1957" s="2">
        <v>0</v>
      </c>
      <c r="F1957" s="2">
        <v>1686.3714020800001</v>
      </c>
    </row>
    <row r="1958" spans="1:6" x14ac:dyDescent="0.3">
      <c r="A1958" s="1">
        <v>42490</v>
      </c>
      <c r="B1958" t="s">
        <v>21</v>
      </c>
      <c r="C1958" t="s">
        <v>14</v>
      </c>
      <c r="D1958" s="2">
        <v>510627.01504277001</v>
      </c>
      <c r="E1958" s="2">
        <v>5321589.6503767399</v>
      </c>
      <c r="F1958" s="2">
        <v>5832216.6654195096</v>
      </c>
    </row>
    <row r="1959" spans="1:6" x14ac:dyDescent="0.3">
      <c r="A1959" s="1">
        <v>42490</v>
      </c>
      <c r="B1959" t="s">
        <v>22</v>
      </c>
      <c r="C1959" t="s">
        <v>14</v>
      </c>
      <c r="D1959" s="2">
        <v>13841194.750298901</v>
      </c>
      <c r="E1959" s="2">
        <v>5346192.7506843396</v>
      </c>
      <c r="F1959" s="2">
        <v>19187386.500983201</v>
      </c>
    </row>
    <row r="1960" spans="1:6" x14ac:dyDescent="0.3">
      <c r="A1960" s="1">
        <v>42521</v>
      </c>
      <c r="B1960" t="s">
        <v>22</v>
      </c>
      <c r="C1960" t="s">
        <v>14</v>
      </c>
      <c r="D1960" s="2">
        <v>13886302.643889301</v>
      </c>
      <c r="E1960" s="2">
        <v>5379148.9329640698</v>
      </c>
      <c r="F1960" s="2">
        <v>19265451.576853301</v>
      </c>
    </row>
    <row r="1961" spans="1:6" x14ac:dyDescent="0.3">
      <c r="A1961" s="1">
        <v>42521</v>
      </c>
      <c r="B1961" t="s">
        <v>6</v>
      </c>
      <c r="C1961" t="s">
        <v>7</v>
      </c>
      <c r="D1961" s="2">
        <v>1520212.9109</v>
      </c>
      <c r="E1961" s="2">
        <v>3744</v>
      </c>
      <c r="F1961" s="2">
        <v>1523956.9109</v>
      </c>
    </row>
    <row r="1962" spans="1:6" x14ac:dyDescent="0.3">
      <c r="A1962" s="1">
        <v>42521</v>
      </c>
      <c r="B1962" t="s">
        <v>6</v>
      </c>
      <c r="C1962" t="s">
        <v>8</v>
      </c>
      <c r="D1962" s="2">
        <v>8582308.2021999992</v>
      </c>
      <c r="E1962" s="2">
        <v>5372.2269999999999</v>
      </c>
      <c r="F1962" s="2">
        <v>8587680.4291999992</v>
      </c>
    </row>
    <row r="1963" spans="1:6" x14ac:dyDescent="0.3">
      <c r="A1963" s="1">
        <v>42521</v>
      </c>
      <c r="B1963" t="s">
        <v>6</v>
      </c>
      <c r="C1963" t="s">
        <v>11</v>
      </c>
      <c r="D1963" s="2">
        <v>319309.60940000002</v>
      </c>
      <c r="E1963" s="2">
        <v>0</v>
      </c>
      <c r="F1963" s="2">
        <v>319309.60940000002</v>
      </c>
    </row>
    <row r="1964" spans="1:6" x14ac:dyDescent="0.3">
      <c r="A1964" s="1">
        <v>42521</v>
      </c>
      <c r="B1964" t="s">
        <v>6</v>
      </c>
      <c r="C1964" t="s">
        <v>12</v>
      </c>
      <c r="D1964" s="2">
        <v>0</v>
      </c>
      <c r="E1964" s="2">
        <v>14999.99</v>
      </c>
      <c r="F1964" s="2">
        <v>14999.99</v>
      </c>
    </row>
    <row r="1965" spans="1:6" x14ac:dyDescent="0.3">
      <c r="A1965" s="1">
        <v>42521</v>
      </c>
      <c r="B1965" t="s">
        <v>6</v>
      </c>
      <c r="C1965" t="s">
        <v>9</v>
      </c>
      <c r="D1965" s="2">
        <v>1772075.04865</v>
      </c>
      <c r="E1965" s="2">
        <v>121.717</v>
      </c>
      <c r="F1965" s="2">
        <v>1772196.76565</v>
      </c>
    </row>
    <row r="1966" spans="1:6" x14ac:dyDescent="0.3">
      <c r="A1966" s="1">
        <v>42521</v>
      </c>
      <c r="B1966" t="s">
        <v>6</v>
      </c>
      <c r="C1966" t="s">
        <v>10</v>
      </c>
      <c r="D1966" s="2">
        <v>1175223.40957942</v>
      </c>
      <c r="E1966" s="2">
        <v>165.2129563</v>
      </c>
      <c r="F1966" s="2">
        <v>1175388.62253572</v>
      </c>
    </row>
    <row r="1967" spans="1:6" x14ac:dyDescent="0.3">
      <c r="A1967" s="1">
        <v>42521</v>
      </c>
      <c r="B1967" t="s">
        <v>13</v>
      </c>
      <c r="C1967" t="s">
        <v>14</v>
      </c>
      <c r="D1967" s="2">
        <v>13369129.1807294</v>
      </c>
      <c r="E1967" s="2">
        <v>24403.146956299999</v>
      </c>
      <c r="F1967" s="2">
        <v>13393532.327685701</v>
      </c>
    </row>
    <row r="1968" spans="1:6" x14ac:dyDescent="0.3">
      <c r="A1968" s="1">
        <v>42521</v>
      </c>
      <c r="B1968" t="s">
        <v>15</v>
      </c>
      <c r="C1968" t="s">
        <v>16</v>
      </c>
      <c r="D1968" s="2">
        <v>29995.18</v>
      </c>
      <c r="E1968" s="2">
        <v>0</v>
      </c>
      <c r="F1968" s="2">
        <v>29995.18</v>
      </c>
    </row>
    <row r="1969" spans="1:6" x14ac:dyDescent="0.3">
      <c r="A1969" s="1">
        <v>42521</v>
      </c>
      <c r="B1969" t="s">
        <v>15</v>
      </c>
      <c r="C1969" t="s">
        <v>23</v>
      </c>
      <c r="D1969" s="2">
        <v>264.34199999999998</v>
      </c>
      <c r="E1969" s="2">
        <v>0</v>
      </c>
      <c r="F1969" s="2">
        <v>264.34199999999998</v>
      </c>
    </row>
    <row r="1970" spans="1:6" x14ac:dyDescent="0.3">
      <c r="A1970" s="1">
        <v>42521</v>
      </c>
      <c r="B1970" t="s">
        <v>15</v>
      </c>
      <c r="C1970" t="s">
        <v>17</v>
      </c>
      <c r="D1970" s="2">
        <v>95501.99146166</v>
      </c>
      <c r="E1970" s="2">
        <v>0</v>
      </c>
      <c r="F1970" s="2">
        <v>95501.99146166</v>
      </c>
    </row>
    <row r="1971" spans="1:6" x14ac:dyDescent="0.3">
      <c r="A1971" s="1">
        <v>42521</v>
      </c>
      <c r="B1971" t="s">
        <v>15</v>
      </c>
      <c r="C1971" t="s">
        <v>20</v>
      </c>
      <c r="D1971" s="2">
        <v>1721.33531393</v>
      </c>
      <c r="E1971" s="2">
        <v>0</v>
      </c>
      <c r="F1971" s="2">
        <v>1721.33531393</v>
      </c>
    </row>
    <row r="1972" spans="1:6" x14ac:dyDescent="0.3">
      <c r="A1972" s="1">
        <v>42521</v>
      </c>
      <c r="B1972" t="s">
        <v>15</v>
      </c>
      <c r="C1972" t="s">
        <v>18</v>
      </c>
      <c r="D1972" s="2">
        <v>169501.44507903</v>
      </c>
      <c r="E1972" s="2">
        <v>0</v>
      </c>
      <c r="F1972" s="2">
        <v>169501.44507903</v>
      </c>
    </row>
    <row r="1973" spans="1:6" x14ac:dyDescent="0.3">
      <c r="A1973" s="1">
        <v>42521</v>
      </c>
      <c r="B1973" t="s">
        <v>15</v>
      </c>
      <c r="C1973" t="s">
        <v>19</v>
      </c>
      <c r="D1973" s="2">
        <v>220189.16930522001</v>
      </c>
      <c r="E1973" s="2">
        <v>5354745.7860077703</v>
      </c>
      <c r="F1973" s="2">
        <v>5574934.9553129897</v>
      </c>
    </row>
    <row r="1974" spans="1:6" x14ac:dyDescent="0.3">
      <c r="A1974" s="1">
        <v>42521</v>
      </c>
      <c r="B1974" t="s">
        <v>21</v>
      </c>
      <c r="C1974" t="s">
        <v>14</v>
      </c>
      <c r="D1974" s="2">
        <v>517173.46315983997</v>
      </c>
      <c r="E1974" s="2">
        <v>5354745.7860077703</v>
      </c>
      <c r="F1974" s="2">
        <v>5871919.24916761</v>
      </c>
    </row>
    <row r="1975" spans="1:6" x14ac:dyDescent="0.3">
      <c r="A1975" s="1">
        <v>42551</v>
      </c>
      <c r="B1975" t="s">
        <v>22</v>
      </c>
      <c r="C1975" t="s">
        <v>14</v>
      </c>
      <c r="D1975" s="2">
        <v>13932742.714223601</v>
      </c>
      <c r="E1975" s="2">
        <v>5448848.4272517897</v>
      </c>
      <c r="F1975" s="2">
        <v>19381591.1404754</v>
      </c>
    </row>
    <row r="1976" spans="1:6" x14ac:dyDescent="0.3">
      <c r="A1976" s="1">
        <v>42551</v>
      </c>
      <c r="B1976" t="s">
        <v>6</v>
      </c>
      <c r="C1976" t="s">
        <v>7</v>
      </c>
      <c r="D1976" s="2">
        <v>1504987.19</v>
      </c>
      <c r="E1976" s="2">
        <v>2959.8589999999999</v>
      </c>
      <c r="F1976" s="2">
        <v>1507947.0490000001</v>
      </c>
    </row>
    <row r="1977" spans="1:6" x14ac:dyDescent="0.3">
      <c r="A1977" s="1">
        <v>42551</v>
      </c>
      <c r="B1977" t="s">
        <v>6</v>
      </c>
      <c r="C1977" t="s">
        <v>9</v>
      </c>
      <c r="D1977" s="2">
        <v>1784037.7572999999</v>
      </c>
      <c r="E1977" s="2">
        <v>154.04400000000001</v>
      </c>
      <c r="F1977" s="2">
        <v>1784191.8012999999</v>
      </c>
    </row>
    <row r="1978" spans="1:6" x14ac:dyDescent="0.3">
      <c r="A1978" s="1">
        <v>42551</v>
      </c>
      <c r="B1978" t="s">
        <v>6</v>
      </c>
      <c r="C1978" t="s">
        <v>10</v>
      </c>
      <c r="D1978" s="2">
        <v>1186562.2667791501</v>
      </c>
      <c r="E1978" s="2">
        <v>153.9394748</v>
      </c>
      <c r="F1978" s="2">
        <v>1186716.20625395</v>
      </c>
    </row>
    <row r="1979" spans="1:6" x14ac:dyDescent="0.3">
      <c r="A1979" s="1">
        <v>42551</v>
      </c>
      <c r="B1979" t="s">
        <v>6</v>
      </c>
      <c r="C1979" t="s">
        <v>11</v>
      </c>
      <c r="D1979" s="2">
        <v>332287.34590000001</v>
      </c>
      <c r="E1979" s="2">
        <v>22.28</v>
      </c>
      <c r="F1979" s="2">
        <v>332309.62589999998</v>
      </c>
    </row>
    <row r="1980" spans="1:6" x14ac:dyDescent="0.3">
      <c r="A1980" s="1">
        <v>42551</v>
      </c>
      <c r="B1980" t="s">
        <v>6</v>
      </c>
      <c r="C1980" t="s">
        <v>8</v>
      </c>
      <c r="D1980" s="2">
        <v>8600640.7328999992</v>
      </c>
      <c r="E1980" s="2">
        <v>5966.607</v>
      </c>
      <c r="F1980" s="2">
        <v>8606607.3399</v>
      </c>
    </row>
    <row r="1981" spans="1:6" x14ac:dyDescent="0.3">
      <c r="A1981" s="1">
        <v>42551</v>
      </c>
      <c r="B1981" t="s">
        <v>6</v>
      </c>
      <c r="C1981" t="s">
        <v>12</v>
      </c>
      <c r="D1981" s="2">
        <v>0</v>
      </c>
      <c r="E1981" s="2">
        <v>13023.902</v>
      </c>
      <c r="F1981" s="2">
        <v>13023.902</v>
      </c>
    </row>
    <row r="1982" spans="1:6" x14ac:dyDescent="0.3">
      <c r="A1982" s="1">
        <v>42551</v>
      </c>
      <c r="B1982" t="s">
        <v>13</v>
      </c>
      <c r="C1982" t="s">
        <v>14</v>
      </c>
      <c r="D1982" s="2">
        <v>13408515.292879101</v>
      </c>
      <c r="E1982" s="2">
        <v>22280.6314748</v>
      </c>
      <c r="F1982" s="2">
        <v>13430795.924353899</v>
      </c>
    </row>
    <row r="1983" spans="1:6" x14ac:dyDescent="0.3">
      <c r="A1983" s="1">
        <v>42551</v>
      </c>
      <c r="B1983" t="s">
        <v>15</v>
      </c>
      <c r="C1983" t="s">
        <v>16</v>
      </c>
      <c r="D1983" s="2">
        <v>29995.18</v>
      </c>
      <c r="E1983" s="2">
        <v>0</v>
      </c>
      <c r="F1983" s="2">
        <v>29995.18</v>
      </c>
    </row>
    <row r="1984" spans="1:6" x14ac:dyDescent="0.3">
      <c r="A1984" s="1">
        <v>42551</v>
      </c>
      <c r="B1984" t="s">
        <v>15</v>
      </c>
      <c r="C1984" t="s">
        <v>19</v>
      </c>
      <c r="D1984" s="2">
        <v>221407.26263141001</v>
      </c>
      <c r="E1984" s="2">
        <v>5426567.7957769902</v>
      </c>
      <c r="F1984" s="2">
        <v>5647975.0574083999</v>
      </c>
    </row>
    <row r="1985" spans="1:6" x14ac:dyDescent="0.3">
      <c r="A1985" s="1">
        <v>42551</v>
      </c>
      <c r="B1985" t="s">
        <v>15</v>
      </c>
      <c r="C1985" t="s">
        <v>23</v>
      </c>
      <c r="D1985" s="2">
        <v>264.34199999999998</v>
      </c>
      <c r="E1985" s="2">
        <v>0</v>
      </c>
      <c r="F1985" s="2">
        <v>264.34199999999998</v>
      </c>
    </row>
    <row r="1986" spans="1:6" x14ac:dyDescent="0.3">
      <c r="A1986" s="1">
        <v>42551</v>
      </c>
      <c r="B1986" t="s">
        <v>15</v>
      </c>
      <c r="C1986" t="s">
        <v>17</v>
      </c>
      <c r="D1986" s="2">
        <v>101784.05483491</v>
      </c>
      <c r="E1986" s="2">
        <v>0</v>
      </c>
      <c r="F1986" s="2">
        <v>101784.05483491</v>
      </c>
    </row>
    <row r="1987" spans="1:6" x14ac:dyDescent="0.3">
      <c r="A1987" s="1">
        <v>42551</v>
      </c>
      <c r="B1987" t="s">
        <v>15</v>
      </c>
      <c r="C1987" t="s">
        <v>20</v>
      </c>
      <c r="D1987" s="2">
        <v>1723.1076871099999</v>
      </c>
      <c r="E1987" s="2">
        <v>0</v>
      </c>
      <c r="F1987" s="2">
        <v>1723.1076871099999</v>
      </c>
    </row>
    <row r="1988" spans="1:6" x14ac:dyDescent="0.3">
      <c r="A1988" s="1">
        <v>42551</v>
      </c>
      <c r="B1988" t="s">
        <v>15</v>
      </c>
      <c r="C1988" t="s">
        <v>18</v>
      </c>
      <c r="D1988" s="2">
        <v>169053.47419104</v>
      </c>
      <c r="E1988" s="2">
        <v>0</v>
      </c>
      <c r="F1988" s="2">
        <v>169053.47419104</v>
      </c>
    </row>
    <row r="1989" spans="1:6" x14ac:dyDescent="0.3">
      <c r="A1989" s="1">
        <v>42551</v>
      </c>
      <c r="B1989" t="s">
        <v>21</v>
      </c>
      <c r="C1989" t="s">
        <v>14</v>
      </c>
      <c r="D1989" s="2">
        <v>524227.42134447</v>
      </c>
      <c r="E1989" s="2">
        <v>5426567.7957769902</v>
      </c>
      <c r="F1989" s="2">
        <v>5950795.2161214603</v>
      </c>
    </row>
    <row r="1990" spans="1:6" x14ac:dyDescent="0.3">
      <c r="A1990" s="1">
        <v>42582</v>
      </c>
      <c r="B1990" t="s">
        <v>21</v>
      </c>
      <c r="C1990" t="s">
        <v>14</v>
      </c>
      <c r="D1990" s="2">
        <v>526160.06193844997</v>
      </c>
      <c r="E1990" s="2">
        <v>5407311.8058506399</v>
      </c>
      <c r="F1990" s="2">
        <v>5933471.8677890897</v>
      </c>
    </row>
    <row r="1991" spans="1:6" x14ac:dyDescent="0.3">
      <c r="A1991" s="1">
        <v>42582</v>
      </c>
      <c r="B1991" t="s">
        <v>22</v>
      </c>
      <c r="C1991" t="s">
        <v>14</v>
      </c>
      <c r="D1991" s="2">
        <v>13998219.6131726</v>
      </c>
      <c r="E1991" s="2">
        <v>5429474.7409552401</v>
      </c>
      <c r="F1991" s="2">
        <v>19427695.354127798</v>
      </c>
    </row>
    <row r="1992" spans="1:6" x14ac:dyDescent="0.3">
      <c r="A1992" s="1">
        <v>42582</v>
      </c>
      <c r="B1992" t="s">
        <v>6</v>
      </c>
      <c r="C1992" t="s">
        <v>7</v>
      </c>
      <c r="D1992" s="2">
        <v>1547124.1982</v>
      </c>
      <c r="E1992" s="2">
        <v>2808.105</v>
      </c>
      <c r="F1992" s="2">
        <v>1549932.3032</v>
      </c>
    </row>
    <row r="1993" spans="1:6" x14ac:dyDescent="0.3">
      <c r="A1993" s="1">
        <v>42582</v>
      </c>
      <c r="B1993" t="s">
        <v>6</v>
      </c>
      <c r="C1993" t="s">
        <v>8</v>
      </c>
      <c r="D1993" s="2">
        <v>8615474.4002999905</v>
      </c>
      <c r="E1993" s="2">
        <v>5997.8760000000002</v>
      </c>
      <c r="F1993" s="2">
        <v>8621472.2762999907</v>
      </c>
    </row>
    <row r="1994" spans="1:6" x14ac:dyDescent="0.3">
      <c r="A1994" s="1">
        <v>42582</v>
      </c>
      <c r="B1994" t="s">
        <v>6</v>
      </c>
      <c r="C1994" t="s">
        <v>12</v>
      </c>
      <c r="D1994" s="2">
        <v>0</v>
      </c>
      <c r="E1994" s="2">
        <v>13023.902</v>
      </c>
      <c r="F1994" s="2">
        <v>13023.902</v>
      </c>
    </row>
    <row r="1995" spans="1:6" x14ac:dyDescent="0.3">
      <c r="A1995" s="1">
        <v>42582</v>
      </c>
      <c r="B1995" t="s">
        <v>6</v>
      </c>
      <c r="C1995" t="s">
        <v>9</v>
      </c>
      <c r="D1995" s="2">
        <v>1796813.6418999999</v>
      </c>
      <c r="E1995" s="2">
        <v>157.74100000000001</v>
      </c>
      <c r="F1995" s="2">
        <v>1796971.3829000001</v>
      </c>
    </row>
    <row r="1996" spans="1:6" x14ac:dyDescent="0.3">
      <c r="A1996" s="1">
        <v>42582</v>
      </c>
      <c r="B1996" t="s">
        <v>6</v>
      </c>
      <c r="C1996" t="s">
        <v>10</v>
      </c>
      <c r="D1996" s="2">
        <v>1180357.4899341599</v>
      </c>
      <c r="E1996" s="2">
        <v>155.50610459999999</v>
      </c>
      <c r="F1996" s="2">
        <v>1180512.9960387601</v>
      </c>
    </row>
    <row r="1997" spans="1:6" x14ac:dyDescent="0.3">
      <c r="A1997" s="1">
        <v>42582</v>
      </c>
      <c r="B1997" t="s">
        <v>6</v>
      </c>
      <c r="C1997" t="s">
        <v>11</v>
      </c>
      <c r="D1997" s="2">
        <v>332289.82089999999</v>
      </c>
      <c r="E1997" s="2">
        <v>19.805</v>
      </c>
      <c r="F1997" s="2">
        <v>332309.62589999998</v>
      </c>
    </row>
    <row r="1998" spans="1:6" x14ac:dyDescent="0.3">
      <c r="A1998" s="1">
        <v>42582</v>
      </c>
      <c r="B1998" t="s">
        <v>13</v>
      </c>
      <c r="C1998" t="s">
        <v>14</v>
      </c>
      <c r="D1998" s="2">
        <v>13472059.551234201</v>
      </c>
      <c r="E1998" s="2">
        <v>22162.935104600001</v>
      </c>
      <c r="F1998" s="2">
        <v>13494222.4863388</v>
      </c>
    </row>
    <row r="1999" spans="1:6" x14ac:dyDescent="0.3">
      <c r="A1999" s="1">
        <v>42582</v>
      </c>
      <c r="B1999" t="s">
        <v>15</v>
      </c>
      <c r="C1999" t="s">
        <v>16</v>
      </c>
      <c r="D1999" s="2">
        <v>29995.18</v>
      </c>
      <c r="E1999" s="2">
        <v>0</v>
      </c>
      <c r="F1999" s="2">
        <v>29995.18</v>
      </c>
    </row>
    <row r="2000" spans="1:6" x14ac:dyDescent="0.3">
      <c r="A2000" s="1">
        <v>42582</v>
      </c>
      <c r="B2000" t="s">
        <v>15</v>
      </c>
      <c r="C2000" t="s">
        <v>23</v>
      </c>
      <c r="D2000" s="2">
        <v>264.34199999999998</v>
      </c>
      <c r="E2000" s="2">
        <v>0</v>
      </c>
      <c r="F2000" s="2">
        <v>264.34199999999998</v>
      </c>
    </row>
    <row r="2001" spans="1:6" x14ac:dyDescent="0.3">
      <c r="A2001" s="1">
        <v>42582</v>
      </c>
      <c r="B2001" t="s">
        <v>15</v>
      </c>
      <c r="C2001" t="s">
        <v>17</v>
      </c>
      <c r="D2001" s="2">
        <v>101840.8271586</v>
      </c>
      <c r="E2001" s="2">
        <v>0</v>
      </c>
      <c r="F2001" s="2">
        <v>101840.8271586</v>
      </c>
    </row>
    <row r="2002" spans="1:6" x14ac:dyDescent="0.3">
      <c r="A2002" s="1">
        <v>42582</v>
      </c>
      <c r="B2002" t="s">
        <v>15</v>
      </c>
      <c r="C2002" t="s">
        <v>19</v>
      </c>
      <c r="D2002" s="2">
        <v>223699.84916687</v>
      </c>
      <c r="E2002" s="2">
        <v>5407311.8058506399</v>
      </c>
      <c r="F2002" s="2">
        <v>5631011.6550175101</v>
      </c>
    </row>
    <row r="2003" spans="1:6" x14ac:dyDescent="0.3">
      <c r="A2003" s="1">
        <v>42582</v>
      </c>
      <c r="B2003" t="s">
        <v>15</v>
      </c>
      <c r="C2003" t="s">
        <v>18</v>
      </c>
      <c r="D2003" s="2">
        <v>168625.91228955999</v>
      </c>
      <c r="E2003" s="2">
        <v>0</v>
      </c>
      <c r="F2003" s="2">
        <v>168625.91228955999</v>
      </c>
    </row>
    <row r="2004" spans="1:6" x14ac:dyDescent="0.3">
      <c r="A2004" s="1">
        <v>42582</v>
      </c>
      <c r="B2004" t="s">
        <v>15</v>
      </c>
      <c r="C2004" t="s">
        <v>20</v>
      </c>
      <c r="D2004" s="2">
        <v>1733.9513234200001</v>
      </c>
      <c r="E2004" s="2">
        <v>0</v>
      </c>
      <c r="F2004" s="2">
        <v>1733.9513234200001</v>
      </c>
    </row>
    <row r="2005" spans="1:6" x14ac:dyDescent="0.3">
      <c r="A2005" s="1">
        <v>42613</v>
      </c>
      <c r="B2005" t="s">
        <v>22</v>
      </c>
      <c r="C2005" t="s">
        <v>14</v>
      </c>
      <c r="D2005" s="2">
        <v>14104114.025273699</v>
      </c>
      <c r="E2005" s="2">
        <v>5406182.80186655</v>
      </c>
      <c r="F2005" s="2">
        <v>19510295.827140201</v>
      </c>
    </row>
    <row r="2006" spans="1:6" x14ac:dyDescent="0.3">
      <c r="A2006" s="1">
        <v>42613</v>
      </c>
      <c r="B2006" t="s">
        <v>6</v>
      </c>
      <c r="C2006" t="s">
        <v>7</v>
      </c>
      <c r="D2006" s="2">
        <v>1630684.7712999999</v>
      </c>
      <c r="E2006" s="2">
        <v>2264.0459999999998</v>
      </c>
      <c r="F2006" s="2">
        <v>1632948.8173</v>
      </c>
    </row>
    <row r="2007" spans="1:6" x14ac:dyDescent="0.3">
      <c r="A2007" s="1">
        <v>42613</v>
      </c>
      <c r="B2007" t="s">
        <v>6</v>
      </c>
      <c r="C2007" t="s">
        <v>8</v>
      </c>
      <c r="D2007" s="2">
        <v>8612474.0834999997</v>
      </c>
      <c r="E2007" s="2">
        <v>6756.8339999999998</v>
      </c>
      <c r="F2007" s="2">
        <v>8619230.9175000004</v>
      </c>
    </row>
    <row r="2008" spans="1:6" x14ac:dyDescent="0.3">
      <c r="A2008" s="1">
        <v>42613</v>
      </c>
      <c r="B2008" t="s">
        <v>6</v>
      </c>
      <c r="C2008" t="s">
        <v>9</v>
      </c>
      <c r="D2008" s="2">
        <v>1813340.3544000001</v>
      </c>
      <c r="E2008" s="2">
        <v>166.84899999999999</v>
      </c>
      <c r="F2008" s="2">
        <v>1813507.2034</v>
      </c>
    </row>
    <row r="2009" spans="1:6" x14ac:dyDescent="0.3">
      <c r="A2009" s="1">
        <v>42613</v>
      </c>
      <c r="B2009" t="s">
        <v>6</v>
      </c>
      <c r="C2009" t="s">
        <v>10</v>
      </c>
      <c r="D2009" s="2">
        <v>1199842.31443135</v>
      </c>
      <c r="E2009" s="2">
        <v>160.8789151</v>
      </c>
      <c r="F2009" s="2">
        <v>1200003.1933464501</v>
      </c>
    </row>
    <row r="2010" spans="1:6" x14ac:dyDescent="0.3">
      <c r="A2010" s="1">
        <v>42613</v>
      </c>
      <c r="B2010" t="s">
        <v>6</v>
      </c>
      <c r="C2010" t="s">
        <v>12</v>
      </c>
      <c r="D2010" s="2">
        <v>0</v>
      </c>
      <c r="E2010" s="2">
        <v>13023.902</v>
      </c>
      <c r="F2010" s="2">
        <v>13023.902</v>
      </c>
    </row>
    <row r="2011" spans="1:6" x14ac:dyDescent="0.3">
      <c r="A2011" s="1">
        <v>42613</v>
      </c>
      <c r="B2011" t="s">
        <v>6</v>
      </c>
      <c r="C2011" t="s">
        <v>11</v>
      </c>
      <c r="D2011" s="2">
        <v>320337.408</v>
      </c>
      <c r="E2011" s="2">
        <v>19.805</v>
      </c>
      <c r="F2011" s="2">
        <v>320357.21299999999</v>
      </c>
    </row>
    <row r="2012" spans="1:6" x14ac:dyDescent="0.3">
      <c r="A2012" s="1">
        <v>42613</v>
      </c>
      <c r="B2012" t="s">
        <v>13</v>
      </c>
      <c r="C2012" t="s">
        <v>14</v>
      </c>
      <c r="D2012" s="2">
        <v>13576678.931631301</v>
      </c>
      <c r="E2012" s="2">
        <v>22392.3149151</v>
      </c>
      <c r="F2012" s="2">
        <v>13599071.246546401</v>
      </c>
    </row>
    <row r="2013" spans="1:6" x14ac:dyDescent="0.3">
      <c r="A2013" s="1">
        <v>42613</v>
      </c>
      <c r="B2013" t="s">
        <v>15</v>
      </c>
      <c r="C2013" t="s">
        <v>18</v>
      </c>
      <c r="D2013" s="2">
        <v>168016.8936672</v>
      </c>
      <c r="E2013" s="2">
        <v>0</v>
      </c>
      <c r="F2013" s="2">
        <v>168016.8936672</v>
      </c>
    </row>
    <row r="2014" spans="1:6" x14ac:dyDescent="0.3">
      <c r="A2014" s="1">
        <v>42613</v>
      </c>
      <c r="B2014" t="s">
        <v>15</v>
      </c>
      <c r="C2014" t="s">
        <v>16</v>
      </c>
      <c r="D2014" s="2">
        <v>29995.18</v>
      </c>
      <c r="E2014" s="2">
        <v>0</v>
      </c>
      <c r="F2014" s="2">
        <v>29995.18</v>
      </c>
    </row>
    <row r="2015" spans="1:6" x14ac:dyDescent="0.3">
      <c r="A2015" s="1">
        <v>42613</v>
      </c>
      <c r="B2015" t="s">
        <v>15</v>
      </c>
      <c r="C2015" t="s">
        <v>23</v>
      </c>
      <c r="D2015" s="2">
        <v>264.34199999999998</v>
      </c>
      <c r="E2015" s="2">
        <v>0</v>
      </c>
      <c r="F2015" s="2">
        <v>264.34199999999998</v>
      </c>
    </row>
    <row r="2016" spans="1:6" x14ac:dyDescent="0.3">
      <c r="A2016" s="1">
        <v>42613</v>
      </c>
      <c r="B2016" t="s">
        <v>15</v>
      </c>
      <c r="C2016" t="s">
        <v>17</v>
      </c>
      <c r="D2016" s="2">
        <v>102945.84509025</v>
      </c>
      <c r="E2016" s="2">
        <v>0</v>
      </c>
      <c r="F2016" s="2">
        <v>102945.84509025</v>
      </c>
    </row>
    <row r="2017" spans="1:6" x14ac:dyDescent="0.3">
      <c r="A2017" s="1">
        <v>42613</v>
      </c>
      <c r="B2017" t="s">
        <v>15</v>
      </c>
      <c r="C2017" t="s">
        <v>19</v>
      </c>
      <c r="D2017" s="2">
        <v>224451.80762892001</v>
      </c>
      <c r="E2017" s="2">
        <v>5383790.4869514499</v>
      </c>
      <c r="F2017" s="2">
        <v>5608243.2945803702</v>
      </c>
    </row>
    <row r="2018" spans="1:6" x14ac:dyDescent="0.3">
      <c r="A2018" s="1">
        <v>42613</v>
      </c>
      <c r="B2018" t="s">
        <v>15</v>
      </c>
      <c r="C2018" t="s">
        <v>20</v>
      </c>
      <c r="D2018" s="2">
        <v>1760.02525597</v>
      </c>
      <c r="E2018" s="2">
        <v>0</v>
      </c>
      <c r="F2018" s="2">
        <v>1760.02525597</v>
      </c>
    </row>
    <row r="2019" spans="1:6" x14ac:dyDescent="0.3">
      <c r="A2019" s="1">
        <v>42613</v>
      </c>
      <c r="B2019" t="s">
        <v>21</v>
      </c>
      <c r="C2019" t="s">
        <v>14</v>
      </c>
      <c r="D2019" s="2">
        <v>527435.09364234004</v>
      </c>
      <c r="E2019" s="2">
        <v>5383790.4869514499</v>
      </c>
      <c r="F2019" s="2">
        <v>5911224.5805937899</v>
      </c>
    </row>
    <row r="2020" spans="1:6" x14ac:dyDescent="0.3">
      <c r="A2020" s="1">
        <v>42643</v>
      </c>
      <c r="B2020" t="s">
        <v>6</v>
      </c>
      <c r="C2020" t="s">
        <v>7</v>
      </c>
      <c r="D2020" s="2">
        <v>1644758.9852</v>
      </c>
      <c r="E2020" s="2">
        <v>2205.0610000000001</v>
      </c>
      <c r="F2020" s="2">
        <v>1646964.0462</v>
      </c>
    </row>
    <row r="2021" spans="1:6" x14ac:dyDescent="0.3">
      <c r="A2021" s="1">
        <v>42643</v>
      </c>
      <c r="B2021" t="s">
        <v>6</v>
      </c>
      <c r="C2021" t="s">
        <v>8</v>
      </c>
      <c r="D2021" s="2">
        <v>8624252.8907999992</v>
      </c>
      <c r="E2021" s="2">
        <v>6739.5910000000003</v>
      </c>
      <c r="F2021" s="2">
        <v>8630992.4817999993</v>
      </c>
    </row>
    <row r="2022" spans="1:6" x14ac:dyDescent="0.3">
      <c r="A2022" s="1">
        <v>42643</v>
      </c>
      <c r="B2022" t="s">
        <v>6</v>
      </c>
      <c r="C2022" t="s">
        <v>9</v>
      </c>
      <c r="D2022" s="2">
        <v>1825338.3326999999</v>
      </c>
      <c r="E2022" s="2">
        <v>168.71299999999999</v>
      </c>
      <c r="F2022" s="2">
        <v>1825507.0456999999</v>
      </c>
    </row>
    <row r="2023" spans="1:6" x14ac:dyDescent="0.3">
      <c r="A2023" s="1">
        <v>42643</v>
      </c>
      <c r="B2023" t="s">
        <v>6</v>
      </c>
      <c r="C2023" t="s">
        <v>10</v>
      </c>
      <c r="D2023" s="2">
        <v>1209814.01922661</v>
      </c>
      <c r="E2023" s="2">
        <v>152.7965135</v>
      </c>
      <c r="F2023" s="2">
        <v>1209966.8157401099</v>
      </c>
    </row>
    <row r="2024" spans="1:6" x14ac:dyDescent="0.3">
      <c r="A2024" s="1">
        <v>42643</v>
      </c>
      <c r="B2024" t="s">
        <v>6</v>
      </c>
      <c r="C2024" t="s">
        <v>11</v>
      </c>
      <c r="D2024" s="2">
        <v>334139.08169999998</v>
      </c>
      <c r="E2024" s="2">
        <v>10.61</v>
      </c>
      <c r="F2024" s="2">
        <v>334149.69170000002</v>
      </c>
    </row>
    <row r="2025" spans="1:6" x14ac:dyDescent="0.3">
      <c r="A2025" s="1">
        <v>42643</v>
      </c>
      <c r="B2025" t="s">
        <v>6</v>
      </c>
      <c r="C2025" t="s">
        <v>12</v>
      </c>
      <c r="D2025" s="2">
        <v>0</v>
      </c>
      <c r="E2025" s="2">
        <v>13023.902</v>
      </c>
      <c r="F2025" s="2">
        <v>13023.902</v>
      </c>
    </row>
    <row r="2026" spans="1:6" x14ac:dyDescent="0.3">
      <c r="A2026" s="1">
        <v>42643</v>
      </c>
      <c r="B2026" t="s">
        <v>13</v>
      </c>
      <c r="C2026" t="s">
        <v>14</v>
      </c>
      <c r="D2026" s="2">
        <v>13638303.3096266</v>
      </c>
      <c r="E2026" s="2">
        <v>22300.673513500002</v>
      </c>
      <c r="F2026" s="2">
        <v>13660603.9831401</v>
      </c>
    </row>
    <row r="2027" spans="1:6" x14ac:dyDescent="0.3">
      <c r="A2027" s="1">
        <v>42643</v>
      </c>
      <c r="B2027" t="s">
        <v>15</v>
      </c>
      <c r="C2027" t="s">
        <v>16</v>
      </c>
      <c r="D2027" s="2">
        <v>29995.18</v>
      </c>
      <c r="E2027" s="2">
        <v>0</v>
      </c>
      <c r="F2027" s="2">
        <v>29995.18</v>
      </c>
    </row>
    <row r="2028" spans="1:6" x14ac:dyDescent="0.3">
      <c r="A2028" s="1">
        <v>42643</v>
      </c>
      <c r="B2028" t="s">
        <v>15</v>
      </c>
      <c r="C2028" t="s">
        <v>19</v>
      </c>
      <c r="D2028" s="2">
        <v>226349.29987459001</v>
      </c>
      <c r="E2028" s="2">
        <v>5377720.7989726104</v>
      </c>
      <c r="F2028" s="2">
        <v>5604069.0988472002</v>
      </c>
    </row>
    <row r="2029" spans="1:6" x14ac:dyDescent="0.3">
      <c r="A2029" s="1">
        <v>42643</v>
      </c>
      <c r="B2029" t="s">
        <v>15</v>
      </c>
      <c r="C2029" t="s">
        <v>20</v>
      </c>
      <c r="D2029" s="2">
        <v>1776.69519107</v>
      </c>
      <c r="E2029" s="2">
        <v>0</v>
      </c>
      <c r="F2029" s="2">
        <v>1776.69519107</v>
      </c>
    </row>
    <row r="2030" spans="1:6" x14ac:dyDescent="0.3">
      <c r="A2030" s="1">
        <v>42643</v>
      </c>
      <c r="B2030" t="s">
        <v>15</v>
      </c>
      <c r="C2030" t="s">
        <v>23</v>
      </c>
      <c r="D2030" s="2">
        <v>264.34199999999998</v>
      </c>
      <c r="E2030" s="2">
        <v>0</v>
      </c>
      <c r="F2030" s="2">
        <v>264.34199999999998</v>
      </c>
    </row>
    <row r="2031" spans="1:6" x14ac:dyDescent="0.3">
      <c r="A2031" s="1">
        <v>42643</v>
      </c>
      <c r="B2031" t="s">
        <v>15</v>
      </c>
      <c r="C2031" t="s">
        <v>17</v>
      </c>
      <c r="D2031" s="2">
        <v>109210.95902297</v>
      </c>
      <c r="E2031" s="2">
        <v>0</v>
      </c>
      <c r="F2031" s="2">
        <v>109210.95902297</v>
      </c>
    </row>
    <row r="2032" spans="1:6" x14ac:dyDescent="0.3">
      <c r="A2032" s="1">
        <v>42643</v>
      </c>
      <c r="B2032" t="s">
        <v>15</v>
      </c>
      <c r="C2032" t="s">
        <v>18</v>
      </c>
      <c r="D2032" s="2">
        <v>167524.36818291</v>
      </c>
      <c r="E2032" s="2">
        <v>0</v>
      </c>
      <c r="F2032" s="2">
        <v>167524.36818291</v>
      </c>
    </row>
    <row r="2033" spans="1:6" x14ac:dyDescent="0.3">
      <c r="A2033" s="1">
        <v>42643</v>
      </c>
      <c r="B2033" t="s">
        <v>21</v>
      </c>
      <c r="C2033" t="s">
        <v>14</v>
      </c>
      <c r="D2033" s="2">
        <v>535119.84427153994</v>
      </c>
      <c r="E2033" s="2">
        <v>5377720.7989726104</v>
      </c>
      <c r="F2033" s="2">
        <v>5912840.6432441501</v>
      </c>
    </row>
    <row r="2034" spans="1:6" x14ac:dyDescent="0.3">
      <c r="A2034" s="1">
        <v>42643</v>
      </c>
      <c r="B2034" t="s">
        <v>22</v>
      </c>
      <c r="C2034" t="s">
        <v>14</v>
      </c>
      <c r="D2034" s="2">
        <v>14173424.153898099</v>
      </c>
      <c r="E2034" s="2">
        <v>5400021.4724861104</v>
      </c>
      <c r="F2034" s="2">
        <v>19573444.626384299</v>
      </c>
    </row>
    <row r="2035" spans="1:6" x14ac:dyDescent="0.3">
      <c r="A2035" s="1">
        <v>42674</v>
      </c>
      <c r="B2035" t="s">
        <v>6</v>
      </c>
      <c r="C2035" t="s">
        <v>7</v>
      </c>
      <c r="D2035" s="2">
        <v>1750596.7932</v>
      </c>
      <c r="E2035" s="2">
        <v>2352</v>
      </c>
      <c r="F2035" s="2">
        <v>1752948.7932</v>
      </c>
    </row>
    <row r="2036" spans="1:6" x14ac:dyDescent="0.3">
      <c r="A2036" s="1">
        <v>42674</v>
      </c>
      <c r="B2036" t="s">
        <v>6</v>
      </c>
      <c r="C2036" t="s">
        <v>12</v>
      </c>
      <c r="D2036" s="2">
        <v>0</v>
      </c>
      <c r="E2036" s="2">
        <v>13023.902</v>
      </c>
      <c r="F2036" s="2">
        <v>13023.902</v>
      </c>
    </row>
    <row r="2037" spans="1:6" x14ac:dyDescent="0.3">
      <c r="A2037" s="1">
        <v>42674</v>
      </c>
      <c r="B2037" t="s">
        <v>6</v>
      </c>
      <c r="C2037" t="s">
        <v>11</v>
      </c>
      <c r="D2037" s="2">
        <v>309038.28129999997</v>
      </c>
      <c r="E2037" s="2">
        <v>17.885000000000002</v>
      </c>
      <c r="F2037" s="2">
        <v>309056.16629999998</v>
      </c>
    </row>
    <row r="2038" spans="1:6" x14ac:dyDescent="0.3">
      <c r="A2038" s="1">
        <v>42674</v>
      </c>
      <c r="B2038" t="s">
        <v>6</v>
      </c>
      <c r="C2038" t="s">
        <v>9</v>
      </c>
      <c r="D2038" s="2">
        <v>1837331.0396</v>
      </c>
      <c r="E2038" s="2">
        <v>174.30699999999999</v>
      </c>
      <c r="F2038" s="2">
        <v>1837505.3466</v>
      </c>
    </row>
    <row r="2039" spans="1:6" x14ac:dyDescent="0.3">
      <c r="A2039" s="1">
        <v>42674</v>
      </c>
      <c r="B2039" t="s">
        <v>6</v>
      </c>
      <c r="C2039" t="s">
        <v>10</v>
      </c>
      <c r="D2039" s="2">
        <v>1216139.9430809401</v>
      </c>
      <c r="E2039" s="2">
        <v>152.84159500000001</v>
      </c>
      <c r="F2039" s="2">
        <v>1216292.7846759399</v>
      </c>
    </row>
    <row r="2040" spans="1:6" x14ac:dyDescent="0.3">
      <c r="A2040" s="1">
        <v>42674</v>
      </c>
      <c r="B2040" t="s">
        <v>6</v>
      </c>
      <c r="C2040" t="s">
        <v>8</v>
      </c>
      <c r="D2040" s="2">
        <v>8634477.9727999996</v>
      </c>
      <c r="E2040" s="2">
        <v>6750.0730000000003</v>
      </c>
      <c r="F2040" s="2">
        <v>8641228.0458000004</v>
      </c>
    </row>
    <row r="2041" spans="1:6" x14ac:dyDescent="0.3">
      <c r="A2041" s="1">
        <v>42674</v>
      </c>
      <c r="B2041" t="s">
        <v>13</v>
      </c>
      <c r="C2041" t="s">
        <v>14</v>
      </c>
      <c r="D2041" s="2">
        <v>13747584.0299809</v>
      </c>
      <c r="E2041" s="2">
        <v>22471.008594999999</v>
      </c>
      <c r="F2041" s="2">
        <v>13770055.038575901</v>
      </c>
    </row>
    <row r="2042" spans="1:6" x14ac:dyDescent="0.3">
      <c r="A2042" s="1">
        <v>42674</v>
      </c>
      <c r="B2042" t="s">
        <v>15</v>
      </c>
      <c r="C2042" t="s">
        <v>16</v>
      </c>
      <c r="D2042" s="2">
        <v>29995.18</v>
      </c>
      <c r="E2042" s="2">
        <v>0</v>
      </c>
      <c r="F2042" s="2">
        <v>29995.18</v>
      </c>
    </row>
    <row r="2043" spans="1:6" x14ac:dyDescent="0.3">
      <c r="A2043" s="1">
        <v>42674</v>
      </c>
      <c r="B2043" t="s">
        <v>15</v>
      </c>
      <c r="C2043" t="s">
        <v>23</v>
      </c>
      <c r="D2043" s="2">
        <v>264.34199999999998</v>
      </c>
      <c r="E2043" s="2">
        <v>0</v>
      </c>
      <c r="F2043" s="2">
        <v>264.34199999999998</v>
      </c>
    </row>
    <row r="2044" spans="1:6" x14ac:dyDescent="0.3">
      <c r="A2044" s="1">
        <v>42674</v>
      </c>
      <c r="B2044" t="s">
        <v>15</v>
      </c>
      <c r="C2044" t="s">
        <v>17</v>
      </c>
      <c r="D2044" s="2">
        <v>113221.03455259</v>
      </c>
      <c r="E2044" s="2">
        <v>0</v>
      </c>
      <c r="F2044" s="2">
        <v>113221.03455259</v>
      </c>
    </row>
    <row r="2045" spans="1:6" x14ac:dyDescent="0.3">
      <c r="A2045" s="1">
        <v>42674</v>
      </c>
      <c r="B2045" t="s">
        <v>15</v>
      </c>
      <c r="C2045" t="s">
        <v>19</v>
      </c>
      <c r="D2045" s="2">
        <v>226763.18459418</v>
      </c>
      <c r="E2045" s="2">
        <v>5496743.6676561804</v>
      </c>
      <c r="F2045" s="2">
        <v>5723506.85225036</v>
      </c>
    </row>
    <row r="2046" spans="1:6" x14ac:dyDescent="0.3">
      <c r="A2046" s="1">
        <v>42674</v>
      </c>
      <c r="B2046" t="s">
        <v>15</v>
      </c>
      <c r="C2046" t="s">
        <v>18</v>
      </c>
      <c r="D2046" s="2">
        <v>166892.44752009999</v>
      </c>
      <c r="E2046" s="2">
        <v>0</v>
      </c>
      <c r="F2046" s="2">
        <v>166892.44752009999</v>
      </c>
    </row>
    <row r="2047" spans="1:6" x14ac:dyDescent="0.3">
      <c r="A2047" s="1">
        <v>42674</v>
      </c>
      <c r="B2047" t="s">
        <v>15</v>
      </c>
      <c r="C2047" t="s">
        <v>20</v>
      </c>
      <c r="D2047" s="2">
        <v>1780.3274481799999</v>
      </c>
      <c r="E2047" s="2">
        <v>0</v>
      </c>
      <c r="F2047" s="2">
        <v>1780.3274481799999</v>
      </c>
    </row>
    <row r="2048" spans="1:6" x14ac:dyDescent="0.3">
      <c r="A2048" s="1">
        <v>42674</v>
      </c>
      <c r="B2048" t="s">
        <v>21</v>
      </c>
      <c r="C2048" t="s">
        <v>14</v>
      </c>
      <c r="D2048" s="2">
        <v>538916.51611504995</v>
      </c>
      <c r="E2048" s="2">
        <v>5496743.6676561804</v>
      </c>
      <c r="F2048" s="2">
        <v>6035660.1837712303</v>
      </c>
    </row>
    <row r="2049" spans="1:6" x14ac:dyDescent="0.3">
      <c r="A2049" s="1">
        <v>42674</v>
      </c>
      <c r="B2049" t="s">
        <v>22</v>
      </c>
      <c r="C2049" t="s">
        <v>14</v>
      </c>
      <c r="D2049" s="2">
        <v>14286500.546096001</v>
      </c>
      <c r="E2049" s="2">
        <v>5519214.6762511795</v>
      </c>
      <c r="F2049" s="2">
        <v>19805715.2223472</v>
      </c>
    </row>
    <row r="2050" spans="1:6" x14ac:dyDescent="0.3">
      <c r="A2050" s="1">
        <v>42704</v>
      </c>
      <c r="B2050" t="s">
        <v>6</v>
      </c>
      <c r="C2050" t="s">
        <v>9</v>
      </c>
      <c r="D2050" s="2">
        <v>1836816.3174000001</v>
      </c>
      <c r="E2050" s="2">
        <v>185.202</v>
      </c>
      <c r="F2050" s="2">
        <v>1837001.5194000001</v>
      </c>
    </row>
    <row r="2051" spans="1:6" x14ac:dyDescent="0.3">
      <c r="A2051" s="1">
        <v>42704</v>
      </c>
      <c r="B2051" t="s">
        <v>6</v>
      </c>
      <c r="C2051" t="s">
        <v>10</v>
      </c>
      <c r="D2051" s="2">
        <v>1231233.54495614</v>
      </c>
      <c r="E2051" s="2">
        <v>157.4458272</v>
      </c>
      <c r="F2051" s="2">
        <v>1231390.9907833401</v>
      </c>
    </row>
    <row r="2052" spans="1:6" x14ac:dyDescent="0.3">
      <c r="A2052" s="1">
        <v>42704</v>
      </c>
      <c r="B2052" t="s">
        <v>6</v>
      </c>
      <c r="C2052" t="s">
        <v>11</v>
      </c>
      <c r="D2052" s="2">
        <v>322038.2831</v>
      </c>
      <c r="E2052" s="2">
        <v>17.885000000000002</v>
      </c>
      <c r="F2052" s="2">
        <v>322056.16810000001</v>
      </c>
    </row>
    <row r="2053" spans="1:6" x14ac:dyDescent="0.3">
      <c r="A2053" s="1">
        <v>42704</v>
      </c>
      <c r="B2053" t="s">
        <v>6</v>
      </c>
      <c r="C2053" t="s">
        <v>12</v>
      </c>
      <c r="D2053" s="2">
        <v>0</v>
      </c>
      <c r="E2053" s="2">
        <v>13023.902</v>
      </c>
      <c r="F2053" s="2">
        <v>13023.902</v>
      </c>
    </row>
    <row r="2054" spans="1:6" x14ac:dyDescent="0.3">
      <c r="A2054" s="1">
        <v>42704</v>
      </c>
      <c r="B2054" t="s">
        <v>13</v>
      </c>
      <c r="C2054" t="s">
        <v>14</v>
      </c>
      <c r="D2054" s="2">
        <v>13898963.8951561</v>
      </c>
      <c r="E2054" s="2">
        <v>22505.858827200002</v>
      </c>
      <c r="F2054" s="2">
        <v>13921469.7539833</v>
      </c>
    </row>
    <row r="2055" spans="1:6" x14ac:dyDescent="0.3">
      <c r="A2055" s="1">
        <v>42704</v>
      </c>
      <c r="B2055" t="s">
        <v>15</v>
      </c>
      <c r="C2055" t="s">
        <v>16</v>
      </c>
      <c r="D2055" s="2">
        <v>29995.18</v>
      </c>
      <c r="E2055" s="2">
        <v>0</v>
      </c>
      <c r="F2055" s="2">
        <v>29995.18</v>
      </c>
    </row>
    <row r="2056" spans="1:6" x14ac:dyDescent="0.3">
      <c r="A2056" s="1">
        <v>42704</v>
      </c>
      <c r="B2056" t="s">
        <v>15</v>
      </c>
      <c r="C2056" t="s">
        <v>23</v>
      </c>
      <c r="D2056" s="2">
        <v>264.34199999999998</v>
      </c>
      <c r="E2056" s="2">
        <v>0</v>
      </c>
      <c r="F2056" s="2">
        <v>264.34199999999998</v>
      </c>
    </row>
    <row r="2057" spans="1:6" x14ac:dyDescent="0.3">
      <c r="A2057" s="1">
        <v>42704</v>
      </c>
      <c r="B2057" t="s">
        <v>15</v>
      </c>
      <c r="C2057" t="s">
        <v>17</v>
      </c>
      <c r="D2057" s="2">
        <v>114568.24598033</v>
      </c>
      <c r="E2057" s="2">
        <v>0</v>
      </c>
      <c r="F2057" s="2">
        <v>114568.24598033</v>
      </c>
    </row>
    <row r="2058" spans="1:6" x14ac:dyDescent="0.3">
      <c r="A2058" s="1">
        <v>42704</v>
      </c>
      <c r="B2058" t="s">
        <v>15</v>
      </c>
      <c r="C2058" t="s">
        <v>18</v>
      </c>
      <c r="D2058" s="2">
        <v>166411.89993928</v>
      </c>
      <c r="E2058" s="2">
        <v>0</v>
      </c>
      <c r="F2058" s="2">
        <v>166411.89993928</v>
      </c>
    </row>
    <row r="2059" spans="1:6" x14ac:dyDescent="0.3">
      <c r="A2059" s="1">
        <v>42704</v>
      </c>
      <c r="B2059" t="s">
        <v>15</v>
      </c>
      <c r="C2059" t="s">
        <v>19</v>
      </c>
      <c r="D2059" s="2">
        <v>231723.45235070001</v>
      </c>
      <c r="E2059" s="2">
        <v>5481858.6905603604</v>
      </c>
      <c r="F2059" s="2">
        <v>5713582.1429110598</v>
      </c>
    </row>
    <row r="2060" spans="1:6" x14ac:dyDescent="0.3">
      <c r="A2060" s="1">
        <v>42704</v>
      </c>
      <c r="B2060" t="s">
        <v>15</v>
      </c>
      <c r="C2060" t="s">
        <v>20</v>
      </c>
      <c r="D2060" s="2">
        <v>1773.13427662</v>
      </c>
      <c r="E2060" s="2">
        <v>0</v>
      </c>
      <c r="F2060" s="2">
        <v>1773.13427662</v>
      </c>
    </row>
    <row r="2061" spans="1:6" x14ac:dyDescent="0.3">
      <c r="A2061" s="1">
        <v>42704</v>
      </c>
      <c r="B2061" t="s">
        <v>21</v>
      </c>
      <c r="C2061" t="s">
        <v>14</v>
      </c>
      <c r="D2061" s="2">
        <v>544736.25454692997</v>
      </c>
      <c r="E2061" s="2">
        <v>5481858.6905603604</v>
      </c>
      <c r="F2061" s="2">
        <v>6026594.9451072896</v>
      </c>
    </row>
    <row r="2062" spans="1:6" x14ac:dyDescent="0.3">
      <c r="A2062" s="1">
        <v>42704</v>
      </c>
      <c r="B2062" t="s">
        <v>22</v>
      </c>
      <c r="C2062" t="s">
        <v>14</v>
      </c>
      <c r="D2062" s="2">
        <v>14443700.1497031</v>
      </c>
      <c r="E2062" s="2">
        <v>5504364.5493875602</v>
      </c>
      <c r="F2062" s="2">
        <v>19948064.6990906</v>
      </c>
    </row>
    <row r="2063" spans="1:6" x14ac:dyDescent="0.3">
      <c r="A2063" s="1">
        <v>42704</v>
      </c>
      <c r="B2063" t="s">
        <v>6</v>
      </c>
      <c r="C2063" t="s">
        <v>7</v>
      </c>
      <c r="D2063" s="2">
        <v>1870616.6947999999</v>
      </c>
      <c r="E2063" s="2">
        <v>2337.8000000000002</v>
      </c>
      <c r="F2063" s="2">
        <v>1872954.4948</v>
      </c>
    </row>
    <row r="2064" spans="1:6" x14ac:dyDescent="0.3">
      <c r="A2064" s="1">
        <v>42704</v>
      </c>
      <c r="B2064" t="s">
        <v>6</v>
      </c>
      <c r="C2064" t="s">
        <v>8</v>
      </c>
      <c r="D2064" s="2">
        <v>8638259.0548999906</v>
      </c>
      <c r="E2064" s="2">
        <v>6783.6239999999998</v>
      </c>
      <c r="F2064" s="2">
        <v>8645042.6788999904</v>
      </c>
    </row>
    <row r="2065" spans="1:6" x14ac:dyDescent="0.3">
      <c r="A2065" s="1">
        <v>42735</v>
      </c>
      <c r="B2065" t="s">
        <v>15</v>
      </c>
      <c r="C2065" t="s">
        <v>18</v>
      </c>
      <c r="D2065" s="2">
        <v>165853.17986321999</v>
      </c>
      <c r="E2065" s="2">
        <v>0</v>
      </c>
      <c r="F2065" s="2">
        <v>165853.17986321999</v>
      </c>
    </row>
    <row r="2066" spans="1:6" x14ac:dyDescent="0.3">
      <c r="A2066" s="1">
        <v>42735</v>
      </c>
      <c r="B2066" t="s">
        <v>15</v>
      </c>
      <c r="C2066" t="s">
        <v>16</v>
      </c>
      <c r="D2066" s="2">
        <v>29995.18</v>
      </c>
      <c r="E2066" s="2">
        <v>0</v>
      </c>
      <c r="F2066" s="2">
        <v>29995.18</v>
      </c>
    </row>
    <row r="2067" spans="1:6" x14ac:dyDescent="0.3">
      <c r="A2067" s="1">
        <v>42735</v>
      </c>
      <c r="B2067" t="s">
        <v>15</v>
      </c>
      <c r="C2067" t="s">
        <v>19</v>
      </c>
      <c r="D2067" s="2">
        <v>228406.40609497999</v>
      </c>
      <c r="E2067" s="2">
        <v>5519526.5430075303</v>
      </c>
      <c r="F2067" s="2">
        <v>5747932.9491025098</v>
      </c>
    </row>
    <row r="2068" spans="1:6" x14ac:dyDescent="0.3">
      <c r="A2068" s="1">
        <v>42735</v>
      </c>
      <c r="B2068" t="s">
        <v>15</v>
      </c>
      <c r="C2068" t="s">
        <v>20</v>
      </c>
      <c r="D2068" s="2">
        <v>1737.1430747700001</v>
      </c>
      <c r="E2068" s="2">
        <v>0</v>
      </c>
      <c r="F2068" s="2">
        <v>1737.1430747700001</v>
      </c>
    </row>
    <row r="2069" spans="1:6" x14ac:dyDescent="0.3">
      <c r="A2069" s="1">
        <v>42735</v>
      </c>
      <c r="B2069" t="s">
        <v>21</v>
      </c>
      <c r="C2069" t="s">
        <v>14</v>
      </c>
      <c r="D2069" s="2">
        <v>536035.17492836004</v>
      </c>
      <c r="E2069" s="2">
        <v>5519526.5430075303</v>
      </c>
      <c r="F2069" s="2">
        <v>6055561.71793589</v>
      </c>
    </row>
    <row r="2070" spans="1:6" x14ac:dyDescent="0.3">
      <c r="A2070" s="1">
        <v>42735</v>
      </c>
      <c r="B2070" t="s">
        <v>22</v>
      </c>
      <c r="C2070" t="s">
        <v>14</v>
      </c>
      <c r="D2070" s="2">
        <v>14434842.2903118</v>
      </c>
      <c r="E2070" s="2">
        <v>5541985.4301194297</v>
      </c>
      <c r="F2070" s="2">
        <v>19976826.720431201</v>
      </c>
    </row>
    <row r="2071" spans="1:6" x14ac:dyDescent="0.3">
      <c r="A2071" s="1">
        <v>42735</v>
      </c>
      <c r="B2071" t="s">
        <v>6</v>
      </c>
      <c r="C2071" t="s">
        <v>7</v>
      </c>
      <c r="D2071" s="2">
        <v>1815667.38</v>
      </c>
      <c r="E2071" s="2">
        <v>2295.9</v>
      </c>
      <c r="F2071" s="2">
        <v>1817963.28</v>
      </c>
    </row>
    <row r="2072" spans="1:6" x14ac:dyDescent="0.3">
      <c r="A2072" s="1">
        <v>42735</v>
      </c>
      <c r="B2072" t="s">
        <v>6</v>
      </c>
      <c r="C2072" t="s">
        <v>9</v>
      </c>
      <c r="D2072" s="2">
        <v>1848817.4129999999</v>
      </c>
      <c r="E2072" s="2">
        <v>183.983</v>
      </c>
      <c r="F2072" s="2">
        <v>1849001.3959999999</v>
      </c>
    </row>
    <row r="2073" spans="1:6" x14ac:dyDescent="0.3">
      <c r="A2073" s="1">
        <v>42735</v>
      </c>
      <c r="B2073" t="s">
        <v>6</v>
      </c>
      <c r="C2073" t="s">
        <v>10</v>
      </c>
      <c r="D2073" s="2">
        <v>1247053.75488344</v>
      </c>
      <c r="E2073" s="2">
        <v>148.9691119</v>
      </c>
      <c r="F2073" s="2">
        <v>1247202.7239953401</v>
      </c>
    </row>
    <row r="2074" spans="1:6" x14ac:dyDescent="0.3">
      <c r="A2074" s="1">
        <v>42735</v>
      </c>
      <c r="B2074" t="s">
        <v>6</v>
      </c>
      <c r="C2074" t="s">
        <v>8</v>
      </c>
      <c r="D2074" s="2">
        <v>8652237.8424999993</v>
      </c>
      <c r="E2074" s="2">
        <v>6779.6580000000004</v>
      </c>
      <c r="F2074" s="2">
        <v>8659017.5004999992</v>
      </c>
    </row>
    <row r="2075" spans="1:6" x14ac:dyDescent="0.3">
      <c r="A2075" s="1">
        <v>42735</v>
      </c>
      <c r="B2075" t="s">
        <v>6</v>
      </c>
      <c r="C2075" t="s">
        <v>11</v>
      </c>
      <c r="D2075" s="2">
        <v>335029.72499999998</v>
      </c>
      <c r="E2075" s="2">
        <v>26.475000000000001</v>
      </c>
      <c r="F2075" s="2">
        <v>335056.2</v>
      </c>
    </row>
    <row r="2076" spans="1:6" x14ac:dyDescent="0.3">
      <c r="A2076" s="1">
        <v>42735</v>
      </c>
      <c r="B2076" t="s">
        <v>6</v>
      </c>
      <c r="C2076" t="s">
        <v>12</v>
      </c>
      <c r="D2076" s="2">
        <v>0</v>
      </c>
      <c r="E2076" s="2">
        <v>13023.902</v>
      </c>
      <c r="F2076" s="2">
        <v>13023.902</v>
      </c>
    </row>
    <row r="2077" spans="1:6" x14ac:dyDescent="0.3">
      <c r="A2077" s="1">
        <v>42735</v>
      </c>
      <c r="B2077" t="s">
        <v>13</v>
      </c>
      <c r="C2077" t="s">
        <v>14</v>
      </c>
      <c r="D2077" s="2">
        <v>13898806.1153834</v>
      </c>
      <c r="E2077" s="2">
        <v>22458.8871119</v>
      </c>
      <c r="F2077" s="2">
        <v>13921265.0024953</v>
      </c>
    </row>
    <row r="2078" spans="1:6" x14ac:dyDescent="0.3">
      <c r="A2078" s="1">
        <v>42735</v>
      </c>
      <c r="B2078" t="s">
        <v>15</v>
      </c>
      <c r="C2078" t="s">
        <v>23</v>
      </c>
      <c r="D2078" s="2">
        <v>264.34199999999998</v>
      </c>
      <c r="E2078" s="2">
        <v>0</v>
      </c>
      <c r="F2078" s="2">
        <v>264.34199999999998</v>
      </c>
    </row>
    <row r="2079" spans="1:6" x14ac:dyDescent="0.3">
      <c r="A2079" s="1">
        <v>42735</v>
      </c>
      <c r="B2079" t="s">
        <v>15</v>
      </c>
      <c r="C2079" t="s">
        <v>17</v>
      </c>
      <c r="D2079" s="2">
        <v>109778.92389539001</v>
      </c>
      <c r="E2079" s="2">
        <v>0</v>
      </c>
      <c r="F2079" s="2">
        <v>109778.92389539001</v>
      </c>
    </row>
    <row r="2080" spans="1:6" x14ac:dyDescent="0.3">
      <c r="A2080" s="1">
        <v>42766</v>
      </c>
      <c r="B2080" t="s">
        <v>6</v>
      </c>
      <c r="C2080" t="s">
        <v>7</v>
      </c>
      <c r="D2080" s="2">
        <v>1759618.909</v>
      </c>
      <c r="E2080" s="2">
        <v>2359.9</v>
      </c>
      <c r="F2080" s="2">
        <v>1761978.8089999999</v>
      </c>
    </row>
    <row r="2081" spans="1:6" x14ac:dyDescent="0.3">
      <c r="A2081" s="1">
        <v>42766</v>
      </c>
      <c r="B2081" t="s">
        <v>6</v>
      </c>
      <c r="C2081" t="s">
        <v>9</v>
      </c>
      <c r="D2081" s="2">
        <v>1861476.7638999999</v>
      </c>
      <c r="E2081" s="2">
        <v>189.435</v>
      </c>
      <c r="F2081" s="2">
        <v>1861666.1989</v>
      </c>
    </row>
    <row r="2082" spans="1:6" x14ac:dyDescent="0.3">
      <c r="A2082" s="1">
        <v>42766</v>
      </c>
      <c r="B2082" t="s">
        <v>6</v>
      </c>
      <c r="C2082" t="s">
        <v>10</v>
      </c>
      <c r="D2082" s="2">
        <v>1238451.44757927</v>
      </c>
      <c r="E2082" s="2">
        <v>153.41826259999999</v>
      </c>
      <c r="F2082" s="2">
        <v>1238604.86584187</v>
      </c>
    </row>
    <row r="2083" spans="1:6" x14ac:dyDescent="0.3">
      <c r="A2083" s="1">
        <v>42766</v>
      </c>
      <c r="B2083" t="s">
        <v>6</v>
      </c>
      <c r="C2083" t="s">
        <v>11</v>
      </c>
      <c r="D2083" s="2">
        <v>309980.2904</v>
      </c>
      <c r="E2083" s="2">
        <v>26.475000000000001</v>
      </c>
      <c r="F2083" s="2">
        <v>310006.76539999997</v>
      </c>
    </row>
    <row r="2084" spans="1:6" x14ac:dyDescent="0.3">
      <c r="A2084" s="1">
        <v>42766</v>
      </c>
      <c r="B2084" t="s">
        <v>6</v>
      </c>
      <c r="C2084" t="s">
        <v>8</v>
      </c>
      <c r="D2084" s="2">
        <v>8671703.7877999991</v>
      </c>
      <c r="E2084" s="2">
        <v>6776.415</v>
      </c>
      <c r="F2084" s="2">
        <v>8678480.2028000001</v>
      </c>
    </row>
    <row r="2085" spans="1:6" x14ac:dyDescent="0.3">
      <c r="A2085" s="1">
        <v>42766</v>
      </c>
      <c r="B2085" t="s">
        <v>6</v>
      </c>
      <c r="C2085" t="s">
        <v>12</v>
      </c>
      <c r="D2085" s="2">
        <v>0</v>
      </c>
      <c r="E2085" s="2">
        <v>13023.902</v>
      </c>
      <c r="F2085" s="2">
        <v>13023.902</v>
      </c>
    </row>
    <row r="2086" spans="1:6" x14ac:dyDescent="0.3">
      <c r="A2086" s="1">
        <v>42766</v>
      </c>
      <c r="B2086" t="s">
        <v>13</v>
      </c>
      <c r="C2086" t="s">
        <v>14</v>
      </c>
      <c r="D2086" s="2">
        <v>13841231.1986793</v>
      </c>
      <c r="E2086" s="2">
        <v>22529.545262600001</v>
      </c>
      <c r="F2086" s="2">
        <v>13863760.743941899</v>
      </c>
    </row>
    <row r="2087" spans="1:6" x14ac:dyDescent="0.3">
      <c r="A2087" s="1">
        <v>42766</v>
      </c>
      <c r="B2087" t="s">
        <v>15</v>
      </c>
      <c r="C2087" t="s">
        <v>16</v>
      </c>
      <c r="D2087" s="2">
        <v>29995.18</v>
      </c>
      <c r="E2087" s="2">
        <v>0</v>
      </c>
      <c r="F2087" s="2">
        <v>29995.18</v>
      </c>
    </row>
    <row r="2088" spans="1:6" x14ac:dyDescent="0.3">
      <c r="A2088" s="1">
        <v>42766</v>
      </c>
      <c r="B2088" t="s">
        <v>15</v>
      </c>
      <c r="C2088" t="s">
        <v>18</v>
      </c>
      <c r="D2088" s="2">
        <v>165154.54600462</v>
      </c>
      <c r="E2088" s="2">
        <v>0</v>
      </c>
      <c r="F2088" s="2">
        <v>165154.54600462</v>
      </c>
    </row>
    <row r="2089" spans="1:6" x14ac:dyDescent="0.3">
      <c r="A2089" s="1">
        <v>42766</v>
      </c>
      <c r="B2089" t="s">
        <v>15</v>
      </c>
      <c r="C2089" t="s">
        <v>23</v>
      </c>
      <c r="D2089" s="2">
        <v>264.34199999999998</v>
      </c>
      <c r="E2089" s="2">
        <v>0</v>
      </c>
      <c r="F2089" s="2">
        <v>264.34199999999998</v>
      </c>
    </row>
    <row r="2090" spans="1:6" x14ac:dyDescent="0.3">
      <c r="A2090" s="1">
        <v>42766</v>
      </c>
      <c r="B2090" t="s">
        <v>15</v>
      </c>
      <c r="C2090" t="s">
        <v>17</v>
      </c>
      <c r="D2090" s="2">
        <v>107675.25534151</v>
      </c>
      <c r="E2090" s="2">
        <v>0</v>
      </c>
      <c r="F2090" s="2">
        <v>107675.25534151</v>
      </c>
    </row>
    <row r="2091" spans="1:6" x14ac:dyDescent="0.3">
      <c r="A2091" s="1">
        <v>42766</v>
      </c>
      <c r="B2091" t="s">
        <v>15</v>
      </c>
      <c r="C2091" t="s">
        <v>19</v>
      </c>
      <c r="D2091" s="2">
        <v>230097.17469843</v>
      </c>
      <c r="E2091" s="2">
        <v>5538592.96570588</v>
      </c>
      <c r="F2091" s="2">
        <v>5768690.1404043101</v>
      </c>
    </row>
    <row r="2092" spans="1:6" x14ac:dyDescent="0.3">
      <c r="A2092" s="1">
        <v>42766</v>
      </c>
      <c r="B2092" t="s">
        <v>15</v>
      </c>
      <c r="C2092" t="s">
        <v>20</v>
      </c>
      <c r="D2092" s="2">
        <v>1721.10530511</v>
      </c>
      <c r="E2092" s="2">
        <v>0</v>
      </c>
      <c r="F2092" s="2">
        <v>1721.10530511</v>
      </c>
    </row>
    <row r="2093" spans="1:6" x14ac:dyDescent="0.3">
      <c r="A2093" s="1">
        <v>42766</v>
      </c>
      <c r="B2093" t="s">
        <v>21</v>
      </c>
      <c r="C2093" t="s">
        <v>14</v>
      </c>
      <c r="D2093" s="2">
        <v>534907.60334966995</v>
      </c>
      <c r="E2093" s="2">
        <v>5538592.96570588</v>
      </c>
      <c r="F2093" s="2">
        <v>6073500.5690555498</v>
      </c>
    </row>
    <row r="2094" spans="1:6" x14ac:dyDescent="0.3">
      <c r="A2094" s="1">
        <v>42766</v>
      </c>
      <c r="B2094" t="s">
        <v>22</v>
      </c>
      <c r="C2094" t="s">
        <v>14</v>
      </c>
      <c r="D2094" s="2">
        <v>14376138.8020289</v>
      </c>
      <c r="E2094" s="2">
        <v>5561122.5109684803</v>
      </c>
      <c r="F2094" s="2">
        <v>19937261.312997401</v>
      </c>
    </row>
    <row r="2095" spans="1:6" x14ac:dyDescent="0.3">
      <c r="A2095" s="1">
        <v>42794</v>
      </c>
      <c r="B2095" t="s">
        <v>6</v>
      </c>
      <c r="C2095" t="s">
        <v>7</v>
      </c>
      <c r="D2095" s="2">
        <v>1750697.5443</v>
      </c>
      <c r="E2095" s="2">
        <v>2265.4</v>
      </c>
      <c r="F2095" s="2">
        <v>1752962.9443000001</v>
      </c>
    </row>
    <row r="2096" spans="1:6" x14ac:dyDescent="0.3">
      <c r="A2096" s="1">
        <v>42794</v>
      </c>
      <c r="B2096" t="s">
        <v>6</v>
      </c>
      <c r="C2096" t="s">
        <v>8</v>
      </c>
      <c r="D2096" s="2">
        <v>8677837.1254999898</v>
      </c>
      <c r="E2096" s="2">
        <v>6798.299</v>
      </c>
      <c r="F2096" s="2">
        <v>8684635.4244999904</v>
      </c>
    </row>
    <row r="2097" spans="1:6" x14ac:dyDescent="0.3">
      <c r="A2097" s="1">
        <v>42794</v>
      </c>
      <c r="B2097" t="s">
        <v>6</v>
      </c>
      <c r="C2097" t="s">
        <v>9</v>
      </c>
      <c r="D2097" s="2">
        <v>1878200.0885999999</v>
      </c>
      <c r="E2097" s="2">
        <v>197.79300000000001</v>
      </c>
      <c r="F2097" s="2">
        <v>1878397.8816</v>
      </c>
    </row>
    <row r="2098" spans="1:6" x14ac:dyDescent="0.3">
      <c r="A2098" s="1">
        <v>42794</v>
      </c>
      <c r="B2098" t="s">
        <v>13</v>
      </c>
      <c r="C2098" t="s">
        <v>14</v>
      </c>
      <c r="D2098" s="2">
        <v>13876477.2672456</v>
      </c>
      <c r="E2098" s="2">
        <v>22449.4202133</v>
      </c>
      <c r="F2098" s="2">
        <v>13898926.687458901</v>
      </c>
    </row>
    <row r="2099" spans="1:6" x14ac:dyDescent="0.3">
      <c r="A2099" s="1">
        <v>42794</v>
      </c>
      <c r="B2099" t="s">
        <v>21</v>
      </c>
      <c r="C2099" t="s">
        <v>14</v>
      </c>
      <c r="D2099" s="2">
        <v>534903.71746145003</v>
      </c>
      <c r="E2099" s="2">
        <v>5525763.24593974</v>
      </c>
      <c r="F2099" s="2">
        <v>6060666.96340119</v>
      </c>
    </row>
    <row r="2100" spans="1:6" x14ac:dyDescent="0.3">
      <c r="A2100" s="1">
        <v>42794</v>
      </c>
      <c r="B2100" t="s">
        <v>22</v>
      </c>
      <c r="C2100" t="s">
        <v>14</v>
      </c>
      <c r="D2100" s="2">
        <v>14411380.9847071</v>
      </c>
      <c r="E2100" s="2">
        <v>5548212.6661530398</v>
      </c>
      <c r="F2100" s="2">
        <v>19959593.650860101</v>
      </c>
    </row>
    <row r="2101" spans="1:6" x14ac:dyDescent="0.3">
      <c r="A2101" s="1">
        <v>42794</v>
      </c>
      <c r="B2101" t="s">
        <v>6</v>
      </c>
      <c r="C2101" t="s">
        <v>10</v>
      </c>
      <c r="D2101" s="2">
        <v>1246759.5950456201</v>
      </c>
      <c r="E2101" s="2">
        <v>140.27621329999999</v>
      </c>
      <c r="F2101" s="2">
        <v>1246899.8712589201</v>
      </c>
    </row>
    <row r="2102" spans="1:6" x14ac:dyDescent="0.3">
      <c r="A2102" s="1">
        <v>42794</v>
      </c>
      <c r="B2102" t="s">
        <v>6</v>
      </c>
      <c r="C2102" t="s">
        <v>12</v>
      </c>
      <c r="D2102" s="2">
        <v>0</v>
      </c>
      <c r="E2102" s="2">
        <v>13023.902</v>
      </c>
      <c r="F2102" s="2">
        <v>13023.902</v>
      </c>
    </row>
    <row r="2103" spans="1:6" x14ac:dyDescent="0.3">
      <c r="A2103" s="1">
        <v>42794</v>
      </c>
      <c r="B2103" t="s">
        <v>6</v>
      </c>
      <c r="C2103" t="s">
        <v>11</v>
      </c>
      <c r="D2103" s="2">
        <v>322982.91379999998</v>
      </c>
      <c r="E2103" s="2">
        <v>23.75</v>
      </c>
      <c r="F2103" s="2">
        <v>323006.66379999998</v>
      </c>
    </row>
    <row r="2104" spans="1:6" x14ac:dyDescent="0.3">
      <c r="A2104" s="1">
        <v>42794</v>
      </c>
      <c r="B2104" t="s">
        <v>15</v>
      </c>
      <c r="C2104" t="s">
        <v>23</v>
      </c>
      <c r="D2104" s="2">
        <v>264.34199999999998</v>
      </c>
      <c r="E2104" s="2">
        <v>0</v>
      </c>
      <c r="F2104" s="2">
        <v>264.34199999999998</v>
      </c>
    </row>
    <row r="2105" spans="1:6" x14ac:dyDescent="0.3">
      <c r="A2105" s="1">
        <v>42794</v>
      </c>
      <c r="B2105" t="s">
        <v>15</v>
      </c>
      <c r="C2105" t="s">
        <v>17</v>
      </c>
      <c r="D2105" s="2">
        <v>105934.56082467</v>
      </c>
      <c r="E2105" s="2">
        <v>0</v>
      </c>
      <c r="F2105" s="2">
        <v>105934.56082467</v>
      </c>
    </row>
    <row r="2106" spans="1:6" x14ac:dyDescent="0.3">
      <c r="A2106" s="1">
        <v>42794</v>
      </c>
      <c r="B2106" t="s">
        <v>15</v>
      </c>
      <c r="C2106" t="s">
        <v>16</v>
      </c>
      <c r="D2106" s="2">
        <v>29995.18</v>
      </c>
      <c r="E2106" s="2">
        <v>0</v>
      </c>
      <c r="F2106" s="2">
        <v>29995.18</v>
      </c>
    </row>
    <row r="2107" spans="1:6" x14ac:dyDescent="0.3">
      <c r="A2107" s="1">
        <v>42794</v>
      </c>
      <c r="B2107" t="s">
        <v>15</v>
      </c>
      <c r="C2107" t="s">
        <v>19</v>
      </c>
      <c r="D2107" s="2">
        <v>232204.47606370001</v>
      </c>
      <c r="E2107" s="2">
        <v>5525763.24593974</v>
      </c>
      <c r="F2107" s="2">
        <v>5757967.7220034404</v>
      </c>
    </row>
    <row r="2108" spans="1:6" x14ac:dyDescent="0.3">
      <c r="A2108" s="1">
        <v>42794</v>
      </c>
      <c r="B2108" t="s">
        <v>15</v>
      </c>
      <c r="C2108" t="s">
        <v>18</v>
      </c>
      <c r="D2108" s="2">
        <v>164791.84081021001</v>
      </c>
      <c r="E2108" s="2">
        <v>0</v>
      </c>
      <c r="F2108" s="2">
        <v>164791.84081021001</v>
      </c>
    </row>
    <row r="2109" spans="1:6" x14ac:dyDescent="0.3">
      <c r="A2109" s="1">
        <v>42794</v>
      </c>
      <c r="B2109" t="s">
        <v>15</v>
      </c>
      <c r="C2109" t="s">
        <v>20</v>
      </c>
      <c r="D2109" s="2">
        <v>1713.31776287</v>
      </c>
      <c r="E2109" s="2">
        <v>0</v>
      </c>
      <c r="F2109" s="2">
        <v>1713.31776287</v>
      </c>
    </row>
    <row r="2110" spans="1:6" x14ac:dyDescent="0.3">
      <c r="A2110" s="1">
        <v>42825</v>
      </c>
      <c r="B2110" t="s">
        <v>13</v>
      </c>
      <c r="C2110" t="s">
        <v>14</v>
      </c>
      <c r="D2110" s="2">
        <v>13944289.7630833</v>
      </c>
      <c r="E2110" s="2">
        <v>22379.888780599998</v>
      </c>
      <c r="F2110" s="2">
        <v>13966669.651863899</v>
      </c>
    </row>
    <row r="2111" spans="1:6" x14ac:dyDescent="0.3">
      <c r="A2111" s="1">
        <v>42825</v>
      </c>
      <c r="B2111" t="s">
        <v>15</v>
      </c>
      <c r="C2111" t="s">
        <v>18</v>
      </c>
      <c r="D2111" s="2">
        <v>164286.4487636</v>
      </c>
      <c r="E2111" s="2">
        <v>0</v>
      </c>
      <c r="F2111" s="2">
        <v>164286.4487636</v>
      </c>
    </row>
    <row r="2112" spans="1:6" x14ac:dyDescent="0.3">
      <c r="A2112" s="1">
        <v>42825</v>
      </c>
      <c r="B2112" t="s">
        <v>21</v>
      </c>
      <c r="C2112" t="s">
        <v>14</v>
      </c>
      <c r="D2112" s="2">
        <v>425392.17385983001</v>
      </c>
      <c r="E2112" s="2">
        <v>5454358.22459336</v>
      </c>
      <c r="F2112" s="2">
        <v>5879750.39845319</v>
      </c>
    </row>
    <row r="2113" spans="1:6" x14ac:dyDescent="0.3">
      <c r="A2113" s="1">
        <v>42825</v>
      </c>
      <c r="B2113" t="s">
        <v>22</v>
      </c>
      <c r="C2113" t="s">
        <v>14</v>
      </c>
      <c r="D2113" s="2">
        <v>14369681.936943199</v>
      </c>
      <c r="E2113" s="2">
        <v>5476738.1133739604</v>
      </c>
      <c r="F2113" s="2">
        <v>19846420.050317101</v>
      </c>
    </row>
    <row r="2114" spans="1:6" x14ac:dyDescent="0.3">
      <c r="A2114" s="1">
        <v>42825</v>
      </c>
      <c r="B2114" t="s">
        <v>6</v>
      </c>
      <c r="C2114" t="s">
        <v>7</v>
      </c>
      <c r="D2114" s="2">
        <v>1754818.3962000001</v>
      </c>
      <c r="E2114" s="2">
        <v>2142</v>
      </c>
      <c r="F2114" s="2">
        <v>1756960.3962000001</v>
      </c>
    </row>
    <row r="2115" spans="1:6" x14ac:dyDescent="0.3">
      <c r="A2115" s="1">
        <v>42825</v>
      </c>
      <c r="B2115" t="s">
        <v>6</v>
      </c>
      <c r="C2115" t="s">
        <v>9</v>
      </c>
      <c r="D2115" s="2">
        <v>1890157.8437999999</v>
      </c>
      <c r="E2115" s="2">
        <v>239.69</v>
      </c>
      <c r="F2115" s="2">
        <v>1890397.5338000001</v>
      </c>
    </row>
    <row r="2116" spans="1:6" x14ac:dyDescent="0.3">
      <c r="A2116" s="1">
        <v>42825</v>
      </c>
      <c r="B2116" t="s">
        <v>6</v>
      </c>
      <c r="C2116" t="s">
        <v>10</v>
      </c>
      <c r="D2116" s="2">
        <v>1266181.4960833399</v>
      </c>
      <c r="E2116" s="2">
        <v>152.31778059999999</v>
      </c>
      <c r="F2116" s="2">
        <v>1266333.8138639401</v>
      </c>
    </row>
    <row r="2117" spans="1:6" x14ac:dyDescent="0.3">
      <c r="A2117" s="1">
        <v>42825</v>
      </c>
      <c r="B2117" t="s">
        <v>6</v>
      </c>
      <c r="C2117" t="s">
        <v>8</v>
      </c>
      <c r="D2117" s="2">
        <v>8695551.6462999992</v>
      </c>
      <c r="E2117" s="2">
        <v>6821.9790000000003</v>
      </c>
      <c r="F2117" s="2">
        <v>8702373.6252999995</v>
      </c>
    </row>
    <row r="2118" spans="1:6" x14ac:dyDescent="0.3">
      <c r="A2118" s="1">
        <v>42825</v>
      </c>
      <c r="B2118" t="s">
        <v>6</v>
      </c>
      <c r="C2118" t="s">
        <v>11</v>
      </c>
      <c r="D2118" s="2">
        <v>337580.38069999998</v>
      </c>
      <c r="E2118" s="2">
        <v>0</v>
      </c>
      <c r="F2118" s="2">
        <v>337580.38069999998</v>
      </c>
    </row>
    <row r="2119" spans="1:6" x14ac:dyDescent="0.3">
      <c r="A2119" s="1">
        <v>42825</v>
      </c>
      <c r="B2119" t="s">
        <v>6</v>
      </c>
      <c r="C2119" t="s">
        <v>12</v>
      </c>
      <c r="D2119" s="2">
        <v>0</v>
      </c>
      <c r="E2119" s="2">
        <v>13023.902</v>
      </c>
      <c r="F2119" s="2">
        <v>13023.902</v>
      </c>
    </row>
    <row r="2120" spans="1:6" x14ac:dyDescent="0.3">
      <c r="A2120" s="1">
        <v>42825</v>
      </c>
      <c r="B2120" t="s">
        <v>15</v>
      </c>
      <c r="C2120" t="s">
        <v>16</v>
      </c>
      <c r="D2120" s="2">
        <v>29995.18</v>
      </c>
      <c r="E2120" s="2">
        <v>0</v>
      </c>
      <c r="F2120" s="2">
        <v>29995.18</v>
      </c>
    </row>
    <row r="2121" spans="1:6" x14ac:dyDescent="0.3">
      <c r="A2121" s="1">
        <v>42825</v>
      </c>
      <c r="B2121" t="s">
        <v>15</v>
      </c>
      <c r="C2121" t="s">
        <v>23</v>
      </c>
      <c r="D2121" s="2">
        <v>264.34199999999998</v>
      </c>
      <c r="E2121" s="2">
        <v>0</v>
      </c>
      <c r="F2121" s="2">
        <v>264.34199999999998</v>
      </c>
    </row>
    <row r="2122" spans="1:6" x14ac:dyDescent="0.3">
      <c r="A2122" s="1">
        <v>42825</v>
      </c>
      <c r="B2122" t="s">
        <v>15</v>
      </c>
      <c r="C2122" t="s">
        <v>17</v>
      </c>
      <c r="D2122" s="2">
        <v>106228.53219724</v>
      </c>
      <c r="E2122" s="2">
        <v>0</v>
      </c>
      <c r="F2122" s="2">
        <v>106228.53219724</v>
      </c>
    </row>
    <row r="2123" spans="1:6" x14ac:dyDescent="0.3">
      <c r="A2123" s="1">
        <v>42825</v>
      </c>
      <c r="B2123" t="s">
        <v>15</v>
      </c>
      <c r="C2123" t="s">
        <v>19</v>
      </c>
      <c r="D2123" s="2">
        <v>122864.15565098</v>
      </c>
      <c r="E2123" s="2">
        <v>5454358.22459336</v>
      </c>
      <c r="F2123" s="2">
        <v>5577222.3802443398</v>
      </c>
    </row>
    <row r="2124" spans="1:6" x14ac:dyDescent="0.3">
      <c r="A2124" s="1">
        <v>42825</v>
      </c>
      <c r="B2124" t="s">
        <v>15</v>
      </c>
      <c r="C2124" t="s">
        <v>20</v>
      </c>
      <c r="D2124" s="2">
        <v>1753.5152480100001</v>
      </c>
      <c r="E2124" s="2">
        <v>0</v>
      </c>
      <c r="F2124" s="2">
        <v>1753.5152480100001</v>
      </c>
    </row>
    <row r="2125" spans="1:6" x14ac:dyDescent="0.3">
      <c r="A2125" s="1">
        <v>42855</v>
      </c>
      <c r="B2125" t="s">
        <v>21</v>
      </c>
      <c r="C2125" t="s">
        <v>14</v>
      </c>
      <c r="D2125" s="2">
        <v>365299.25479872001</v>
      </c>
      <c r="E2125" s="2">
        <v>5530483.79850371</v>
      </c>
      <c r="F2125" s="2">
        <v>5895783.0533024296</v>
      </c>
    </row>
    <row r="2126" spans="1:6" x14ac:dyDescent="0.3">
      <c r="A2126" s="1">
        <v>42855</v>
      </c>
      <c r="B2126" t="s">
        <v>22</v>
      </c>
      <c r="C2126" t="s">
        <v>14</v>
      </c>
      <c r="D2126" s="2">
        <v>14293344.660028899</v>
      </c>
      <c r="E2126" s="2">
        <v>5552784.5311721098</v>
      </c>
      <c r="F2126" s="2">
        <v>19846129.191201001</v>
      </c>
    </row>
    <row r="2127" spans="1:6" x14ac:dyDescent="0.3">
      <c r="A2127" s="1">
        <v>42855</v>
      </c>
      <c r="B2127" t="s">
        <v>6</v>
      </c>
      <c r="C2127" t="s">
        <v>7</v>
      </c>
      <c r="D2127" s="2">
        <v>1739874.9498000001</v>
      </c>
      <c r="E2127" s="2">
        <v>2115.9</v>
      </c>
      <c r="F2127" s="2">
        <v>1741990.8498</v>
      </c>
    </row>
    <row r="2128" spans="1:6" x14ac:dyDescent="0.3">
      <c r="A2128" s="1">
        <v>42855</v>
      </c>
      <c r="B2128" t="s">
        <v>6</v>
      </c>
      <c r="C2128" t="s">
        <v>8</v>
      </c>
      <c r="D2128" s="2">
        <v>8709934.8112000003</v>
      </c>
      <c r="E2128" s="2">
        <v>6775.7650000000003</v>
      </c>
      <c r="F2128" s="2">
        <v>8716710.5761999991</v>
      </c>
    </row>
    <row r="2129" spans="1:6" x14ac:dyDescent="0.3">
      <c r="A2129" s="1">
        <v>42855</v>
      </c>
      <c r="B2129" t="s">
        <v>6</v>
      </c>
      <c r="C2129" t="s">
        <v>9</v>
      </c>
      <c r="D2129" s="2">
        <v>1902274.5068999999</v>
      </c>
      <c r="E2129" s="2">
        <v>221.58</v>
      </c>
      <c r="F2129" s="2">
        <v>1902496.0869</v>
      </c>
    </row>
    <row r="2130" spans="1:6" x14ac:dyDescent="0.3">
      <c r="A2130" s="1">
        <v>42855</v>
      </c>
      <c r="B2130" t="s">
        <v>6</v>
      </c>
      <c r="C2130" t="s">
        <v>10</v>
      </c>
      <c r="D2130" s="2">
        <v>1238391.4636301999</v>
      </c>
      <c r="E2130" s="2">
        <v>152.87866840000001</v>
      </c>
      <c r="F2130" s="2">
        <v>1238544.3422985999</v>
      </c>
    </row>
    <row r="2131" spans="1:6" x14ac:dyDescent="0.3">
      <c r="A2131" s="1">
        <v>42855</v>
      </c>
      <c r="B2131" t="s">
        <v>6</v>
      </c>
      <c r="C2131" t="s">
        <v>12</v>
      </c>
      <c r="D2131" s="2">
        <v>0</v>
      </c>
      <c r="E2131" s="2">
        <v>13023.902</v>
      </c>
      <c r="F2131" s="2">
        <v>13023.902</v>
      </c>
    </row>
    <row r="2132" spans="1:6" x14ac:dyDescent="0.3">
      <c r="A2132" s="1">
        <v>42855</v>
      </c>
      <c r="B2132" t="s">
        <v>6</v>
      </c>
      <c r="C2132" t="s">
        <v>11</v>
      </c>
      <c r="D2132" s="2">
        <v>337569.67369999998</v>
      </c>
      <c r="E2132" s="2">
        <v>10.707000000000001</v>
      </c>
      <c r="F2132" s="2">
        <v>337580.38069999998</v>
      </c>
    </row>
    <row r="2133" spans="1:6" x14ac:dyDescent="0.3">
      <c r="A2133" s="1">
        <v>42855</v>
      </c>
      <c r="B2133" t="s">
        <v>13</v>
      </c>
      <c r="C2133" t="s">
        <v>14</v>
      </c>
      <c r="D2133" s="2">
        <v>13928045.4052302</v>
      </c>
      <c r="E2133" s="2">
        <v>22300.7326684</v>
      </c>
      <c r="F2133" s="2">
        <v>13950346.1378986</v>
      </c>
    </row>
    <row r="2134" spans="1:6" x14ac:dyDescent="0.3">
      <c r="A2134" s="1">
        <v>42855</v>
      </c>
      <c r="B2134" t="s">
        <v>15</v>
      </c>
      <c r="C2134" t="s">
        <v>16</v>
      </c>
      <c r="D2134" s="2">
        <v>29995.18</v>
      </c>
      <c r="E2134" s="2">
        <v>0</v>
      </c>
      <c r="F2134" s="2">
        <v>29995.18</v>
      </c>
    </row>
    <row r="2135" spans="1:6" x14ac:dyDescent="0.3">
      <c r="A2135" s="1">
        <v>42855</v>
      </c>
      <c r="B2135" t="s">
        <v>15</v>
      </c>
      <c r="C2135" t="s">
        <v>18</v>
      </c>
      <c r="D2135" s="2">
        <v>163817.93205824</v>
      </c>
      <c r="E2135" s="2">
        <v>0</v>
      </c>
      <c r="F2135" s="2">
        <v>163817.93205824</v>
      </c>
    </row>
    <row r="2136" spans="1:6" x14ac:dyDescent="0.3">
      <c r="A2136" s="1">
        <v>42855</v>
      </c>
      <c r="B2136" t="s">
        <v>15</v>
      </c>
      <c r="C2136" t="s">
        <v>23</v>
      </c>
      <c r="D2136" s="2">
        <v>264.34199999999998</v>
      </c>
      <c r="E2136" s="2">
        <v>0</v>
      </c>
      <c r="F2136" s="2">
        <v>264.34199999999998</v>
      </c>
    </row>
    <row r="2137" spans="1:6" x14ac:dyDescent="0.3">
      <c r="A2137" s="1">
        <v>42855</v>
      </c>
      <c r="B2137" t="s">
        <v>15</v>
      </c>
      <c r="C2137" t="s">
        <v>17</v>
      </c>
      <c r="D2137" s="2">
        <v>102783.78582439999</v>
      </c>
      <c r="E2137" s="2">
        <v>0</v>
      </c>
      <c r="F2137" s="2">
        <v>102783.78582439999</v>
      </c>
    </row>
    <row r="2138" spans="1:6" x14ac:dyDescent="0.3">
      <c r="A2138" s="1">
        <v>42855</v>
      </c>
      <c r="B2138" t="s">
        <v>15</v>
      </c>
      <c r="C2138" t="s">
        <v>19</v>
      </c>
      <c r="D2138" s="2">
        <v>66758.959167249996</v>
      </c>
      <c r="E2138" s="2">
        <v>5530483.79850371</v>
      </c>
      <c r="F2138" s="2">
        <v>5597242.7576709604</v>
      </c>
    </row>
    <row r="2139" spans="1:6" x14ac:dyDescent="0.3">
      <c r="A2139" s="1">
        <v>42855</v>
      </c>
      <c r="B2139" t="s">
        <v>15</v>
      </c>
      <c r="C2139" t="s">
        <v>20</v>
      </c>
      <c r="D2139" s="2">
        <v>1679.0557488300001</v>
      </c>
      <c r="E2139" s="2">
        <v>0</v>
      </c>
      <c r="F2139" s="2">
        <v>1679.0557488300001</v>
      </c>
    </row>
    <row r="2140" spans="1:6" x14ac:dyDescent="0.3">
      <c r="A2140" s="1">
        <v>42886</v>
      </c>
      <c r="B2140" t="s">
        <v>22</v>
      </c>
      <c r="C2140" t="s">
        <v>14</v>
      </c>
      <c r="D2140" s="2">
        <v>14298976.495062299</v>
      </c>
      <c r="E2140" s="2">
        <v>5546965.4206730798</v>
      </c>
      <c r="F2140" s="2">
        <v>19845941.915735401</v>
      </c>
    </row>
    <row r="2141" spans="1:6" x14ac:dyDescent="0.3">
      <c r="A2141" s="1">
        <v>42886</v>
      </c>
      <c r="B2141" t="s">
        <v>6</v>
      </c>
      <c r="C2141" t="s">
        <v>7</v>
      </c>
      <c r="D2141" s="2">
        <v>1745788.9890000001</v>
      </c>
      <c r="E2141" s="2">
        <v>2169.6999999999998</v>
      </c>
      <c r="F2141" s="2">
        <v>1747958.689</v>
      </c>
    </row>
    <row r="2142" spans="1:6" x14ac:dyDescent="0.3">
      <c r="A2142" s="1">
        <v>42886</v>
      </c>
      <c r="B2142" t="s">
        <v>6</v>
      </c>
      <c r="C2142" t="s">
        <v>12</v>
      </c>
      <c r="D2142" s="2">
        <v>0</v>
      </c>
      <c r="E2142" s="2">
        <v>13023.902</v>
      </c>
      <c r="F2142" s="2">
        <v>13023.902</v>
      </c>
    </row>
    <row r="2143" spans="1:6" x14ac:dyDescent="0.3">
      <c r="A2143" s="1">
        <v>42886</v>
      </c>
      <c r="B2143" t="s">
        <v>6</v>
      </c>
      <c r="C2143" t="s">
        <v>8</v>
      </c>
      <c r="D2143" s="2">
        <v>8729402.9011000004</v>
      </c>
      <c r="E2143" s="2">
        <v>6466.1540000000005</v>
      </c>
      <c r="F2143" s="2">
        <v>8735869.0550999995</v>
      </c>
    </row>
    <row r="2144" spans="1:6" x14ac:dyDescent="0.3">
      <c r="A2144" s="1">
        <v>42886</v>
      </c>
      <c r="B2144" t="s">
        <v>6</v>
      </c>
      <c r="C2144" t="s">
        <v>11</v>
      </c>
      <c r="D2144" s="2">
        <v>326532.69</v>
      </c>
      <c r="E2144" s="2">
        <v>39.747</v>
      </c>
      <c r="F2144" s="2">
        <v>326572.43699999998</v>
      </c>
    </row>
    <row r="2145" spans="1:6" x14ac:dyDescent="0.3">
      <c r="A2145" s="1">
        <v>42886</v>
      </c>
      <c r="B2145" t="s">
        <v>6</v>
      </c>
      <c r="C2145" t="s">
        <v>9</v>
      </c>
      <c r="D2145" s="2">
        <v>1906667.0057000001</v>
      </c>
      <c r="E2145" s="2">
        <v>220.39699999999999</v>
      </c>
      <c r="F2145" s="2">
        <v>1906887.4027</v>
      </c>
    </row>
    <row r="2146" spans="1:6" x14ac:dyDescent="0.3">
      <c r="A2146" s="1">
        <v>42886</v>
      </c>
      <c r="B2146" t="s">
        <v>6</v>
      </c>
      <c r="C2146" t="s">
        <v>10</v>
      </c>
      <c r="D2146" s="2">
        <v>1252191.1199234801</v>
      </c>
      <c r="E2146" s="2">
        <v>151.15498479999999</v>
      </c>
      <c r="F2146" s="2">
        <v>1252342.27490828</v>
      </c>
    </row>
    <row r="2147" spans="1:6" x14ac:dyDescent="0.3">
      <c r="A2147" s="1">
        <v>42886</v>
      </c>
      <c r="B2147" t="s">
        <v>13</v>
      </c>
      <c r="C2147" t="s">
        <v>14</v>
      </c>
      <c r="D2147" s="2">
        <v>13960582.7057235</v>
      </c>
      <c r="E2147" s="2">
        <v>22071.054984800001</v>
      </c>
      <c r="F2147" s="2">
        <v>13982653.7607083</v>
      </c>
    </row>
    <row r="2148" spans="1:6" x14ac:dyDescent="0.3">
      <c r="A2148" s="1">
        <v>42886</v>
      </c>
      <c r="B2148" t="s">
        <v>15</v>
      </c>
      <c r="C2148" t="s">
        <v>19</v>
      </c>
      <c r="D2148" s="2">
        <v>43637.821680519999</v>
      </c>
      <c r="E2148" s="2">
        <v>5524894.3656882802</v>
      </c>
      <c r="F2148" s="2">
        <v>5568532.1873687999</v>
      </c>
    </row>
    <row r="2149" spans="1:6" x14ac:dyDescent="0.3">
      <c r="A2149" s="1">
        <v>42886</v>
      </c>
      <c r="B2149" t="s">
        <v>15</v>
      </c>
      <c r="C2149" t="s">
        <v>23</v>
      </c>
      <c r="D2149" s="2">
        <v>264.34199999999998</v>
      </c>
      <c r="E2149" s="2">
        <v>0</v>
      </c>
      <c r="F2149" s="2">
        <v>264.34199999999998</v>
      </c>
    </row>
    <row r="2150" spans="1:6" x14ac:dyDescent="0.3">
      <c r="A2150" s="1">
        <v>42886</v>
      </c>
      <c r="B2150" t="s">
        <v>15</v>
      </c>
      <c r="C2150" t="s">
        <v>17</v>
      </c>
      <c r="D2150" s="2">
        <v>99516.379240819995</v>
      </c>
      <c r="E2150" s="2">
        <v>0</v>
      </c>
      <c r="F2150" s="2">
        <v>99516.379240819995</v>
      </c>
    </row>
    <row r="2151" spans="1:6" x14ac:dyDescent="0.3">
      <c r="A2151" s="1">
        <v>42886</v>
      </c>
      <c r="B2151" t="s">
        <v>15</v>
      </c>
      <c r="C2151" t="s">
        <v>18</v>
      </c>
      <c r="D2151" s="2">
        <v>163367.60986877</v>
      </c>
      <c r="E2151" s="2">
        <v>0</v>
      </c>
      <c r="F2151" s="2">
        <v>163367.60986877</v>
      </c>
    </row>
    <row r="2152" spans="1:6" x14ac:dyDescent="0.3">
      <c r="A2152" s="1">
        <v>42886</v>
      </c>
      <c r="B2152" t="s">
        <v>15</v>
      </c>
      <c r="C2152" t="s">
        <v>16</v>
      </c>
      <c r="D2152" s="2">
        <v>29995.18</v>
      </c>
      <c r="E2152" s="2">
        <v>0</v>
      </c>
      <c r="F2152" s="2">
        <v>29995.18</v>
      </c>
    </row>
    <row r="2153" spans="1:6" x14ac:dyDescent="0.3">
      <c r="A2153" s="1">
        <v>42886</v>
      </c>
      <c r="B2153" t="s">
        <v>15</v>
      </c>
      <c r="C2153" t="s">
        <v>20</v>
      </c>
      <c r="D2153" s="2">
        <v>1612.4565487299999</v>
      </c>
      <c r="E2153" s="2">
        <v>0</v>
      </c>
      <c r="F2153" s="2">
        <v>1612.4565487299999</v>
      </c>
    </row>
    <row r="2154" spans="1:6" x14ac:dyDescent="0.3">
      <c r="A2154" s="1">
        <v>42886</v>
      </c>
      <c r="B2154" t="s">
        <v>21</v>
      </c>
      <c r="C2154" t="s">
        <v>14</v>
      </c>
      <c r="D2154" s="2">
        <v>338393.78933884</v>
      </c>
      <c r="E2154" s="2">
        <v>5524894.3656882802</v>
      </c>
      <c r="F2154" s="2">
        <v>5863288.1550271204</v>
      </c>
    </row>
    <row r="2155" spans="1:6" x14ac:dyDescent="0.3">
      <c r="A2155" s="1">
        <v>42916</v>
      </c>
      <c r="B2155" t="s">
        <v>6</v>
      </c>
      <c r="C2155" t="s">
        <v>7</v>
      </c>
      <c r="D2155" s="2">
        <v>1715828.9643000001</v>
      </c>
      <c r="E2155" s="2">
        <v>2129.1</v>
      </c>
      <c r="F2155" s="2">
        <v>1717958.0643</v>
      </c>
    </row>
    <row r="2156" spans="1:6" x14ac:dyDescent="0.3">
      <c r="A2156" s="1">
        <v>42916</v>
      </c>
      <c r="B2156" t="s">
        <v>6</v>
      </c>
      <c r="C2156" t="s">
        <v>9</v>
      </c>
      <c r="D2156" s="2">
        <v>1918661.3581999999</v>
      </c>
      <c r="E2156" s="2">
        <v>225.541</v>
      </c>
      <c r="F2156" s="2">
        <v>1918886.8992000001</v>
      </c>
    </row>
    <row r="2157" spans="1:6" x14ac:dyDescent="0.3">
      <c r="A2157" s="1">
        <v>42916</v>
      </c>
      <c r="B2157" t="s">
        <v>6</v>
      </c>
      <c r="C2157" t="s">
        <v>12</v>
      </c>
      <c r="D2157" s="2">
        <v>0</v>
      </c>
      <c r="E2157" s="2">
        <v>11457.199000000001</v>
      </c>
      <c r="F2157" s="2">
        <v>11457.199000000001</v>
      </c>
    </row>
    <row r="2158" spans="1:6" x14ac:dyDescent="0.3">
      <c r="A2158" s="1">
        <v>42916</v>
      </c>
      <c r="B2158" t="s">
        <v>6</v>
      </c>
      <c r="C2158" t="s">
        <v>11</v>
      </c>
      <c r="D2158" s="2">
        <v>341128.07939999999</v>
      </c>
      <c r="E2158" s="2">
        <v>24.591999999999999</v>
      </c>
      <c r="F2158" s="2">
        <v>341152.67139999999</v>
      </c>
    </row>
    <row r="2159" spans="1:6" x14ac:dyDescent="0.3">
      <c r="A2159" s="1">
        <v>42916</v>
      </c>
      <c r="B2159" t="s">
        <v>6</v>
      </c>
      <c r="C2159" t="s">
        <v>8</v>
      </c>
      <c r="D2159" s="2">
        <v>8751867.9197999891</v>
      </c>
      <c r="E2159" s="2">
        <v>6449.0940000000001</v>
      </c>
      <c r="F2159" s="2">
        <v>8758317.0138000008</v>
      </c>
    </row>
    <row r="2160" spans="1:6" x14ac:dyDescent="0.3">
      <c r="A2160" s="1">
        <v>42916</v>
      </c>
      <c r="B2160" t="s">
        <v>6</v>
      </c>
      <c r="C2160" t="s">
        <v>10</v>
      </c>
      <c r="D2160" s="2">
        <v>1261485.4819841301</v>
      </c>
      <c r="E2160" s="2">
        <v>159.611187</v>
      </c>
      <c r="F2160" s="2">
        <v>1261645.0931711299</v>
      </c>
    </row>
    <row r="2161" spans="1:6" x14ac:dyDescent="0.3">
      <c r="A2161" s="1">
        <v>42916</v>
      </c>
      <c r="B2161" t="s">
        <v>15</v>
      </c>
      <c r="C2161" t="s">
        <v>16</v>
      </c>
      <c r="D2161" s="2">
        <v>29995.18</v>
      </c>
      <c r="E2161" s="2">
        <v>0</v>
      </c>
      <c r="F2161" s="2">
        <v>29995.18</v>
      </c>
    </row>
    <row r="2162" spans="1:6" x14ac:dyDescent="0.3">
      <c r="A2162" s="1">
        <v>42916</v>
      </c>
      <c r="B2162" t="s">
        <v>15</v>
      </c>
      <c r="C2162" t="s">
        <v>23</v>
      </c>
      <c r="D2162" s="2">
        <v>264.34199999999998</v>
      </c>
      <c r="E2162" s="2">
        <v>0</v>
      </c>
      <c r="F2162" s="2">
        <v>264.34199999999998</v>
      </c>
    </row>
    <row r="2163" spans="1:6" x14ac:dyDescent="0.3">
      <c r="A2163" s="1">
        <v>42916</v>
      </c>
      <c r="B2163" t="s">
        <v>15</v>
      </c>
      <c r="C2163" t="s">
        <v>19</v>
      </c>
      <c r="D2163" s="2">
        <v>90919.31460061</v>
      </c>
      <c r="E2163" s="2">
        <v>5457922.7008986296</v>
      </c>
      <c r="F2163" s="2">
        <v>5548842.0154992398</v>
      </c>
    </row>
    <row r="2164" spans="1:6" x14ac:dyDescent="0.3">
      <c r="A2164" s="1">
        <v>42916</v>
      </c>
      <c r="B2164" t="s">
        <v>15</v>
      </c>
      <c r="C2164" t="s">
        <v>20</v>
      </c>
      <c r="D2164" s="2">
        <v>1677.5618077500001</v>
      </c>
      <c r="E2164" s="2">
        <v>0</v>
      </c>
      <c r="F2164" s="2">
        <v>1677.5618077500001</v>
      </c>
    </row>
    <row r="2165" spans="1:6" x14ac:dyDescent="0.3">
      <c r="A2165" s="1">
        <v>42916</v>
      </c>
      <c r="B2165" t="s">
        <v>15</v>
      </c>
      <c r="C2165" t="s">
        <v>17</v>
      </c>
      <c r="D2165" s="2">
        <v>91463.311519800001</v>
      </c>
      <c r="E2165" s="2">
        <v>0</v>
      </c>
      <c r="F2165" s="2">
        <v>91463.311519800001</v>
      </c>
    </row>
    <row r="2166" spans="1:6" x14ac:dyDescent="0.3">
      <c r="A2166" s="1">
        <v>42916</v>
      </c>
      <c r="B2166" t="s">
        <v>15</v>
      </c>
      <c r="C2166" t="s">
        <v>18</v>
      </c>
      <c r="D2166" s="2">
        <v>162894.83357051999</v>
      </c>
      <c r="E2166" s="2">
        <v>0</v>
      </c>
      <c r="F2166" s="2">
        <v>162894.83357051999</v>
      </c>
    </row>
    <row r="2167" spans="1:6" x14ac:dyDescent="0.3">
      <c r="A2167" s="1">
        <v>42916</v>
      </c>
      <c r="B2167" t="s">
        <v>13</v>
      </c>
      <c r="C2167" t="s">
        <v>14</v>
      </c>
      <c r="D2167" s="2">
        <v>13988971.803684101</v>
      </c>
      <c r="E2167" s="2">
        <v>20445.137187</v>
      </c>
      <c r="F2167" s="2">
        <v>14009416.940871101</v>
      </c>
    </row>
    <row r="2168" spans="1:6" x14ac:dyDescent="0.3">
      <c r="A2168" s="1">
        <v>42916</v>
      </c>
      <c r="B2168" t="s">
        <v>21</v>
      </c>
      <c r="C2168" t="s">
        <v>14</v>
      </c>
      <c r="D2168" s="2">
        <v>377214.54349868</v>
      </c>
      <c r="E2168" s="2">
        <v>5457922.7008986296</v>
      </c>
      <c r="F2168" s="2">
        <v>5835137.2443973096</v>
      </c>
    </row>
    <row r="2169" spans="1:6" x14ac:dyDescent="0.3">
      <c r="A2169" s="1">
        <v>42916</v>
      </c>
      <c r="B2169" t="s">
        <v>22</v>
      </c>
      <c r="C2169" t="s">
        <v>14</v>
      </c>
      <c r="D2169" s="2">
        <v>14366186.347182799</v>
      </c>
      <c r="E2169" s="2">
        <v>5478367.83808563</v>
      </c>
      <c r="F2169" s="2">
        <v>19844554.185268398</v>
      </c>
    </row>
    <row r="2170" spans="1:6" x14ac:dyDescent="0.3">
      <c r="A2170" s="1">
        <v>42947</v>
      </c>
      <c r="B2170" t="s">
        <v>21</v>
      </c>
      <c r="C2170" t="s">
        <v>14</v>
      </c>
      <c r="D2170" s="2">
        <v>321043.73101345001</v>
      </c>
      <c r="E2170" s="2">
        <v>5463691.5608068705</v>
      </c>
      <c r="F2170" s="2">
        <v>5784735.2918203203</v>
      </c>
    </row>
    <row r="2171" spans="1:6" x14ac:dyDescent="0.3">
      <c r="A2171" s="1">
        <v>42947</v>
      </c>
      <c r="B2171" t="s">
        <v>22</v>
      </c>
      <c r="C2171" t="s">
        <v>14</v>
      </c>
      <c r="D2171" s="2">
        <v>14360944.496199399</v>
      </c>
      <c r="E2171" s="2">
        <v>5483964.5525273699</v>
      </c>
      <c r="F2171" s="2">
        <v>19844909.0487267</v>
      </c>
    </row>
    <row r="2172" spans="1:6" x14ac:dyDescent="0.3">
      <c r="A2172" s="1">
        <v>42947</v>
      </c>
      <c r="B2172" t="s">
        <v>6</v>
      </c>
      <c r="C2172" t="s">
        <v>7</v>
      </c>
      <c r="D2172" s="2">
        <v>1756005.4040999999</v>
      </c>
      <c r="E2172" s="2">
        <v>1951.1</v>
      </c>
      <c r="F2172" s="2">
        <v>1757956.5041</v>
      </c>
    </row>
    <row r="2173" spans="1:6" x14ac:dyDescent="0.3">
      <c r="A2173" s="1">
        <v>42947</v>
      </c>
      <c r="B2173" t="s">
        <v>6</v>
      </c>
      <c r="C2173" t="s">
        <v>11</v>
      </c>
      <c r="D2173" s="2">
        <v>316655.56020000001</v>
      </c>
      <c r="E2173" s="2">
        <v>22.86</v>
      </c>
      <c r="F2173" s="2">
        <v>316678.42019999999</v>
      </c>
    </row>
    <row r="2174" spans="1:6" x14ac:dyDescent="0.3">
      <c r="A2174" s="1">
        <v>42947</v>
      </c>
      <c r="B2174" t="s">
        <v>6</v>
      </c>
      <c r="C2174" t="s">
        <v>9</v>
      </c>
      <c r="D2174" s="2">
        <v>1930927.8866000001</v>
      </c>
      <c r="E2174" s="2">
        <v>232.34899999999999</v>
      </c>
      <c r="F2174" s="2">
        <v>1931160.2356</v>
      </c>
    </row>
    <row r="2175" spans="1:6" x14ac:dyDescent="0.3">
      <c r="A2175" s="1">
        <v>42947</v>
      </c>
      <c r="B2175" t="s">
        <v>6</v>
      </c>
      <c r="C2175" t="s">
        <v>10</v>
      </c>
      <c r="D2175" s="2">
        <v>1260444.71438591</v>
      </c>
      <c r="E2175" s="2">
        <v>166.6617205</v>
      </c>
      <c r="F2175" s="2">
        <v>1260611.3761064101</v>
      </c>
    </row>
    <row r="2176" spans="1:6" x14ac:dyDescent="0.3">
      <c r="A2176" s="1">
        <v>42947</v>
      </c>
      <c r="B2176" t="s">
        <v>6</v>
      </c>
      <c r="C2176" t="s">
        <v>12</v>
      </c>
      <c r="D2176" s="2">
        <v>0</v>
      </c>
      <c r="E2176" s="2">
        <v>11457.199000000001</v>
      </c>
      <c r="F2176" s="2">
        <v>11457.199000000001</v>
      </c>
    </row>
    <row r="2177" spans="1:6" x14ac:dyDescent="0.3">
      <c r="A2177" s="1">
        <v>42947</v>
      </c>
      <c r="B2177" t="s">
        <v>6</v>
      </c>
      <c r="C2177" t="s">
        <v>8</v>
      </c>
      <c r="D2177" s="2">
        <v>8775867.1998999994</v>
      </c>
      <c r="E2177" s="2">
        <v>6442.8220000000001</v>
      </c>
      <c r="F2177" s="2">
        <v>8782310.0219000001</v>
      </c>
    </row>
    <row r="2178" spans="1:6" x14ac:dyDescent="0.3">
      <c r="A2178" s="1">
        <v>42947</v>
      </c>
      <c r="B2178" t="s">
        <v>13</v>
      </c>
      <c r="C2178" t="s">
        <v>14</v>
      </c>
      <c r="D2178" s="2">
        <v>14039900.7651859</v>
      </c>
      <c r="E2178" s="2">
        <v>20272.991720499998</v>
      </c>
      <c r="F2178" s="2">
        <v>14060173.7569064</v>
      </c>
    </row>
    <row r="2179" spans="1:6" x14ac:dyDescent="0.3">
      <c r="A2179" s="1">
        <v>42947</v>
      </c>
      <c r="B2179" t="s">
        <v>15</v>
      </c>
      <c r="C2179" t="s">
        <v>16</v>
      </c>
      <c r="D2179" s="2">
        <v>29995.18</v>
      </c>
      <c r="E2179" s="2">
        <v>0</v>
      </c>
      <c r="F2179" s="2">
        <v>29995.18</v>
      </c>
    </row>
    <row r="2180" spans="1:6" x14ac:dyDescent="0.3">
      <c r="A2180" s="1">
        <v>42947</v>
      </c>
      <c r="B2180" t="s">
        <v>15</v>
      </c>
      <c r="C2180" t="s">
        <v>18</v>
      </c>
      <c r="D2180" s="2">
        <v>162607.6253789</v>
      </c>
      <c r="E2180" s="2">
        <v>0</v>
      </c>
      <c r="F2180" s="2">
        <v>162607.6253789</v>
      </c>
    </row>
    <row r="2181" spans="1:6" x14ac:dyDescent="0.3">
      <c r="A2181" s="1">
        <v>42947</v>
      </c>
      <c r="B2181" t="s">
        <v>15</v>
      </c>
      <c r="C2181" t="s">
        <v>23</v>
      </c>
      <c r="D2181" s="2">
        <v>264.34199999999998</v>
      </c>
      <c r="E2181" s="2">
        <v>0</v>
      </c>
      <c r="F2181" s="2">
        <v>264.34199999999998</v>
      </c>
    </row>
    <row r="2182" spans="1:6" x14ac:dyDescent="0.3">
      <c r="A2182" s="1">
        <v>42947</v>
      </c>
      <c r="B2182" t="s">
        <v>15</v>
      </c>
      <c r="C2182" t="s">
        <v>17</v>
      </c>
      <c r="D2182" s="2">
        <v>84800.198392770006</v>
      </c>
      <c r="E2182" s="2">
        <v>0</v>
      </c>
      <c r="F2182" s="2">
        <v>84800.198392770006</v>
      </c>
    </row>
    <row r="2183" spans="1:6" x14ac:dyDescent="0.3">
      <c r="A2183" s="1">
        <v>42947</v>
      </c>
      <c r="B2183" t="s">
        <v>15</v>
      </c>
      <c r="C2183" t="s">
        <v>19</v>
      </c>
      <c r="D2183" s="2">
        <v>41718.085973510002</v>
      </c>
      <c r="E2183" s="2">
        <v>5463691.5608068705</v>
      </c>
      <c r="F2183" s="2">
        <v>5505409.64678038</v>
      </c>
    </row>
    <row r="2184" spans="1:6" x14ac:dyDescent="0.3">
      <c r="A2184" s="1">
        <v>42947</v>
      </c>
      <c r="B2184" t="s">
        <v>15</v>
      </c>
      <c r="C2184" t="s">
        <v>20</v>
      </c>
      <c r="D2184" s="2">
        <v>1658.2992682700001</v>
      </c>
      <c r="E2184" s="2">
        <v>0</v>
      </c>
      <c r="F2184" s="2">
        <v>1658.2992682700001</v>
      </c>
    </row>
    <row r="2185" spans="1:6" x14ac:dyDescent="0.3">
      <c r="A2185" s="1">
        <v>42978</v>
      </c>
      <c r="B2185" t="s">
        <v>6</v>
      </c>
      <c r="C2185" t="s">
        <v>10</v>
      </c>
      <c r="D2185" s="2">
        <v>1275905.2919127699</v>
      </c>
      <c r="E2185" s="2">
        <v>390.04050296000003</v>
      </c>
      <c r="F2185" s="2">
        <v>1276295.33241573</v>
      </c>
    </row>
    <row r="2186" spans="1:6" x14ac:dyDescent="0.3">
      <c r="A2186" s="1">
        <v>42978</v>
      </c>
      <c r="B2186" t="s">
        <v>13</v>
      </c>
      <c r="C2186" t="s">
        <v>14</v>
      </c>
      <c r="D2186" s="2">
        <v>14069264.884512801</v>
      </c>
      <c r="E2186" s="2">
        <v>24298.315402960001</v>
      </c>
      <c r="F2186" s="2">
        <v>14093563.1999157</v>
      </c>
    </row>
    <row r="2187" spans="1:6" x14ac:dyDescent="0.3">
      <c r="A2187" s="1">
        <v>42978</v>
      </c>
      <c r="B2187" t="s">
        <v>15</v>
      </c>
      <c r="C2187" t="s">
        <v>19</v>
      </c>
      <c r="D2187" s="2">
        <v>37595.552615530003</v>
      </c>
      <c r="E2187" s="2">
        <v>5438673.1310241902</v>
      </c>
      <c r="F2187" s="2">
        <v>5476268.6836397201</v>
      </c>
    </row>
    <row r="2188" spans="1:6" x14ac:dyDescent="0.3">
      <c r="A2188" s="1">
        <v>42978</v>
      </c>
      <c r="B2188" t="s">
        <v>15</v>
      </c>
      <c r="C2188" t="s">
        <v>23</v>
      </c>
      <c r="D2188" s="2">
        <v>264.34199999999998</v>
      </c>
      <c r="E2188" s="2">
        <v>0</v>
      </c>
      <c r="F2188" s="2">
        <v>264.34199999999998</v>
      </c>
    </row>
    <row r="2189" spans="1:6" x14ac:dyDescent="0.3">
      <c r="A2189" s="1">
        <v>42978</v>
      </c>
      <c r="B2189" t="s">
        <v>15</v>
      </c>
      <c r="C2189" t="s">
        <v>17</v>
      </c>
      <c r="D2189" s="2">
        <v>80751.892765519995</v>
      </c>
      <c r="E2189" s="2">
        <v>0</v>
      </c>
      <c r="F2189" s="2">
        <v>80751.892765519995</v>
      </c>
    </row>
    <row r="2190" spans="1:6" x14ac:dyDescent="0.3">
      <c r="A2190" s="1">
        <v>42978</v>
      </c>
      <c r="B2190" t="s">
        <v>15</v>
      </c>
      <c r="C2190" t="s">
        <v>16</v>
      </c>
      <c r="D2190" s="2">
        <v>29995.18</v>
      </c>
      <c r="E2190" s="2">
        <v>0</v>
      </c>
      <c r="F2190" s="2">
        <v>29995.18</v>
      </c>
    </row>
    <row r="2191" spans="1:6" x14ac:dyDescent="0.3">
      <c r="A2191" s="1">
        <v>42978</v>
      </c>
      <c r="B2191" t="s">
        <v>15</v>
      </c>
      <c r="C2191" t="s">
        <v>20</v>
      </c>
      <c r="D2191" s="2">
        <v>1668.3802252400001</v>
      </c>
      <c r="E2191" s="2">
        <v>0</v>
      </c>
      <c r="F2191" s="2">
        <v>1668.3802252400001</v>
      </c>
    </row>
    <row r="2192" spans="1:6" x14ac:dyDescent="0.3">
      <c r="A2192" s="1">
        <v>42978</v>
      </c>
      <c r="B2192" t="s">
        <v>15</v>
      </c>
      <c r="C2192" t="s">
        <v>18</v>
      </c>
      <c r="D2192" s="2">
        <v>162021.77375068</v>
      </c>
      <c r="E2192" s="2">
        <v>0</v>
      </c>
      <c r="F2192" s="2">
        <v>162021.77375068</v>
      </c>
    </row>
    <row r="2193" spans="1:6" x14ac:dyDescent="0.3">
      <c r="A2193" s="1">
        <v>42978</v>
      </c>
      <c r="B2193" t="s">
        <v>21</v>
      </c>
      <c r="C2193" t="s">
        <v>14</v>
      </c>
      <c r="D2193" s="2">
        <v>312297.12135696999</v>
      </c>
      <c r="E2193" s="2">
        <v>5438673.1310241902</v>
      </c>
      <c r="F2193" s="2">
        <v>5750970.2523811599</v>
      </c>
    </row>
    <row r="2194" spans="1:6" x14ac:dyDescent="0.3">
      <c r="A2194" s="1">
        <v>42978</v>
      </c>
      <c r="B2194" t="s">
        <v>22</v>
      </c>
      <c r="C2194" t="s">
        <v>14</v>
      </c>
      <c r="D2194" s="2">
        <v>14381562.0058697</v>
      </c>
      <c r="E2194" s="2">
        <v>5462971.4464271497</v>
      </c>
      <c r="F2194" s="2">
        <v>19844533.452296901</v>
      </c>
    </row>
    <row r="2195" spans="1:6" x14ac:dyDescent="0.3">
      <c r="A2195" s="1">
        <v>42978</v>
      </c>
      <c r="B2195" t="s">
        <v>6</v>
      </c>
      <c r="C2195" t="s">
        <v>7</v>
      </c>
      <c r="D2195" s="2">
        <v>1745508.6270000001</v>
      </c>
      <c r="E2195" s="2">
        <v>2413.788</v>
      </c>
      <c r="F2195" s="2">
        <v>1747922.415</v>
      </c>
    </row>
    <row r="2196" spans="1:6" x14ac:dyDescent="0.3">
      <c r="A2196" s="1">
        <v>42978</v>
      </c>
      <c r="B2196" t="s">
        <v>6</v>
      </c>
      <c r="C2196" t="s">
        <v>8</v>
      </c>
      <c r="D2196" s="2">
        <v>8781809.9859999996</v>
      </c>
      <c r="E2196" s="2">
        <v>6694.902</v>
      </c>
      <c r="F2196" s="2">
        <v>8788504.8880000003</v>
      </c>
    </row>
    <row r="2197" spans="1:6" x14ac:dyDescent="0.3">
      <c r="A2197" s="1">
        <v>42978</v>
      </c>
      <c r="B2197" t="s">
        <v>6</v>
      </c>
      <c r="C2197" t="s">
        <v>9</v>
      </c>
      <c r="D2197" s="2">
        <v>1936399.7093</v>
      </c>
      <c r="E2197" s="2">
        <v>3305.3009000000002</v>
      </c>
      <c r="F2197" s="2">
        <v>1939705.0101999999</v>
      </c>
    </row>
    <row r="2198" spans="1:6" x14ac:dyDescent="0.3">
      <c r="A2198" s="1">
        <v>42978</v>
      </c>
      <c r="B2198" t="s">
        <v>6</v>
      </c>
      <c r="C2198" t="s">
        <v>12</v>
      </c>
      <c r="D2198" s="2">
        <v>0</v>
      </c>
      <c r="E2198" s="2">
        <v>11457.199000000001</v>
      </c>
      <c r="F2198" s="2">
        <v>11457.199000000001</v>
      </c>
    </row>
    <row r="2199" spans="1:6" x14ac:dyDescent="0.3">
      <c r="A2199" s="1">
        <v>42978</v>
      </c>
      <c r="B2199" t="s">
        <v>6</v>
      </c>
      <c r="C2199" t="s">
        <v>11</v>
      </c>
      <c r="D2199" s="2">
        <v>329641.27029999997</v>
      </c>
      <c r="E2199" s="2">
        <v>37.085000000000001</v>
      </c>
      <c r="F2199" s="2">
        <v>329678.3553</v>
      </c>
    </row>
    <row r="2200" spans="1:6" x14ac:dyDescent="0.3">
      <c r="A2200" s="1">
        <v>43008</v>
      </c>
      <c r="B2200" t="s">
        <v>6</v>
      </c>
      <c r="C2200" t="s">
        <v>10</v>
      </c>
      <c r="D2200" s="2">
        <v>1286123.51651995</v>
      </c>
      <c r="E2200" s="2">
        <v>392.28469669999998</v>
      </c>
      <c r="F2200" s="2">
        <v>1286515.8012166501</v>
      </c>
    </row>
    <row r="2201" spans="1:6" x14ac:dyDescent="0.3">
      <c r="A2201" s="1">
        <v>43008</v>
      </c>
      <c r="B2201" t="s">
        <v>6</v>
      </c>
      <c r="C2201" t="s">
        <v>11</v>
      </c>
      <c r="D2201" s="2">
        <v>342629.61599999998</v>
      </c>
      <c r="E2201" s="2">
        <v>49.195</v>
      </c>
      <c r="F2201" s="2">
        <v>342678.81099999999</v>
      </c>
    </row>
    <row r="2202" spans="1:6" x14ac:dyDescent="0.3">
      <c r="A2202" s="1">
        <v>43008</v>
      </c>
      <c r="B2202" t="s">
        <v>6</v>
      </c>
      <c r="C2202" t="s">
        <v>12</v>
      </c>
      <c r="D2202" s="2">
        <v>0</v>
      </c>
      <c r="E2202" s="2">
        <v>11457.199000000001</v>
      </c>
      <c r="F2202" s="2">
        <v>11457.199000000001</v>
      </c>
    </row>
    <row r="2203" spans="1:6" x14ac:dyDescent="0.3">
      <c r="A2203" s="1">
        <v>43008</v>
      </c>
      <c r="B2203" t="s">
        <v>13</v>
      </c>
      <c r="C2203" t="s">
        <v>14</v>
      </c>
      <c r="D2203" s="2">
        <v>14175677.0630199</v>
      </c>
      <c r="E2203" s="2">
        <v>24114.4855967</v>
      </c>
      <c r="F2203" s="2">
        <v>14199791.548616599</v>
      </c>
    </row>
    <row r="2204" spans="1:6" x14ac:dyDescent="0.3">
      <c r="A2204" s="1">
        <v>43008</v>
      </c>
      <c r="B2204" t="s">
        <v>15</v>
      </c>
      <c r="C2204" t="s">
        <v>16</v>
      </c>
      <c r="D2204" s="2">
        <v>29995.18</v>
      </c>
      <c r="E2204" s="2">
        <v>0</v>
      </c>
      <c r="F2204" s="2">
        <v>29995.18</v>
      </c>
    </row>
    <row r="2205" spans="1:6" x14ac:dyDescent="0.3">
      <c r="A2205" s="1">
        <v>43008</v>
      </c>
      <c r="B2205" t="s">
        <v>15</v>
      </c>
      <c r="C2205" t="s">
        <v>23</v>
      </c>
      <c r="D2205" s="2">
        <v>264.34199999999998</v>
      </c>
      <c r="E2205" s="2">
        <v>0</v>
      </c>
      <c r="F2205" s="2">
        <v>264.34199999999998</v>
      </c>
    </row>
    <row r="2206" spans="1:6" x14ac:dyDescent="0.3">
      <c r="A2206" s="1">
        <v>43008</v>
      </c>
      <c r="B2206" t="s">
        <v>15</v>
      </c>
      <c r="C2206" t="s">
        <v>17</v>
      </c>
      <c r="D2206" s="2">
        <v>80359.27326442</v>
      </c>
      <c r="E2206" s="2">
        <v>0</v>
      </c>
      <c r="F2206" s="2">
        <v>80359.27326442</v>
      </c>
    </row>
    <row r="2207" spans="1:6" x14ac:dyDescent="0.3">
      <c r="A2207" s="1">
        <v>43008</v>
      </c>
      <c r="B2207" t="s">
        <v>15</v>
      </c>
      <c r="C2207" t="s">
        <v>18</v>
      </c>
      <c r="D2207" s="2">
        <v>161705.23098270001</v>
      </c>
      <c r="E2207" s="2">
        <v>0</v>
      </c>
      <c r="F2207" s="2">
        <v>161705.23098270001</v>
      </c>
    </row>
    <row r="2208" spans="1:6" x14ac:dyDescent="0.3">
      <c r="A2208" s="1">
        <v>43008</v>
      </c>
      <c r="B2208" t="s">
        <v>15</v>
      </c>
      <c r="C2208" t="s">
        <v>19</v>
      </c>
      <c r="D2208" s="2">
        <v>223786.82021554001</v>
      </c>
      <c r="E2208" s="2">
        <v>5547356.8673158698</v>
      </c>
      <c r="F2208" s="2">
        <v>5771143.6875314098</v>
      </c>
    </row>
    <row r="2209" spans="1:6" x14ac:dyDescent="0.3">
      <c r="A2209" s="1">
        <v>43008</v>
      </c>
      <c r="B2209" t="s">
        <v>15</v>
      </c>
      <c r="C2209" t="s">
        <v>20</v>
      </c>
      <c r="D2209" s="2">
        <v>1640.6587402299999</v>
      </c>
      <c r="E2209" s="2">
        <v>0</v>
      </c>
      <c r="F2209" s="2">
        <v>1640.6587402299999</v>
      </c>
    </row>
    <row r="2210" spans="1:6" x14ac:dyDescent="0.3">
      <c r="A2210" s="1">
        <v>43008</v>
      </c>
      <c r="B2210" t="s">
        <v>21</v>
      </c>
      <c r="C2210" t="s">
        <v>14</v>
      </c>
      <c r="D2210" s="2">
        <v>497751.50520289002</v>
      </c>
      <c r="E2210" s="2">
        <v>5547356.8673158698</v>
      </c>
      <c r="F2210" s="2">
        <v>6045108.3725187602</v>
      </c>
    </row>
    <row r="2211" spans="1:6" x14ac:dyDescent="0.3">
      <c r="A2211" s="1">
        <v>43008</v>
      </c>
      <c r="B2211" t="s">
        <v>22</v>
      </c>
      <c r="C2211" t="s">
        <v>14</v>
      </c>
      <c r="D2211" s="2">
        <v>14673428.5682228</v>
      </c>
      <c r="E2211" s="2">
        <v>5571471.3529125703</v>
      </c>
      <c r="F2211" s="2">
        <v>20244899.921135399</v>
      </c>
    </row>
    <row r="2212" spans="1:6" x14ac:dyDescent="0.3">
      <c r="A2212" s="1">
        <v>43008</v>
      </c>
      <c r="B2212" t="s">
        <v>6</v>
      </c>
      <c r="C2212" t="s">
        <v>7</v>
      </c>
      <c r="D2212" s="2">
        <v>1799569.5752000001</v>
      </c>
      <c r="E2212" s="2">
        <v>2366.6509999999998</v>
      </c>
      <c r="F2212" s="2">
        <v>1801936.2261999999</v>
      </c>
    </row>
    <row r="2213" spans="1:6" x14ac:dyDescent="0.3">
      <c r="A2213" s="1">
        <v>43008</v>
      </c>
      <c r="B2213" t="s">
        <v>6</v>
      </c>
      <c r="C2213" t="s">
        <v>8</v>
      </c>
      <c r="D2213" s="2">
        <v>8798940.0997999907</v>
      </c>
      <c r="E2213" s="2">
        <v>6558.6049999999996</v>
      </c>
      <c r="F2213" s="2">
        <v>8805498.7047999892</v>
      </c>
    </row>
    <row r="2214" spans="1:6" x14ac:dyDescent="0.3">
      <c r="A2214" s="1">
        <v>43008</v>
      </c>
      <c r="B2214" t="s">
        <v>6</v>
      </c>
      <c r="C2214" t="s">
        <v>9</v>
      </c>
      <c r="D2214" s="2">
        <v>1948414.2555</v>
      </c>
      <c r="E2214" s="2">
        <v>3290.5509000000002</v>
      </c>
      <c r="F2214" s="2">
        <v>1951704.8063999999</v>
      </c>
    </row>
    <row r="2215" spans="1:6" x14ac:dyDescent="0.3">
      <c r="A2215" s="1">
        <v>43039</v>
      </c>
      <c r="B2215" t="s">
        <v>21</v>
      </c>
      <c r="C2215" t="s">
        <v>14</v>
      </c>
      <c r="D2215" s="2">
        <v>501850.58406415</v>
      </c>
      <c r="E2215" s="2">
        <v>5666945.2525750697</v>
      </c>
      <c r="F2215" s="2">
        <v>6168795.8366392199</v>
      </c>
    </row>
    <row r="2216" spans="1:6" x14ac:dyDescent="0.3">
      <c r="A2216" s="1">
        <v>43039</v>
      </c>
      <c r="B2216" t="s">
        <v>22</v>
      </c>
      <c r="C2216" t="s">
        <v>14</v>
      </c>
      <c r="D2216" s="2">
        <v>14751446.090316201</v>
      </c>
      <c r="E2216" s="2">
        <v>5691027.4530892996</v>
      </c>
      <c r="F2216" s="2">
        <v>20442473.543405499</v>
      </c>
    </row>
    <row r="2217" spans="1:6" x14ac:dyDescent="0.3">
      <c r="A2217" s="1">
        <v>43039</v>
      </c>
      <c r="B2217" t="s">
        <v>6</v>
      </c>
      <c r="C2217" t="s">
        <v>7</v>
      </c>
      <c r="D2217" s="2">
        <v>1853164.7564999999</v>
      </c>
      <c r="E2217" s="2">
        <v>2763.951</v>
      </c>
      <c r="F2217" s="2">
        <v>1855928.7075</v>
      </c>
    </row>
    <row r="2218" spans="1:6" x14ac:dyDescent="0.3">
      <c r="A2218" s="1">
        <v>43039</v>
      </c>
      <c r="B2218" t="s">
        <v>6</v>
      </c>
      <c r="C2218" t="s">
        <v>8</v>
      </c>
      <c r="D2218" s="2">
        <v>8823959.0164000001</v>
      </c>
      <c r="E2218" s="2">
        <v>6173.5910000000003</v>
      </c>
      <c r="F2218" s="2">
        <v>8830132.6074000001</v>
      </c>
    </row>
    <row r="2219" spans="1:6" x14ac:dyDescent="0.3">
      <c r="A2219" s="1">
        <v>43039</v>
      </c>
      <c r="B2219" t="s">
        <v>6</v>
      </c>
      <c r="C2219" t="s">
        <v>12</v>
      </c>
      <c r="D2219" s="2">
        <v>0</v>
      </c>
      <c r="E2219" s="2">
        <v>11457.199000000001</v>
      </c>
      <c r="F2219" s="2">
        <v>11457.199000000001</v>
      </c>
    </row>
    <row r="2220" spans="1:6" x14ac:dyDescent="0.3">
      <c r="A2220" s="1">
        <v>43039</v>
      </c>
      <c r="B2220" t="s">
        <v>6</v>
      </c>
      <c r="C2220" t="s">
        <v>9</v>
      </c>
      <c r="D2220" s="2">
        <v>1960409.9073999999</v>
      </c>
      <c r="E2220" s="2">
        <v>3294.0409</v>
      </c>
      <c r="F2220" s="2">
        <v>1963703.9483</v>
      </c>
    </row>
    <row r="2221" spans="1:6" x14ac:dyDescent="0.3">
      <c r="A2221" s="1">
        <v>43039</v>
      </c>
      <c r="B2221" t="s">
        <v>6</v>
      </c>
      <c r="C2221" t="s">
        <v>10</v>
      </c>
      <c r="D2221" s="2">
        <v>1295052.2861520399</v>
      </c>
      <c r="E2221" s="2">
        <v>344.22361423000001</v>
      </c>
      <c r="F2221" s="2">
        <v>1295396.5097662699</v>
      </c>
    </row>
    <row r="2222" spans="1:6" x14ac:dyDescent="0.3">
      <c r="A2222" s="1">
        <v>43039</v>
      </c>
      <c r="B2222" t="s">
        <v>6</v>
      </c>
      <c r="C2222" t="s">
        <v>11</v>
      </c>
      <c r="D2222" s="2">
        <v>317009.53980000003</v>
      </c>
      <c r="E2222" s="2">
        <v>49.195</v>
      </c>
      <c r="F2222" s="2">
        <v>317058.73479999998</v>
      </c>
    </row>
    <row r="2223" spans="1:6" x14ac:dyDescent="0.3">
      <c r="A2223" s="1">
        <v>43039</v>
      </c>
      <c r="B2223" t="s">
        <v>13</v>
      </c>
      <c r="C2223" t="s">
        <v>14</v>
      </c>
      <c r="D2223" s="2">
        <v>14249595.506252</v>
      </c>
      <c r="E2223" s="2">
        <v>24082.20051423</v>
      </c>
      <c r="F2223" s="2">
        <v>14273677.7067663</v>
      </c>
    </row>
    <row r="2224" spans="1:6" x14ac:dyDescent="0.3">
      <c r="A2224" s="1">
        <v>43039</v>
      </c>
      <c r="B2224" t="s">
        <v>15</v>
      </c>
      <c r="C2224" t="s">
        <v>16</v>
      </c>
      <c r="D2224" s="2">
        <v>29995.18</v>
      </c>
      <c r="E2224" s="2">
        <v>0</v>
      </c>
      <c r="F2224" s="2">
        <v>29995.18</v>
      </c>
    </row>
    <row r="2225" spans="1:6" x14ac:dyDescent="0.3">
      <c r="A2225" s="1">
        <v>43039</v>
      </c>
      <c r="B2225" t="s">
        <v>15</v>
      </c>
      <c r="C2225" t="s">
        <v>18</v>
      </c>
      <c r="D2225" s="2">
        <v>161189.43807226999</v>
      </c>
      <c r="E2225" s="2">
        <v>0</v>
      </c>
      <c r="F2225" s="2">
        <v>161189.43807226999</v>
      </c>
    </row>
    <row r="2226" spans="1:6" x14ac:dyDescent="0.3">
      <c r="A2226" s="1">
        <v>43039</v>
      </c>
      <c r="B2226" t="s">
        <v>15</v>
      </c>
      <c r="C2226" t="s">
        <v>19</v>
      </c>
      <c r="D2226" s="2">
        <v>226578.04345463999</v>
      </c>
      <c r="E2226" s="2">
        <v>5666945.2525750697</v>
      </c>
      <c r="F2226" s="2">
        <v>5893523.2960297102</v>
      </c>
    </row>
    <row r="2227" spans="1:6" x14ac:dyDescent="0.3">
      <c r="A2227" s="1">
        <v>43039</v>
      </c>
      <c r="B2227" t="s">
        <v>15</v>
      </c>
      <c r="C2227" t="s">
        <v>23</v>
      </c>
      <c r="D2227" s="2">
        <v>264.34199999999998</v>
      </c>
      <c r="E2227" s="2">
        <v>0</v>
      </c>
      <c r="F2227" s="2">
        <v>264.34199999999998</v>
      </c>
    </row>
    <row r="2228" spans="1:6" x14ac:dyDescent="0.3">
      <c r="A2228" s="1">
        <v>43039</v>
      </c>
      <c r="B2228" t="s">
        <v>15</v>
      </c>
      <c r="C2228" t="s">
        <v>17</v>
      </c>
      <c r="D2228" s="2">
        <v>82149.235665679997</v>
      </c>
      <c r="E2228" s="2">
        <v>0</v>
      </c>
      <c r="F2228" s="2">
        <v>82149.235665679997</v>
      </c>
    </row>
    <row r="2229" spans="1:6" x14ac:dyDescent="0.3">
      <c r="A2229" s="1">
        <v>43039</v>
      </c>
      <c r="B2229" t="s">
        <v>15</v>
      </c>
      <c r="C2229" t="s">
        <v>20</v>
      </c>
      <c r="D2229" s="2">
        <v>1674.34487156</v>
      </c>
      <c r="E2229" s="2">
        <v>0</v>
      </c>
      <c r="F2229" s="2">
        <v>1674.34487156</v>
      </c>
    </row>
    <row r="2230" spans="1:6" x14ac:dyDescent="0.3">
      <c r="A2230" s="1">
        <v>43069</v>
      </c>
      <c r="B2230" t="s">
        <v>22</v>
      </c>
      <c r="C2230" t="s">
        <v>14</v>
      </c>
      <c r="D2230" s="2">
        <v>14918735.642358899</v>
      </c>
      <c r="E2230" s="2">
        <v>5671656.1445052801</v>
      </c>
      <c r="F2230" s="2">
        <v>20590391.786864098</v>
      </c>
    </row>
    <row r="2231" spans="1:6" x14ac:dyDescent="0.3">
      <c r="A2231" s="1">
        <v>43069</v>
      </c>
      <c r="B2231" t="s">
        <v>6</v>
      </c>
      <c r="C2231" t="s">
        <v>7</v>
      </c>
      <c r="D2231" s="2">
        <v>1967576.6673000001</v>
      </c>
      <c r="E2231" s="2">
        <v>3333.2510000000002</v>
      </c>
      <c r="F2231" s="2">
        <v>1970909.9183</v>
      </c>
    </row>
    <row r="2232" spans="1:6" x14ac:dyDescent="0.3">
      <c r="A2232" s="1">
        <v>43069</v>
      </c>
      <c r="B2232" t="s">
        <v>6</v>
      </c>
      <c r="C2232" t="s">
        <v>8</v>
      </c>
      <c r="D2232" s="2">
        <v>8825124.2437999994</v>
      </c>
      <c r="E2232" s="2">
        <v>5620.3770999999997</v>
      </c>
      <c r="F2232" s="2">
        <v>8830744.6208999995</v>
      </c>
    </row>
    <row r="2233" spans="1:6" x14ac:dyDescent="0.3">
      <c r="A2233" s="1">
        <v>43069</v>
      </c>
      <c r="B2233" t="s">
        <v>6</v>
      </c>
      <c r="C2233" t="s">
        <v>9</v>
      </c>
      <c r="D2233" s="2">
        <v>1977262.9073000001</v>
      </c>
      <c r="E2233" s="2">
        <v>3262.1037000000001</v>
      </c>
      <c r="F2233" s="2">
        <v>1980525.0109999999</v>
      </c>
    </row>
    <row r="2234" spans="1:6" x14ac:dyDescent="0.3">
      <c r="A2234" s="1">
        <v>43069</v>
      </c>
      <c r="B2234" t="s">
        <v>6</v>
      </c>
      <c r="C2234" t="s">
        <v>11</v>
      </c>
      <c r="D2234" s="2">
        <v>330021.76689999999</v>
      </c>
      <c r="E2234" s="2">
        <v>30.07</v>
      </c>
      <c r="F2234" s="2">
        <v>330051.83689999999</v>
      </c>
    </row>
    <row r="2235" spans="1:6" x14ac:dyDescent="0.3">
      <c r="A2235" s="1">
        <v>43069</v>
      </c>
      <c r="B2235" t="s">
        <v>6</v>
      </c>
      <c r="C2235" t="s">
        <v>10</v>
      </c>
      <c r="D2235" s="2">
        <v>1313480.01413374</v>
      </c>
      <c r="E2235" s="2">
        <v>372.49113876000001</v>
      </c>
      <c r="F2235" s="2">
        <v>1313852.5052725</v>
      </c>
    </row>
    <row r="2236" spans="1:6" x14ac:dyDescent="0.3">
      <c r="A2236" s="1">
        <v>43069</v>
      </c>
      <c r="B2236" t="s">
        <v>6</v>
      </c>
      <c r="C2236" t="s">
        <v>12</v>
      </c>
      <c r="D2236" s="2">
        <v>0</v>
      </c>
      <c r="E2236" s="2">
        <v>11457.199000000001</v>
      </c>
      <c r="F2236" s="2">
        <v>11457.199000000001</v>
      </c>
    </row>
    <row r="2237" spans="1:6" x14ac:dyDescent="0.3">
      <c r="A2237" s="1">
        <v>43069</v>
      </c>
      <c r="B2237" t="s">
        <v>13</v>
      </c>
      <c r="C2237" t="s">
        <v>14</v>
      </c>
      <c r="D2237" s="2">
        <v>14413465.5994337</v>
      </c>
      <c r="E2237" s="2">
        <v>24075.491938759998</v>
      </c>
      <c r="F2237" s="2">
        <v>14437541.091372499</v>
      </c>
    </row>
    <row r="2238" spans="1:6" x14ac:dyDescent="0.3">
      <c r="A2238" s="1">
        <v>43069</v>
      </c>
      <c r="B2238" t="s">
        <v>15</v>
      </c>
      <c r="C2238" t="s">
        <v>16</v>
      </c>
      <c r="D2238" s="2">
        <v>29995.18</v>
      </c>
      <c r="E2238" s="2">
        <v>0</v>
      </c>
      <c r="F2238" s="2">
        <v>29995.18</v>
      </c>
    </row>
    <row r="2239" spans="1:6" x14ac:dyDescent="0.3">
      <c r="A2239" s="1">
        <v>43069</v>
      </c>
      <c r="B2239" t="s">
        <v>15</v>
      </c>
      <c r="C2239" t="s">
        <v>23</v>
      </c>
      <c r="D2239" s="2">
        <v>264.34199999999998</v>
      </c>
      <c r="E2239" s="2">
        <v>0</v>
      </c>
      <c r="F2239" s="2">
        <v>264.34199999999998</v>
      </c>
    </row>
    <row r="2240" spans="1:6" x14ac:dyDescent="0.3">
      <c r="A2240" s="1">
        <v>43069</v>
      </c>
      <c r="B2240" t="s">
        <v>15</v>
      </c>
      <c r="C2240" t="s">
        <v>17</v>
      </c>
      <c r="D2240" s="2">
        <v>85018.411142249999</v>
      </c>
      <c r="E2240" s="2">
        <v>0</v>
      </c>
      <c r="F2240" s="2">
        <v>85018.411142249999</v>
      </c>
    </row>
    <row r="2241" spans="1:6" x14ac:dyDescent="0.3">
      <c r="A2241" s="1">
        <v>43069</v>
      </c>
      <c r="B2241" t="s">
        <v>15</v>
      </c>
      <c r="C2241" t="s">
        <v>18</v>
      </c>
      <c r="D2241" s="2">
        <v>160901.76527223</v>
      </c>
      <c r="E2241" s="2">
        <v>0</v>
      </c>
      <c r="F2241" s="2">
        <v>160901.76527223</v>
      </c>
    </row>
    <row r="2242" spans="1:6" x14ac:dyDescent="0.3">
      <c r="A2242" s="1">
        <v>43069</v>
      </c>
      <c r="B2242" t="s">
        <v>15</v>
      </c>
      <c r="C2242" t="s">
        <v>19</v>
      </c>
      <c r="D2242" s="2">
        <v>227450.87544457999</v>
      </c>
      <c r="E2242" s="2">
        <v>5647580.6525665196</v>
      </c>
      <c r="F2242" s="2">
        <v>5875031.5280111004</v>
      </c>
    </row>
    <row r="2243" spans="1:6" x14ac:dyDescent="0.3">
      <c r="A2243" s="1">
        <v>43069</v>
      </c>
      <c r="B2243" t="s">
        <v>15</v>
      </c>
      <c r="C2243" t="s">
        <v>20</v>
      </c>
      <c r="D2243" s="2">
        <v>1639.4690660700001</v>
      </c>
      <c r="E2243" s="2">
        <v>0</v>
      </c>
      <c r="F2243" s="2">
        <v>1639.4690660700001</v>
      </c>
    </row>
    <row r="2244" spans="1:6" x14ac:dyDescent="0.3">
      <c r="A2244" s="1">
        <v>43069</v>
      </c>
      <c r="B2244" t="s">
        <v>21</v>
      </c>
      <c r="C2244" t="s">
        <v>14</v>
      </c>
      <c r="D2244" s="2">
        <v>505270.04292512999</v>
      </c>
      <c r="E2244" s="2">
        <v>5647580.6525665196</v>
      </c>
      <c r="F2244" s="2">
        <v>6152850.6954916501</v>
      </c>
    </row>
    <row r="2245" spans="1:6" x14ac:dyDescent="0.3">
      <c r="A2245" s="1">
        <v>43100</v>
      </c>
      <c r="B2245" t="s">
        <v>6</v>
      </c>
      <c r="C2245" t="s">
        <v>7</v>
      </c>
      <c r="D2245" s="2">
        <v>1952521.0083000001</v>
      </c>
      <c r="E2245" s="2">
        <v>3411.55</v>
      </c>
      <c r="F2245" s="2">
        <v>1955932.5582999999</v>
      </c>
    </row>
    <row r="2246" spans="1:6" x14ac:dyDescent="0.3">
      <c r="A2246" s="1">
        <v>43100</v>
      </c>
      <c r="B2246" t="s">
        <v>6</v>
      </c>
      <c r="C2246" t="s">
        <v>12</v>
      </c>
      <c r="D2246" s="2">
        <v>0</v>
      </c>
      <c r="E2246" s="2">
        <v>11457.199000000001</v>
      </c>
      <c r="F2246" s="2">
        <v>11457.199000000001</v>
      </c>
    </row>
    <row r="2247" spans="1:6" x14ac:dyDescent="0.3">
      <c r="A2247" s="1">
        <v>43100</v>
      </c>
      <c r="B2247" t="s">
        <v>6</v>
      </c>
      <c r="C2247" t="s">
        <v>11</v>
      </c>
      <c r="D2247" s="2">
        <v>343027.3702</v>
      </c>
      <c r="E2247" s="2">
        <v>24.51</v>
      </c>
      <c r="F2247" s="2">
        <v>343051.88020000001</v>
      </c>
    </row>
    <row r="2248" spans="1:6" x14ac:dyDescent="0.3">
      <c r="A2248" s="1">
        <v>43100</v>
      </c>
      <c r="B2248" t="s">
        <v>6</v>
      </c>
      <c r="C2248" t="s">
        <v>9</v>
      </c>
      <c r="D2248" s="2">
        <v>1989230.8254</v>
      </c>
      <c r="E2248" s="2">
        <v>3293.2359000000001</v>
      </c>
      <c r="F2248" s="2">
        <v>1992524.0612999999</v>
      </c>
    </row>
    <row r="2249" spans="1:6" x14ac:dyDescent="0.3">
      <c r="A2249" s="1">
        <v>43100</v>
      </c>
      <c r="B2249" t="s">
        <v>6</v>
      </c>
      <c r="C2249" t="s">
        <v>10</v>
      </c>
      <c r="D2249" s="2">
        <v>1327160.0379085799</v>
      </c>
      <c r="E2249" s="2">
        <v>368.18437451</v>
      </c>
      <c r="F2249" s="2">
        <v>1327528.22228309</v>
      </c>
    </row>
    <row r="2250" spans="1:6" x14ac:dyDescent="0.3">
      <c r="A2250" s="1">
        <v>43100</v>
      </c>
      <c r="B2250" t="s">
        <v>6</v>
      </c>
      <c r="C2250" t="s">
        <v>8</v>
      </c>
      <c r="D2250" s="2">
        <v>8844127.9508999996</v>
      </c>
      <c r="E2250" s="2">
        <v>5615.7311</v>
      </c>
      <c r="F2250" s="2">
        <v>8849743.682</v>
      </c>
    </row>
    <row r="2251" spans="1:6" x14ac:dyDescent="0.3">
      <c r="A2251" s="1">
        <v>43100</v>
      </c>
      <c r="B2251" t="s">
        <v>13</v>
      </c>
      <c r="C2251" t="s">
        <v>14</v>
      </c>
      <c r="D2251" s="2">
        <v>14456067.1927086</v>
      </c>
      <c r="E2251" s="2">
        <v>24170.41037451</v>
      </c>
      <c r="F2251" s="2">
        <v>14480237.6030831</v>
      </c>
    </row>
    <row r="2252" spans="1:6" x14ac:dyDescent="0.3">
      <c r="A2252" s="1">
        <v>43100</v>
      </c>
      <c r="B2252" t="s">
        <v>15</v>
      </c>
      <c r="C2252" t="s">
        <v>16</v>
      </c>
      <c r="D2252" s="2">
        <v>29995.18</v>
      </c>
      <c r="E2252" s="2">
        <v>0</v>
      </c>
      <c r="F2252" s="2">
        <v>29995.18</v>
      </c>
    </row>
    <row r="2253" spans="1:6" x14ac:dyDescent="0.3">
      <c r="A2253" s="1">
        <v>43100</v>
      </c>
      <c r="B2253" t="s">
        <v>15</v>
      </c>
      <c r="C2253" t="s">
        <v>23</v>
      </c>
      <c r="D2253" s="2">
        <v>264.34199999999998</v>
      </c>
      <c r="E2253" s="2">
        <v>0</v>
      </c>
      <c r="F2253" s="2">
        <v>264.34199999999998</v>
      </c>
    </row>
    <row r="2254" spans="1:6" x14ac:dyDescent="0.3">
      <c r="A2254" s="1">
        <v>43100</v>
      </c>
      <c r="B2254" t="s">
        <v>15</v>
      </c>
      <c r="C2254" t="s">
        <v>17</v>
      </c>
      <c r="D2254" s="2">
        <v>92446.885557410002</v>
      </c>
      <c r="E2254" s="2">
        <v>0</v>
      </c>
      <c r="F2254" s="2">
        <v>92446.885557410002</v>
      </c>
    </row>
    <row r="2255" spans="1:6" x14ac:dyDescent="0.3">
      <c r="A2255" s="1">
        <v>43100</v>
      </c>
      <c r="B2255" t="s">
        <v>15</v>
      </c>
      <c r="C2255" t="s">
        <v>18</v>
      </c>
      <c r="D2255" s="2">
        <v>160475.50660759999</v>
      </c>
      <c r="E2255" s="2">
        <v>0</v>
      </c>
      <c r="F2255" s="2">
        <v>160475.50660759999</v>
      </c>
    </row>
    <row r="2256" spans="1:6" x14ac:dyDescent="0.3">
      <c r="A2256" s="1">
        <v>43100</v>
      </c>
      <c r="B2256" t="s">
        <v>15</v>
      </c>
      <c r="C2256" t="s">
        <v>19</v>
      </c>
      <c r="D2256" s="2">
        <v>73657.972384359993</v>
      </c>
      <c r="E2256" s="2">
        <v>5653855.0080154696</v>
      </c>
      <c r="F2256" s="2">
        <v>5727512.9803998303</v>
      </c>
    </row>
    <row r="2257" spans="1:6" x14ac:dyDescent="0.3">
      <c r="A2257" s="1">
        <v>43100</v>
      </c>
      <c r="B2257" t="s">
        <v>15</v>
      </c>
      <c r="C2257" t="s">
        <v>20</v>
      </c>
      <c r="D2257" s="2">
        <v>1812.8832874699999</v>
      </c>
      <c r="E2257" s="2">
        <v>0</v>
      </c>
      <c r="F2257" s="2">
        <v>1812.8832874699999</v>
      </c>
    </row>
    <row r="2258" spans="1:6" x14ac:dyDescent="0.3">
      <c r="A2258" s="1">
        <v>43100</v>
      </c>
      <c r="B2258" t="s">
        <v>21</v>
      </c>
      <c r="C2258" t="s">
        <v>14</v>
      </c>
      <c r="D2258" s="2">
        <v>358653.76983683999</v>
      </c>
      <c r="E2258" s="2">
        <v>5653855.0080154696</v>
      </c>
      <c r="F2258" s="2">
        <v>6012508.7778523099</v>
      </c>
    </row>
    <row r="2259" spans="1:6" x14ac:dyDescent="0.3">
      <c r="A2259" s="1">
        <v>43100</v>
      </c>
      <c r="B2259" t="s">
        <v>22</v>
      </c>
      <c r="C2259" t="s">
        <v>14</v>
      </c>
      <c r="D2259" s="2">
        <v>14814720.9625454</v>
      </c>
      <c r="E2259" s="2">
        <v>5678025.4183899797</v>
      </c>
      <c r="F2259" s="2">
        <v>20492747.380935401</v>
      </c>
    </row>
    <row r="2260" spans="1:6" x14ac:dyDescent="0.3">
      <c r="A2260" s="1">
        <v>43131</v>
      </c>
      <c r="B2260" t="s">
        <v>15</v>
      </c>
      <c r="C2260" t="s">
        <v>20</v>
      </c>
      <c r="D2260" s="2">
        <v>1797.17033367</v>
      </c>
      <c r="E2260" s="2">
        <v>0</v>
      </c>
      <c r="F2260" s="2">
        <v>1797.17033367</v>
      </c>
    </row>
    <row r="2261" spans="1:6" x14ac:dyDescent="0.3">
      <c r="A2261" s="1">
        <v>43131</v>
      </c>
      <c r="B2261" t="s">
        <v>22</v>
      </c>
      <c r="C2261" t="s">
        <v>14</v>
      </c>
      <c r="D2261" s="2">
        <v>14803169.5870704</v>
      </c>
      <c r="E2261" s="2">
        <v>5690560.1890858496</v>
      </c>
      <c r="F2261" s="2">
        <v>20493729.776156198</v>
      </c>
    </row>
    <row r="2262" spans="1:6" x14ac:dyDescent="0.3">
      <c r="A2262" s="1">
        <v>43131</v>
      </c>
      <c r="B2262" t="s">
        <v>21</v>
      </c>
      <c r="C2262" t="s">
        <v>14</v>
      </c>
      <c r="D2262" s="2">
        <v>312599.04095048999</v>
      </c>
      <c r="E2262" s="2">
        <v>5666585.7920025503</v>
      </c>
      <c r="F2262" s="2">
        <v>5979184.8329530396</v>
      </c>
    </row>
    <row r="2263" spans="1:6" x14ac:dyDescent="0.3">
      <c r="A2263" s="1">
        <v>43131</v>
      </c>
      <c r="B2263" t="s">
        <v>6</v>
      </c>
      <c r="C2263" t="s">
        <v>7</v>
      </c>
      <c r="D2263" s="2">
        <v>1963108.9010999999</v>
      </c>
      <c r="E2263" s="2">
        <v>3830.453</v>
      </c>
      <c r="F2263" s="2">
        <v>1966939.3541000001</v>
      </c>
    </row>
    <row r="2264" spans="1:6" x14ac:dyDescent="0.3">
      <c r="A2264" s="1">
        <v>43131</v>
      </c>
      <c r="B2264" t="s">
        <v>6</v>
      </c>
      <c r="C2264" t="s">
        <v>8</v>
      </c>
      <c r="D2264" s="2">
        <v>8884060.4944999907</v>
      </c>
      <c r="E2264" s="2">
        <v>5114.7070999999996</v>
      </c>
      <c r="F2264" s="2">
        <v>8889175.2015999891</v>
      </c>
    </row>
    <row r="2265" spans="1:6" x14ac:dyDescent="0.3">
      <c r="A2265" s="1">
        <v>43131</v>
      </c>
      <c r="B2265" t="s">
        <v>6</v>
      </c>
      <c r="C2265" t="s">
        <v>9</v>
      </c>
      <c r="D2265" s="2">
        <v>2001727.3211000001</v>
      </c>
      <c r="E2265" s="2">
        <v>3202.4029</v>
      </c>
      <c r="F2265" s="2">
        <v>2004929.7239999999</v>
      </c>
    </row>
    <row r="2266" spans="1:6" x14ac:dyDescent="0.3">
      <c r="A2266" s="1">
        <v>43131</v>
      </c>
      <c r="B2266" t="s">
        <v>6</v>
      </c>
      <c r="C2266" t="s">
        <v>10</v>
      </c>
      <c r="D2266" s="2">
        <v>1322714.34021989</v>
      </c>
      <c r="E2266" s="2">
        <v>345.12508330000003</v>
      </c>
      <c r="F2266" s="2">
        <v>1323059.4653031901</v>
      </c>
    </row>
    <row r="2267" spans="1:6" x14ac:dyDescent="0.3">
      <c r="A2267" s="1">
        <v>43131</v>
      </c>
      <c r="B2267" t="s">
        <v>6</v>
      </c>
      <c r="C2267" t="s">
        <v>12</v>
      </c>
      <c r="D2267" s="2">
        <v>0</v>
      </c>
      <c r="E2267" s="2">
        <v>11457.199000000001</v>
      </c>
      <c r="F2267" s="2">
        <v>11457.199000000001</v>
      </c>
    </row>
    <row r="2268" spans="1:6" x14ac:dyDescent="0.3">
      <c r="A2268" s="1">
        <v>43131</v>
      </c>
      <c r="B2268" t="s">
        <v>6</v>
      </c>
      <c r="C2268" t="s">
        <v>11</v>
      </c>
      <c r="D2268" s="2">
        <v>318959.48920000001</v>
      </c>
      <c r="E2268" s="2">
        <v>24.51</v>
      </c>
      <c r="F2268" s="2">
        <v>318983.99920000002</v>
      </c>
    </row>
    <row r="2269" spans="1:6" x14ac:dyDescent="0.3">
      <c r="A2269" s="1">
        <v>43131</v>
      </c>
      <c r="B2269" t="s">
        <v>13</v>
      </c>
      <c r="C2269" t="s">
        <v>14</v>
      </c>
      <c r="D2269" s="2">
        <v>14490570.5461199</v>
      </c>
      <c r="E2269" s="2">
        <v>23974.397083299998</v>
      </c>
      <c r="F2269" s="2">
        <v>14514544.9432032</v>
      </c>
    </row>
    <row r="2270" spans="1:6" x14ac:dyDescent="0.3">
      <c r="A2270" s="1">
        <v>43131</v>
      </c>
      <c r="B2270" t="s">
        <v>15</v>
      </c>
      <c r="C2270" t="s">
        <v>16</v>
      </c>
      <c r="D2270" s="2">
        <v>29995.18</v>
      </c>
      <c r="E2270" s="2">
        <v>0</v>
      </c>
      <c r="F2270" s="2">
        <v>29995.18</v>
      </c>
    </row>
    <row r="2271" spans="1:6" x14ac:dyDescent="0.3">
      <c r="A2271" s="1">
        <v>43131</v>
      </c>
      <c r="B2271" t="s">
        <v>15</v>
      </c>
      <c r="C2271" t="s">
        <v>18</v>
      </c>
      <c r="D2271" s="2">
        <v>159902.40041584001</v>
      </c>
      <c r="E2271" s="2">
        <v>0</v>
      </c>
      <c r="F2271" s="2">
        <v>159902.40041584001</v>
      </c>
    </row>
    <row r="2272" spans="1:6" x14ac:dyDescent="0.3">
      <c r="A2272" s="1">
        <v>43131</v>
      </c>
      <c r="B2272" t="s">
        <v>15</v>
      </c>
      <c r="C2272" t="s">
        <v>19</v>
      </c>
      <c r="D2272" s="2">
        <v>34070.136310479997</v>
      </c>
      <c r="E2272" s="2">
        <v>5666585.7920025503</v>
      </c>
      <c r="F2272" s="2">
        <v>5700655.9283130299</v>
      </c>
    </row>
    <row r="2273" spans="1:6" x14ac:dyDescent="0.3">
      <c r="A2273" s="1">
        <v>43131</v>
      </c>
      <c r="B2273" t="s">
        <v>15</v>
      </c>
      <c r="C2273" t="s">
        <v>23</v>
      </c>
      <c r="D2273" s="2">
        <v>264.34199999999998</v>
      </c>
      <c r="E2273" s="2">
        <v>0</v>
      </c>
      <c r="F2273" s="2">
        <v>264.34199999999998</v>
      </c>
    </row>
    <row r="2274" spans="1:6" x14ac:dyDescent="0.3">
      <c r="A2274" s="1">
        <v>43131</v>
      </c>
      <c r="B2274" t="s">
        <v>15</v>
      </c>
      <c r="C2274" t="s">
        <v>17</v>
      </c>
      <c r="D2274" s="2">
        <v>86569.811890500001</v>
      </c>
      <c r="E2274" s="2">
        <v>0</v>
      </c>
      <c r="F2274" s="2">
        <v>86569.811890500001</v>
      </c>
    </row>
    <row r="2275" spans="1:6" x14ac:dyDescent="0.3">
      <c r="A2275" s="1">
        <v>43159</v>
      </c>
      <c r="B2275" t="s">
        <v>21</v>
      </c>
      <c r="C2275" t="s">
        <v>14</v>
      </c>
      <c r="D2275" s="2">
        <v>496080.68415107997</v>
      </c>
      <c r="E2275" s="2">
        <v>5681648.7072582804</v>
      </c>
      <c r="F2275" s="2">
        <v>6177730.3914093599</v>
      </c>
    </row>
    <row r="2276" spans="1:6" x14ac:dyDescent="0.3">
      <c r="A2276" s="1">
        <v>43159</v>
      </c>
      <c r="B2276" t="s">
        <v>6</v>
      </c>
      <c r="C2276" t="s">
        <v>7</v>
      </c>
      <c r="D2276" s="2">
        <v>2074218.2805000001</v>
      </c>
      <c r="E2276" s="2">
        <v>3748.0549999999998</v>
      </c>
      <c r="F2276" s="2">
        <v>2077966.3355</v>
      </c>
    </row>
    <row r="2277" spans="1:6" x14ac:dyDescent="0.3">
      <c r="A2277" s="1">
        <v>43159</v>
      </c>
      <c r="B2277" t="s">
        <v>6</v>
      </c>
      <c r="C2277" t="s">
        <v>8</v>
      </c>
      <c r="D2277" s="2">
        <v>8894907.0966999996</v>
      </c>
      <c r="E2277" s="2">
        <v>4649.4141</v>
      </c>
      <c r="F2277" s="2">
        <v>8899556.5108000003</v>
      </c>
    </row>
    <row r="2278" spans="1:6" x14ac:dyDescent="0.3">
      <c r="A2278" s="1">
        <v>43159</v>
      </c>
      <c r="B2278" t="s">
        <v>6</v>
      </c>
      <c r="C2278" t="s">
        <v>12</v>
      </c>
      <c r="D2278" s="2">
        <v>0</v>
      </c>
      <c r="E2278" s="2">
        <v>11457.199000000001</v>
      </c>
      <c r="F2278" s="2">
        <v>11457.199000000001</v>
      </c>
    </row>
    <row r="2279" spans="1:6" x14ac:dyDescent="0.3">
      <c r="A2279" s="1">
        <v>43159</v>
      </c>
      <c r="B2279" t="s">
        <v>6</v>
      </c>
      <c r="C2279" t="s">
        <v>9</v>
      </c>
      <c r="D2279" s="2">
        <v>2020732.612</v>
      </c>
      <c r="E2279" s="2">
        <v>3219.2051999999999</v>
      </c>
      <c r="F2279" s="2">
        <v>2023951.8171999999</v>
      </c>
    </row>
    <row r="2280" spans="1:6" x14ac:dyDescent="0.3">
      <c r="A2280" s="1">
        <v>43159</v>
      </c>
      <c r="B2280" t="s">
        <v>6</v>
      </c>
      <c r="C2280" t="s">
        <v>10</v>
      </c>
      <c r="D2280" s="2">
        <v>1330681.9474174201</v>
      </c>
      <c r="E2280" s="2">
        <v>343.20167630999998</v>
      </c>
      <c r="F2280" s="2">
        <v>1331025.1490937299</v>
      </c>
    </row>
    <row r="2281" spans="1:6" x14ac:dyDescent="0.3">
      <c r="A2281" s="1">
        <v>43159</v>
      </c>
      <c r="B2281" t="s">
        <v>6</v>
      </c>
      <c r="C2281" t="s">
        <v>11</v>
      </c>
      <c r="D2281" s="2">
        <v>333968.47169999999</v>
      </c>
      <c r="E2281" s="2">
        <v>16.52</v>
      </c>
      <c r="F2281" s="2">
        <v>333984.99170000001</v>
      </c>
    </row>
    <row r="2282" spans="1:6" x14ac:dyDescent="0.3">
      <c r="A2282" s="1">
        <v>43159</v>
      </c>
      <c r="B2282" t="s">
        <v>13</v>
      </c>
      <c r="C2282" t="s">
        <v>14</v>
      </c>
      <c r="D2282" s="2">
        <v>14654508.4083174</v>
      </c>
      <c r="E2282" s="2">
        <v>23433.59497631</v>
      </c>
      <c r="F2282" s="2">
        <v>14677942.003293701</v>
      </c>
    </row>
    <row r="2283" spans="1:6" x14ac:dyDescent="0.3">
      <c r="A2283" s="1">
        <v>43159</v>
      </c>
      <c r="B2283" t="s">
        <v>15</v>
      </c>
      <c r="C2283" t="s">
        <v>16</v>
      </c>
      <c r="D2283" s="2">
        <v>29995.18</v>
      </c>
      <c r="E2283" s="2">
        <v>0</v>
      </c>
      <c r="F2283" s="2">
        <v>29995.18</v>
      </c>
    </row>
    <row r="2284" spans="1:6" x14ac:dyDescent="0.3">
      <c r="A2284" s="1">
        <v>43159</v>
      </c>
      <c r="B2284" t="s">
        <v>15</v>
      </c>
      <c r="C2284" t="s">
        <v>23</v>
      </c>
      <c r="D2284" s="2">
        <v>264.34199999999998</v>
      </c>
      <c r="E2284" s="2">
        <v>0</v>
      </c>
      <c r="F2284" s="2">
        <v>264.34199999999998</v>
      </c>
    </row>
    <row r="2285" spans="1:6" x14ac:dyDescent="0.3">
      <c r="A2285" s="1">
        <v>43159</v>
      </c>
      <c r="B2285" t="s">
        <v>15</v>
      </c>
      <c r="C2285" t="s">
        <v>17</v>
      </c>
      <c r="D2285" s="2">
        <v>83390.137356370004</v>
      </c>
      <c r="E2285" s="2">
        <v>0</v>
      </c>
      <c r="F2285" s="2">
        <v>83390.137356370004</v>
      </c>
    </row>
    <row r="2286" spans="1:6" x14ac:dyDescent="0.3">
      <c r="A2286" s="1">
        <v>43159</v>
      </c>
      <c r="B2286" t="s">
        <v>15</v>
      </c>
      <c r="C2286" t="s">
        <v>20</v>
      </c>
      <c r="D2286" s="2">
        <v>1786.7770604100001</v>
      </c>
      <c r="E2286" s="2">
        <v>0</v>
      </c>
      <c r="F2286" s="2">
        <v>1786.7770604100001</v>
      </c>
    </row>
    <row r="2287" spans="1:6" x14ac:dyDescent="0.3">
      <c r="A2287" s="1">
        <v>43159</v>
      </c>
      <c r="B2287" t="s">
        <v>15</v>
      </c>
      <c r="C2287" t="s">
        <v>19</v>
      </c>
      <c r="D2287" s="2">
        <v>221168.90732689999</v>
      </c>
      <c r="E2287" s="2">
        <v>5681648.7072582804</v>
      </c>
      <c r="F2287" s="2">
        <v>5902817.6145851798</v>
      </c>
    </row>
    <row r="2288" spans="1:6" x14ac:dyDescent="0.3">
      <c r="A2288" s="1">
        <v>43159</v>
      </c>
      <c r="B2288" t="s">
        <v>15</v>
      </c>
      <c r="C2288" t="s">
        <v>18</v>
      </c>
      <c r="D2288" s="2">
        <v>159475.34040740001</v>
      </c>
      <c r="E2288" s="2">
        <v>0</v>
      </c>
      <c r="F2288" s="2">
        <v>159475.34040740001</v>
      </c>
    </row>
    <row r="2289" spans="1:6" x14ac:dyDescent="0.3">
      <c r="A2289" s="1">
        <v>43159</v>
      </c>
      <c r="B2289" t="s">
        <v>22</v>
      </c>
      <c r="C2289" t="s">
        <v>14</v>
      </c>
      <c r="D2289" s="2">
        <v>15150589.0924685</v>
      </c>
      <c r="E2289" s="2">
        <v>5705082.3022345901</v>
      </c>
      <c r="F2289" s="2">
        <v>20855672.394703101</v>
      </c>
    </row>
    <row r="2290" spans="1:6" x14ac:dyDescent="0.3">
      <c r="A2290" s="1">
        <v>43190</v>
      </c>
      <c r="B2290" t="s">
        <v>6</v>
      </c>
      <c r="C2290" t="s">
        <v>7</v>
      </c>
      <c r="D2290" s="2">
        <v>2284417.4103000001</v>
      </c>
      <c r="E2290" s="2">
        <v>4551.5469999999996</v>
      </c>
      <c r="F2290" s="2">
        <v>2288968.9572999999</v>
      </c>
    </row>
    <row r="2291" spans="1:6" x14ac:dyDescent="0.3">
      <c r="A2291" s="1">
        <v>43190</v>
      </c>
      <c r="B2291" t="s">
        <v>6</v>
      </c>
      <c r="C2291" t="s">
        <v>8</v>
      </c>
      <c r="D2291" s="2">
        <v>8920299.8520999998</v>
      </c>
      <c r="E2291" s="2">
        <v>4255.4710999999998</v>
      </c>
      <c r="F2291" s="2">
        <v>8924555.3232000005</v>
      </c>
    </row>
    <row r="2292" spans="1:6" x14ac:dyDescent="0.3">
      <c r="A2292" s="1">
        <v>43190</v>
      </c>
      <c r="B2292" t="s">
        <v>6</v>
      </c>
      <c r="C2292" t="s">
        <v>9</v>
      </c>
      <c r="D2292" s="2">
        <v>2033787.4012</v>
      </c>
      <c r="E2292" s="2">
        <v>3164.3780999999999</v>
      </c>
      <c r="F2292" s="2">
        <v>2036951.7793000001</v>
      </c>
    </row>
    <row r="2293" spans="1:6" x14ac:dyDescent="0.3">
      <c r="A2293" s="1">
        <v>43190</v>
      </c>
      <c r="B2293" t="s">
        <v>6</v>
      </c>
      <c r="C2293" t="s">
        <v>10</v>
      </c>
      <c r="D2293" s="2">
        <v>1348478.7074453</v>
      </c>
      <c r="E2293" s="2">
        <v>338.70928586999997</v>
      </c>
      <c r="F2293" s="2">
        <v>1348817.4167311699</v>
      </c>
    </row>
    <row r="2294" spans="1:6" x14ac:dyDescent="0.3">
      <c r="A2294" s="1">
        <v>43190</v>
      </c>
      <c r="B2294" t="s">
        <v>6</v>
      </c>
      <c r="C2294" t="s">
        <v>11</v>
      </c>
      <c r="D2294" s="2">
        <v>333968.47169999999</v>
      </c>
      <c r="E2294" s="2">
        <v>16.52</v>
      </c>
      <c r="F2294" s="2">
        <v>333984.99170000001</v>
      </c>
    </row>
    <row r="2295" spans="1:6" x14ac:dyDescent="0.3">
      <c r="A2295" s="1">
        <v>43190</v>
      </c>
      <c r="B2295" t="s">
        <v>6</v>
      </c>
      <c r="C2295" t="s">
        <v>12</v>
      </c>
      <c r="D2295" s="2">
        <v>0</v>
      </c>
      <c r="E2295" s="2">
        <v>11457.199000000001</v>
      </c>
      <c r="F2295" s="2">
        <v>11457.199000000001</v>
      </c>
    </row>
    <row r="2296" spans="1:6" x14ac:dyDescent="0.3">
      <c r="A2296" s="1">
        <v>43190</v>
      </c>
      <c r="B2296" t="s">
        <v>13</v>
      </c>
      <c r="C2296" t="s">
        <v>14</v>
      </c>
      <c r="D2296" s="2">
        <v>14920951.8427453</v>
      </c>
      <c r="E2296" s="2">
        <v>23783.824485870002</v>
      </c>
      <c r="F2296" s="2">
        <v>14944735.6672312</v>
      </c>
    </row>
    <row r="2297" spans="1:6" x14ac:dyDescent="0.3">
      <c r="A2297" s="1">
        <v>43190</v>
      </c>
      <c r="B2297" t="s">
        <v>15</v>
      </c>
      <c r="C2297" t="s">
        <v>23</v>
      </c>
      <c r="D2297" s="2">
        <v>264.34199999999998</v>
      </c>
      <c r="E2297" s="2">
        <v>0</v>
      </c>
      <c r="F2297" s="2">
        <v>264.34199999999998</v>
      </c>
    </row>
    <row r="2298" spans="1:6" x14ac:dyDescent="0.3">
      <c r="A2298" s="1">
        <v>43190</v>
      </c>
      <c r="B2298" t="s">
        <v>15</v>
      </c>
      <c r="C2298" t="s">
        <v>17</v>
      </c>
      <c r="D2298" s="2">
        <v>84595.172424439996</v>
      </c>
      <c r="E2298" s="2">
        <v>0</v>
      </c>
      <c r="F2298" s="2">
        <v>84595.172424439996</v>
      </c>
    </row>
    <row r="2299" spans="1:6" x14ac:dyDescent="0.3">
      <c r="A2299" s="1">
        <v>43190</v>
      </c>
      <c r="B2299" t="s">
        <v>15</v>
      </c>
      <c r="C2299" t="s">
        <v>18</v>
      </c>
      <c r="D2299" s="2">
        <v>159040.00186756</v>
      </c>
      <c r="E2299" s="2">
        <v>0</v>
      </c>
      <c r="F2299" s="2">
        <v>159040.00186756</v>
      </c>
    </row>
    <row r="2300" spans="1:6" x14ac:dyDescent="0.3">
      <c r="A2300" s="1">
        <v>43190</v>
      </c>
      <c r="B2300" t="s">
        <v>15</v>
      </c>
      <c r="C2300" t="s">
        <v>16</v>
      </c>
      <c r="D2300" s="2">
        <v>29995.18</v>
      </c>
      <c r="E2300" s="2">
        <v>0</v>
      </c>
      <c r="F2300" s="2">
        <v>29995.18</v>
      </c>
    </row>
    <row r="2301" spans="1:6" x14ac:dyDescent="0.3">
      <c r="A2301" s="1">
        <v>43190</v>
      </c>
      <c r="B2301" t="s">
        <v>15</v>
      </c>
      <c r="C2301" t="s">
        <v>19</v>
      </c>
      <c r="D2301" s="2">
        <v>231471.02796571</v>
      </c>
      <c r="E2301" s="2">
        <v>5637849.08419115</v>
      </c>
      <c r="F2301" s="2">
        <v>5869320.1121568503</v>
      </c>
    </row>
    <row r="2302" spans="1:6" x14ac:dyDescent="0.3">
      <c r="A2302" s="1">
        <v>43190</v>
      </c>
      <c r="B2302" t="s">
        <v>15</v>
      </c>
      <c r="C2302" t="s">
        <v>20</v>
      </c>
      <c r="D2302" s="2">
        <v>1692.33961843</v>
      </c>
      <c r="E2302" s="2">
        <v>0</v>
      </c>
      <c r="F2302" s="2">
        <v>1692.33961843</v>
      </c>
    </row>
    <row r="2303" spans="1:6" x14ac:dyDescent="0.3">
      <c r="A2303" s="1">
        <v>43190</v>
      </c>
      <c r="B2303" t="s">
        <v>21</v>
      </c>
      <c r="C2303" t="s">
        <v>14</v>
      </c>
      <c r="D2303" s="2">
        <v>507058.06387613999</v>
      </c>
      <c r="E2303" s="2">
        <v>5637849.08419115</v>
      </c>
      <c r="F2303" s="2">
        <v>6144907.1480672797</v>
      </c>
    </row>
    <row r="2304" spans="1:6" x14ac:dyDescent="0.3">
      <c r="A2304" s="1">
        <v>43190</v>
      </c>
      <c r="B2304" t="s">
        <v>22</v>
      </c>
      <c r="C2304" t="s">
        <v>14</v>
      </c>
      <c r="D2304" s="2">
        <v>15428009.9066214</v>
      </c>
      <c r="E2304" s="2">
        <v>5661632.9086770201</v>
      </c>
      <c r="F2304" s="2">
        <v>21089642.815298401</v>
      </c>
    </row>
    <row r="2305" spans="1:6" x14ac:dyDescent="0.3">
      <c r="A2305" s="1">
        <v>43220</v>
      </c>
      <c r="B2305" t="s">
        <v>22</v>
      </c>
      <c r="C2305" t="s">
        <v>14</v>
      </c>
      <c r="D2305" s="2">
        <v>15335128.368494799</v>
      </c>
      <c r="E2305" s="2">
        <v>5733072.0895918598</v>
      </c>
      <c r="F2305" s="2">
        <v>21068200.458086599</v>
      </c>
    </row>
    <row r="2306" spans="1:6" x14ac:dyDescent="0.3">
      <c r="A2306" s="1">
        <v>43220</v>
      </c>
      <c r="B2306" t="s">
        <v>6</v>
      </c>
      <c r="C2306" t="s">
        <v>7</v>
      </c>
      <c r="D2306" s="2">
        <v>2166346.1634</v>
      </c>
      <c r="E2306" s="2">
        <v>2640.817</v>
      </c>
      <c r="F2306" s="2">
        <v>2168986.9803999998</v>
      </c>
    </row>
    <row r="2307" spans="1:6" x14ac:dyDescent="0.3">
      <c r="A2307" s="1">
        <v>43220</v>
      </c>
      <c r="B2307" t="s">
        <v>6</v>
      </c>
      <c r="C2307" t="s">
        <v>8</v>
      </c>
      <c r="D2307" s="2">
        <v>8970018.1388000008</v>
      </c>
      <c r="E2307" s="2">
        <v>4201.3481000000002</v>
      </c>
      <c r="F2307" s="2">
        <v>8974219.4868999999</v>
      </c>
    </row>
    <row r="2308" spans="1:6" x14ac:dyDescent="0.3">
      <c r="A2308" s="1">
        <v>43220</v>
      </c>
      <c r="B2308" t="s">
        <v>6</v>
      </c>
      <c r="C2308" t="s">
        <v>11</v>
      </c>
      <c r="D2308" s="2">
        <v>325794.29440000001</v>
      </c>
      <c r="E2308" s="2">
        <v>16.52</v>
      </c>
      <c r="F2308" s="2">
        <v>325810.81439999997</v>
      </c>
    </row>
    <row r="2309" spans="1:6" x14ac:dyDescent="0.3">
      <c r="A2309" s="1">
        <v>43220</v>
      </c>
      <c r="B2309" t="s">
        <v>6</v>
      </c>
      <c r="C2309" t="s">
        <v>12</v>
      </c>
      <c r="D2309" s="2">
        <v>0</v>
      </c>
      <c r="E2309" s="2">
        <v>11457.199000000001</v>
      </c>
      <c r="F2309" s="2">
        <v>11457.199000000001</v>
      </c>
    </row>
    <row r="2310" spans="1:6" x14ac:dyDescent="0.3">
      <c r="A2310" s="1">
        <v>43220</v>
      </c>
      <c r="B2310" t="s">
        <v>6</v>
      </c>
      <c r="C2310" t="s">
        <v>9</v>
      </c>
      <c r="D2310" s="2">
        <v>2042166.2234</v>
      </c>
      <c r="E2310" s="2">
        <v>7807.7191999999995</v>
      </c>
      <c r="F2310" s="2">
        <v>2049973.9426</v>
      </c>
    </row>
    <row r="2311" spans="1:6" x14ac:dyDescent="0.3">
      <c r="A2311" s="1">
        <v>43220</v>
      </c>
      <c r="B2311" t="s">
        <v>6</v>
      </c>
      <c r="C2311" t="s">
        <v>10</v>
      </c>
      <c r="D2311" s="2">
        <v>1319120.16321679</v>
      </c>
      <c r="E2311" s="2">
        <v>324.48638237</v>
      </c>
      <c r="F2311" s="2">
        <v>1319444.6495991601</v>
      </c>
    </row>
    <row r="2312" spans="1:6" x14ac:dyDescent="0.3">
      <c r="A2312" s="1">
        <v>43220</v>
      </c>
      <c r="B2312" t="s">
        <v>13</v>
      </c>
      <c r="C2312" t="s">
        <v>14</v>
      </c>
      <c r="D2312" s="2">
        <v>14823444.9832168</v>
      </c>
      <c r="E2312" s="2">
        <v>26448.089682369999</v>
      </c>
      <c r="F2312" s="2">
        <v>14849893.0728992</v>
      </c>
    </row>
    <row r="2313" spans="1:6" x14ac:dyDescent="0.3">
      <c r="A2313" s="1">
        <v>43220</v>
      </c>
      <c r="B2313" t="s">
        <v>15</v>
      </c>
      <c r="C2313" t="s">
        <v>16</v>
      </c>
      <c r="D2313" s="2">
        <v>29995.18</v>
      </c>
      <c r="E2313" s="2">
        <v>0</v>
      </c>
      <c r="F2313" s="2">
        <v>29995.18</v>
      </c>
    </row>
    <row r="2314" spans="1:6" x14ac:dyDescent="0.3">
      <c r="A2314" s="1">
        <v>43220</v>
      </c>
      <c r="B2314" t="s">
        <v>15</v>
      </c>
      <c r="C2314" t="s">
        <v>23</v>
      </c>
      <c r="D2314" s="2">
        <v>264.34199999999998</v>
      </c>
      <c r="E2314" s="2">
        <v>0</v>
      </c>
      <c r="F2314" s="2">
        <v>264.34199999999998</v>
      </c>
    </row>
    <row r="2315" spans="1:6" x14ac:dyDescent="0.3">
      <c r="A2315" s="1">
        <v>43220</v>
      </c>
      <c r="B2315" t="s">
        <v>15</v>
      </c>
      <c r="C2315" t="s">
        <v>17</v>
      </c>
      <c r="D2315" s="2">
        <v>82219.142336300007</v>
      </c>
      <c r="E2315" s="2">
        <v>0</v>
      </c>
      <c r="F2315" s="2">
        <v>82219.142336300007</v>
      </c>
    </row>
    <row r="2316" spans="1:6" x14ac:dyDescent="0.3">
      <c r="A2316" s="1">
        <v>43220</v>
      </c>
      <c r="B2316" t="s">
        <v>15</v>
      </c>
      <c r="C2316" t="s">
        <v>18</v>
      </c>
      <c r="D2316" s="2">
        <v>158605.80178621999</v>
      </c>
      <c r="E2316" s="2">
        <v>0</v>
      </c>
      <c r="F2316" s="2">
        <v>158605.80178621999</v>
      </c>
    </row>
    <row r="2317" spans="1:6" x14ac:dyDescent="0.3">
      <c r="A2317" s="1">
        <v>43220</v>
      </c>
      <c r="B2317" t="s">
        <v>15</v>
      </c>
      <c r="C2317" t="s">
        <v>20</v>
      </c>
      <c r="D2317" s="2">
        <v>1645.31001928</v>
      </c>
      <c r="E2317" s="2">
        <v>0</v>
      </c>
      <c r="F2317" s="2">
        <v>1645.31001928</v>
      </c>
    </row>
    <row r="2318" spans="1:6" x14ac:dyDescent="0.3">
      <c r="A2318" s="1">
        <v>43220</v>
      </c>
      <c r="B2318" t="s">
        <v>15</v>
      </c>
      <c r="C2318" t="s">
        <v>19</v>
      </c>
      <c r="D2318" s="2">
        <v>238953.609136199</v>
      </c>
      <c r="E2318" s="2">
        <v>5706623.9999094903</v>
      </c>
      <c r="F2318" s="2">
        <v>5945576.6090456899</v>
      </c>
    </row>
    <row r="2319" spans="1:6" x14ac:dyDescent="0.3">
      <c r="A2319" s="1">
        <v>43220</v>
      </c>
      <c r="B2319" t="s">
        <v>21</v>
      </c>
      <c r="C2319" t="s">
        <v>14</v>
      </c>
      <c r="D2319" s="2">
        <v>511683.38527799898</v>
      </c>
      <c r="E2319" s="2">
        <v>5706623.9999094903</v>
      </c>
      <c r="F2319" s="2">
        <v>6218307.3851874797</v>
      </c>
    </row>
    <row r="2320" spans="1:6" x14ac:dyDescent="0.3">
      <c r="A2320" s="1">
        <v>43251</v>
      </c>
      <c r="B2320" t="s">
        <v>13</v>
      </c>
      <c r="C2320" t="s">
        <v>14</v>
      </c>
      <c r="D2320" s="2">
        <v>14910909.286203999</v>
      </c>
      <c r="E2320" s="2">
        <v>28485.299483549999</v>
      </c>
      <c r="F2320" s="2">
        <v>14939394.585687499</v>
      </c>
    </row>
    <row r="2321" spans="1:6" x14ac:dyDescent="0.3">
      <c r="A2321" s="1">
        <v>43251</v>
      </c>
      <c r="B2321" t="s">
        <v>15</v>
      </c>
      <c r="C2321" t="s">
        <v>18</v>
      </c>
      <c r="D2321" s="2">
        <v>158233.21862190001</v>
      </c>
      <c r="E2321" s="2">
        <v>0</v>
      </c>
      <c r="F2321" s="2">
        <v>158233.21862190001</v>
      </c>
    </row>
    <row r="2322" spans="1:6" x14ac:dyDescent="0.3">
      <c r="A2322" s="1">
        <v>43251</v>
      </c>
      <c r="B2322" t="s">
        <v>21</v>
      </c>
      <c r="C2322" t="s">
        <v>14</v>
      </c>
      <c r="D2322" s="2">
        <v>516004.13924022001</v>
      </c>
      <c r="E2322" s="2">
        <v>5689816.4517709697</v>
      </c>
      <c r="F2322" s="2">
        <v>6205820.5910111899</v>
      </c>
    </row>
    <row r="2323" spans="1:6" x14ac:dyDescent="0.3">
      <c r="A2323" s="1">
        <v>43251</v>
      </c>
      <c r="B2323" t="s">
        <v>22</v>
      </c>
      <c r="C2323" t="s">
        <v>14</v>
      </c>
      <c r="D2323" s="2">
        <v>15426913.425444201</v>
      </c>
      <c r="E2323" s="2">
        <v>5718301.7512545204</v>
      </c>
      <c r="F2323" s="2">
        <v>21145215.1766987</v>
      </c>
    </row>
    <row r="2324" spans="1:6" x14ac:dyDescent="0.3">
      <c r="A2324" s="1">
        <v>43251</v>
      </c>
      <c r="B2324" t="s">
        <v>6</v>
      </c>
      <c r="C2324" t="s">
        <v>7</v>
      </c>
      <c r="D2324" s="2">
        <v>2183405.0355000002</v>
      </c>
      <c r="E2324" s="2">
        <v>577.1</v>
      </c>
      <c r="F2324" s="2">
        <v>2183982.1354999999</v>
      </c>
    </row>
    <row r="2325" spans="1:6" x14ac:dyDescent="0.3">
      <c r="A2325" s="1">
        <v>43251</v>
      </c>
      <c r="B2325" t="s">
        <v>6</v>
      </c>
      <c r="C2325" t="s">
        <v>12</v>
      </c>
      <c r="D2325" s="2">
        <v>0</v>
      </c>
      <c r="E2325" s="2">
        <v>11457.199000000001</v>
      </c>
      <c r="F2325" s="2">
        <v>11457.199000000001</v>
      </c>
    </row>
    <row r="2326" spans="1:6" x14ac:dyDescent="0.3">
      <c r="A2326" s="1">
        <v>43251</v>
      </c>
      <c r="B2326" t="s">
        <v>6</v>
      </c>
      <c r="C2326" t="s">
        <v>11</v>
      </c>
      <c r="D2326" s="2">
        <v>341794.39350000001</v>
      </c>
      <c r="E2326" s="2">
        <v>16.52</v>
      </c>
      <c r="F2326" s="2">
        <v>341810.91350000002</v>
      </c>
    </row>
    <row r="2327" spans="1:6" x14ac:dyDescent="0.3">
      <c r="A2327" s="1">
        <v>43251</v>
      </c>
      <c r="B2327" t="s">
        <v>6</v>
      </c>
      <c r="C2327" t="s">
        <v>9</v>
      </c>
      <c r="D2327" s="2">
        <v>2052472.6264</v>
      </c>
      <c r="E2327" s="2">
        <v>11882.036</v>
      </c>
      <c r="F2327" s="2">
        <v>2064354.6624</v>
      </c>
    </row>
    <row r="2328" spans="1:6" x14ac:dyDescent="0.3">
      <c r="A2328" s="1">
        <v>43251</v>
      </c>
      <c r="B2328" t="s">
        <v>6</v>
      </c>
      <c r="C2328" t="s">
        <v>10</v>
      </c>
      <c r="D2328" s="2">
        <v>1335332.3915039799</v>
      </c>
      <c r="E2328" s="2">
        <v>259.94138355000001</v>
      </c>
      <c r="F2328" s="2">
        <v>1335592.3328875301</v>
      </c>
    </row>
    <row r="2329" spans="1:6" x14ac:dyDescent="0.3">
      <c r="A2329" s="1">
        <v>43251</v>
      </c>
      <c r="B2329" t="s">
        <v>6</v>
      </c>
      <c r="C2329" t="s">
        <v>8</v>
      </c>
      <c r="D2329" s="2">
        <v>8997904.8392999992</v>
      </c>
      <c r="E2329" s="2">
        <v>4292.5030999999999</v>
      </c>
      <c r="F2329" s="2">
        <v>9002197.3423999995</v>
      </c>
    </row>
    <row r="2330" spans="1:6" x14ac:dyDescent="0.3">
      <c r="A2330" s="1">
        <v>43251</v>
      </c>
      <c r="B2330" t="s">
        <v>15</v>
      </c>
      <c r="C2330" t="s">
        <v>23</v>
      </c>
      <c r="D2330" s="2">
        <v>264.34199999999998</v>
      </c>
      <c r="E2330" s="2">
        <v>0</v>
      </c>
      <c r="F2330" s="2">
        <v>264.34199999999998</v>
      </c>
    </row>
    <row r="2331" spans="1:6" x14ac:dyDescent="0.3">
      <c r="A2331" s="1">
        <v>43251</v>
      </c>
      <c r="B2331" t="s">
        <v>15</v>
      </c>
      <c r="C2331" t="s">
        <v>17</v>
      </c>
      <c r="D2331" s="2">
        <v>83594.657276819999</v>
      </c>
      <c r="E2331" s="2">
        <v>0</v>
      </c>
      <c r="F2331" s="2">
        <v>83594.657276819999</v>
      </c>
    </row>
    <row r="2332" spans="1:6" x14ac:dyDescent="0.3">
      <c r="A2332" s="1">
        <v>43251</v>
      </c>
      <c r="B2332" t="s">
        <v>15</v>
      </c>
      <c r="C2332" t="s">
        <v>19</v>
      </c>
      <c r="D2332" s="2">
        <v>242281.55998709999</v>
      </c>
      <c r="E2332" s="2">
        <v>5689816.4517709697</v>
      </c>
      <c r="F2332" s="2">
        <v>5932098.0117580704</v>
      </c>
    </row>
    <row r="2333" spans="1:6" x14ac:dyDescent="0.3">
      <c r="A2333" s="1">
        <v>43251</v>
      </c>
      <c r="B2333" t="s">
        <v>15</v>
      </c>
      <c r="C2333" t="s">
        <v>16</v>
      </c>
      <c r="D2333" s="2">
        <v>29995.18</v>
      </c>
      <c r="E2333" s="2">
        <v>0</v>
      </c>
      <c r="F2333" s="2">
        <v>29995.18</v>
      </c>
    </row>
    <row r="2334" spans="1:6" x14ac:dyDescent="0.3">
      <c r="A2334" s="1">
        <v>43251</v>
      </c>
      <c r="B2334" t="s">
        <v>15</v>
      </c>
      <c r="C2334" t="s">
        <v>20</v>
      </c>
      <c r="D2334" s="2">
        <v>1635.1813543999999</v>
      </c>
      <c r="E2334" s="2">
        <v>0</v>
      </c>
      <c r="F2334" s="2">
        <v>1635.1813543999999</v>
      </c>
    </row>
    <row r="2335" spans="1:6" x14ac:dyDescent="0.3">
      <c r="A2335" s="1">
        <v>43281</v>
      </c>
      <c r="B2335" t="s">
        <v>6</v>
      </c>
      <c r="C2335" t="s">
        <v>7</v>
      </c>
      <c r="D2335" s="2">
        <v>2157411.5523999999</v>
      </c>
      <c r="E2335" s="2">
        <v>569.19899999999996</v>
      </c>
      <c r="F2335" s="2">
        <v>2157980.7514</v>
      </c>
    </row>
    <row r="2336" spans="1:6" x14ac:dyDescent="0.3">
      <c r="A2336" s="1">
        <v>43281</v>
      </c>
      <c r="B2336" t="s">
        <v>6</v>
      </c>
      <c r="C2336" t="s">
        <v>9</v>
      </c>
      <c r="D2336" s="2">
        <v>2066743.1254</v>
      </c>
      <c r="E2336" s="2">
        <v>11611.424800000001</v>
      </c>
      <c r="F2336" s="2">
        <v>2078354.5501999999</v>
      </c>
    </row>
    <row r="2337" spans="1:6" x14ac:dyDescent="0.3">
      <c r="A2337" s="1">
        <v>43281</v>
      </c>
      <c r="B2337" t="s">
        <v>6</v>
      </c>
      <c r="C2337" t="s">
        <v>12</v>
      </c>
      <c r="D2337" s="2">
        <v>0</v>
      </c>
      <c r="E2337" s="2">
        <v>10339.458000000001</v>
      </c>
      <c r="F2337" s="2">
        <v>10339.458000000001</v>
      </c>
    </row>
    <row r="2338" spans="1:6" x14ac:dyDescent="0.3">
      <c r="A2338" s="1">
        <v>43281</v>
      </c>
      <c r="B2338" t="s">
        <v>6</v>
      </c>
      <c r="C2338" t="s">
        <v>11</v>
      </c>
      <c r="D2338" s="2">
        <v>357794.4485</v>
      </c>
      <c r="E2338" s="2">
        <v>16.52</v>
      </c>
      <c r="F2338" s="2">
        <v>357810.96850000002</v>
      </c>
    </row>
    <row r="2339" spans="1:6" x14ac:dyDescent="0.3">
      <c r="A2339" s="1">
        <v>43281</v>
      </c>
      <c r="B2339" t="s">
        <v>6</v>
      </c>
      <c r="C2339" t="s">
        <v>8</v>
      </c>
      <c r="D2339" s="2">
        <v>9028002.6679999996</v>
      </c>
      <c r="E2339" s="2">
        <v>4193.6486999999997</v>
      </c>
      <c r="F2339" s="2">
        <v>9032196.3167000003</v>
      </c>
    </row>
    <row r="2340" spans="1:6" x14ac:dyDescent="0.3">
      <c r="A2340" s="1">
        <v>43281</v>
      </c>
      <c r="B2340" t="s">
        <v>6</v>
      </c>
      <c r="C2340" t="s">
        <v>10</v>
      </c>
      <c r="D2340" s="2">
        <v>1345473.3270738199</v>
      </c>
      <c r="E2340" s="2">
        <v>250.22154859</v>
      </c>
      <c r="F2340" s="2">
        <v>1345723.54862241</v>
      </c>
    </row>
    <row r="2341" spans="1:6" x14ac:dyDescent="0.3">
      <c r="A2341" s="1">
        <v>43281</v>
      </c>
      <c r="B2341" t="s">
        <v>15</v>
      </c>
      <c r="C2341" t="s">
        <v>16</v>
      </c>
      <c r="D2341" s="2">
        <v>29995.18</v>
      </c>
      <c r="E2341" s="2">
        <v>0</v>
      </c>
      <c r="F2341" s="2">
        <v>29995.18</v>
      </c>
    </row>
    <row r="2342" spans="1:6" x14ac:dyDescent="0.3">
      <c r="A2342" s="1">
        <v>43281</v>
      </c>
      <c r="B2342" t="s">
        <v>15</v>
      </c>
      <c r="C2342" t="s">
        <v>23</v>
      </c>
      <c r="D2342" s="2">
        <v>264.34199999999998</v>
      </c>
      <c r="E2342" s="2">
        <v>0</v>
      </c>
      <c r="F2342" s="2">
        <v>264.34199999999998</v>
      </c>
    </row>
    <row r="2343" spans="1:6" x14ac:dyDescent="0.3">
      <c r="A2343" s="1">
        <v>43281</v>
      </c>
      <c r="B2343" t="s">
        <v>15</v>
      </c>
      <c r="C2343" t="s">
        <v>19</v>
      </c>
      <c r="D2343" s="2">
        <v>242250.51203543</v>
      </c>
      <c r="E2343" s="2">
        <v>5701525.0446233395</v>
      </c>
      <c r="F2343" s="2">
        <v>5943774.55665877</v>
      </c>
    </row>
    <row r="2344" spans="1:6" x14ac:dyDescent="0.3">
      <c r="A2344" s="1">
        <v>43281</v>
      </c>
      <c r="B2344" t="s">
        <v>15</v>
      </c>
      <c r="C2344" t="s">
        <v>20</v>
      </c>
      <c r="D2344" s="2">
        <v>1647.8627366600001</v>
      </c>
      <c r="E2344" s="2">
        <v>0</v>
      </c>
      <c r="F2344" s="2">
        <v>1647.8627366600001</v>
      </c>
    </row>
    <row r="2345" spans="1:6" x14ac:dyDescent="0.3">
      <c r="A2345" s="1">
        <v>43281</v>
      </c>
      <c r="B2345" t="s">
        <v>15</v>
      </c>
      <c r="C2345" t="s">
        <v>17</v>
      </c>
      <c r="D2345" s="2">
        <v>79115.345949130002</v>
      </c>
      <c r="E2345" s="2">
        <v>0</v>
      </c>
      <c r="F2345" s="2">
        <v>79115.345949130002</v>
      </c>
    </row>
    <row r="2346" spans="1:6" x14ac:dyDescent="0.3">
      <c r="A2346" s="1">
        <v>43281</v>
      </c>
      <c r="B2346" t="s">
        <v>15</v>
      </c>
      <c r="C2346" t="s">
        <v>18</v>
      </c>
      <c r="D2346" s="2">
        <v>157865.86649002999</v>
      </c>
      <c r="E2346" s="2">
        <v>0</v>
      </c>
      <c r="F2346" s="2">
        <v>157865.86649002999</v>
      </c>
    </row>
    <row r="2347" spans="1:6" x14ac:dyDescent="0.3">
      <c r="A2347" s="1">
        <v>43281</v>
      </c>
      <c r="B2347" t="s">
        <v>13</v>
      </c>
      <c r="C2347" t="s">
        <v>14</v>
      </c>
      <c r="D2347" s="2">
        <v>14955425.121373801</v>
      </c>
      <c r="E2347" s="2">
        <v>26980.47204859</v>
      </c>
      <c r="F2347" s="2">
        <v>14982405.5934224</v>
      </c>
    </row>
    <row r="2348" spans="1:6" x14ac:dyDescent="0.3">
      <c r="A2348" s="1">
        <v>43281</v>
      </c>
      <c r="B2348" t="s">
        <v>21</v>
      </c>
      <c r="C2348" t="s">
        <v>14</v>
      </c>
      <c r="D2348" s="2">
        <v>511139.10921124998</v>
      </c>
      <c r="E2348" s="2">
        <v>5701525.0446233395</v>
      </c>
      <c r="F2348" s="2">
        <v>6212664.1538345898</v>
      </c>
    </row>
    <row r="2349" spans="1:6" x14ac:dyDescent="0.3">
      <c r="A2349" s="1">
        <v>43281</v>
      </c>
      <c r="B2349" t="s">
        <v>22</v>
      </c>
      <c r="C2349" t="s">
        <v>14</v>
      </c>
      <c r="D2349" s="2">
        <v>15466564.2305851</v>
      </c>
      <c r="E2349" s="2">
        <v>5728504.5166719304</v>
      </c>
      <c r="F2349" s="2">
        <v>21195069.747257002</v>
      </c>
    </row>
    <row r="2350" spans="1:6" x14ac:dyDescent="0.3">
      <c r="A2350" s="1">
        <v>43312</v>
      </c>
      <c r="B2350" t="s">
        <v>22</v>
      </c>
      <c r="C2350" t="s">
        <v>14</v>
      </c>
      <c r="D2350" s="2">
        <v>15569493.1191567</v>
      </c>
      <c r="E2350" s="2">
        <v>5743567.9348112904</v>
      </c>
      <c r="F2350" s="2">
        <v>21313061.053968001</v>
      </c>
    </row>
    <row r="2351" spans="1:6" x14ac:dyDescent="0.3">
      <c r="A2351" s="1">
        <v>43312</v>
      </c>
      <c r="B2351" t="s">
        <v>6</v>
      </c>
      <c r="C2351" t="s">
        <v>8</v>
      </c>
      <c r="D2351" s="2">
        <v>9090754.4888000004</v>
      </c>
      <c r="E2351" s="2">
        <v>4186.4483</v>
      </c>
      <c r="F2351" s="2">
        <v>9094940.9371000007</v>
      </c>
    </row>
    <row r="2352" spans="1:6" x14ac:dyDescent="0.3">
      <c r="A2352" s="1">
        <v>43312</v>
      </c>
      <c r="B2352" t="s">
        <v>6</v>
      </c>
      <c r="C2352" t="s">
        <v>9</v>
      </c>
      <c r="D2352" s="2">
        <v>2080147.0891</v>
      </c>
      <c r="E2352" s="2">
        <v>12260.7801</v>
      </c>
      <c r="F2352" s="2">
        <v>2092407.8692000001</v>
      </c>
    </row>
    <row r="2353" spans="1:6" x14ac:dyDescent="0.3">
      <c r="A2353" s="1">
        <v>43312</v>
      </c>
      <c r="B2353" t="s">
        <v>6</v>
      </c>
      <c r="C2353" t="s">
        <v>10</v>
      </c>
      <c r="D2353" s="2">
        <v>1347525.0228796899</v>
      </c>
      <c r="E2353" s="2">
        <v>244.23032459000001</v>
      </c>
      <c r="F2353" s="2">
        <v>1347769.25320428</v>
      </c>
    </row>
    <row r="2354" spans="1:6" x14ac:dyDescent="0.3">
      <c r="A2354" s="1">
        <v>43312</v>
      </c>
      <c r="B2354" t="s">
        <v>6</v>
      </c>
      <c r="C2354" t="s">
        <v>11</v>
      </c>
      <c r="D2354" s="2">
        <v>333932.05589999998</v>
      </c>
      <c r="E2354" s="2">
        <v>16.52</v>
      </c>
      <c r="F2354" s="2">
        <v>333948.5759</v>
      </c>
    </row>
    <row r="2355" spans="1:6" x14ac:dyDescent="0.3">
      <c r="A2355" s="1">
        <v>43312</v>
      </c>
      <c r="B2355" t="s">
        <v>6</v>
      </c>
      <c r="C2355" t="s">
        <v>12</v>
      </c>
      <c r="D2355" s="2">
        <v>0</v>
      </c>
      <c r="E2355" s="2">
        <v>10339.458000000001</v>
      </c>
      <c r="F2355" s="2">
        <v>10339.458000000001</v>
      </c>
    </row>
    <row r="2356" spans="1:6" x14ac:dyDescent="0.3">
      <c r="A2356" s="1">
        <v>43312</v>
      </c>
      <c r="B2356" t="s">
        <v>13</v>
      </c>
      <c r="C2356" t="s">
        <v>14</v>
      </c>
      <c r="D2356" s="2">
        <v>15057713.5893797</v>
      </c>
      <c r="E2356" s="2">
        <v>27588.51172459</v>
      </c>
      <c r="F2356" s="2">
        <v>15085302.1011043</v>
      </c>
    </row>
    <row r="2357" spans="1:6" x14ac:dyDescent="0.3">
      <c r="A2357" s="1">
        <v>43312</v>
      </c>
      <c r="B2357" t="s">
        <v>15</v>
      </c>
      <c r="C2357" t="s">
        <v>16</v>
      </c>
      <c r="D2357" s="2">
        <v>29995.18</v>
      </c>
      <c r="E2357" s="2">
        <v>0</v>
      </c>
      <c r="F2357" s="2">
        <v>29995.18</v>
      </c>
    </row>
    <row r="2358" spans="1:6" x14ac:dyDescent="0.3">
      <c r="A2358" s="1">
        <v>43312</v>
      </c>
      <c r="B2358" t="s">
        <v>15</v>
      </c>
      <c r="C2358" t="s">
        <v>23</v>
      </c>
      <c r="D2358" s="2">
        <v>264.34199999999998</v>
      </c>
      <c r="E2358" s="2">
        <v>0</v>
      </c>
      <c r="F2358" s="2">
        <v>264.34199999999998</v>
      </c>
    </row>
    <row r="2359" spans="1:6" x14ac:dyDescent="0.3">
      <c r="A2359" s="1">
        <v>43312</v>
      </c>
      <c r="B2359" t="s">
        <v>15</v>
      </c>
      <c r="C2359" t="s">
        <v>17</v>
      </c>
      <c r="D2359" s="2">
        <v>76082.026811289994</v>
      </c>
      <c r="E2359" s="2">
        <v>0</v>
      </c>
      <c r="F2359" s="2">
        <v>76082.026811289994</v>
      </c>
    </row>
    <row r="2360" spans="1:6" x14ac:dyDescent="0.3">
      <c r="A2360" s="1">
        <v>43312</v>
      </c>
      <c r="B2360" t="s">
        <v>15</v>
      </c>
      <c r="C2360" t="s">
        <v>18</v>
      </c>
      <c r="D2360" s="2">
        <v>157526.83877395999</v>
      </c>
      <c r="E2360" s="2">
        <v>0</v>
      </c>
      <c r="F2360" s="2">
        <v>157526.83877395999</v>
      </c>
    </row>
    <row r="2361" spans="1:6" x14ac:dyDescent="0.3">
      <c r="A2361" s="1">
        <v>43312</v>
      </c>
      <c r="B2361" t="s">
        <v>15</v>
      </c>
      <c r="C2361" t="s">
        <v>19</v>
      </c>
      <c r="D2361" s="2">
        <v>246257.061942731</v>
      </c>
      <c r="E2361" s="2">
        <v>5715979.4230867</v>
      </c>
      <c r="F2361" s="2">
        <v>5962236.4850294301</v>
      </c>
    </row>
    <row r="2362" spans="1:6" x14ac:dyDescent="0.3">
      <c r="A2362" s="1">
        <v>43312</v>
      </c>
      <c r="B2362" t="s">
        <v>15</v>
      </c>
      <c r="C2362" t="s">
        <v>20</v>
      </c>
      <c r="D2362" s="2">
        <v>1654.08024901</v>
      </c>
      <c r="E2362" s="2">
        <v>0</v>
      </c>
      <c r="F2362" s="2">
        <v>1654.08024901</v>
      </c>
    </row>
    <row r="2363" spans="1:6" x14ac:dyDescent="0.3">
      <c r="A2363" s="1">
        <v>43312</v>
      </c>
      <c r="B2363" t="s">
        <v>21</v>
      </c>
      <c r="C2363" t="s">
        <v>14</v>
      </c>
      <c r="D2363" s="2">
        <v>511779.529776991</v>
      </c>
      <c r="E2363" s="2">
        <v>5715979.4230867</v>
      </c>
      <c r="F2363" s="2">
        <v>6227758.9528636904</v>
      </c>
    </row>
    <row r="2364" spans="1:6" x14ac:dyDescent="0.3">
      <c r="A2364" s="1">
        <v>43312</v>
      </c>
      <c r="B2364" t="s">
        <v>6</v>
      </c>
      <c r="C2364" t="s">
        <v>7</v>
      </c>
      <c r="D2364" s="2">
        <v>2205354.9326999998</v>
      </c>
      <c r="E2364" s="2">
        <v>541.07500000000005</v>
      </c>
      <c r="F2364" s="2">
        <v>2205896.0077</v>
      </c>
    </row>
    <row r="2365" spans="1:6" x14ac:dyDescent="0.3">
      <c r="A2365" s="1">
        <v>43343</v>
      </c>
      <c r="B2365" t="s">
        <v>6</v>
      </c>
      <c r="C2365" t="s">
        <v>7</v>
      </c>
      <c r="D2365" s="2">
        <v>2340413.9684000001</v>
      </c>
      <c r="E2365" s="2">
        <v>509.10500000000002</v>
      </c>
      <c r="F2365" s="2">
        <v>2340923.0734000001</v>
      </c>
    </row>
    <row r="2366" spans="1:6" x14ac:dyDescent="0.3">
      <c r="A2366" s="1">
        <v>43343</v>
      </c>
      <c r="B2366" t="s">
        <v>6</v>
      </c>
      <c r="C2366" t="s">
        <v>8</v>
      </c>
      <c r="D2366" s="2">
        <v>9116173.8288999908</v>
      </c>
      <c r="E2366" s="2">
        <v>4206.6662999999999</v>
      </c>
      <c r="F2366" s="2">
        <v>9120380.4952000007</v>
      </c>
    </row>
    <row r="2367" spans="1:6" x14ac:dyDescent="0.3">
      <c r="A2367" s="1">
        <v>43343</v>
      </c>
      <c r="B2367" t="s">
        <v>6</v>
      </c>
      <c r="C2367" t="s">
        <v>11</v>
      </c>
      <c r="D2367" s="2">
        <v>352141.64789999998</v>
      </c>
      <c r="E2367" s="2">
        <v>0</v>
      </c>
      <c r="F2367" s="2">
        <v>352141.64789999998</v>
      </c>
    </row>
    <row r="2368" spans="1:6" x14ac:dyDescent="0.3">
      <c r="A2368" s="1">
        <v>43343</v>
      </c>
      <c r="B2368" t="s">
        <v>21</v>
      </c>
      <c r="C2368" t="s">
        <v>14</v>
      </c>
      <c r="D2368" s="2">
        <v>511704.89662132098</v>
      </c>
      <c r="E2368" s="2">
        <v>5645307.21691221</v>
      </c>
      <c r="F2368" s="2">
        <v>6157012.1135335304</v>
      </c>
    </row>
    <row r="2369" spans="1:6" x14ac:dyDescent="0.3">
      <c r="A2369" s="1">
        <v>43343</v>
      </c>
      <c r="B2369" t="s">
        <v>22</v>
      </c>
      <c r="C2369" t="s">
        <v>14</v>
      </c>
      <c r="D2369" s="2">
        <v>15785389.162775701</v>
      </c>
      <c r="E2369" s="2">
        <v>5673460.5317128403</v>
      </c>
      <c r="F2369" s="2">
        <v>21458849.694488499</v>
      </c>
    </row>
    <row r="2370" spans="1:6" x14ac:dyDescent="0.3">
      <c r="A2370" s="1">
        <v>43343</v>
      </c>
      <c r="B2370" t="s">
        <v>6</v>
      </c>
      <c r="C2370" t="s">
        <v>9</v>
      </c>
      <c r="D2370" s="2">
        <v>2099970.3341000001</v>
      </c>
      <c r="E2370" s="2">
        <v>12852.240599999999</v>
      </c>
      <c r="F2370" s="2">
        <v>2112822.5747000002</v>
      </c>
    </row>
    <row r="2371" spans="1:6" x14ac:dyDescent="0.3">
      <c r="A2371" s="1">
        <v>43343</v>
      </c>
      <c r="B2371" t="s">
        <v>6</v>
      </c>
      <c r="C2371" t="s">
        <v>10</v>
      </c>
      <c r="D2371" s="2">
        <v>1364984.48685439</v>
      </c>
      <c r="E2371" s="2">
        <v>245.84490063000001</v>
      </c>
      <c r="F2371" s="2">
        <v>1365230.33175502</v>
      </c>
    </row>
    <row r="2372" spans="1:6" x14ac:dyDescent="0.3">
      <c r="A2372" s="1">
        <v>43343</v>
      </c>
      <c r="B2372" t="s">
        <v>6</v>
      </c>
      <c r="C2372" t="s">
        <v>12</v>
      </c>
      <c r="D2372" s="2">
        <v>0</v>
      </c>
      <c r="E2372" s="2">
        <v>10339.458000000001</v>
      </c>
      <c r="F2372" s="2">
        <v>10339.458000000001</v>
      </c>
    </row>
    <row r="2373" spans="1:6" x14ac:dyDescent="0.3">
      <c r="A2373" s="1">
        <v>43343</v>
      </c>
      <c r="B2373" t="s">
        <v>13</v>
      </c>
      <c r="C2373" t="s">
        <v>14</v>
      </c>
      <c r="D2373" s="2">
        <v>15273684.266154399</v>
      </c>
      <c r="E2373" s="2">
        <v>28153.31480063</v>
      </c>
      <c r="F2373" s="2">
        <v>15301837.580955001</v>
      </c>
    </row>
    <row r="2374" spans="1:6" x14ac:dyDescent="0.3">
      <c r="A2374" s="1">
        <v>43343</v>
      </c>
      <c r="B2374" t="s">
        <v>15</v>
      </c>
      <c r="C2374" t="s">
        <v>18</v>
      </c>
      <c r="D2374" s="2">
        <v>157087.55614666</v>
      </c>
      <c r="E2374" s="2">
        <v>0</v>
      </c>
      <c r="F2374" s="2">
        <v>157087.55614666</v>
      </c>
    </row>
    <row r="2375" spans="1:6" x14ac:dyDescent="0.3">
      <c r="A2375" s="1">
        <v>43343</v>
      </c>
      <c r="B2375" t="s">
        <v>15</v>
      </c>
      <c r="C2375" t="s">
        <v>19</v>
      </c>
      <c r="D2375" s="2">
        <v>250565.30637729101</v>
      </c>
      <c r="E2375" s="2">
        <v>5645307.21691221</v>
      </c>
      <c r="F2375" s="2">
        <v>5895872.5232894998</v>
      </c>
    </row>
    <row r="2376" spans="1:6" x14ac:dyDescent="0.3">
      <c r="A2376" s="1">
        <v>43343</v>
      </c>
      <c r="B2376" t="s">
        <v>15</v>
      </c>
      <c r="C2376" t="s">
        <v>23</v>
      </c>
      <c r="D2376" s="2">
        <v>264.34199999999998</v>
      </c>
      <c r="E2376" s="2">
        <v>0</v>
      </c>
      <c r="F2376" s="2">
        <v>264.34199999999998</v>
      </c>
    </row>
    <row r="2377" spans="1:6" x14ac:dyDescent="0.3">
      <c r="A2377" s="1">
        <v>43343</v>
      </c>
      <c r="B2377" t="s">
        <v>15</v>
      </c>
      <c r="C2377" t="s">
        <v>17</v>
      </c>
      <c r="D2377" s="2">
        <v>72123.552375309999</v>
      </c>
      <c r="E2377" s="2">
        <v>0</v>
      </c>
      <c r="F2377" s="2">
        <v>72123.552375309999</v>
      </c>
    </row>
    <row r="2378" spans="1:6" x14ac:dyDescent="0.3">
      <c r="A2378" s="1">
        <v>43343</v>
      </c>
      <c r="B2378" t="s">
        <v>15</v>
      </c>
      <c r="C2378" t="s">
        <v>20</v>
      </c>
      <c r="D2378" s="2">
        <v>1668.9597220600001</v>
      </c>
      <c r="E2378" s="2">
        <v>0</v>
      </c>
      <c r="F2378" s="2">
        <v>1668.9597220600001</v>
      </c>
    </row>
    <row r="2379" spans="1:6" x14ac:dyDescent="0.3">
      <c r="A2379" s="1">
        <v>43343</v>
      </c>
      <c r="B2379" t="s">
        <v>15</v>
      </c>
      <c r="C2379" t="s">
        <v>16</v>
      </c>
      <c r="D2379" s="2">
        <v>29995.18</v>
      </c>
      <c r="E2379" s="2">
        <v>0</v>
      </c>
      <c r="F2379" s="2">
        <v>29995.18</v>
      </c>
    </row>
    <row r="2380" spans="1:6" x14ac:dyDescent="0.3">
      <c r="A2380" s="1">
        <v>43373</v>
      </c>
      <c r="B2380" t="s">
        <v>21</v>
      </c>
      <c r="C2380" t="s">
        <v>14</v>
      </c>
      <c r="D2380" s="2">
        <v>511076.68826361099</v>
      </c>
      <c r="E2380" s="2">
        <v>5726935.7811594196</v>
      </c>
      <c r="F2380" s="2">
        <v>6238013.3711460298</v>
      </c>
    </row>
    <row r="2381" spans="1:6" x14ac:dyDescent="0.3">
      <c r="A2381" s="1">
        <v>43373</v>
      </c>
      <c r="B2381" t="s">
        <v>22</v>
      </c>
      <c r="C2381" t="s">
        <v>14</v>
      </c>
      <c r="D2381" s="2">
        <v>15761154.5218339</v>
      </c>
      <c r="E2381" s="2">
        <v>5754904.1555752298</v>
      </c>
      <c r="F2381" s="2">
        <v>21516057.579132099</v>
      </c>
    </row>
    <row r="2382" spans="1:6" x14ac:dyDescent="0.3">
      <c r="A2382" s="1">
        <v>43373</v>
      </c>
      <c r="B2382" t="s">
        <v>6</v>
      </c>
      <c r="C2382" t="s">
        <v>7</v>
      </c>
      <c r="D2382" s="2">
        <v>2239473.3991</v>
      </c>
      <c r="E2382" s="2">
        <v>462.88299999999998</v>
      </c>
      <c r="F2382" s="2">
        <v>2239936.2821</v>
      </c>
    </row>
    <row r="2383" spans="1:6" x14ac:dyDescent="0.3">
      <c r="A2383" s="1">
        <v>43373</v>
      </c>
      <c r="B2383" t="s">
        <v>6</v>
      </c>
      <c r="C2383" t="s">
        <v>9</v>
      </c>
      <c r="D2383" s="2">
        <v>2114982.477</v>
      </c>
      <c r="E2383" s="2">
        <v>12840.0558</v>
      </c>
      <c r="F2383" s="2">
        <v>2127822.5328000002</v>
      </c>
    </row>
    <row r="2384" spans="1:6" x14ac:dyDescent="0.3">
      <c r="A2384" s="1">
        <v>43373</v>
      </c>
      <c r="B2384" t="s">
        <v>6</v>
      </c>
      <c r="C2384" t="s">
        <v>10</v>
      </c>
      <c r="D2384" s="2">
        <v>1376179.67777028</v>
      </c>
      <c r="E2384" s="2">
        <v>245.87301581</v>
      </c>
      <c r="F2384" s="2">
        <v>1376425.5507860901</v>
      </c>
    </row>
    <row r="2385" spans="1:6" x14ac:dyDescent="0.3">
      <c r="A2385" s="1">
        <v>43373</v>
      </c>
      <c r="B2385" t="s">
        <v>6</v>
      </c>
      <c r="C2385" t="s">
        <v>8</v>
      </c>
      <c r="D2385" s="2">
        <v>9150300.5749999993</v>
      </c>
      <c r="E2385" s="2">
        <v>4079.1046000000001</v>
      </c>
      <c r="F2385" s="2">
        <v>9154379.6796000004</v>
      </c>
    </row>
    <row r="2386" spans="1:6" x14ac:dyDescent="0.3">
      <c r="A2386" s="1">
        <v>43373</v>
      </c>
      <c r="B2386" t="s">
        <v>6</v>
      </c>
      <c r="C2386" t="s">
        <v>12</v>
      </c>
      <c r="D2386" s="2">
        <v>0</v>
      </c>
      <c r="E2386" s="2">
        <v>10339.458000000001</v>
      </c>
      <c r="F2386" s="2">
        <v>10339.458000000001</v>
      </c>
    </row>
    <row r="2387" spans="1:6" x14ac:dyDescent="0.3">
      <c r="A2387" s="1">
        <v>43373</v>
      </c>
      <c r="B2387" t="s">
        <v>6</v>
      </c>
      <c r="C2387" t="s">
        <v>11</v>
      </c>
      <c r="D2387" s="2">
        <v>369141.7047</v>
      </c>
      <c r="E2387" s="2">
        <v>0</v>
      </c>
      <c r="F2387" s="2">
        <v>369141.7047</v>
      </c>
    </row>
    <row r="2388" spans="1:6" x14ac:dyDescent="0.3">
      <c r="A2388" s="1">
        <v>43373</v>
      </c>
      <c r="B2388" t="s">
        <v>13</v>
      </c>
      <c r="C2388" t="s">
        <v>14</v>
      </c>
      <c r="D2388" s="2">
        <v>15250077.8335703</v>
      </c>
      <c r="E2388" s="2">
        <v>27967.374415810002</v>
      </c>
      <c r="F2388" s="2">
        <v>15278045.2079861</v>
      </c>
    </row>
    <row r="2389" spans="1:6" x14ac:dyDescent="0.3">
      <c r="A2389" s="1">
        <v>43373</v>
      </c>
      <c r="B2389" t="s">
        <v>15</v>
      </c>
      <c r="C2389" t="s">
        <v>18</v>
      </c>
      <c r="D2389" s="2">
        <v>156809.10077369999</v>
      </c>
      <c r="E2389" s="2">
        <v>0</v>
      </c>
      <c r="F2389" s="2">
        <v>156809.10077369999</v>
      </c>
    </row>
    <row r="2390" spans="1:6" x14ac:dyDescent="0.3">
      <c r="A2390" s="1">
        <v>43373</v>
      </c>
      <c r="B2390" t="s">
        <v>15</v>
      </c>
      <c r="C2390" t="s">
        <v>16</v>
      </c>
      <c r="D2390" s="2">
        <v>29995.18</v>
      </c>
      <c r="E2390" s="2">
        <v>0</v>
      </c>
      <c r="F2390" s="2">
        <v>29995.18</v>
      </c>
    </row>
    <row r="2391" spans="1:6" x14ac:dyDescent="0.3">
      <c r="A2391" s="1">
        <v>43373</v>
      </c>
      <c r="B2391" t="s">
        <v>15</v>
      </c>
      <c r="C2391" t="s">
        <v>23</v>
      </c>
      <c r="D2391" s="2">
        <v>264.34199999999998</v>
      </c>
      <c r="E2391" s="2">
        <v>0</v>
      </c>
      <c r="F2391" s="2">
        <v>264.34199999999998</v>
      </c>
    </row>
    <row r="2392" spans="1:6" x14ac:dyDescent="0.3">
      <c r="A2392" s="1">
        <v>43373</v>
      </c>
      <c r="B2392" t="s">
        <v>15</v>
      </c>
      <c r="C2392" t="s">
        <v>17</v>
      </c>
      <c r="D2392" s="2">
        <v>71752.891154850004</v>
      </c>
      <c r="E2392" s="2">
        <v>0</v>
      </c>
      <c r="F2392" s="2">
        <v>71752.891154850004</v>
      </c>
    </row>
    <row r="2393" spans="1:6" x14ac:dyDescent="0.3">
      <c r="A2393" s="1">
        <v>43373</v>
      </c>
      <c r="B2393" t="s">
        <v>15</v>
      </c>
      <c r="C2393" t="s">
        <v>20</v>
      </c>
      <c r="D2393" s="2">
        <v>1574.93153876</v>
      </c>
      <c r="E2393" s="2">
        <v>0</v>
      </c>
      <c r="F2393" s="2">
        <v>1574.93153876</v>
      </c>
    </row>
    <row r="2394" spans="1:6" x14ac:dyDescent="0.3">
      <c r="A2394" s="1">
        <v>43373</v>
      </c>
      <c r="B2394" t="s">
        <v>15</v>
      </c>
      <c r="C2394" t="s">
        <v>19</v>
      </c>
      <c r="D2394" s="2">
        <v>250680.242796301</v>
      </c>
      <c r="E2394" s="2">
        <v>5726935.7811594196</v>
      </c>
      <c r="F2394" s="2">
        <v>5977617.0239557195</v>
      </c>
    </row>
    <row r="2395" spans="1:6" x14ac:dyDescent="0.3">
      <c r="A2395" s="1">
        <v>43404</v>
      </c>
      <c r="B2395" t="s">
        <v>21</v>
      </c>
      <c r="C2395" t="s">
        <v>14</v>
      </c>
      <c r="D2395" s="2">
        <v>514427.19541833899</v>
      </c>
      <c r="E2395" s="2">
        <v>5830046.4423156204</v>
      </c>
      <c r="F2395" s="2">
        <v>6344473.6377339596</v>
      </c>
    </row>
    <row r="2396" spans="1:6" x14ac:dyDescent="0.3">
      <c r="A2396" s="1">
        <v>43404</v>
      </c>
      <c r="B2396" t="s">
        <v>22</v>
      </c>
      <c r="C2396" t="s">
        <v>14</v>
      </c>
      <c r="D2396" s="2">
        <v>15843329.298334099</v>
      </c>
      <c r="E2396" s="2">
        <v>5859040.4575844798</v>
      </c>
      <c r="F2396" s="2">
        <v>21702369.7559186</v>
      </c>
    </row>
    <row r="2397" spans="1:6" x14ac:dyDescent="0.3">
      <c r="A2397" s="1">
        <v>43404</v>
      </c>
      <c r="B2397" t="s">
        <v>6</v>
      </c>
      <c r="C2397" t="s">
        <v>7</v>
      </c>
      <c r="D2397" s="2">
        <v>2257390.5096999998</v>
      </c>
      <c r="E2397" s="2">
        <v>610.89099999999996</v>
      </c>
      <c r="F2397" s="2">
        <v>2258001.4007000001</v>
      </c>
    </row>
    <row r="2398" spans="1:6" x14ac:dyDescent="0.3">
      <c r="A2398" s="1">
        <v>43404</v>
      </c>
      <c r="B2398" t="s">
        <v>6</v>
      </c>
      <c r="C2398" t="s">
        <v>9</v>
      </c>
      <c r="D2398" s="2">
        <v>2129632.8555000001</v>
      </c>
      <c r="E2398" s="2">
        <v>13189.408799999999</v>
      </c>
      <c r="F2398" s="2">
        <v>2142822.2642999999</v>
      </c>
    </row>
    <row r="2399" spans="1:6" x14ac:dyDescent="0.3">
      <c r="A2399" s="1">
        <v>43404</v>
      </c>
      <c r="B2399" t="s">
        <v>6</v>
      </c>
      <c r="C2399" t="s">
        <v>10</v>
      </c>
      <c r="D2399" s="2">
        <v>1382052.8580157901</v>
      </c>
      <c r="E2399" s="2">
        <v>234.70586886000001</v>
      </c>
      <c r="F2399" s="2">
        <v>1382287.5638846499</v>
      </c>
    </row>
    <row r="2400" spans="1:6" x14ac:dyDescent="0.3">
      <c r="A2400" s="1">
        <v>43404</v>
      </c>
      <c r="B2400" t="s">
        <v>6</v>
      </c>
      <c r="C2400" t="s">
        <v>12</v>
      </c>
      <c r="D2400" s="2">
        <v>0</v>
      </c>
      <c r="E2400" s="2">
        <v>10339.458000000001</v>
      </c>
      <c r="F2400" s="2">
        <v>10339.458000000001</v>
      </c>
    </row>
    <row r="2401" spans="1:6" x14ac:dyDescent="0.3">
      <c r="A2401" s="1">
        <v>43404</v>
      </c>
      <c r="B2401" t="s">
        <v>6</v>
      </c>
      <c r="C2401" t="s">
        <v>11</v>
      </c>
      <c r="D2401" s="2">
        <v>346235.25</v>
      </c>
      <c r="E2401" s="2">
        <v>0</v>
      </c>
      <c r="F2401" s="2">
        <v>346235.25</v>
      </c>
    </row>
    <row r="2402" spans="1:6" x14ac:dyDescent="0.3">
      <c r="A2402" s="1">
        <v>43404</v>
      </c>
      <c r="B2402" t="s">
        <v>6</v>
      </c>
      <c r="C2402" t="s">
        <v>8</v>
      </c>
      <c r="D2402" s="2">
        <v>9213590.6296999995</v>
      </c>
      <c r="E2402" s="2">
        <v>4619.5515999999998</v>
      </c>
      <c r="F2402" s="2">
        <v>9218210.1812999994</v>
      </c>
    </row>
    <row r="2403" spans="1:6" x14ac:dyDescent="0.3">
      <c r="A2403" s="1">
        <v>43404</v>
      </c>
      <c r="B2403" t="s">
        <v>13</v>
      </c>
      <c r="C2403" t="s">
        <v>14</v>
      </c>
      <c r="D2403" s="2">
        <v>15328902.102915799</v>
      </c>
      <c r="E2403" s="2">
        <v>28994.015268859999</v>
      </c>
      <c r="F2403" s="2">
        <v>15357896.1181846</v>
      </c>
    </row>
    <row r="2404" spans="1:6" x14ac:dyDescent="0.3">
      <c r="A2404" s="1">
        <v>43404</v>
      </c>
      <c r="B2404" t="s">
        <v>15</v>
      </c>
      <c r="C2404" t="s">
        <v>20</v>
      </c>
      <c r="D2404" s="2">
        <v>1571.0743699300001</v>
      </c>
      <c r="E2404" s="2">
        <v>0</v>
      </c>
      <c r="F2404" s="2">
        <v>1571.0743699300001</v>
      </c>
    </row>
    <row r="2405" spans="1:6" x14ac:dyDescent="0.3">
      <c r="A2405" s="1">
        <v>43404</v>
      </c>
      <c r="B2405" t="s">
        <v>15</v>
      </c>
      <c r="C2405" t="s">
        <v>19</v>
      </c>
      <c r="D2405" s="2">
        <v>254062.85859197899</v>
      </c>
      <c r="E2405" s="2">
        <v>5830046.4423156204</v>
      </c>
      <c r="F2405" s="2">
        <v>6084109.3009075997</v>
      </c>
    </row>
    <row r="2406" spans="1:6" x14ac:dyDescent="0.3">
      <c r="A2406" s="1">
        <v>43404</v>
      </c>
      <c r="B2406" t="s">
        <v>15</v>
      </c>
      <c r="C2406" t="s">
        <v>18</v>
      </c>
      <c r="D2406" s="2">
        <v>156483.87983483999</v>
      </c>
      <c r="E2406" s="2">
        <v>0</v>
      </c>
      <c r="F2406" s="2">
        <v>156483.87983483999</v>
      </c>
    </row>
    <row r="2407" spans="1:6" x14ac:dyDescent="0.3">
      <c r="A2407" s="1">
        <v>43404</v>
      </c>
      <c r="B2407" t="s">
        <v>15</v>
      </c>
      <c r="C2407" t="s">
        <v>16</v>
      </c>
      <c r="D2407" s="2">
        <v>29995.18</v>
      </c>
      <c r="E2407" s="2">
        <v>0</v>
      </c>
      <c r="F2407" s="2">
        <v>29995.18</v>
      </c>
    </row>
    <row r="2408" spans="1:6" x14ac:dyDescent="0.3">
      <c r="A2408" s="1">
        <v>43404</v>
      </c>
      <c r="B2408" t="s">
        <v>15</v>
      </c>
      <c r="C2408" t="s">
        <v>23</v>
      </c>
      <c r="D2408" s="2">
        <v>264.34199999999998</v>
      </c>
      <c r="E2408" s="2">
        <v>0</v>
      </c>
      <c r="F2408" s="2">
        <v>264.34199999999998</v>
      </c>
    </row>
    <row r="2409" spans="1:6" x14ac:dyDescent="0.3">
      <c r="A2409" s="1">
        <v>43404</v>
      </c>
      <c r="B2409" t="s">
        <v>15</v>
      </c>
      <c r="C2409" t="s">
        <v>17</v>
      </c>
      <c r="D2409" s="2">
        <v>72049.860621590007</v>
      </c>
      <c r="E2409" s="2">
        <v>0</v>
      </c>
      <c r="F2409" s="2">
        <v>72049.860621590007</v>
      </c>
    </row>
    <row r="2410" spans="1:6" x14ac:dyDescent="0.3">
      <c r="A2410" s="1">
        <v>43434</v>
      </c>
      <c r="B2410" t="s">
        <v>21</v>
      </c>
      <c r="C2410" t="s">
        <v>14</v>
      </c>
      <c r="D2410" s="2">
        <v>513070.12124502001</v>
      </c>
      <c r="E2410" s="2">
        <v>5776914.64708634</v>
      </c>
      <c r="F2410" s="2">
        <v>6289984.7683313601</v>
      </c>
    </row>
    <row r="2411" spans="1:6" x14ac:dyDescent="0.3">
      <c r="A2411" s="1">
        <v>43434</v>
      </c>
      <c r="B2411" t="s">
        <v>22</v>
      </c>
      <c r="C2411" t="s">
        <v>14</v>
      </c>
      <c r="D2411" s="2">
        <v>16044318.1919477</v>
      </c>
      <c r="E2411" s="2">
        <v>5805775.6854969896</v>
      </c>
      <c r="F2411" s="2">
        <v>21850093.877444699</v>
      </c>
    </row>
    <row r="2412" spans="1:6" x14ac:dyDescent="0.3">
      <c r="A2412" s="1">
        <v>43434</v>
      </c>
      <c r="B2412" t="s">
        <v>6</v>
      </c>
      <c r="C2412" t="s">
        <v>7</v>
      </c>
      <c r="D2412" s="2">
        <v>2388456.3158</v>
      </c>
      <c r="E2412" s="2">
        <v>643.78099999999995</v>
      </c>
      <c r="F2412" s="2">
        <v>2389100.0967999999</v>
      </c>
    </row>
    <row r="2413" spans="1:6" x14ac:dyDescent="0.3">
      <c r="A2413" s="1">
        <v>43434</v>
      </c>
      <c r="B2413" t="s">
        <v>6</v>
      </c>
      <c r="C2413" t="s">
        <v>8</v>
      </c>
      <c r="D2413" s="2">
        <v>9236034.0119000003</v>
      </c>
      <c r="E2413" s="2">
        <v>4399.6206000000002</v>
      </c>
      <c r="F2413" s="2">
        <v>9240433.6325000003</v>
      </c>
    </row>
    <row r="2414" spans="1:6" x14ac:dyDescent="0.3">
      <c r="A2414" s="1">
        <v>43434</v>
      </c>
      <c r="B2414" t="s">
        <v>6</v>
      </c>
      <c r="C2414" t="s">
        <v>12</v>
      </c>
      <c r="D2414" s="2">
        <v>0</v>
      </c>
      <c r="E2414" s="2">
        <v>10339.458000000001</v>
      </c>
      <c r="F2414" s="2">
        <v>10339.458000000001</v>
      </c>
    </row>
    <row r="2415" spans="1:6" x14ac:dyDescent="0.3">
      <c r="A2415" s="1">
        <v>43434</v>
      </c>
      <c r="B2415" t="s">
        <v>6</v>
      </c>
      <c r="C2415" t="s">
        <v>11</v>
      </c>
      <c r="D2415" s="2">
        <v>365811.27639999997</v>
      </c>
      <c r="E2415" s="2">
        <v>4.5</v>
      </c>
      <c r="F2415" s="2">
        <v>365815.77639999997</v>
      </c>
    </row>
    <row r="2416" spans="1:6" x14ac:dyDescent="0.3">
      <c r="A2416" s="1">
        <v>43434</v>
      </c>
      <c r="B2416" t="s">
        <v>6</v>
      </c>
      <c r="C2416" t="s">
        <v>9</v>
      </c>
      <c r="D2416" s="2">
        <v>2145312.6408000002</v>
      </c>
      <c r="E2416" s="2">
        <v>13208.5321</v>
      </c>
      <c r="F2416" s="2">
        <v>2158521.1729000001</v>
      </c>
    </row>
    <row r="2417" spans="1:6" x14ac:dyDescent="0.3">
      <c r="A2417" s="1">
        <v>43434</v>
      </c>
      <c r="B2417" t="s">
        <v>6</v>
      </c>
      <c r="C2417" t="s">
        <v>10</v>
      </c>
      <c r="D2417" s="2">
        <v>1395633.8258026899</v>
      </c>
      <c r="E2417" s="2">
        <v>265.14671064999999</v>
      </c>
      <c r="F2417" s="2">
        <v>1395898.9725133399</v>
      </c>
    </row>
    <row r="2418" spans="1:6" x14ac:dyDescent="0.3">
      <c r="A2418" s="1">
        <v>43434</v>
      </c>
      <c r="B2418" t="s">
        <v>13</v>
      </c>
      <c r="C2418" t="s">
        <v>14</v>
      </c>
      <c r="D2418" s="2">
        <v>15531248.0707027</v>
      </c>
      <c r="E2418" s="2">
        <v>28861.038410649999</v>
      </c>
      <c r="F2418" s="2">
        <v>15560109.1091133</v>
      </c>
    </row>
    <row r="2419" spans="1:6" x14ac:dyDescent="0.3">
      <c r="A2419" s="1">
        <v>43434</v>
      </c>
      <c r="B2419" t="s">
        <v>15</v>
      </c>
      <c r="C2419" t="s">
        <v>16</v>
      </c>
      <c r="D2419" s="2">
        <v>29995.18</v>
      </c>
      <c r="E2419" s="2">
        <v>0</v>
      </c>
      <c r="F2419" s="2">
        <v>29995.18</v>
      </c>
    </row>
    <row r="2420" spans="1:6" x14ac:dyDescent="0.3">
      <c r="A2420" s="1">
        <v>43434</v>
      </c>
      <c r="B2420" t="s">
        <v>15</v>
      </c>
      <c r="C2420" t="s">
        <v>18</v>
      </c>
      <c r="D2420" s="2">
        <v>156225.03701671999</v>
      </c>
      <c r="E2420" s="2">
        <v>0</v>
      </c>
      <c r="F2420" s="2">
        <v>156225.03701671999</v>
      </c>
    </row>
    <row r="2421" spans="1:6" x14ac:dyDescent="0.3">
      <c r="A2421" s="1">
        <v>43434</v>
      </c>
      <c r="B2421" t="s">
        <v>15</v>
      </c>
      <c r="C2421" t="s">
        <v>23</v>
      </c>
      <c r="D2421" s="2">
        <v>264.34199999999998</v>
      </c>
      <c r="E2421" s="2">
        <v>0</v>
      </c>
      <c r="F2421" s="2">
        <v>264.34199999999998</v>
      </c>
    </row>
    <row r="2422" spans="1:6" x14ac:dyDescent="0.3">
      <c r="A2422" s="1">
        <v>43434</v>
      </c>
      <c r="B2422" t="s">
        <v>15</v>
      </c>
      <c r="C2422" t="s">
        <v>17</v>
      </c>
      <c r="D2422" s="2">
        <v>68984.576545439995</v>
      </c>
      <c r="E2422" s="2">
        <v>0</v>
      </c>
      <c r="F2422" s="2">
        <v>68984.576545439995</v>
      </c>
    </row>
    <row r="2423" spans="1:6" x14ac:dyDescent="0.3">
      <c r="A2423" s="1">
        <v>43434</v>
      </c>
      <c r="B2423" t="s">
        <v>15</v>
      </c>
      <c r="C2423" t="s">
        <v>20</v>
      </c>
      <c r="D2423" s="2">
        <v>1630.25260286</v>
      </c>
      <c r="E2423" s="2">
        <v>0</v>
      </c>
      <c r="F2423" s="2">
        <v>1630.25260286</v>
      </c>
    </row>
    <row r="2424" spans="1:6" x14ac:dyDescent="0.3">
      <c r="A2424" s="1">
        <v>43434</v>
      </c>
      <c r="B2424" t="s">
        <v>15</v>
      </c>
      <c r="C2424" t="s">
        <v>19</v>
      </c>
      <c r="D2424" s="2">
        <v>255970.73308000001</v>
      </c>
      <c r="E2424" s="2">
        <v>5776914.64708634</v>
      </c>
      <c r="F2424" s="2">
        <v>6032885.3801663397</v>
      </c>
    </row>
    <row r="2425" spans="1:6" x14ac:dyDescent="0.3">
      <c r="A2425" s="1">
        <v>43465</v>
      </c>
      <c r="B2425" t="s">
        <v>6</v>
      </c>
      <c r="C2425" t="s">
        <v>7</v>
      </c>
      <c r="D2425" s="2">
        <v>2339374.3037</v>
      </c>
      <c r="E2425" s="2">
        <v>618.28099999999995</v>
      </c>
      <c r="F2425" s="2">
        <v>2339992.5847</v>
      </c>
    </row>
    <row r="2426" spans="1:6" x14ac:dyDescent="0.3">
      <c r="A2426" s="1">
        <v>43465</v>
      </c>
      <c r="B2426" t="s">
        <v>6</v>
      </c>
      <c r="C2426" t="s">
        <v>8</v>
      </c>
      <c r="D2426" s="2">
        <v>9292753.2208999991</v>
      </c>
      <c r="E2426" s="2">
        <v>4294.2755999999999</v>
      </c>
      <c r="F2426" s="2">
        <v>9297047.4965000004</v>
      </c>
    </row>
    <row r="2427" spans="1:6" x14ac:dyDescent="0.3">
      <c r="A2427" s="1">
        <v>43465</v>
      </c>
      <c r="B2427" t="s">
        <v>6</v>
      </c>
      <c r="C2427" t="s">
        <v>11</v>
      </c>
      <c r="D2427" s="2">
        <v>383815.09409999999</v>
      </c>
      <c r="E2427" s="2">
        <v>0</v>
      </c>
      <c r="F2427" s="2">
        <v>383815.09409999999</v>
      </c>
    </row>
    <row r="2428" spans="1:6" x14ac:dyDescent="0.3">
      <c r="A2428" s="1">
        <v>43465</v>
      </c>
      <c r="B2428" t="s">
        <v>6</v>
      </c>
      <c r="C2428" t="s">
        <v>9</v>
      </c>
      <c r="D2428" s="2">
        <v>2161472.0718</v>
      </c>
      <c r="E2428" s="2">
        <v>13049.063</v>
      </c>
      <c r="F2428" s="2">
        <v>2174521.1348000001</v>
      </c>
    </row>
    <row r="2429" spans="1:6" x14ac:dyDescent="0.3">
      <c r="A2429" s="1">
        <v>43465</v>
      </c>
      <c r="B2429" t="s">
        <v>6</v>
      </c>
      <c r="C2429" t="s">
        <v>10</v>
      </c>
      <c r="D2429" s="2">
        <v>1412256.44722001</v>
      </c>
      <c r="E2429" s="2">
        <v>334.69818719</v>
      </c>
      <c r="F2429" s="2">
        <v>1412591.1454072001</v>
      </c>
    </row>
    <row r="2430" spans="1:6" x14ac:dyDescent="0.3">
      <c r="A2430" s="1">
        <v>43465</v>
      </c>
      <c r="B2430" t="s">
        <v>6</v>
      </c>
      <c r="C2430" t="s">
        <v>12</v>
      </c>
      <c r="D2430" s="2">
        <v>0</v>
      </c>
      <c r="E2430" s="2">
        <v>10339.458000000001</v>
      </c>
      <c r="F2430" s="2">
        <v>10339.458000000001</v>
      </c>
    </row>
    <row r="2431" spans="1:6" x14ac:dyDescent="0.3">
      <c r="A2431" s="1">
        <v>43465</v>
      </c>
      <c r="B2431" t="s">
        <v>13</v>
      </c>
      <c r="C2431" t="s">
        <v>14</v>
      </c>
      <c r="D2431" s="2">
        <v>15589671.13772</v>
      </c>
      <c r="E2431" s="2">
        <v>28635.775787189999</v>
      </c>
      <c r="F2431" s="2">
        <v>15618306.913507201</v>
      </c>
    </row>
    <row r="2432" spans="1:6" x14ac:dyDescent="0.3">
      <c r="A2432" s="1">
        <v>43465</v>
      </c>
      <c r="B2432" t="s">
        <v>15</v>
      </c>
      <c r="C2432" t="s">
        <v>18</v>
      </c>
      <c r="D2432" s="2">
        <v>155795.16745770001</v>
      </c>
      <c r="E2432" s="2">
        <v>0</v>
      </c>
      <c r="F2432" s="2">
        <v>155795.16745770001</v>
      </c>
    </row>
    <row r="2433" spans="1:6" x14ac:dyDescent="0.3">
      <c r="A2433" s="1">
        <v>43465</v>
      </c>
      <c r="B2433" t="s">
        <v>15</v>
      </c>
      <c r="C2433" t="s">
        <v>23</v>
      </c>
      <c r="D2433" s="2">
        <v>264.34199999999998</v>
      </c>
      <c r="E2433" s="2">
        <v>0</v>
      </c>
      <c r="F2433" s="2">
        <v>264.34199999999998</v>
      </c>
    </row>
    <row r="2434" spans="1:6" x14ac:dyDescent="0.3">
      <c r="A2434" s="1">
        <v>43465</v>
      </c>
      <c r="B2434" t="s">
        <v>15</v>
      </c>
      <c r="C2434" t="s">
        <v>17</v>
      </c>
      <c r="D2434" s="2">
        <v>66197.464487799996</v>
      </c>
      <c r="E2434" s="2">
        <v>0</v>
      </c>
      <c r="F2434" s="2">
        <v>66197.464487799996</v>
      </c>
    </row>
    <row r="2435" spans="1:6" x14ac:dyDescent="0.3">
      <c r="A2435" s="1">
        <v>43465</v>
      </c>
      <c r="B2435" t="s">
        <v>15</v>
      </c>
      <c r="C2435" t="s">
        <v>16</v>
      </c>
      <c r="D2435" s="2">
        <v>29995.18</v>
      </c>
      <c r="E2435" s="2">
        <v>0</v>
      </c>
      <c r="F2435" s="2">
        <v>29995.18</v>
      </c>
    </row>
    <row r="2436" spans="1:6" x14ac:dyDescent="0.3">
      <c r="A2436" s="1">
        <v>43465</v>
      </c>
      <c r="B2436" t="s">
        <v>15</v>
      </c>
      <c r="C2436" t="s">
        <v>19</v>
      </c>
      <c r="D2436" s="2">
        <v>258083.48837396901</v>
      </c>
      <c r="E2436" s="2">
        <v>5843793.4295216799</v>
      </c>
      <c r="F2436" s="2">
        <v>6101876.9178956496</v>
      </c>
    </row>
    <row r="2437" spans="1:6" x14ac:dyDescent="0.3">
      <c r="A2437" s="1">
        <v>43465</v>
      </c>
      <c r="B2437" t="s">
        <v>15</v>
      </c>
      <c r="C2437" t="s">
        <v>20</v>
      </c>
      <c r="D2437" s="2">
        <v>1659.74733184</v>
      </c>
      <c r="E2437" s="2">
        <v>0</v>
      </c>
      <c r="F2437" s="2">
        <v>1659.74733184</v>
      </c>
    </row>
    <row r="2438" spans="1:6" x14ac:dyDescent="0.3">
      <c r="A2438" s="1">
        <v>43465</v>
      </c>
      <c r="B2438" t="s">
        <v>21</v>
      </c>
      <c r="C2438" t="s">
        <v>14</v>
      </c>
      <c r="D2438" s="2">
        <v>511995.389651309</v>
      </c>
      <c r="E2438" s="2">
        <v>5843793.4295216799</v>
      </c>
      <c r="F2438" s="2">
        <v>6355788.8191729896</v>
      </c>
    </row>
    <row r="2439" spans="1:6" x14ac:dyDescent="0.3">
      <c r="A2439" s="1">
        <v>43465</v>
      </c>
      <c r="B2439" t="s">
        <v>22</v>
      </c>
      <c r="C2439" t="s">
        <v>14</v>
      </c>
      <c r="D2439" s="2">
        <v>16101666.5273713</v>
      </c>
      <c r="E2439" s="2">
        <v>5872429.2053088704</v>
      </c>
      <c r="F2439" s="2">
        <v>21974095.732680202</v>
      </c>
    </row>
    <row r="2440" spans="1:6" x14ac:dyDescent="0.3">
      <c r="A2440" s="1">
        <v>43496</v>
      </c>
      <c r="B2440" t="s">
        <v>6</v>
      </c>
      <c r="C2440" t="s">
        <v>7</v>
      </c>
      <c r="D2440" s="2">
        <v>2298360.3133999999</v>
      </c>
      <c r="E2440" s="2">
        <v>704.56500000000005</v>
      </c>
      <c r="F2440" s="2">
        <v>2299064.8783999998</v>
      </c>
    </row>
    <row r="2441" spans="1:6" x14ac:dyDescent="0.3">
      <c r="A2441" s="1">
        <v>43496</v>
      </c>
      <c r="B2441" t="s">
        <v>6</v>
      </c>
      <c r="C2441" t="s">
        <v>8</v>
      </c>
      <c r="D2441" s="2">
        <v>9351632.4249000009</v>
      </c>
      <c r="E2441" s="2">
        <v>4217.3126000000002</v>
      </c>
      <c r="F2441" s="2">
        <v>9355849.7375000007</v>
      </c>
    </row>
    <row r="2442" spans="1:6" x14ac:dyDescent="0.3">
      <c r="A2442" s="1">
        <v>43496</v>
      </c>
      <c r="B2442" t="s">
        <v>6</v>
      </c>
      <c r="C2442" t="s">
        <v>9</v>
      </c>
      <c r="D2442" s="2">
        <v>2177714.7324999999</v>
      </c>
      <c r="E2442" s="2">
        <v>12800.975</v>
      </c>
      <c r="F2442" s="2">
        <v>2190515.7075</v>
      </c>
    </row>
    <row r="2443" spans="1:6" x14ac:dyDescent="0.3">
      <c r="A2443" s="1">
        <v>43496</v>
      </c>
      <c r="B2443" t="s">
        <v>6</v>
      </c>
      <c r="C2443" t="s">
        <v>10</v>
      </c>
      <c r="D2443" s="2">
        <v>1403460.5249645701</v>
      </c>
      <c r="E2443" s="2">
        <v>326.67077788</v>
      </c>
      <c r="F2443" s="2">
        <v>1403787.19574245</v>
      </c>
    </row>
    <row r="2444" spans="1:6" x14ac:dyDescent="0.3">
      <c r="A2444" s="1">
        <v>43496</v>
      </c>
      <c r="B2444" t="s">
        <v>6</v>
      </c>
      <c r="C2444" t="s">
        <v>11</v>
      </c>
      <c r="D2444" s="2">
        <v>360290.25290000002</v>
      </c>
      <c r="E2444" s="2">
        <v>0</v>
      </c>
      <c r="F2444" s="2">
        <v>360290.25290000002</v>
      </c>
    </row>
    <row r="2445" spans="1:6" x14ac:dyDescent="0.3">
      <c r="A2445" s="1">
        <v>43496</v>
      </c>
      <c r="B2445" t="s">
        <v>6</v>
      </c>
      <c r="C2445" t="s">
        <v>12</v>
      </c>
      <c r="D2445" s="2">
        <v>0</v>
      </c>
      <c r="E2445" s="2">
        <v>10339.458000000001</v>
      </c>
      <c r="F2445" s="2">
        <v>10339.458000000001</v>
      </c>
    </row>
    <row r="2446" spans="1:6" x14ac:dyDescent="0.3">
      <c r="A2446" s="1">
        <v>43496</v>
      </c>
      <c r="B2446" t="s">
        <v>13</v>
      </c>
      <c r="C2446" t="s">
        <v>14</v>
      </c>
      <c r="D2446" s="2">
        <v>15591458.248664601</v>
      </c>
      <c r="E2446" s="2">
        <v>28388.981377880002</v>
      </c>
      <c r="F2446" s="2">
        <v>15619847.2300424</v>
      </c>
    </row>
    <row r="2447" spans="1:6" x14ac:dyDescent="0.3">
      <c r="A2447" s="1">
        <v>43496</v>
      </c>
      <c r="B2447" t="s">
        <v>15</v>
      </c>
      <c r="C2447" t="s">
        <v>16</v>
      </c>
      <c r="D2447" s="2">
        <v>29995.18</v>
      </c>
      <c r="E2447" s="2">
        <v>0</v>
      </c>
      <c r="F2447" s="2">
        <v>29995.18</v>
      </c>
    </row>
    <row r="2448" spans="1:6" x14ac:dyDescent="0.3">
      <c r="A2448" s="1">
        <v>43496</v>
      </c>
      <c r="B2448" t="s">
        <v>15</v>
      </c>
      <c r="C2448" t="s">
        <v>23</v>
      </c>
      <c r="D2448" s="2">
        <v>264.34199999999998</v>
      </c>
      <c r="E2448" s="2">
        <v>0</v>
      </c>
      <c r="F2448" s="2">
        <v>264.34199999999998</v>
      </c>
    </row>
    <row r="2449" spans="1:6" x14ac:dyDescent="0.3">
      <c r="A2449" s="1">
        <v>43496</v>
      </c>
      <c r="B2449" t="s">
        <v>15</v>
      </c>
      <c r="C2449" t="s">
        <v>17</v>
      </c>
      <c r="D2449" s="2">
        <v>61438.49314518</v>
      </c>
      <c r="E2449" s="2">
        <v>0</v>
      </c>
      <c r="F2449" s="2">
        <v>61438.49314518</v>
      </c>
    </row>
    <row r="2450" spans="1:6" x14ac:dyDescent="0.3">
      <c r="A2450" s="1">
        <v>43496</v>
      </c>
      <c r="B2450" t="s">
        <v>15</v>
      </c>
      <c r="C2450" t="s">
        <v>18</v>
      </c>
      <c r="D2450" s="2">
        <v>155254.13297549999</v>
      </c>
      <c r="E2450" s="2">
        <v>0</v>
      </c>
      <c r="F2450" s="2">
        <v>155254.13297549999</v>
      </c>
    </row>
    <row r="2451" spans="1:6" x14ac:dyDescent="0.3">
      <c r="A2451" s="1">
        <v>43496</v>
      </c>
      <c r="B2451" t="s">
        <v>15</v>
      </c>
      <c r="C2451" t="s">
        <v>19</v>
      </c>
      <c r="D2451" s="2">
        <v>261182.81160709</v>
      </c>
      <c r="E2451" s="2">
        <v>5852807.2632094799</v>
      </c>
      <c r="F2451" s="2">
        <v>6113990.0748165697</v>
      </c>
    </row>
    <row r="2452" spans="1:6" x14ac:dyDescent="0.3">
      <c r="A2452" s="1">
        <v>43496</v>
      </c>
      <c r="B2452" t="s">
        <v>15</v>
      </c>
      <c r="C2452" t="s">
        <v>20</v>
      </c>
      <c r="D2452" s="2">
        <v>1633.5799997500001</v>
      </c>
      <c r="E2452" s="2">
        <v>0</v>
      </c>
      <c r="F2452" s="2">
        <v>1633.5799997500001</v>
      </c>
    </row>
    <row r="2453" spans="1:6" x14ac:dyDescent="0.3">
      <c r="A2453" s="1">
        <v>43496</v>
      </c>
      <c r="B2453" t="s">
        <v>21</v>
      </c>
      <c r="C2453" t="s">
        <v>14</v>
      </c>
      <c r="D2453" s="2">
        <v>509768.53972752002</v>
      </c>
      <c r="E2453" s="2">
        <v>5852807.2632094799</v>
      </c>
      <c r="F2453" s="2">
        <v>6362575.8029370001</v>
      </c>
    </row>
    <row r="2454" spans="1:6" x14ac:dyDescent="0.3">
      <c r="A2454" s="1">
        <v>43496</v>
      </c>
      <c r="B2454" t="s">
        <v>22</v>
      </c>
      <c r="C2454" t="s">
        <v>14</v>
      </c>
      <c r="D2454" s="2">
        <v>16101226.7883921</v>
      </c>
      <c r="E2454" s="2">
        <v>5881196.2445873599</v>
      </c>
      <c r="F2454" s="2">
        <v>21982423.032979399</v>
      </c>
    </row>
    <row r="2455" spans="1:6" x14ac:dyDescent="0.3">
      <c r="A2455" s="1">
        <v>43524</v>
      </c>
      <c r="B2455" t="s">
        <v>21</v>
      </c>
      <c r="C2455" t="s">
        <v>14</v>
      </c>
      <c r="D2455" s="2">
        <v>510297.836405151</v>
      </c>
      <c r="E2455" s="2">
        <v>5835551.9051763099</v>
      </c>
      <c r="F2455" s="2">
        <v>6345849.7415814605</v>
      </c>
    </row>
    <row r="2456" spans="1:6" x14ac:dyDescent="0.3">
      <c r="A2456" s="1">
        <v>43524</v>
      </c>
      <c r="B2456" t="s">
        <v>22</v>
      </c>
      <c r="C2456" t="s">
        <v>14</v>
      </c>
      <c r="D2456" s="2">
        <v>16250898.044729199</v>
      </c>
      <c r="E2456" s="2">
        <v>5864628.4008707302</v>
      </c>
      <c r="F2456" s="2">
        <v>22115526.445599999</v>
      </c>
    </row>
    <row r="2457" spans="1:6" x14ac:dyDescent="0.3">
      <c r="A2457" s="1">
        <v>43524</v>
      </c>
      <c r="B2457" t="s">
        <v>6</v>
      </c>
      <c r="C2457" t="s">
        <v>7</v>
      </c>
      <c r="D2457" s="2">
        <v>2395382.0139000001</v>
      </c>
      <c r="E2457" s="2">
        <v>659.92899999999997</v>
      </c>
      <c r="F2457" s="2">
        <v>2396041.9429000001</v>
      </c>
    </row>
    <row r="2458" spans="1:6" x14ac:dyDescent="0.3">
      <c r="A2458" s="1">
        <v>43524</v>
      </c>
      <c r="B2458" t="s">
        <v>6</v>
      </c>
      <c r="C2458" t="s">
        <v>8</v>
      </c>
      <c r="D2458" s="2">
        <v>9371585.0390000008</v>
      </c>
      <c r="E2458" s="2">
        <v>4686.0375999999997</v>
      </c>
      <c r="F2458" s="2">
        <v>9376271.0765999891</v>
      </c>
    </row>
    <row r="2459" spans="1:6" x14ac:dyDescent="0.3">
      <c r="A2459" s="1">
        <v>43524</v>
      </c>
      <c r="B2459" t="s">
        <v>6</v>
      </c>
      <c r="C2459" t="s">
        <v>9</v>
      </c>
      <c r="D2459" s="2">
        <v>2187909.0218000002</v>
      </c>
      <c r="E2459" s="2">
        <v>13090.7814</v>
      </c>
      <c r="F2459" s="2">
        <v>2200999.8032</v>
      </c>
    </row>
    <row r="2460" spans="1:6" x14ac:dyDescent="0.3">
      <c r="A2460" s="1">
        <v>43524</v>
      </c>
      <c r="B2460" t="s">
        <v>6</v>
      </c>
      <c r="C2460" t="s">
        <v>10</v>
      </c>
      <c r="D2460" s="2">
        <v>1407438.9746240999</v>
      </c>
      <c r="E2460" s="2">
        <v>300.28969441999999</v>
      </c>
      <c r="F2460" s="2">
        <v>1407739.26431852</v>
      </c>
    </row>
    <row r="2461" spans="1:6" x14ac:dyDescent="0.3">
      <c r="A2461" s="1">
        <v>43524</v>
      </c>
      <c r="B2461" t="s">
        <v>6</v>
      </c>
      <c r="C2461" t="s">
        <v>12</v>
      </c>
      <c r="D2461" s="2">
        <v>0</v>
      </c>
      <c r="E2461" s="2">
        <v>10339.458000000001</v>
      </c>
      <c r="F2461" s="2">
        <v>10339.458000000001</v>
      </c>
    </row>
    <row r="2462" spans="1:6" x14ac:dyDescent="0.3">
      <c r="A2462" s="1">
        <v>43524</v>
      </c>
      <c r="B2462" t="s">
        <v>6</v>
      </c>
      <c r="C2462" t="s">
        <v>11</v>
      </c>
      <c r="D2462" s="2">
        <v>378285.15899999999</v>
      </c>
      <c r="E2462" s="2">
        <v>0</v>
      </c>
      <c r="F2462" s="2">
        <v>378285.15899999999</v>
      </c>
    </row>
    <row r="2463" spans="1:6" x14ac:dyDescent="0.3">
      <c r="A2463" s="1">
        <v>43524</v>
      </c>
      <c r="B2463" t="s">
        <v>13</v>
      </c>
      <c r="C2463" t="s">
        <v>14</v>
      </c>
      <c r="D2463" s="2">
        <v>15740600.208324101</v>
      </c>
      <c r="E2463" s="2">
        <v>29076.495694419998</v>
      </c>
      <c r="F2463" s="2">
        <v>15769676.7040185</v>
      </c>
    </row>
    <row r="2464" spans="1:6" x14ac:dyDescent="0.3">
      <c r="A2464" s="1">
        <v>43524</v>
      </c>
      <c r="B2464" t="s">
        <v>15</v>
      </c>
      <c r="C2464" t="s">
        <v>16</v>
      </c>
      <c r="D2464" s="2">
        <v>29995.18</v>
      </c>
      <c r="E2464" s="2">
        <v>0</v>
      </c>
      <c r="F2464" s="2">
        <v>29995.18</v>
      </c>
    </row>
    <row r="2465" spans="1:6" x14ac:dyDescent="0.3">
      <c r="A2465" s="1">
        <v>43524</v>
      </c>
      <c r="B2465" t="s">
        <v>15</v>
      </c>
      <c r="C2465" t="s">
        <v>18</v>
      </c>
      <c r="D2465" s="2">
        <v>154933.03872524001</v>
      </c>
      <c r="E2465" s="2">
        <v>0</v>
      </c>
      <c r="F2465" s="2">
        <v>154933.03872524001</v>
      </c>
    </row>
    <row r="2466" spans="1:6" x14ac:dyDescent="0.3">
      <c r="A2466" s="1">
        <v>43524</v>
      </c>
      <c r="B2466" t="s">
        <v>15</v>
      </c>
      <c r="C2466" t="s">
        <v>23</v>
      </c>
      <c r="D2466" s="2">
        <v>264.34199999999998</v>
      </c>
      <c r="E2466" s="2">
        <v>0</v>
      </c>
      <c r="F2466" s="2">
        <v>264.34199999999998</v>
      </c>
    </row>
    <row r="2467" spans="1:6" x14ac:dyDescent="0.3">
      <c r="A2467" s="1">
        <v>43524</v>
      </c>
      <c r="B2467" t="s">
        <v>15</v>
      </c>
      <c r="C2467" t="s">
        <v>17</v>
      </c>
      <c r="D2467" s="2">
        <v>61178.923850339997</v>
      </c>
      <c r="E2467" s="2">
        <v>0</v>
      </c>
      <c r="F2467" s="2">
        <v>61178.923850339997</v>
      </c>
    </row>
    <row r="2468" spans="1:6" x14ac:dyDescent="0.3">
      <c r="A2468" s="1">
        <v>43524</v>
      </c>
      <c r="B2468" t="s">
        <v>15</v>
      </c>
      <c r="C2468" t="s">
        <v>20</v>
      </c>
      <c r="D2468" s="2">
        <v>1622.7474639</v>
      </c>
      <c r="E2468" s="2">
        <v>0</v>
      </c>
      <c r="F2468" s="2">
        <v>1622.7474639</v>
      </c>
    </row>
    <row r="2469" spans="1:6" x14ac:dyDescent="0.3">
      <c r="A2469" s="1">
        <v>43524</v>
      </c>
      <c r="B2469" t="s">
        <v>15</v>
      </c>
      <c r="C2469" t="s">
        <v>19</v>
      </c>
      <c r="D2469" s="2">
        <v>262303.604365671</v>
      </c>
      <c r="E2469" s="2">
        <v>5835551.9051763099</v>
      </c>
      <c r="F2469" s="2">
        <v>6097855.50954198</v>
      </c>
    </row>
    <row r="2470" spans="1:6" x14ac:dyDescent="0.3">
      <c r="A2470" s="1">
        <v>43555</v>
      </c>
      <c r="B2470" t="s">
        <v>15</v>
      </c>
      <c r="C2470" t="s">
        <v>19</v>
      </c>
      <c r="D2470" s="2">
        <v>45624.47349751</v>
      </c>
      <c r="E2470" s="2">
        <v>5794954.5367467096</v>
      </c>
      <c r="F2470" s="2">
        <v>5840580.0102442196</v>
      </c>
    </row>
    <row r="2471" spans="1:6" x14ac:dyDescent="0.3">
      <c r="A2471" s="1">
        <v>43555</v>
      </c>
      <c r="B2471" t="s">
        <v>15</v>
      </c>
      <c r="C2471" t="s">
        <v>16</v>
      </c>
      <c r="D2471" s="2">
        <v>29995.18</v>
      </c>
      <c r="E2471" s="2">
        <v>0</v>
      </c>
      <c r="F2471" s="2">
        <v>29995.18</v>
      </c>
    </row>
    <row r="2472" spans="1:6" x14ac:dyDescent="0.3">
      <c r="A2472" s="1">
        <v>43555</v>
      </c>
      <c r="B2472" t="s">
        <v>21</v>
      </c>
      <c r="C2472" t="s">
        <v>14</v>
      </c>
      <c r="D2472" s="2">
        <v>294026.84687865002</v>
      </c>
      <c r="E2472" s="2">
        <v>5794954.5367467096</v>
      </c>
      <c r="F2472" s="2">
        <v>6088982.3836253602</v>
      </c>
    </row>
    <row r="2473" spans="1:6" x14ac:dyDescent="0.3">
      <c r="A2473" s="1">
        <v>43555</v>
      </c>
      <c r="B2473" t="s">
        <v>22</v>
      </c>
      <c r="C2473" t="s">
        <v>14</v>
      </c>
      <c r="D2473" s="2">
        <v>16204392.012154501</v>
      </c>
      <c r="E2473" s="2">
        <v>5823487.6070324201</v>
      </c>
      <c r="F2473" s="2">
        <v>22027879.619186901</v>
      </c>
    </row>
    <row r="2474" spans="1:6" x14ac:dyDescent="0.3">
      <c r="A2474" s="1">
        <v>43555</v>
      </c>
      <c r="B2474" t="s">
        <v>6</v>
      </c>
      <c r="C2474" t="s">
        <v>7</v>
      </c>
      <c r="D2474" s="2">
        <v>2479406.7598000001</v>
      </c>
      <c r="E2474" s="2">
        <v>628.42899999999997</v>
      </c>
      <c r="F2474" s="2">
        <v>2480035.1888000001</v>
      </c>
    </row>
    <row r="2475" spans="1:6" x14ac:dyDescent="0.3">
      <c r="A2475" s="1">
        <v>43555</v>
      </c>
      <c r="B2475" t="s">
        <v>6</v>
      </c>
      <c r="C2475" t="s">
        <v>8</v>
      </c>
      <c r="D2475" s="2">
        <v>9410162.4630999994</v>
      </c>
      <c r="E2475" s="2">
        <v>4107.3815999999997</v>
      </c>
      <c r="F2475" s="2">
        <v>9414269.8446999993</v>
      </c>
    </row>
    <row r="2476" spans="1:6" x14ac:dyDescent="0.3">
      <c r="A2476" s="1">
        <v>43555</v>
      </c>
      <c r="B2476" t="s">
        <v>6</v>
      </c>
      <c r="C2476" t="s">
        <v>9</v>
      </c>
      <c r="D2476" s="2">
        <v>2203850.0172999999</v>
      </c>
      <c r="E2476" s="2">
        <v>13149.5906</v>
      </c>
      <c r="F2476" s="2">
        <v>2216999.6079000002</v>
      </c>
    </row>
    <row r="2477" spans="1:6" x14ac:dyDescent="0.3">
      <c r="A2477" s="1">
        <v>43555</v>
      </c>
      <c r="B2477" t="s">
        <v>6</v>
      </c>
      <c r="C2477" t="s">
        <v>10</v>
      </c>
      <c r="D2477" s="2">
        <v>1420671.10957588</v>
      </c>
      <c r="E2477" s="2">
        <v>297.93108570999999</v>
      </c>
      <c r="F2477" s="2">
        <v>1420969.0406615899</v>
      </c>
    </row>
    <row r="2478" spans="1:6" x14ac:dyDescent="0.3">
      <c r="A2478" s="1">
        <v>43555</v>
      </c>
      <c r="B2478" t="s">
        <v>6</v>
      </c>
      <c r="C2478" t="s">
        <v>12</v>
      </c>
      <c r="D2478" s="2">
        <v>0</v>
      </c>
      <c r="E2478" s="2">
        <v>10339.458000000001</v>
      </c>
      <c r="F2478" s="2">
        <v>10339.458000000001</v>
      </c>
    </row>
    <row r="2479" spans="1:6" x14ac:dyDescent="0.3">
      <c r="A2479" s="1">
        <v>43555</v>
      </c>
      <c r="B2479" t="s">
        <v>6</v>
      </c>
      <c r="C2479" t="s">
        <v>11</v>
      </c>
      <c r="D2479" s="2">
        <v>396274.81550000003</v>
      </c>
      <c r="E2479" s="2">
        <v>10.28</v>
      </c>
      <c r="F2479" s="2">
        <v>396285.0955</v>
      </c>
    </row>
    <row r="2480" spans="1:6" x14ac:dyDescent="0.3">
      <c r="A2480" s="1">
        <v>43555</v>
      </c>
      <c r="B2480" t="s">
        <v>13</v>
      </c>
      <c r="C2480" t="s">
        <v>14</v>
      </c>
      <c r="D2480" s="2">
        <v>15910365.1652759</v>
      </c>
      <c r="E2480" s="2">
        <v>28533.07028571</v>
      </c>
      <c r="F2480" s="2">
        <v>15938898.2355616</v>
      </c>
    </row>
    <row r="2481" spans="1:6" x14ac:dyDescent="0.3">
      <c r="A2481" s="1">
        <v>43555</v>
      </c>
      <c r="B2481" t="s">
        <v>15</v>
      </c>
      <c r="C2481" t="s">
        <v>18</v>
      </c>
      <c r="D2481" s="2">
        <v>154532.76135146999</v>
      </c>
      <c r="E2481" s="2">
        <v>0</v>
      </c>
      <c r="F2481" s="2">
        <v>154532.76135146999</v>
      </c>
    </row>
    <row r="2482" spans="1:6" x14ac:dyDescent="0.3">
      <c r="A2482" s="1">
        <v>43555</v>
      </c>
      <c r="B2482" t="s">
        <v>15</v>
      </c>
      <c r="C2482" t="s">
        <v>20</v>
      </c>
      <c r="D2482" s="2">
        <v>1635.26532843</v>
      </c>
      <c r="E2482" s="2">
        <v>0</v>
      </c>
      <c r="F2482" s="2">
        <v>1635.26532843</v>
      </c>
    </row>
    <row r="2483" spans="1:6" x14ac:dyDescent="0.3">
      <c r="A2483" s="1">
        <v>43555</v>
      </c>
      <c r="B2483" t="s">
        <v>15</v>
      </c>
      <c r="C2483" t="s">
        <v>23</v>
      </c>
      <c r="D2483" s="2">
        <v>264.34199999999998</v>
      </c>
      <c r="E2483" s="2">
        <v>0</v>
      </c>
      <c r="F2483" s="2">
        <v>264.34199999999998</v>
      </c>
    </row>
    <row r="2484" spans="1:6" x14ac:dyDescent="0.3">
      <c r="A2484" s="1">
        <v>43555</v>
      </c>
      <c r="B2484" t="s">
        <v>15</v>
      </c>
      <c r="C2484" t="s">
        <v>17</v>
      </c>
      <c r="D2484" s="2">
        <v>61974.824701240002</v>
      </c>
      <c r="E2484" s="2">
        <v>0</v>
      </c>
      <c r="F2484" s="2">
        <v>61974.824701240002</v>
      </c>
    </row>
    <row r="2485" spans="1:6" x14ac:dyDescent="0.3">
      <c r="A2485" s="1">
        <v>43585</v>
      </c>
      <c r="B2485" t="s">
        <v>6</v>
      </c>
      <c r="C2485" t="s">
        <v>7</v>
      </c>
      <c r="D2485" s="2">
        <v>2383330.1560999998</v>
      </c>
      <c r="E2485" s="2">
        <v>662.96500000000003</v>
      </c>
      <c r="F2485" s="2">
        <v>2383993.1211000001</v>
      </c>
    </row>
    <row r="2486" spans="1:6" x14ac:dyDescent="0.3">
      <c r="A2486" s="1">
        <v>43585</v>
      </c>
      <c r="B2486" t="s">
        <v>6</v>
      </c>
      <c r="C2486" t="s">
        <v>9</v>
      </c>
      <c r="D2486" s="2">
        <v>2222584.0076000001</v>
      </c>
      <c r="E2486" s="2">
        <v>10417.5566</v>
      </c>
      <c r="F2486" s="2">
        <v>2233001.5641999999</v>
      </c>
    </row>
    <row r="2487" spans="1:6" x14ac:dyDescent="0.3">
      <c r="A2487" s="1">
        <v>43585</v>
      </c>
      <c r="B2487" t="s">
        <v>6</v>
      </c>
      <c r="C2487" t="s">
        <v>10</v>
      </c>
      <c r="D2487" s="2">
        <v>1389990.2073784999</v>
      </c>
      <c r="E2487" s="2">
        <v>285.04754972000001</v>
      </c>
      <c r="F2487" s="2">
        <v>1390275.2549282201</v>
      </c>
    </row>
    <row r="2488" spans="1:6" x14ac:dyDescent="0.3">
      <c r="A2488" s="1">
        <v>43585</v>
      </c>
      <c r="B2488" t="s">
        <v>6</v>
      </c>
      <c r="C2488" t="s">
        <v>8</v>
      </c>
      <c r="D2488" s="2">
        <v>9485848.7863999903</v>
      </c>
      <c r="E2488" s="2">
        <v>5539.9008999999996</v>
      </c>
      <c r="F2488" s="2">
        <v>9491388.6872999892</v>
      </c>
    </row>
    <row r="2489" spans="1:6" x14ac:dyDescent="0.3">
      <c r="A2489" s="1">
        <v>43585</v>
      </c>
      <c r="B2489" t="s">
        <v>6</v>
      </c>
      <c r="C2489" t="s">
        <v>12</v>
      </c>
      <c r="D2489" s="2">
        <v>0</v>
      </c>
      <c r="E2489" s="2">
        <v>10339.458000000001</v>
      </c>
      <c r="F2489" s="2">
        <v>10339.458000000001</v>
      </c>
    </row>
    <row r="2490" spans="1:6" x14ac:dyDescent="0.3">
      <c r="A2490" s="1">
        <v>43585</v>
      </c>
      <c r="B2490" t="s">
        <v>6</v>
      </c>
      <c r="C2490" t="s">
        <v>11</v>
      </c>
      <c r="D2490" s="2">
        <v>371903.21090000001</v>
      </c>
      <c r="E2490" s="2">
        <v>10.28</v>
      </c>
      <c r="F2490" s="2">
        <v>371913.49089999998</v>
      </c>
    </row>
    <row r="2491" spans="1:6" x14ac:dyDescent="0.3">
      <c r="A2491" s="1">
        <v>43585</v>
      </c>
      <c r="B2491" t="s">
        <v>13</v>
      </c>
      <c r="C2491" t="s">
        <v>14</v>
      </c>
      <c r="D2491" s="2">
        <v>15853656.3683785</v>
      </c>
      <c r="E2491" s="2">
        <v>27255.20804972</v>
      </c>
      <c r="F2491" s="2">
        <v>15880911.576428199</v>
      </c>
    </row>
    <row r="2492" spans="1:6" x14ac:dyDescent="0.3">
      <c r="A2492" s="1">
        <v>43585</v>
      </c>
      <c r="B2492" t="s">
        <v>15</v>
      </c>
      <c r="C2492" t="s">
        <v>16</v>
      </c>
      <c r="D2492" s="2">
        <v>29995.18</v>
      </c>
      <c r="E2492" s="2">
        <v>0</v>
      </c>
      <c r="F2492" s="2">
        <v>29995.18</v>
      </c>
    </row>
    <row r="2493" spans="1:6" x14ac:dyDescent="0.3">
      <c r="A2493" s="1">
        <v>43585</v>
      </c>
      <c r="B2493" t="s">
        <v>15</v>
      </c>
      <c r="C2493" t="s">
        <v>23</v>
      </c>
      <c r="D2493" s="2">
        <v>264.34199999999998</v>
      </c>
      <c r="E2493" s="2">
        <v>0</v>
      </c>
      <c r="F2493" s="2">
        <v>264.34199999999998</v>
      </c>
    </row>
    <row r="2494" spans="1:6" x14ac:dyDescent="0.3">
      <c r="A2494" s="1">
        <v>43585</v>
      </c>
      <c r="B2494" t="s">
        <v>15</v>
      </c>
      <c r="C2494" t="s">
        <v>17</v>
      </c>
      <c r="D2494" s="2">
        <v>58030.297693</v>
      </c>
      <c r="E2494" s="2">
        <v>0</v>
      </c>
      <c r="F2494" s="2">
        <v>58030.297693</v>
      </c>
    </row>
    <row r="2495" spans="1:6" x14ac:dyDescent="0.3">
      <c r="A2495" s="1">
        <v>43585</v>
      </c>
      <c r="B2495" t="s">
        <v>15</v>
      </c>
      <c r="C2495" t="s">
        <v>18</v>
      </c>
      <c r="D2495" s="2">
        <v>154146.19294159999</v>
      </c>
      <c r="E2495" s="2">
        <v>0</v>
      </c>
      <c r="F2495" s="2">
        <v>154146.19294159999</v>
      </c>
    </row>
    <row r="2496" spans="1:6" x14ac:dyDescent="0.3">
      <c r="A2496" s="1">
        <v>43585</v>
      </c>
      <c r="B2496" t="s">
        <v>15</v>
      </c>
      <c r="C2496" t="s">
        <v>19</v>
      </c>
      <c r="D2496" s="2">
        <v>94941.970990929796</v>
      </c>
      <c r="E2496" s="2">
        <v>5807624.1609951397</v>
      </c>
      <c r="F2496" s="2">
        <v>5902566.1319860704</v>
      </c>
    </row>
    <row r="2497" spans="1:6" x14ac:dyDescent="0.3">
      <c r="A2497" s="1">
        <v>43585</v>
      </c>
      <c r="B2497" t="s">
        <v>15</v>
      </c>
      <c r="C2497" t="s">
        <v>20</v>
      </c>
      <c r="D2497" s="2">
        <v>1755.0376876099999</v>
      </c>
      <c r="E2497" s="2">
        <v>0</v>
      </c>
      <c r="F2497" s="2">
        <v>1755.0376876099999</v>
      </c>
    </row>
    <row r="2498" spans="1:6" x14ac:dyDescent="0.3">
      <c r="A2498" s="1">
        <v>43585</v>
      </c>
      <c r="B2498" t="s">
        <v>21</v>
      </c>
      <c r="C2498" t="s">
        <v>14</v>
      </c>
      <c r="D2498" s="2">
        <v>339133.02131313999</v>
      </c>
      <c r="E2498" s="2">
        <v>5807624.1609951397</v>
      </c>
      <c r="F2498" s="2">
        <v>6146757.1823082799</v>
      </c>
    </row>
    <row r="2499" spans="1:6" x14ac:dyDescent="0.3">
      <c r="A2499" s="1">
        <v>43585</v>
      </c>
      <c r="B2499" t="s">
        <v>22</v>
      </c>
      <c r="C2499" t="s">
        <v>14</v>
      </c>
      <c r="D2499" s="2">
        <v>16192789.389691601</v>
      </c>
      <c r="E2499" s="2">
        <v>5834879.3690448599</v>
      </c>
      <c r="F2499" s="2">
        <v>22027667.758736499</v>
      </c>
    </row>
    <row r="2500" spans="1:6" x14ac:dyDescent="0.3">
      <c r="A2500" s="1">
        <v>43616</v>
      </c>
      <c r="B2500" t="s">
        <v>6</v>
      </c>
      <c r="C2500" t="s">
        <v>7</v>
      </c>
      <c r="D2500" s="2">
        <v>2353292.0709000002</v>
      </c>
      <c r="E2500" s="2">
        <v>654.16499999999996</v>
      </c>
      <c r="F2500" s="2">
        <v>2353946.2359000002</v>
      </c>
    </row>
    <row r="2501" spans="1:6" x14ac:dyDescent="0.3">
      <c r="A2501" s="1">
        <v>43616</v>
      </c>
      <c r="B2501" t="s">
        <v>6</v>
      </c>
      <c r="C2501" t="s">
        <v>11</v>
      </c>
      <c r="D2501" s="2">
        <v>391796.69449999998</v>
      </c>
      <c r="E2501" s="2">
        <v>6.77</v>
      </c>
      <c r="F2501" s="2">
        <v>391803.4645</v>
      </c>
    </row>
    <row r="2502" spans="1:6" x14ac:dyDescent="0.3">
      <c r="A2502" s="1">
        <v>43616</v>
      </c>
      <c r="B2502" t="s">
        <v>6</v>
      </c>
      <c r="C2502" t="s">
        <v>8</v>
      </c>
      <c r="D2502" s="2">
        <v>9511363.2012999896</v>
      </c>
      <c r="E2502" s="2">
        <v>5028.9108999999999</v>
      </c>
      <c r="F2502" s="2">
        <v>9516392.1121999901</v>
      </c>
    </row>
    <row r="2503" spans="1:6" x14ac:dyDescent="0.3">
      <c r="A2503" s="1">
        <v>43616</v>
      </c>
      <c r="B2503" t="s">
        <v>15</v>
      </c>
      <c r="C2503" t="s">
        <v>23</v>
      </c>
      <c r="D2503" s="2">
        <v>264.34199999999998</v>
      </c>
      <c r="E2503" s="2">
        <v>0</v>
      </c>
      <c r="F2503" s="2">
        <v>264.34199999999998</v>
      </c>
    </row>
    <row r="2504" spans="1:6" x14ac:dyDescent="0.3">
      <c r="A2504" s="1">
        <v>43616</v>
      </c>
      <c r="B2504" t="s">
        <v>15</v>
      </c>
      <c r="C2504" t="s">
        <v>17</v>
      </c>
      <c r="D2504" s="2">
        <v>52845.171501210003</v>
      </c>
      <c r="E2504" s="2">
        <v>0</v>
      </c>
      <c r="F2504" s="2">
        <v>52845.171501210003</v>
      </c>
    </row>
    <row r="2505" spans="1:6" x14ac:dyDescent="0.3">
      <c r="A2505" s="1">
        <v>43616</v>
      </c>
      <c r="B2505" t="s">
        <v>15</v>
      </c>
      <c r="C2505" t="s">
        <v>18</v>
      </c>
      <c r="D2505" s="2">
        <v>153752.21977904</v>
      </c>
      <c r="E2505" s="2">
        <v>0</v>
      </c>
      <c r="F2505" s="2">
        <v>153752.21977904</v>
      </c>
    </row>
    <row r="2506" spans="1:6" x14ac:dyDescent="0.3">
      <c r="A2506" s="1">
        <v>43616</v>
      </c>
      <c r="B2506" t="s">
        <v>15</v>
      </c>
      <c r="C2506" t="s">
        <v>19</v>
      </c>
      <c r="D2506" s="2">
        <v>49278.831802149798</v>
      </c>
      <c r="E2506" s="2">
        <v>5797280.8352061501</v>
      </c>
      <c r="F2506" s="2">
        <v>5846559.6670083003</v>
      </c>
    </row>
    <row r="2507" spans="1:6" x14ac:dyDescent="0.3">
      <c r="A2507" s="1">
        <v>43616</v>
      </c>
      <c r="B2507" t="s">
        <v>15</v>
      </c>
      <c r="C2507" t="s">
        <v>20</v>
      </c>
      <c r="D2507" s="2">
        <v>1755.7241031999999</v>
      </c>
      <c r="E2507" s="2">
        <v>0</v>
      </c>
      <c r="F2507" s="2">
        <v>1755.7241031999999</v>
      </c>
    </row>
    <row r="2508" spans="1:6" x14ac:dyDescent="0.3">
      <c r="A2508" s="1">
        <v>43616</v>
      </c>
      <c r="B2508" t="s">
        <v>21</v>
      </c>
      <c r="C2508" t="s">
        <v>14</v>
      </c>
      <c r="D2508" s="2">
        <v>287892.4691856</v>
      </c>
      <c r="E2508" s="2">
        <v>5797280.8352061501</v>
      </c>
      <c r="F2508" s="2">
        <v>6085173.3043917501</v>
      </c>
    </row>
    <row r="2509" spans="1:6" x14ac:dyDescent="0.3">
      <c r="A2509" s="1">
        <v>43616</v>
      </c>
      <c r="B2509" t="s">
        <v>22</v>
      </c>
      <c r="C2509" t="s">
        <v>14</v>
      </c>
      <c r="D2509" s="2">
        <v>16202283.336054999</v>
      </c>
      <c r="E2509" s="2">
        <v>5824141.1001871703</v>
      </c>
      <c r="F2509" s="2">
        <v>22026424.4362422</v>
      </c>
    </row>
    <row r="2510" spans="1:6" x14ac:dyDescent="0.3">
      <c r="A2510" s="1">
        <v>43616</v>
      </c>
      <c r="B2510" t="s">
        <v>6</v>
      </c>
      <c r="C2510" t="s">
        <v>12</v>
      </c>
      <c r="D2510" s="2">
        <v>0</v>
      </c>
      <c r="E2510" s="2">
        <v>10339.458000000001</v>
      </c>
      <c r="F2510" s="2">
        <v>10339.458000000001</v>
      </c>
    </row>
    <row r="2511" spans="1:6" x14ac:dyDescent="0.3">
      <c r="A2511" s="1">
        <v>43616</v>
      </c>
      <c r="B2511" t="s">
        <v>6</v>
      </c>
      <c r="C2511" t="s">
        <v>9</v>
      </c>
      <c r="D2511" s="2">
        <v>2247948.9890999999</v>
      </c>
      <c r="E2511" s="2">
        <v>10525.063</v>
      </c>
      <c r="F2511" s="2">
        <v>2258474.0521</v>
      </c>
    </row>
    <row r="2512" spans="1:6" x14ac:dyDescent="0.3">
      <c r="A2512" s="1">
        <v>43616</v>
      </c>
      <c r="B2512" t="s">
        <v>6</v>
      </c>
      <c r="C2512" t="s">
        <v>10</v>
      </c>
      <c r="D2512" s="2">
        <v>1409989.9110693999</v>
      </c>
      <c r="E2512" s="2">
        <v>305.89808102000001</v>
      </c>
      <c r="F2512" s="2">
        <v>1410295.8091504199</v>
      </c>
    </row>
    <row r="2513" spans="1:6" x14ac:dyDescent="0.3">
      <c r="A2513" s="1">
        <v>43616</v>
      </c>
      <c r="B2513" t="s">
        <v>13</v>
      </c>
      <c r="C2513" t="s">
        <v>14</v>
      </c>
      <c r="D2513" s="2">
        <v>15914390.866869399</v>
      </c>
      <c r="E2513" s="2">
        <v>26860.264981019998</v>
      </c>
      <c r="F2513" s="2">
        <v>15941251.131850399</v>
      </c>
    </row>
    <row r="2514" spans="1:6" x14ac:dyDescent="0.3">
      <c r="A2514" s="1">
        <v>43616</v>
      </c>
      <c r="B2514" t="s">
        <v>15</v>
      </c>
      <c r="C2514" t="s">
        <v>16</v>
      </c>
      <c r="D2514" s="2">
        <v>29995.18</v>
      </c>
      <c r="E2514" s="2">
        <v>0</v>
      </c>
      <c r="F2514" s="2">
        <v>29995.18</v>
      </c>
    </row>
    <row r="2515" spans="1:6" x14ac:dyDescent="0.3">
      <c r="A2515" s="1">
        <v>43646</v>
      </c>
      <c r="B2515" t="s">
        <v>21</v>
      </c>
      <c r="C2515" t="s">
        <v>14</v>
      </c>
      <c r="D2515" s="2">
        <v>282088.68636170001</v>
      </c>
      <c r="E2515" s="2">
        <v>5810294.5150002101</v>
      </c>
      <c r="F2515" s="2">
        <v>6092383.2013619104</v>
      </c>
    </row>
    <row r="2516" spans="1:6" x14ac:dyDescent="0.3">
      <c r="A2516" s="1">
        <v>43646</v>
      </c>
      <c r="B2516" t="s">
        <v>22</v>
      </c>
      <c r="C2516" t="s">
        <v>14</v>
      </c>
      <c r="D2516" s="2">
        <v>16188422.0742102</v>
      </c>
      <c r="E2516" s="2">
        <v>5834860.57064074</v>
      </c>
      <c r="F2516" s="2">
        <v>22023282.644850999</v>
      </c>
    </row>
    <row r="2517" spans="1:6" x14ac:dyDescent="0.3">
      <c r="A2517" s="1">
        <v>43646</v>
      </c>
      <c r="B2517" t="s">
        <v>15</v>
      </c>
      <c r="C2517" t="s">
        <v>18</v>
      </c>
      <c r="D2517" s="2">
        <v>153407.33363306001</v>
      </c>
      <c r="E2517" s="2">
        <v>0</v>
      </c>
      <c r="F2517" s="2">
        <v>153407.33363306001</v>
      </c>
    </row>
    <row r="2518" spans="1:6" x14ac:dyDescent="0.3">
      <c r="A2518" s="1">
        <v>43646</v>
      </c>
      <c r="B2518" t="s">
        <v>15</v>
      </c>
      <c r="C2518" t="s">
        <v>19</v>
      </c>
      <c r="D2518" s="2">
        <v>48750.975786150499</v>
      </c>
      <c r="E2518" s="2">
        <v>5810294.5150002101</v>
      </c>
      <c r="F2518" s="2">
        <v>5859045.4907863699</v>
      </c>
    </row>
    <row r="2519" spans="1:6" x14ac:dyDescent="0.3">
      <c r="A2519" s="1">
        <v>43646</v>
      </c>
      <c r="B2519" t="s">
        <v>15</v>
      </c>
      <c r="C2519" t="s">
        <v>20</v>
      </c>
      <c r="D2519" s="2">
        <v>1805.7075534400001</v>
      </c>
      <c r="E2519" s="2">
        <v>0</v>
      </c>
      <c r="F2519" s="2">
        <v>1805.7075534400001</v>
      </c>
    </row>
    <row r="2520" spans="1:6" x14ac:dyDescent="0.3">
      <c r="A2520" s="1">
        <v>43646</v>
      </c>
      <c r="B2520" t="s">
        <v>6</v>
      </c>
      <c r="C2520" t="s">
        <v>7</v>
      </c>
      <c r="D2520" s="2">
        <v>2250353.8580999998</v>
      </c>
      <c r="E2520" s="2">
        <v>580.005</v>
      </c>
      <c r="F2520" s="2">
        <v>2250933.8631000002</v>
      </c>
    </row>
    <row r="2521" spans="1:6" x14ac:dyDescent="0.3">
      <c r="A2521" s="1">
        <v>43646</v>
      </c>
      <c r="B2521" t="s">
        <v>6</v>
      </c>
      <c r="C2521" t="s">
        <v>8</v>
      </c>
      <c r="D2521" s="2">
        <v>9548046.6839000005</v>
      </c>
      <c r="E2521" s="2">
        <v>6369.9619000000002</v>
      </c>
      <c r="F2521" s="2">
        <v>9554416.6458000001</v>
      </c>
    </row>
    <row r="2522" spans="1:6" x14ac:dyDescent="0.3">
      <c r="A2522" s="1">
        <v>43646</v>
      </c>
      <c r="B2522" t="s">
        <v>6</v>
      </c>
      <c r="C2522" t="s">
        <v>9</v>
      </c>
      <c r="D2522" s="2">
        <v>2266020.1791500002</v>
      </c>
      <c r="E2522" s="2">
        <v>8453.4637000000002</v>
      </c>
      <c r="F2522" s="2">
        <v>2274473.6428499999</v>
      </c>
    </row>
    <row r="2523" spans="1:6" x14ac:dyDescent="0.3">
      <c r="A2523" s="1">
        <v>43646</v>
      </c>
      <c r="B2523" t="s">
        <v>6</v>
      </c>
      <c r="C2523" t="s">
        <v>10</v>
      </c>
      <c r="D2523" s="2">
        <v>1432114.65629851</v>
      </c>
      <c r="E2523" s="2">
        <v>347.95204052999998</v>
      </c>
      <c r="F2523" s="2">
        <v>1432462.6083390401</v>
      </c>
    </row>
    <row r="2524" spans="1:6" x14ac:dyDescent="0.3">
      <c r="A2524" s="1">
        <v>43646</v>
      </c>
      <c r="B2524" t="s">
        <v>6</v>
      </c>
      <c r="C2524" t="s">
        <v>12</v>
      </c>
      <c r="D2524" s="2">
        <v>0</v>
      </c>
      <c r="E2524" s="2">
        <v>8809.1980000000003</v>
      </c>
      <c r="F2524" s="2">
        <v>8809.1980000000003</v>
      </c>
    </row>
    <row r="2525" spans="1:6" x14ac:dyDescent="0.3">
      <c r="A2525" s="1">
        <v>43646</v>
      </c>
      <c r="B2525" t="s">
        <v>6</v>
      </c>
      <c r="C2525" t="s">
        <v>11</v>
      </c>
      <c r="D2525" s="2">
        <v>409798.01040000003</v>
      </c>
      <c r="E2525" s="2">
        <v>5.4749999999999996</v>
      </c>
      <c r="F2525" s="2">
        <v>409803.48540000001</v>
      </c>
    </row>
    <row r="2526" spans="1:6" x14ac:dyDescent="0.3">
      <c r="A2526" s="1">
        <v>43646</v>
      </c>
      <c r="B2526" t="s">
        <v>13</v>
      </c>
      <c r="C2526" t="s">
        <v>14</v>
      </c>
      <c r="D2526" s="2">
        <v>15906333.3878485</v>
      </c>
      <c r="E2526" s="2">
        <v>24566.055640530001</v>
      </c>
      <c r="F2526" s="2">
        <v>15930899.443489</v>
      </c>
    </row>
    <row r="2527" spans="1:6" x14ac:dyDescent="0.3">
      <c r="A2527" s="1">
        <v>43646</v>
      </c>
      <c r="B2527" t="s">
        <v>15</v>
      </c>
      <c r="C2527" t="s">
        <v>23</v>
      </c>
      <c r="D2527" s="2">
        <v>264.34199999999998</v>
      </c>
      <c r="E2527" s="2">
        <v>0</v>
      </c>
      <c r="F2527" s="2">
        <v>264.34199999999998</v>
      </c>
    </row>
    <row r="2528" spans="1:6" x14ac:dyDescent="0.3">
      <c r="A2528" s="1">
        <v>43646</v>
      </c>
      <c r="B2528" t="s">
        <v>15</v>
      </c>
      <c r="C2528" t="s">
        <v>17</v>
      </c>
      <c r="D2528" s="2">
        <v>47865.147389049998</v>
      </c>
      <c r="E2528" s="2">
        <v>0</v>
      </c>
      <c r="F2528" s="2">
        <v>47865.147389049998</v>
      </c>
    </row>
    <row r="2529" spans="1:6" x14ac:dyDescent="0.3">
      <c r="A2529" s="1">
        <v>43646</v>
      </c>
      <c r="B2529" t="s">
        <v>15</v>
      </c>
      <c r="C2529" t="s">
        <v>16</v>
      </c>
      <c r="D2529" s="2">
        <v>29995.18</v>
      </c>
      <c r="E2529" s="2">
        <v>0</v>
      </c>
      <c r="F2529" s="2">
        <v>29995.18</v>
      </c>
    </row>
    <row r="2530" spans="1:6" x14ac:dyDescent="0.3">
      <c r="A2530" s="1">
        <v>43677</v>
      </c>
      <c r="B2530" t="s">
        <v>6</v>
      </c>
      <c r="C2530" t="s">
        <v>10</v>
      </c>
      <c r="D2530" s="2">
        <v>1432180.76044907</v>
      </c>
      <c r="E2530" s="2">
        <v>355.49996081</v>
      </c>
      <c r="F2530" s="2">
        <v>1432536.26040988</v>
      </c>
    </row>
    <row r="2531" spans="1:6" x14ac:dyDescent="0.3">
      <c r="A2531" s="1">
        <v>43677</v>
      </c>
      <c r="B2531" t="s">
        <v>6</v>
      </c>
      <c r="C2531" t="s">
        <v>11</v>
      </c>
      <c r="D2531" s="2">
        <v>388058.32780000003</v>
      </c>
      <c r="E2531" s="2">
        <v>8.99</v>
      </c>
      <c r="F2531" s="2">
        <v>388067.31780000002</v>
      </c>
    </row>
    <row r="2532" spans="1:6" x14ac:dyDescent="0.3">
      <c r="A2532" s="1">
        <v>43677</v>
      </c>
      <c r="B2532" t="s">
        <v>6</v>
      </c>
      <c r="C2532" t="s">
        <v>12</v>
      </c>
      <c r="D2532" s="2">
        <v>0</v>
      </c>
      <c r="E2532" s="2">
        <v>8809.1980000000003</v>
      </c>
      <c r="F2532" s="2">
        <v>8809.1980000000003</v>
      </c>
    </row>
    <row r="2533" spans="1:6" x14ac:dyDescent="0.3">
      <c r="A2533" s="1">
        <v>43677</v>
      </c>
      <c r="B2533" t="s">
        <v>6</v>
      </c>
      <c r="C2533" t="s">
        <v>8</v>
      </c>
      <c r="D2533" s="2">
        <v>9636336.5664999895</v>
      </c>
      <c r="E2533" s="2">
        <v>5884.5708999999997</v>
      </c>
      <c r="F2533" s="2">
        <v>9642221.1373999901</v>
      </c>
    </row>
    <row r="2534" spans="1:6" x14ac:dyDescent="0.3">
      <c r="A2534" s="1">
        <v>43677</v>
      </c>
      <c r="B2534" t="s">
        <v>13</v>
      </c>
      <c r="C2534" t="s">
        <v>14</v>
      </c>
      <c r="D2534" s="2">
        <v>15944073.424099101</v>
      </c>
      <c r="E2534" s="2">
        <v>24066.97376081</v>
      </c>
      <c r="F2534" s="2">
        <v>15968140.397859899</v>
      </c>
    </row>
    <row r="2535" spans="1:6" x14ac:dyDescent="0.3">
      <c r="A2535" s="1">
        <v>43677</v>
      </c>
      <c r="B2535" t="s">
        <v>15</v>
      </c>
      <c r="C2535" t="s">
        <v>16</v>
      </c>
      <c r="D2535" s="2">
        <v>29995.18</v>
      </c>
      <c r="E2535" s="2">
        <v>0</v>
      </c>
      <c r="F2535" s="2">
        <v>29995.18</v>
      </c>
    </row>
    <row r="2536" spans="1:6" x14ac:dyDescent="0.3">
      <c r="A2536" s="1">
        <v>43677</v>
      </c>
      <c r="B2536" t="s">
        <v>15</v>
      </c>
      <c r="C2536" t="s">
        <v>23</v>
      </c>
      <c r="D2536" s="2">
        <v>264.34199999999998</v>
      </c>
      <c r="E2536" s="2">
        <v>0</v>
      </c>
      <c r="F2536" s="2">
        <v>264.34199999999998</v>
      </c>
    </row>
    <row r="2537" spans="1:6" x14ac:dyDescent="0.3">
      <c r="A2537" s="1">
        <v>43677</v>
      </c>
      <c r="B2537" t="s">
        <v>15</v>
      </c>
      <c r="C2537" t="s">
        <v>17</v>
      </c>
      <c r="D2537" s="2">
        <v>43643.078303820002</v>
      </c>
      <c r="E2537" s="2">
        <v>0</v>
      </c>
      <c r="F2537" s="2">
        <v>43643.078303820002</v>
      </c>
    </row>
    <row r="2538" spans="1:6" x14ac:dyDescent="0.3">
      <c r="A2538" s="1">
        <v>43677</v>
      </c>
      <c r="B2538" t="s">
        <v>15</v>
      </c>
      <c r="C2538" t="s">
        <v>18</v>
      </c>
      <c r="D2538" s="2">
        <v>153029.39560277999</v>
      </c>
      <c r="E2538" s="2">
        <v>0</v>
      </c>
      <c r="F2538" s="2">
        <v>153029.39560277999</v>
      </c>
    </row>
    <row r="2539" spans="1:6" x14ac:dyDescent="0.3">
      <c r="A2539" s="1">
        <v>43677</v>
      </c>
      <c r="B2539" t="s">
        <v>15</v>
      </c>
      <c r="C2539" t="s">
        <v>19</v>
      </c>
      <c r="D2539" s="2">
        <v>38352.359189999799</v>
      </c>
      <c r="E2539" s="2">
        <v>5787117.34253594</v>
      </c>
      <c r="F2539" s="2">
        <v>5825468.7017259402</v>
      </c>
    </row>
    <row r="2540" spans="1:6" x14ac:dyDescent="0.3">
      <c r="A2540" s="1">
        <v>43677</v>
      </c>
      <c r="B2540" t="s">
        <v>15</v>
      </c>
      <c r="C2540" t="s">
        <v>20</v>
      </c>
      <c r="D2540" s="2">
        <v>1827.2382077100001</v>
      </c>
      <c r="E2540" s="2">
        <v>0</v>
      </c>
      <c r="F2540" s="2">
        <v>1827.2382077100001</v>
      </c>
    </row>
    <row r="2541" spans="1:6" x14ac:dyDescent="0.3">
      <c r="A2541" s="1">
        <v>43677</v>
      </c>
      <c r="B2541" t="s">
        <v>21</v>
      </c>
      <c r="C2541" t="s">
        <v>14</v>
      </c>
      <c r="D2541" s="2">
        <v>267111.59330430999</v>
      </c>
      <c r="E2541" s="2">
        <v>5787117.34253594</v>
      </c>
      <c r="F2541" s="2">
        <v>6054227.93584025</v>
      </c>
    </row>
    <row r="2542" spans="1:6" x14ac:dyDescent="0.3">
      <c r="A2542" s="1">
        <v>43677</v>
      </c>
      <c r="B2542" t="s">
        <v>22</v>
      </c>
      <c r="C2542" t="s">
        <v>14</v>
      </c>
      <c r="D2542" s="2">
        <v>16211185.0174034</v>
      </c>
      <c r="E2542" s="2">
        <v>5811184.3162967497</v>
      </c>
      <c r="F2542" s="2">
        <v>22022369.333700102</v>
      </c>
    </row>
    <row r="2543" spans="1:6" x14ac:dyDescent="0.3">
      <c r="A2543" s="1">
        <v>43677</v>
      </c>
      <c r="B2543" t="s">
        <v>6</v>
      </c>
      <c r="C2543" t="s">
        <v>7</v>
      </c>
      <c r="D2543" s="2">
        <v>2205306.5610000002</v>
      </c>
      <c r="E2543" s="2">
        <v>590.28499999999997</v>
      </c>
      <c r="F2543" s="2">
        <v>2205896.8459999999</v>
      </c>
    </row>
    <row r="2544" spans="1:6" x14ac:dyDescent="0.3">
      <c r="A2544" s="1">
        <v>43677</v>
      </c>
      <c r="B2544" t="s">
        <v>6</v>
      </c>
      <c r="C2544" t="s">
        <v>9</v>
      </c>
      <c r="D2544" s="2">
        <v>2282191.20835</v>
      </c>
      <c r="E2544" s="2">
        <v>8418.4298999999992</v>
      </c>
      <c r="F2544" s="2">
        <v>2290609.6382499998</v>
      </c>
    </row>
    <row r="2545" spans="1:6" x14ac:dyDescent="0.3">
      <c r="A2545" s="1">
        <v>43708</v>
      </c>
      <c r="B2545" t="s">
        <v>15</v>
      </c>
      <c r="C2545" t="s">
        <v>20</v>
      </c>
      <c r="D2545" s="2">
        <v>1859.08908408</v>
      </c>
      <c r="E2545" s="2">
        <v>0</v>
      </c>
      <c r="F2545" s="2">
        <v>1859.08908408</v>
      </c>
    </row>
    <row r="2546" spans="1:6" x14ac:dyDescent="0.3">
      <c r="A2546" s="1">
        <v>43708</v>
      </c>
      <c r="B2546" t="s">
        <v>21</v>
      </c>
      <c r="C2546" t="s">
        <v>14</v>
      </c>
      <c r="D2546" s="2">
        <v>474506.91589544999</v>
      </c>
      <c r="E2546" s="2">
        <v>5839652.8397091096</v>
      </c>
      <c r="F2546" s="2">
        <v>6314159.7556045596</v>
      </c>
    </row>
    <row r="2547" spans="1:6" x14ac:dyDescent="0.3">
      <c r="A2547" s="1">
        <v>43708</v>
      </c>
      <c r="B2547" t="s">
        <v>22</v>
      </c>
      <c r="C2547" t="s">
        <v>14</v>
      </c>
      <c r="D2547" s="2">
        <v>16596815.637760401</v>
      </c>
      <c r="E2547" s="2">
        <v>5863651.0356916301</v>
      </c>
      <c r="F2547" s="2">
        <v>22460466.673452001</v>
      </c>
    </row>
    <row r="2548" spans="1:6" x14ac:dyDescent="0.3">
      <c r="A2548" s="1">
        <v>43708</v>
      </c>
      <c r="B2548" t="s">
        <v>6</v>
      </c>
      <c r="C2548" t="s">
        <v>7</v>
      </c>
      <c r="D2548" s="2">
        <v>2331300.2911999999</v>
      </c>
      <c r="E2548" s="2">
        <v>614.84</v>
      </c>
      <c r="F2548" s="2">
        <v>2331915.1312000002</v>
      </c>
    </row>
    <row r="2549" spans="1:6" x14ac:dyDescent="0.3">
      <c r="A2549" s="1">
        <v>43708</v>
      </c>
      <c r="B2549" t="s">
        <v>6</v>
      </c>
      <c r="C2549" t="s">
        <v>8</v>
      </c>
      <c r="D2549" s="2">
        <v>9650801.0987</v>
      </c>
      <c r="E2549" s="2">
        <v>5621.0668999999998</v>
      </c>
      <c r="F2549" s="2">
        <v>9656422.1655999999</v>
      </c>
    </row>
    <row r="2550" spans="1:6" x14ac:dyDescent="0.3">
      <c r="A2550" s="1">
        <v>43708</v>
      </c>
      <c r="B2550" t="s">
        <v>6</v>
      </c>
      <c r="C2550" t="s">
        <v>9</v>
      </c>
      <c r="D2550" s="2">
        <v>2294495.7189500001</v>
      </c>
      <c r="E2550" s="2">
        <v>8571.4830999999995</v>
      </c>
      <c r="F2550" s="2">
        <v>2303067.20205</v>
      </c>
    </row>
    <row r="2551" spans="1:6" x14ac:dyDescent="0.3">
      <c r="A2551" s="1">
        <v>43708</v>
      </c>
      <c r="B2551" t="s">
        <v>6</v>
      </c>
      <c r="C2551" t="s">
        <v>10</v>
      </c>
      <c r="D2551" s="2">
        <v>1439649.79911496</v>
      </c>
      <c r="E2551" s="2">
        <v>376.20298251999998</v>
      </c>
      <c r="F2551" s="2">
        <v>1440026.00209748</v>
      </c>
    </row>
    <row r="2552" spans="1:6" x14ac:dyDescent="0.3">
      <c r="A2552" s="1">
        <v>43708</v>
      </c>
      <c r="B2552" t="s">
        <v>6</v>
      </c>
      <c r="C2552" t="s">
        <v>11</v>
      </c>
      <c r="D2552" s="2">
        <v>406061.81390000001</v>
      </c>
      <c r="E2552" s="2">
        <v>5.4050000000000002</v>
      </c>
      <c r="F2552" s="2">
        <v>406067.21889999998</v>
      </c>
    </row>
    <row r="2553" spans="1:6" x14ac:dyDescent="0.3">
      <c r="A2553" s="1">
        <v>43708</v>
      </c>
      <c r="B2553" t="s">
        <v>6</v>
      </c>
      <c r="C2553" t="s">
        <v>12</v>
      </c>
      <c r="D2553" s="2">
        <v>0</v>
      </c>
      <c r="E2553" s="2">
        <v>8809.1980000000003</v>
      </c>
      <c r="F2553" s="2">
        <v>8809.1980000000003</v>
      </c>
    </row>
    <row r="2554" spans="1:6" x14ac:dyDescent="0.3">
      <c r="A2554" s="1">
        <v>43708</v>
      </c>
      <c r="B2554" t="s">
        <v>13</v>
      </c>
      <c r="C2554" t="s">
        <v>14</v>
      </c>
      <c r="D2554" s="2">
        <v>16122308.721865</v>
      </c>
      <c r="E2554" s="2">
        <v>23998.195982519999</v>
      </c>
      <c r="F2554" s="2">
        <v>16146306.917847499</v>
      </c>
    </row>
    <row r="2555" spans="1:6" x14ac:dyDescent="0.3">
      <c r="A2555" s="1">
        <v>43708</v>
      </c>
      <c r="B2555" t="s">
        <v>15</v>
      </c>
      <c r="C2555" t="s">
        <v>16</v>
      </c>
      <c r="D2555" s="2">
        <v>29995.18</v>
      </c>
      <c r="E2555" s="2">
        <v>0</v>
      </c>
      <c r="F2555" s="2">
        <v>29995.18</v>
      </c>
    </row>
    <row r="2556" spans="1:6" x14ac:dyDescent="0.3">
      <c r="A2556" s="1">
        <v>43708</v>
      </c>
      <c r="B2556" t="s">
        <v>15</v>
      </c>
      <c r="C2556" t="s">
        <v>23</v>
      </c>
      <c r="D2556" s="2">
        <v>264.34199999999998</v>
      </c>
      <c r="E2556" s="2">
        <v>0</v>
      </c>
      <c r="F2556" s="2">
        <v>264.34199999999998</v>
      </c>
    </row>
    <row r="2557" spans="1:6" x14ac:dyDescent="0.3">
      <c r="A2557" s="1">
        <v>43708</v>
      </c>
      <c r="B2557" t="s">
        <v>15</v>
      </c>
      <c r="C2557" t="s">
        <v>17</v>
      </c>
      <c r="D2557" s="2">
        <v>44785.832246170001</v>
      </c>
      <c r="E2557" s="2">
        <v>0</v>
      </c>
      <c r="F2557" s="2">
        <v>44785.832246170001</v>
      </c>
    </row>
    <row r="2558" spans="1:6" x14ac:dyDescent="0.3">
      <c r="A2558" s="1">
        <v>43708</v>
      </c>
      <c r="B2558" t="s">
        <v>15</v>
      </c>
      <c r="C2558" t="s">
        <v>18</v>
      </c>
      <c r="D2558" s="2">
        <v>152642.01849711</v>
      </c>
      <c r="E2558" s="2">
        <v>0</v>
      </c>
      <c r="F2558" s="2">
        <v>152642.01849711</v>
      </c>
    </row>
    <row r="2559" spans="1:6" x14ac:dyDescent="0.3">
      <c r="A2559" s="1">
        <v>43708</v>
      </c>
      <c r="B2559" t="s">
        <v>15</v>
      </c>
      <c r="C2559" t="s">
        <v>19</v>
      </c>
      <c r="D2559" s="2">
        <v>244960.45406809001</v>
      </c>
      <c r="E2559" s="2">
        <v>5839652.8397091096</v>
      </c>
      <c r="F2559" s="2">
        <v>6084613.2937772004</v>
      </c>
    </row>
    <row r="2560" spans="1:6" x14ac:dyDescent="0.3">
      <c r="A2560" s="1">
        <v>43738</v>
      </c>
      <c r="B2560" t="s">
        <v>6</v>
      </c>
      <c r="C2560" t="s">
        <v>8</v>
      </c>
      <c r="D2560" s="2">
        <v>9755985.2958999891</v>
      </c>
      <c r="E2560" s="2">
        <v>6798.4678999999996</v>
      </c>
      <c r="F2560" s="2">
        <v>9762783.7637999896</v>
      </c>
    </row>
    <row r="2561" spans="1:6" x14ac:dyDescent="0.3">
      <c r="A2561" s="1">
        <v>43738</v>
      </c>
      <c r="B2561" t="s">
        <v>6</v>
      </c>
      <c r="C2561" t="s">
        <v>7</v>
      </c>
      <c r="D2561" s="2">
        <v>2376369.6168</v>
      </c>
      <c r="E2561" s="2">
        <v>588.31100000000004</v>
      </c>
      <c r="F2561" s="2">
        <v>2376957.9278000002</v>
      </c>
    </row>
    <row r="2562" spans="1:6" x14ac:dyDescent="0.3">
      <c r="A2562" s="1">
        <v>43738</v>
      </c>
      <c r="B2562" t="s">
        <v>6</v>
      </c>
      <c r="C2562" t="s">
        <v>9</v>
      </c>
      <c r="D2562" s="2">
        <v>2311516.7215499999</v>
      </c>
      <c r="E2562" s="2">
        <v>7548.2667000000001</v>
      </c>
      <c r="F2562" s="2">
        <v>2319064.9882499999</v>
      </c>
    </row>
    <row r="2563" spans="1:6" x14ac:dyDescent="0.3">
      <c r="A2563" s="1">
        <v>43738</v>
      </c>
      <c r="B2563" t="s">
        <v>6</v>
      </c>
      <c r="C2563" t="s">
        <v>10</v>
      </c>
      <c r="D2563" s="2">
        <v>1454698.22671708</v>
      </c>
      <c r="E2563" s="2">
        <v>959.089950015</v>
      </c>
      <c r="F2563" s="2">
        <v>1455657.3166670899</v>
      </c>
    </row>
    <row r="2564" spans="1:6" x14ac:dyDescent="0.3">
      <c r="A2564" s="1">
        <v>43738</v>
      </c>
      <c r="B2564" t="s">
        <v>6</v>
      </c>
      <c r="C2564" t="s">
        <v>11</v>
      </c>
      <c r="D2564" s="2">
        <v>424067.1165</v>
      </c>
      <c r="E2564" s="2">
        <v>0</v>
      </c>
      <c r="F2564" s="2">
        <v>424067.1165</v>
      </c>
    </row>
    <row r="2565" spans="1:6" x14ac:dyDescent="0.3">
      <c r="A2565" s="1">
        <v>43738</v>
      </c>
      <c r="B2565" t="s">
        <v>6</v>
      </c>
      <c r="C2565" t="s">
        <v>12</v>
      </c>
      <c r="D2565" s="2">
        <v>0</v>
      </c>
      <c r="E2565" s="2">
        <v>8809.1980000000003</v>
      </c>
      <c r="F2565" s="2">
        <v>8809.1980000000003</v>
      </c>
    </row>
    <row r="2566" spans="1:6" x14ac:dyDescent="0.3">
      <c r="A2566" s="1">
        <v>43738</v>
      </c>
      <c r="B2566" t="s">
        <v>13</v>
      </c>
      <c r="C2566" t="s">
        <v>14</v>
      </c>
      <c r="D2566" s="2">
        <v>16322636.977467099</v>
      </c>
      <c r="E2566" s="2">
        <v>24703.333550014999</v>
      </c>
      <c r="F2566" s="2">
        <v>16347340.3110171</v>
      </c>
    </row>
    <row r="2567" spans="1:6" x14ac:dyDescent="0.3">
      <c r="A2567" s="1">
        <v>43738</v>
      </c>
      <c r="B2567" t="s">
        <v>15</v>
      </c>
      <c r="C2567" t="s">
        <v>16</v>
      </c>
      <c r="D2567" s="2">
        <v>29995.18</v>
      </c>
      <c r="E2567" s="2">
        <v>0</v>
      </c>
      <c r="F2567" s="2">
        <v>29995.18</v>
      </c>
    </row>
    <row r="2568" spans="1:6" x14ac:dyDescent="0.3">
      <c r="A2568" s="1">
        <v>43738</v>
      </c>
      <c r="B2568" t="s">
        <v>22</v>
      </c>
      <c r="C2568" t="s">
        <v>14</v>
      </c>
      <c r="D2568" s="2">
        <v>16809092.334793098</v>
      </c>
      <c r="E2568" s="2">
        <v>5910309.00036225</v>
      </c>
      <c r="F2568" s="2">
        <v>22719402.335155301</v>
      </c>
    </row>
    <row r="2569" spans="1:6" x14ac:dyDescent="0.3">
      <c r="A2569" s="1">
        <v>43738</v>
      </c>
      <c r="B2569" t="s">
        <v>15</v>
      </c>
      <c r="C2569" t="s">
        <v>23</v>
      </c>
      <c r="D2569" s="2">
        <v>264.34199999999998</v>
      </c>
      <c r="E2569" s="2">
        <v>0</v>
      </c>
      <c r="F2569" s="2">
        <v>264.34199999999998</v>
      </c>
    </row>
    <row r="2570" spans="1:6" x14ac:dyDescent="0.3">
      <c r="A2570" s="1">
        <v>43738</v>
      </c>
      <c r="B2570" t="s">
        <v>15</v>
      </c>
      <c r="C2570" t="s">
        <v>17</v>
      </c>
      <c r="D2570" s="2">
        <v>53808.640415859998</v>
      </c>
      <c r="E2570" s="2">
        <v>0</v>
      </c>
      <c r="F2570" s="2">
        <v>53808.640415859998</v>
      </c>
    </row>
    <row r="2571" spans="1:6" x14ac:dyDescent="0.3">
      <c r="A2571" s="1">
        <v>43738</v>
      </c>
      <c r="B2571" t="s">
        <v>15</v>
      </c>
      <c r="C2571" t="s">
        <v>20</v>
      </c>
      <c r="D2571" s="2">
        <v>1980.60710993</v>
      </c>
      <c r="E2571" s="2">
        <v>0</v>
      </c>
      <c r="F2571" s="2">
        <v>1980.60710993</v>
      </c>
    </row>
    <row r="2572" spans="1:6" x14ac:dyDescent="0.3">
      <c r="A2572" s="1">
        <v>43738</v>
      </c>
      <c r="B2572" t="s">
        <v>15</v>
      </c>
      <c r="C2572" t="s">
        <v>18</v>
      </c>
      <c r="D2572" s="2">
        <v>152354.85789996001</v>
      </c>
      <c r="E2572" s="2">
        <v>0</v>
      </c>
      <c r="F2572" s="2">
        <v>152354.85789996001</v>
      </c>
    </row>
    <row r="2573" spans="1:6" x14ac:dyDescent="0.3">
      <c r="A2573" s="1">
        <v>43738</v>
      </c>
      <c r="B2573" t="s">
        <v>15</v>
      </c>
      <c r="C2573" t="s">
        <v>19</v>
      </c>
      <c r="D2573" s="2">
        <v>248051.72990025001</v>
      </c>
      <c r="E2573" s="2">
        <v>5885605.6668122401</v>
      </c>
      <c r="F2573" s="2">
        <v>6133658.3967124904</v>
      </c>
    </row>
    <row r="2574" spans="1:6" x14ac:dyDescent="0.3">
      <c r="A2574" s="1">
        <v>43738</v>
      </c>
      <c r="B2574" t="s">
        <v>21</v>
      </c>
      <c r="C2574" t="s">
        <v>14</v>
      </c>
      <c r="D2574" s="2">
        <v>486455.357326</v>
      </c>
      <c r="E2574" s="2">
        <v>5885605.6668122401</v>
      </c>
      <c r="F2574" s="2">
        <v>6372061.0241382401</v>
      </c>
    </row>
    <row r="2575" spans="1:6" x14ac:dyDescent="0.3">
      <c r="A2575" s="1">
        <v>43769</v>
      </c>
      <c r="B2575" t="s">
        <v>6</v>
      </c>
      <c r="C2575" t="s">
        <v>7</v>
      </c>
      <c r="D2575" s="2">
        <v>2455312.4854000001</v>
      </c>
      <c r="E2575" s="2">
        <v>762.89099999999996</v>
      </c>
      <c r="F2575" s="2">
        <v>2456075.3764</v>
      </c>
    </row>
    <row r="2576" spans="1:6" x14ac:dyDescent="0.3">
      <c r="A2576" s="1">
        <v>43769</v>
      </c>
      <c r="B2576" t="s">
        <v>6</v>
      </c>
      <c r="C2576" t="s">
        <v>8</v>
      </c>
      <c r="D2576" s="2">
        <v>9826407.4594999999</v>
      </c>
      <c r="E2576" s="2">
        <v>8537.8289000000004</v>
      </c>
      <c r="F2576" s="2">
        <v>9834945.2884</v>
      </c>
    </row>
    <row r="2577" spans="1:6" x14ac:dyDescent="0.3">
      <c r="A2577" s="1">
        <v>43769</v>
      </c>
      <c r="B2577" t="s">
        <v>6</v>
      </c>
      <c r="C2577" t="s">
        <v>9</v>
      </c>
      <c r="D2577" s="2">
        <v>2329495.88105</v>
      </c>
      <c r="E2577" s="2">
        <v>5568.9059999999999</v>
      </c>
      <c r="F2577" s="2">
        <v>2335064.7870499999</v>
      </c>
    </row>
    <row r="2578" spans="1:6" x14ac:dyDescent="0.3">
      <c r="A2578" s="1">
        <v>43769</v>
      </c>
      <c r="B2578" t="s">
        <v>6</v>
      </c>
      <c r="C2578" t="s">
        <v>10</v>
      </c>
      <c r="D2578" s="2">
        <v>1473488.7269129199</v>
      </c>
      <c r="E2578" s="2">
        <v>955.49860894300002</v>
      </c>
      <c r="F2578" s="2">
        <v>1474444.2255218599</v>
      </c>
    </row>
    <row r="2579" spans="1:6" x14ac:dyDescent="0.3">
      <c r="A2579" s="1">
        <v>43769</v>
      </c>
      <c r="B2579" t="s">
        <v>6</v>
      </c>
      <c r="C2579" t="s">
        <v>11</v>
      </c>
      <c r="D2579" s="2">
        <v>404755.40549999999</v>
      </c>
      <c r="E2579" s="2">
        <v>29.42</v>
      </c>
      <c r="F2579" s="2">
        <v>404784.82549999998</v>
      </c>
    </row>
    <row r="2580" spans="1:6" x14ac:dyDescent="0.3">
      <c r="A2580" s="1">
        <v>43769</v>
      </c>
      <c r="B2580" t="s">
        <v>6</v>
      </c>
      <c r="C2580" t="s">
        <v>12</v>
      </c>
      <c r="D2580" s="2">
        <v>0</v>
      </c>
      <c r="E2580" s="2">
        <v>8809.1980000000003</v>
      </c>
      <c r="F2580" s="2">
        <v>8809.1980000000003</v>
      </c>
    </row>
    <row r="2581" spans="1:6" x14ac:dyDescent="0.3">
      <c r="A2581" s="1">
        <v>43769</v>
      </c>
      <c r="B2581" t="s">
        <v>13</v>
      </c>
      <c r="C2581" t="s">
        <v>14</v>
      </c>
      <c r="D2581" s="2">
        <v>16489459.9583629</v>
      </c>
      <c r="E2581" s="2">
        <v>24663.742508943</v>
      </c>
      <c r="F2581" s="2">
        <v>16514123.7008719</v>
      </c>
    </row>
    <row r="2582" spans="1:6" x14ac:dyDescent="0.3">
      <c r="A2582" s="1">
        <v>43769</v>
      </c>
      <c r="B2582" t="s">
        <v>15</v>
      </c>
      <c r="C2582" t="s">
        <v>16</v>
      </c>
      <c r="D2582" s="2">
        <v>25473.112000000001</v>
      </c>
      <c r="E2582" s="2">
        <v>0</v>
      </c>
      <c r="F2582" s="2">
        <v>25473.112000000001</v>
      </c>
    </row>
    <row r="2583" spans="1:6" x14ac:dyDescent="0.3">
      <c r="A2583" s="1">
        <v>43769</v>
      </c>
      <c r="B2583" t="s">
        <v>15</v>
      </c>
      <c r="C2583" t="s">
        <v>23</v>
      </c>
      <c r="D2583" s="2">
        <v>264.34199999999998</v>
      </c>
      <c r="E2583" s="2">
        <v>0</v>
      </c>
      <c r="F2583" s="2">
        <v>264.34199999999998</v>
      </c>
    </row>
    <row r="2584" spans="1:6" x14ac:dyDescent="0.3">
      <c r="A2584" s="1">
        <v>43769</v>
      </c>
      <c r="B2584" t="s">
        <v>15</v>
      </c>
      <c r="C2584" t="s">
        <v>17</v>
      </c>
      <c r="D2584" s="2">
        <v>62591.31002533</v>
      </c>
      <c r="E2584" s="2">
        <v>0</v>
      </c>
      <c r="F2584" s="2">
        <v>62591.31002533</v>
      </c>
    </row>
    <row r="2585" spans="1:6" x14ac:dyDescent="0.3">
      <c r="A2585" s="1">
        <v>43769</v>
      </c>
      <c r="B2585" t="s">
        <v>15</v>
      </c>
      <c r="C2585" t="s">
        <v>18</v>
      </c>
      <c r="D2585" s="2">
        <v>152087.82935667</v>
      </c>
      <c r="E2585" s="2">
        <v>0</v>
      </c>
      <c r="F2585" s="2">
        <v>152087.82935667</v>
      </c>
    </row>
    <row r="2586" spans="1:6" x14ac:dyDescent="0.3">
      <c r="A2586" s="1">
        <v>43769</v>
      </c>
      <c r="B2586" t="s">
        <v>15</v>
      </c>
      <c r="C2586" t="s">
        <v>19</v>
      </c>
      <c r="D2586" s="2">
        <v>249394.016014222</v>
      </c>
      <c r="E2586" s="2">
        <v>6002434.9066185597</v>
      </c>
      <c r="F2586" s="2">
        <v>6251828.9226327799</v>
      </c>
    </row>
    <row r="2587" spans="1:6" x14ac:dyDescent="0.3">
      <c r="A2587" s="1">
        <v>43769</v>
      </c>
      <c r="B2587" t="s">
        <v>15</v>
      </c>
      <c r="C2587" t="s">
        <v>20</v>
      </c>
      <c r="D2587" s="2">
        <v>2040.0374703099999</v>
      </c>
      <c r="E2587" s="2">
        <v>0</v>
      </c>
      <c r="F2587" s="2">
        <v>2040.0374703099999</v>
      </c>
    </row>
    <row r="2588" spans="1:6" x14ac:dyDescent="0.3">
      <c r="A2588" s="1">
        <v>43769</v>
      </c>
      <c r="B2588" t="s">
        <v>21</v>
      </c>
      <c r="C2588" t="s">
        <v>14</v>
      </c>
      <c r="D2588" s="2">
        <v>491850.64686653198</v>
      </c>
      <c r="E2588" s="2">
        <v>6002434.9066185597</v>
      </c>
      <c r="F2588" s="2">
        <v>6494285.5534850899</v>
      </c>
    </row>
    <row r="2589" spans="1:6" x14ac:dyDescent="0.3">
      <c r="A2589" s="1">
        <v>43769</v>
      </c>
      <c r="B2589" t="s">
        <v>22</v>
      </c>
      <c r="C2589" t="s">
        <v>14</v>
      </c>
      <c r="D2589" s="2">
        <v>16981310.6052294</v>
      </c>
      <c r="E2589" s="2">
        <v>6027098.6491275001</v>
      </c>
      <c r="F2589" s="2">
        <v>23008410.254356999</v>
      </c>
    </row>
    <row r="2590" spans="1:6" x14ac:dyDescent="0.3">
      <c r="A2590" s="1">
        <v>43799</v>
      </c>
      <c r="B2590" t="s">
        <v>21</v>
      </c>
      <c r="C2590" t="s">
        <v>14</v>
      </c>
      <c r="D2590" s="2">
        <v>502243.334898278</v>
      </c>
      <c r="E2590" s="2">
        <v>5946209.7945617102</v>
      </c>
      <c r="F2590" s="2">
        <v>6448454.1294599799</v>
      </c>
    </row>
    <row r="2591" spans="1:6" x14ac:dyDescent="0.3">
      <c r="A2591" s="1">
        <v>43799</v>
      </c>
      <c r="B2591" t="s">
        <v>22</v>
      </c>
      <c r="C2591" t="s">
        <v>14</v>
      </c>
      <c r="D2591" s="2">
        <v>17105420.786741</v>
      </c>
      <c r="E2591" s="2">
        <v>5970777.6147715002</v>
      </c>
      <c r="F2591" s="2">
        <v>23076199.4015125</v>
      </c>
    </row>
    <row r="2592" spans="1:6" x14ac:dyDescent="0.3">
      <c r="A2592" s="1">
        <v>43799</v>
      </c>
      <c r="B2592" t="s">
        <v>6</v>
      </c>
      <c r="C2592" t="s">
        <v>7</v>
      </c>
      <c r="D2592" s="2">
        <v>2514687.4876000001</v>
      </c>
      <c r="E2592" s="2">
        <v>440.59120000000001</v>
      </c>
      <c r="F2592" s="2">
        <v>2515128.0787999998</v>
      </c>
    </row>
    <row r="2593" spans="1:6" x14ac:dyDescent="0.3">
      <c r="A2593" s="1">
        <v>43799</v>
      </c>
      <c r="B2593" t="s">
        <v>6</v>
      </c>
      <c r="C2593" t="s">
        <v>8</v>
      </c>
      <c r="D2593" s="2">
        <v>9821958.4422999993</v>
      </c>
      <c r="E2593" s="2">
        <v>8470.366</v>
      </c>
      <c r="F2593" s="2">
        <v>9830428.8082999997</v>
      </c>
    </row>
    <row r="2594" spans="1:6" x14ac:dyDescent="0.3">
      <c r="A2594" s="1">
        <v>43799</v>
      </c>
      <c r="B2594" t="s">
        <v>6</v>
      </c>
      <c r="C2594" t="s">
        <v>12</v>
      </c>
      <c r="D2594" s="2">
        <v>0</v>
      </c>
      <c r="E2594" s="2">
        <v>8809.1980000000003</v>
      </c>
      <c r="F2594" s="2">
        <v>8809.1980000000003</v>
      </c>
    </row>
    <row r="2595" spans="1:6" x14ac:dyDescent="0.3">
      <c r="A2595" s="1">
        <v>43799</v>
      </c>
      <c r="B2595" t="s">
        <v>6</v>
      </c>
      <c r="C2595" t="s">
        <v>11</v>
      </c>
      <c r="D2595" s="2">
        <v>422755.56599999999</v>
      </c>
      <c r="E2595" s="2">
        <v>29.42</v>
      </c>
      <c r="F2595" s="2">
        <v>422784.98599999998</v>
      </c>
    </row>
    <row r="2596" spans="1:6" x14ac:dyDescent="0.3">
      <c r="A2596" s="1">
        <v>43799</v>
      </c>
      <c r="B2596" t="s">
        <v>6</v>
      </c>
      <c r="C2596" t="s">
        <v>9</v>
      </c>
      <c r="D2596" s="2">
        <v>2357221.2921500001</v>
      </c>
      <c r="E2596" s="2">
        <v>5837.1336000000001</v>
      </c>
      <c r="F2596" s="2">
        <v>2363058.4257499999</v>
      </c>
    </row>
    <row r="2597" spans="1:6" x14ac:dyDescent="0.3">
      <c r="A2597" s="1">
        <v>43799</v>
      </c>
      <c r="B2597" t="s">
        <v>6</v>
      </c>
      <c r="C2597" t="s">
        <v>10</v>
      </c>
      <c r="D2597" s="2">
        <v>1486554.6637927</v>
      </c>
      <c r="E2597" s="2">
        <v>981.11140979000004</v>
      </c>
      <c r="F2597" s="2">
        <v>1487535.7752024899</v>
      </c>
    </row>
    <row r="2598" spans="1:6" x14ac:dyDescent="0.3">
      <c r="A2598" s="1">
        <v>43799</v>
      </c>
      <c r="B2598" t="s">
        <v>13</v>
      </c>
      <c r="C2598" t="s">
        <v>14</v>
      </c>
      <c r="D2598" s="2">
        <v>16603177.451842699</v>
      </c>
      <c r="E2598" s="2">
        <v>24567.820209789999</v>
      </c>
      <c r="F2598" s="2">
        <v>16627745.2720525</v>
      </c>
    </row>
    <row r="2599" spans="1:6" x14ac:dyDescent="0.3">
      <c r="A2599" s="1">
        <v>43799</v>
      </c>
      <c r="B2599" t="s">
        <v>15</v>
      </c>
      <c r="C2599" t="s">
        <v>23</v>
      </c>
      <c r="D2599" s="2">
        <v>264.34199999999998</v>
      </c>
      <c r="E2599" s="2">
        <v>0</v>
      </c>
      <c r="F2599" s="2">
        <v>264.34199999999998</v>
      </c>
    </row>
    <row r="2600" spans="1:6" x14ac:dyDescent="0.3">
      <c r="A2600" s="1">
        <v>43799</v>
      </c>
      <c r="B2600" t="s">
        <v>15</v>
      </c>
      <c r="C2600" t="s">
        <v>17</v>
      </c>
      <c r="D2600" s="2">
        <v>68865.032535320002</v>
      </c>
      <c r="E2600" s="2">
        <v>0</v>
      </c>
      <c r="F2600" s="2">
        <v>68865.032535320002</v>
      </c>
    </row>
    <row r="2601" spans="1:6" x14ac:dyDescent="0.3">
      <c r="A2601" s="1">
        <v>43799</v>
      </c>
      <c r="B2601" t="s">
        <v>15</v>
      </c>
      <c r="C2601" t="s">
        <v>16</v>
      </c>
      <c r="D2601" s="2">
        <v>25473.112000000001</v>
      </c>
      <c r="E2601" s="2">
        <v>0</v>
      </c>
      <c r="F2601" s="2">
        <v>25473.112000000001</v>
      </c>
    </row>
    <row r="2602" spans="1:6" x14ac:dyDescent="0.3">
      <c r="A2602" s="1">
        <v>43799</v>
      </c>
      <c r="B2602" t="s">
        <v>15</v>
      </c>
      <c r="C2602" t="s">
        <v>18</v>
      </c>
      <c r="D2602" s="2">
        <v>151842.34733915</v>
      </c>
      <c r="E2602" s="2">
        <v>0</v>
      </c>
      <c r="F2602" s="2">
        <v>151842.34733915</v>
      </c>
    </row>
    <row r="2603" spans="1:6" x14ac:dyDescent="0.3">
      <c r="A2603" s="1">
        <v>43799</v>
      </c>
      <c r="B2603" t="s">
        <v>15</v>
      </c>
      <c r="C2603" t="s">
        <v>20</v>
      </c>
      <c r="D2603" s="2">
        <v>1998.57900217</v>
      </c>
      <c r="E2603" s="2">
        <v>0</v>
      </c>
      <c r="F2603" s="2">
        <v>1998.57900217</v>
      </c>
    </row>
    <row r="2604" spans="1:6" x14ac:dyDescent="0.3">
      <c r="A2604" s="1">
        <v>43799</v>
      </c>
      <c r="B2604" t="s">
        <v>15</v>
      </c>
      <c r="C2604" t="s">
        <v>19</v>
      </c>
      <c r="D2604" s="2">
        <v>253799.92202163799</v>
      </c>
      <c r="E2604" s="2">
        <v>5946209.7945617102</v>
      </c>
      <c r="F2604" s="2">
        <v>6200009.7165833404</v>
      </c>
    </row>
    <row r="2605" spans="1:6" x14ac:dyDescent="0.3">
      <c r="A2605" s="1">
        <v>43830</v>
      </c>
      <c r="B2605" t="s">
        <v>15</v>
      </c>
      <c r="C2605" t="s">
        <v>17</v>
      </c>
      <c r="D2605" s="2">
        <v>77751.692974360005</v>
      </c>
      <c r="E2605" s="2">
        <v>0</v>
      </c>
      <c r="F2605" s="2">
        <v>77751.692974360005</v>
      </c>
    </row>
    <row r="2606" spans="1:6" x14ac:dyDescent="0.3">
      <c r="A2606" s="1">
        <v>43830</v>
      </c>
      <c r="B2606" t="s">
        <v>15</v>
      </c>
      <c r="C2606" t="s">
        <v>18</v>
      </c>
      <c r="D2606" s="2">
        <v>151346.83263565999</v>
      </c>
      <c r="E2606" s="2">
        <v>0</v>
      </c>
      <c r="F2606" s="2">
        <v>151346.83263565999</v>
      </c>
    </row>
    <row r="2607" spans="1:6" x14ac:dyDescent="0.3">
      <c r="A2607" s="1">
        <v>43830</v>
      </c>
      <c r="B2607" t="s">
        <v>15</v>
      </c>
      <c r="C2607" t="s">
        <v>19</v>
      </c>
      <c r="D2607" s="2">
        <v>255667.902215001</v>
      </c>
      <c r="E2607" s="2">
        <v>6006695.0372643704</v>
      </c>
      <c r="F2607" s="2">
        <v>6262362.9394793697</v>
      </c>
    </row>
    <row r="2608" spans="1:6" x14ac:dyDescent="0.3">
      <c r="A2608" s="1">
        <v>43830</v>
      </c>
      <c r="B2608" t="s">
        <v>15</v>
      </c>
      <c r="C2608" t="s">
        <v>20</v>
      </c>
      <c r="D2608" s="2">
        <v>2045.10144223</v>
      </c>
      <c r="E2608" s="2">
        <v>0</v>
      </c>
      <c r="F2608" s="2">
        <v>2045.10144223</v>
      </c>
    </row>
    <row r="2609" spans="1:6" x14ac:dyDescent="0.3">
      <c r="A2609" s="1">
        <v>43830</v>
      </c>
      <c r="B2609" t="s">
        <v>15</v>
      </c>
      <c r="C2609" t="s">
        <v>16</v>
      </c>
      <c r="D2609" s="2">
        <v>25473.112000000001</v>
      </c>
      <c r="E2609" s="2">
        <v>0</v>
      </c>
      <c r="F2609" s="2">
        <v>25473.112000000001</v>
      </c>
    </row>
    <row r="2610" spans="1:6" x14ac:dyDescent="0.3">
      <c r="A2610" s="1">
        <v>43830</v>
      </c>
      <c r="B2610" t="s">
        <v>15</v>
      </c>
      <c r="C2610" t="s">
        <v>23</v>
      </c>
      <c r="D2610" s="2">
        <v>264.34199999999998</v>
      </c>
      <c r="E2610" s="2">
        <v>0</v>
      </c>
      <c r="F2610" s="2">
        <v>264.34199999999998</v>
      </c>
    </row>
    <row r="2611" spans="1:6" x14ac:dyDescent="0.3">
      <c r="A2611" s="1">
        <v>43830</v>
      </c>
      <c r="B2611" t="s">
        <v>21</v>
      </c>
      <c r="C2611" t="s">
        <v>14</v>
      </c>
      <c r="D2611" s="2">
        <v>512548.98326725099</v>
      </c>
      <c r="E2611" s="2">
        <v>6006695.0372643704</v>
      </c>
      <c r="F2611" s="2">
        <v>6519244.0205316199</v>
      </c>
    </row>
    <row r="2612" spans="1:6" x14ac:dyDescent="0.3">
      <c r="A2612" s="1">
        <v>43830</v>
      </c>
      <c r="B2612" t="s">
        <v>22</v>
      </c>
      <c r="C2612" t="s">
        <v>14</v>
      </c>
      <c r="D2612" s="2">
        <v>17170441.5200595</v>
      </c>
      <c r="E2612" s="2">
        <v>6030937.6471751798</v>
      </c>
      <c r="F2612" s="2">
        <v>23201380.1672346</v>
      </c>
    </row>
    <row r="2613" spans="1:6" x14ac:dyDescent="0.3">
      <c r="A2613" s="1">
        <v>43830</v>
      </c>
      <c r="B2613" t="s">
        <v>6</v>
      </c>
      <c r="C2613" t="s">
        <v>12</v>
      </c>
      <c r="D2613" s="2">
        <v>0</v>
      </c>
      <c r="E2613" s="2">
        <v>8809.1980000000003</v>
      </c>
      <c r="F2613" s="2">
        <v>8809.1980000000003</v>
      </c>
    </row>
    <row r="2614" spans="1:6" x14ac:dyDescent="0.3">
      <c r="A2614" s="1">
        <v>43830</v>
      </c>
      <c r="B2614" t="s">
        <v>6</v>
      </c>
      <c r="C2614" t="s">
        <v>7</v>
      </c>
      <c r="D2614" s="2">
        <v>2416416.7540000002</v>
      </c>
      <c r="E2614" s="2">
        <v>447.46899999999999</v>
      </c>
      <c r="F2614" s="2">
        <v>2416864.2230000002</v>
      </c>
    </row>
    <row r="2615" spans="1:6" x14ac:dyDescent="0.3">
      <c r="A2615" s="1">
        <v>43830</v>
      </c>
      <c r="B2615" t="s">
        <v>6</v>
      </c>
      <c r="C2615" t="s">
        <v>8</v>
      </c>
      <c r="D2615" s="2">
        <v>9920786.3263000008</v>
      </c>
      <c r="E2615" s="2">
        <v>8444.2710000000006</v>
      </c>
      <c r="F2615" s="2">
        <v>9929230.5972999893</v>
      </c>
    </row>
    <row r="2616" spans="1:6" x14ac:dyDescent="0.3">
      <c r="A2616" s="1">
        <v>43830</v>
      </c>
      <c r="B2616" t="s">
        <v>6</v>
      </c>
      <c r="C2616" t="s">
        <v>9</v>
      </c>
      <c r="D2616" s="2">
        <v>2373512.9724499998</v>
      </c>
      <c r="E2616" s="2">
        <v>5544.2623999999996</v>
      </c>
      <c r="F2616" s="2">
        <v>2379057.2348500001</v>
      </c>
    </row>
    <row r="2617" spans="1:6" x14ac:dyDescent="0.3">
      <c r="A2617" s="1">
        <v>43830</v>
      </c>
      <c r="B2617" t="s">
        <v>6</v>
      </c>
      <c r="C2617" t="s">
        <v>10</v>
      </c>
      <c r="D2617" s="2">
        <v>1506394.49944222</v>
      </c>
      <c r="E2617" s="2">
        <v>970.33451080999998</v>
      </c>
      <c r="F2617" s="2">
        <v>1507364.8339530299</v>
      </c>
    </row>
    <row r="2618" spans="1:6" x14ac:dyDescent="0.3">
      <c r="A2618" s="1">
        <v>43830</v>
      </c>
      <c r="B2618" t="s">
        <v>6</v>
      </c>
      <c r="C2618" t="s">
        <v>11</v>
      </c>
      <c r="D2618" s="2">
        <v>440782.98460000003</v>
      </c>
      <c r="E2618" s="2">
        <v>27.074999999999999</v>
      </c>
      <c r="F2618" s="2">
        <v>440810.05959999998</v>
      </c>
    </row>
    <row r="2619" spans="1:6" x14ac:dyDescent="0.3">
      <c r="A2619" s="1">
        <v>43830</v>
      </c>
      <c r="B2619" t="s">
        <v>13</v>
      </c>
      <c r="C2619" t="s">
        <v>14</v>
      </c>
      <c r="D2619" s="2">
        <v>16657893.5367922</v>
      </c>
      <c r="E2619" s="2">
        <v>24242.609910809999</v>
      </c>
      <c r="F2619" s="2">
        <v>16682136.146702999</v>
      </c>
    </row>
    <row r="2620" spans="1:6" x14ac:dyDescent="0.3">
      <c r="A2620" s="1">
        <v>43861</v>
      </c>
      <c r="B2620" t="s">
        <v>15</v>
      </c>
      <c r="C2620" t="s">
        <v>19</v>
      </c>
      <c r="D2620" s="2">
        <v>264486.95933349</v>
      </c>
      <c r="E2620" s="2">
        <v>5987094.1765605304</v>
      </c>
      <c r="F2620" s="2">
        <v>6251581.1358940201</v>
      </c>
    </row>
    <row r="2621" spans="1:6" x14ac:dyDescent="0.3">
      <c r="A2621" s="1">
        <v>43861</v>
      </c>
      <c r="B2621" t="s">
        <v>15</v>
      </c>
      <c r="C2621" t="s">
        <v>18</v>
      </c>
      <c r="D2621" s="2">
        <v>150728.61576339</v>
      </c>
      <c r="E2621" s="2">
        <v>0</v>
      </c>
      <c r="F2621" s="2">
        <v>150728.61576339</v>
      </c>
    </row>
    <row r="2622" spans="1:6" x14ac:dyDescent="0.3">
      <c r="A2622" s="1">
        <v>43861</v>
      </c>
      <c r="B2622" t="s">
        <v>21</v>
      </c>
      <c r="C2622" t="s">
        <v>14</v>
      </c>
      <c r="D2622" s="2">
        <v>516716.63304529001</v>
      </c>
      <c r="E2622" s="2">
        <v>5987094.1765605304</v>
      </c>
      <c r="F2622" s="2">
        <v>6503810.8096058201</v>
      </c>
    </row>
    <row r="2623" spans="1:6" x14ac:dyDescent="0.3">
      <c r="A2623" s="1">
        <v>43861</v>
      </c>
      <c r="B2623" t="s">
        <v>22</v>
      </c>
      <c r="C2623" t="s">
        <v>14</v>
      </c>
      <c r="D2623" s="2">
        <v>17212634.794820301</v>
      </c>
      <c r="E2623" s="2">
        <v>6011178.1108271098</v>
      </c>
      <c r="F2623" s="2">
        <v>23223812.905647401</v>
      </c>
    </row>
    <row r="2624" spans="1:6" x14ac:dyDescent="0.3">
      <c r="A2624" s="1">
        <v>43861</v>
      </c>
      <c r="B2624" t="s">
        <v>6</v>
      </c>
      <c r="C2624" t="s">
        <v>7</v>
      </c>
      <c r="D2624" s="2">
        <v>2403862.0378999999</v>
      </c>
      <c r="E2624" s="2">
        <v>428.72800000000001</v>
      </c>
      <c r="F2624" s="2">
        <v>2404290.7659</v>
      </c>
    </row>
    <row r="2625" spans="1:6" x14ac:dyDescent="0.3">
      <c r="A2625" s="1">
        <v>43861</v>
      </c>
      <c r="B2625" t="s">
        <v>6</v>
      </c>
      <c r="C2625" t="s">
        <v>8</v>
      </c>
      <c r="D2625" s="2">
        <v>9990403.1328999996</v>
      </c>
      <c r="E2625" s="2">
        <v>8332.8187999999991</v>
      </c>
      <c r="F2625" s="2">
        <v>9998735.9517000001</v>
      </c>
    </row>
    <row r="2626" spans="1:6" x14ac:dyDescent="0.3">
      <c r="A2626" s="1">
        <v>43861</v>
      </c>
      <c r="B2626" t="s">
        <v>6</v>
      </c>
      <c r="C2626" t="s">
        <v>9</v>
      </c>
      <c r="D2626" s="2">
        <v>2390076.1101500001</v>
      </c>
      <c r="E2626" s="2">
        <v>5492.7336999999998</v>
      </c>
      <c r="F2626" s="2">
        <v>2395568.8438499998</v>
      </c>
    </row>
    <row r="2627" spans="1:6" x14ac:dyDescent="0.3">
      <c r="A2627" s="1">
        <v>43861</v>
      </c>
      <c r="B2627" t="s">
        <v>6</v>
      </c>
      <c r="C2627" t="s">
        <v>10</v>
      </c>
      <c r="D2627" s="2">
        <v>1498585.4557250401</v>
      </c>
      <c r="E2627" s="2">
        <v>985.39576657999999</v>
      </c>
      <c r="F2627" s="2">
        <v>1499570.8514916201</v>
      </c>
    </row>
    <row r="2628" spans="1:6" x14ac:dyDescent="0.3">
      <c r="A2628" s="1">
        <v>43861</v>
      </c>
      <c r="B2628" t="s">
        <v>6</v>
      </c>
      <c r="C2628" t="s">
        <v>11</v>
      </c>
      <c r="D2628" s="2">
        <v>412991.42509999999</v>
      </c>
      <c r="E2628" s="2">
        <v>35.06</v>
      </c>
      <c r="F2628" s="2">
        <v>413026.48509999999</v>
      </c>
    </row>
    <row r="2629" spans="1:6" x14ac:dyDescent="0.3">
      <c r="A2629" s="1">
        <v>43861</v>
      </c>
      <c r="B2629" t="s">
        <v>6</v>
      </c>
      <c r="C2629" t="s">
        <v>12</v>
      </c>
      <c r="D2629" s="2">
        <v>0</v>
      </c>
      <c r="E2629" s="2">
        <v>8809.1980000000003</v>
      </c>
      <c r="F2629" s="2">
        <v>8809.1980000000003</v>
      </c>
    </row>
    <row r="2630" spans="1:6" x14ac:dyDescent="0.3">
      <c r="A2630" s="1">
        <v>43861</v>
      </c>
      <c r="B2630" t="s">
        <v>13</v>
      </c>
      <c r="C2630" t="s">
        <v>14</v>
      </c>
      <c r="D2630" s="2">
        <v>16695918.161775</v>
      </c>
      <c r="E2630" s="2">
        <v>24083.93426658</v>
      </c>
      <c r="F2630" s="2">
        <v>16720002.096041599</v>
      </c>
    </row>
    <row r="2631" spans="1:6" x14ac:dyDescent="0.3">
      <c r="A2631" s="1">
        <v>43861</v>
      </c>
      <c r="B2631" t="s">
        <v>15</v>
      </c>
      <c r="C2631" t="s">
        <v>16</v>
      </c>
      <c r="D2631" s="2">
        <v>25473.112000000001</v>
      </c>
      <c r="E2631" s="2">
        <v>0</v>
      </c>
      <c r="F2631" s="2">
        <v>25473.112000000001</v>
      </c>
    </row>
    <row r="2632" spans="1:6" x14ac:dyDescent="0.3">
      <c r="A2632" s="1">
        <v>43861</v>
      </c>
      <c r="B2632" t="s">
        <v>15</v>
      </c>
      <c r="C2632" t="s">
        <v>23</v>
      </c>
      <c r="D2632" s="2">
        <v>264.34199999999998</v>
      </c>
      <c r="E2632" s="2">
        <v>0</v>
      </c>
      <c r="F2632" s="2">
        <v>264.34199999999998</v>
      </c>
    </row>
    <row r="2633" spans="1:6" x14ac:dyDescent="0.3">
      <c r="A2633" s="1">
        <v>43861</v>
      </c>
      <c r="B2633" t="s">
        <v>15</v>
      </c>
      <c r="C2633" t="s">
        <v>17</v>
      </c>
      <c r="D2633" s="2">
        <v>73719.956381349999</v>
      </c>
      <c r="E2633" s="2">
        <v>0</v>
      </c>
      <c r="F2633" s="2">
        <v>73719.956381349999</v>
      </c>
    </row>
    <row r="2634" spans="1:6" x14ac:dyDescent="0.3">
      <c r="A2634" s="1">
        <v>43861</v>
      </c>
      <c r="B2634" t="s">
        <v>15</v>
      </c>
      <c r="C2634" t="s">
        <v>20</v>
      </c>
      <c r="D2634" s="2">
        <v>2043.64756706</v>
      </c>
      <c r="E2634" s="2">
        <v>0</v>
      </c>
      <c r="F2634" s="2">
        <v>2043.64756706</v>
      </c>
    </row>
    <row r="2635" spans="1:6" x14ac:dyDescent="0.3">
      <c r="A2635" s="1">
        <v>43890</v>
      </c>
      <c r="B2635" t="s">
        <v>6</v>
      </c>
      <c r="C2635" t="s">
        <v>10</v>
      </c>
      <c r="D2635" s="2">
        <v>1505312.34806714</v>
      </c>
      <c r="E2635" s="2">
        <v>977.06228016</v>
      </c>
      <c r="F2635" s="2">
        <v>1506289.4103473001</v>
      </c>
    </row>
    <row r="2636" spans="1:6" x14ac:dyDescent="0.3">
      <c r="A2636" s="1">
        <v>43890</v>
      </c>
      <c r="B2636" t="s">
        <v>6</v>
      </c>
      <c r="C2636" t="s">
        <v>11</v>
      </c>
      <c r="D2636" s="2">
        <v>431019.95529999997</v>
      </c>
      <c r="E2636" s="2">
        <v>6.5</v>
      </c>
      <c r="F2636" s="2">
        <v>431026.45529999997</v>
      </c>
    </row>
    <row r="2637" spans="1:6" x14ac:dyDescent="0.3">
      <c r="A2637" s="1">
        <v>43890</v>
      </c>
      <c r="B2637" t="s">
        <v>6</v>
      </c>
      <c r="C2637" t="s">
        <v>12</v>
      </c>
      <c r="D2637" s="2">
        <v>0</v>
      </c>
      <c r="E2637" s="2">
        <v>8809.1980000000003</v>
      </c>
      <c r="F2637" s="2">
        <v>8809.1980000000003</v>
      </c>
    </row>
    <row r="2638" spans="1:6" x14ac:dyDescent="0.3">
      <c r="A2638" s="1">
        <v>43890</v>
      </c>
      <c r="B2638" t="s">
        <v>13</v>
      </c>
      <c r="C2638" t="s">
        <v>14</v>
      </c>
      <c r="D2638" s="2">
        <v>16894346.765817098</v>
      </c>
      <c r="E2638" s="2">
        <v>24178.475080159998</v>
      </c>
      <c r="F2638" s="2">
        <v>16918525.240897302</v>
      </c>
    </row>
    <row r="2639" spans="1:6" x14ac:dyDescent="0.3">
      <c r="A2639" s="1">
        <v>43890</v>
      </c>
      <c r="B2639" t="s">
        <v>15</v>
      </c>
      <c r="C2639" t="s">
        <v>16</v>
      </c>
      <c r="D2639" s="2">
        <v>25473.112000000001</v>
      </c>
      <c r="E2639" s="2">
        <v>0</v>
      </c>
      <c r="F2639" s="2">
        <v>25473.112000000001</v>
      </c>
    </row>
    <row r="2640" spans="1:6" x14ac:dyDescent="0.3">
      <c r="A2640" s="1">
        <v>43890</v>
      </c>
      <c r="B2640" t="s">
        <v>15</v>
      </c>
      <c r="C2640" t="s">
        <v>23</v>
      </c>
      <c r="D2640" s="2">
        <v>264.34199999999998</v>
      </c>
      <c r="E2640" s="2">
        <v>0</v>
      </c>
      <c r="F2640" s="2">
        <v>264.34199999999998</v>
      </c>
    </row>
    <row r="2641" spans="1:6" x14ac:dyDescent="0.3">
      <c r="A2641" s="1">
        <v>43890</v>
      </c>
      <c r="B2641" t="s">
        <v>15</v>
      </c>
      <c r="C2641" t="s">
        <v>17</v>
      </c>
      <c r="D2641" s="2">
        <v>76748.295161059999</v>
      </c>
      <c r="E2641" s="2">
        <v>0</v>
      </c>
      <c r="F2641" s="2">
        <v>76748.295161059999</v>
      </c>
    </row>
    <row r="2642" spans="1:6" x14ac:dyDescent="0.3">
      <c r="A2642" s="1">
        <v>43890</v>
      </c>
      <c r="B2642" t="s">
        <v>15</v>
      </c>
      <c r="C2642" t="s">
        <v>18</v>
      </c>
      <c r="D2642" s="2">
        <v>150368.97480967999</v>
      </c>
      <c r="E2642" s="2">
        <v>0</v>
      </c>
      <c r="F2642" s="2">
        <v>150368.97480967999</v>
      </c>
    </row>
    <row r="2643" spans="1:6" x14ac:dyDescent="0.3">
      <c r="A2643" s="1">
        <v>43890</v>
      </c>
      <c r="B2643" t="s">
        <v>15</v>
      </c>
      <c r="C2643" t="s">
        <v>19</v>
      </c>
      <c r="D2643" s="2">
        <v>263844.67801107903</v>
      </c>
      <c r="E2643" s="2">
        <v>5972731.4078211701</v>
      </c>
      <c r="F2643" s="2">
        <v>6236576.0858322503</v>
      </c>
    </row>
    <row r="2644" spans="1:6" x14ac:dyDescent="0.3">
      <c r="A2644" s="1">
        <v>43890</v>
      </c>
      <c r="B2644" t="s">
        <v>15</v>
      </c>
      <c r="C2644" t="s">
        <v>20</v>
      </c>
      <c r="D2644" s="2">
        <v>2002.99961033</v>
      </c>
      <c r="E2644" s="2">
        <v>0</v>
      </c>
      <c r="F2644" s="2">
        <v>2002.99961033</v>
      </c>
    </row>
    <row r="2645" spans="1:6" x14ac:dyDescent="0.3">
      <c r="A2645" s="1">
        <v>43890</v>
      </c>
      <c r="B2645" t="s">
        <v>21</v>
      </c>
      <c r="C2645" t="s">
        <v>14</v>
      </c>
      <c r="D2645" s="2">
        <v>518703.40159214899</v>
      </c>
      <c r="E2645" s="2">
        <v>5972731.4078211701</v>
      </c>
      <c r="F2645" s="2">
        <v>6491433.8094133204</v>
      </c>
    </row>
    <row r="2646" spans="1:6" x14ac:dyDescent="0.3">
      <c r="A2646" s="1">
        <v>43890</v>
      </c>
      <c r="B2646" t="s">
        <v>22</v>
      </c>
      <c r="C2646" t="s">
        <v>14</v>
      </c>
      <c r="D2646" s="2">
        <v>17413050.167409301</v>
      </c>
      <c r="E2646" s="2">
        <v>5996908.8829013295</v>
      </c>
      <c r="F2646" s="2">
        <v>23409959.050310601</v>
      </c>
    </row>
    <row r="2647" spans="1:6" x14ac:dyDescent="0.3">
      <c r="A2647" s="1">
        <v>43890</v>
      </c>
      <c r="B2647" t="s">
        <v>6</v>
      </c>
      <c r="C2647" t="s">
        <v>7</v>
      </c>
      <c r="D2647" s="2">
        <v>2564220.0222</v>
      </c>
      <c r="E2647" s="2">
        <v>363.07799999999997</v>
      </c>
      <c r="F2647" s="2">
        <v>2564583.1002000002</v>
      </c>
    </row>
    <row r="2648" spans="1:6" x14ac:dyDescent="0.3">
      <c r="A2648" s="1">
        <v>43890</v>
      </c>
      <c r="B2648" t="s">
        <v>6</v>
      </c>
      <c r="C2648" t="s">
        <v>8</v>
      </c>
      <c r="D2648" s="2">
        <v>9985777.3969999999</v>
      </c>
      <c r="E2648" s="2">
        <v>8497.6317999999992</v>
      </c>
      <c r="F2648" s="2">
        <v>9994275.0287999995</v>
      </c>
    </row>
    <row r="2649" spans="1:6" x14ac:dyDescent="0.3">
      <c r="A2649" s="1">
        <v>43890</v>
      </c>
      <c r="B2649" t="s">
        <v>6</v>
      </c>
      <c r="C2649" t="s">
        <v>9</v>
      </c>
      <c r="D2649" s="2">
        <v>2408017.0432500001</v>
      </c>
      <c r="E2649" s="2">
        <v>5525.0050000000001</v>
      </c>
      <c r="F2649" s="2">
        <v>2413542.04825</v>
      </c>
    </row>
    <row r="2650" spans="1:6" x14ac:dyDescent="0.3">
      <c r="A2650" s="1">
        <v>43921</v>
      </c>
      <c r="B2650" t="s">
        <v>6</v>
      </c>
      <c r="C2650" t="s">
        <v>9</v>
      </c>
      <c r="D2650" s="2">
        <v>2424352.7071500001</v>
      </c>
      <c r="E2650" s="2">
        <v>5204.4822000000004</v>
      </c>
      <c r="F2650" s="2">
        <v>2429557.1893500001</v>
      </c>
    </row>
    <row r="2651" spans="1:6" x14ac:dyDescent="0.3">
      <c r="A2651" s="1">
        <v>43921</v>
      </c>
      <c r="B2651" t="s">
        <v>6</v>
      </c>
      <c r="C2651" t="s">
        <v>10</v>
      </c>
      <c r="D2651" s="2">
        <v>1524472.2750328199</v>
      </c>
      <c r="E2651" s="2">
        <v>1004.76761331</v>
      </c>
      <c r="F2651" s="2">
        <v>1525477.0426461301</v>
      </c>
    </row>
    <row r="2652" spans="1:6" x14ac:dyDescent="0.3">
      <c r="A2652" s="1">
        <v>43921</v>
      </c>
      <c r="B2652" t="s">
        <v>6</v>
      </c>
      <c r="C2652" t="s">
        <v>11</v>
      </c>
      <c r="D2652" s="2">
        <v>449005.92340000003</v>
      </c>
      <c r="E2652" s="2">
        <v>20.614999999999998</v>
      </c>
      <c r="F2652" s="2">
        <v>449026.53840000002</v>
      </c>
    </row>
    <row r="2653" spans="1:6" x14ac:dyDescent="0.3">
      <c r="A2653" s="1">
        <v>43921</v>
      </c>
      <c r="B2653" t="s">
        <v>6</v>
      </c>
      <c r="C2653" t="s">
        <v>12</v>
      </c>
      <c r="D2653" s="2">
        <v>0</v>
      </c>
      <c r="E2653" s="2">
        <v>8809.1980000000003</v>
      </c>
      <c r="F2653" s="2">
        <v>8809.1980000000003</v>
      </c>
    </row>
    <row r="2654" spans="1:6" x14ac:dyDescent="0.3">
      <c r="A2654" s="1">
        <v>43921</v>
      </c>
      <c r="B2654" t="s">
        <v>13</v>
      </c>
      <c r="C2654" t="s">
        <v>14</v>
      </c>
      <c r="D2654" s="2">
        <v>17139136.9565828</v>
      </c>
      <c r="E2654" s="2">
        <v>23669.79611331</v>
      </c>
      <c r="F2654" s="2">
        <v>17162806.752696101</v>
      </c>
    </row>
    <row r="2655" spans="1:6" x14ac:dyDescent="0.3">
      <c r="A2655" s="1">
        <v>43921</v>
      </c>
      <c r="B2655" t="s">
        <v>15</v>
      </c>
      <c r="C2655" t="s">
        <v>16</v>
      </c>
      <c r="D2655" s="2">
        <v>25473.112000000001</v>
      </c>
      <c r="E2655" s="2">
        <v>0</v>
      </c>
      <c r="F2655" s="2">
        <v>25473.112000000001</v>
      </c>
    </row>
    <row r="2656" spans="1:6" x14ac:dyDescent="0.3">
      <c r="A2656" s="1">
        <v>43921</v>
      </c>
      <c r="B2656" t="s">
        <v>15</v>
      </c>
      <c r="C2656" t="s">
        <v>23</v>
      </c>
      <c r="D2656" s="2">
        <v>264.34199999999998</v>
      </c>
      <c r="E2656" s="2">
        <v>0</v>
      </c>
      <c r="F2656" s="2">
        <v>264.34199999999998</v>
      </c>
    </row>
    <row r="2657" spans="1:6" x14ac:dyDescent="0.3">
      <c r="A2657" s="1">
        <v>43921</v>
      </c>
      <c r="B2657" t="s">
        <v>15</v>
      </c>
      <c r="C2657" t="s">
        <v>17</v>
      </c>
      <c r="D2657" s="2">
        <v>84402.013588739996</v>
      </c>
      <c r="E2657" s="2">
        <v>0</v>
      </c>
      <c r="F2657" s="2">
        <v>84402.013588739996</v>
      </c>
    </row>
    <row r="2658" spans="1:6" x14ac:dyDescent="0.3">
      <c r="A2658" s="1">
        <v>43921</v>
      </c>
      <c r="B2658" t="s">
        <v>15</v>
      </c>
      <c r="C2658" t="s">
        <v>18</v>
      </c>
      <c r="D2658" s="2">
        <v>150008.48966794001</v>
      </c>
      <c r="E2658" s="2">
        <v>0</v>
      </c>
      <c r="F2658" s="2">
        <v>150008.48966794001</v>
      </c>
    </row>
    <row r="2659" spans="1:6" x14ac:dyDescent="0.3">
      <c r="A2659" s="1">
        <v>43921</v>
      </c>
      <c r="B2659" t="s">
        <v>15</v>
      </c>
      <c r="C2659" t="s">
        <v>19</v>
      </c>
      <c r="D2659" s="2">
        <v>273375.26888447901</v>
      </c>
      <c r="E2659" s="2">
        <v>5988430.3717820104</v>
      </c>
      <c r="F2659" s="2">
        <v>6261803.6406664904</v>
      </c>
    </row>
    <row r="2660" spans="1:6" x14ac:dyDescent="0.3">
      <c r="A2660" s="1">
        <v>43921</v>
      </c>
      <c r="B2660" t="s">
        <v>21</v>
      </c>
      <c r="C2660" t="s">
        <v>14</v>
      </c>
      <c r="D2660" s="2">
        <v>535633.875870349</v>
      </c>
      <c r="E2660" s="2">
        <v>5988430.3717820104</v>
      </c>
      <c r="F2660" s="2">
        <v>6524064.2476523602</v>
      </c>
    </row>
    <row r="2661" spans="1:6" x14ac:dyDescent="0.3">
      <c r="A2661" s="1">
        <v>43921</v>
      </c>
      <c r="B2661" t="s">
        <v>22</v>
      </c>
      <c r="C2661" t="s">
        <v>14</v>
      </c>
      <c r="D2661" s="2">
        <v>17674770.832453199</v>
      </c>
      <c r="E2661" s="2">
        <v>6012100.1678953199</v>
      </c>
      <c r="F2661" s="2">
        <v>23686871.000348501</v>
      </c>
    </row>
    <row r="2662" spans="1:6" x14ac:dyDescent="0.3">
      <c r="A2662" s="1">
        <v>43921</v>
      </c>
      <c r="B2662" t="s">
        <v>6</v>
      </c>
      <c r="C2662" t="s">
        <v>7</v>
      </c>
      <c r="D2662" s="2">
        <v>2657089.1576999999</v>
      </c>
      <c r="E2662" s="2">
        <v>350.19099999999997</v>
      </c>
      <c r="F2662" s="2">
        <v>2657439.3487</v>
      </c>
    </row>
    <row r="2663" spans="1:6" x14ac:dyDescent="0.3">
      <c r="A2663" s="1">
        <v>43921</v>
      </c>
      <c r="B2663" t="s">
        <v>6</v>
      </c>
      <c r="C2663" t="s">
        <v>8</v>
      </c>
      <c r="D2663" s="2">
        <v>10084216.893300001</v>
      </c>
      <c r="E2663" s="2">
        <v>8280.5422999999992</v>
      </c>
      <c r="F2663" s="2">
        <v>10092497.4356</v>
      </c>
    </row>
    <row r="2664" spans="1:6" x14ac:dyDescent="0.3">
      <c r="A2664" s="1">
        <v>43921</v>
      </c>
      <c r="B2664" t="s">
        <v>15</v>
      </c>
      <c r="C2664" t="s">
        <v>20</v>
      </c>
      <c r="D2664" s="2">
        <v>2111.64972919</v>
      </c>
      <c r="E2664" s="2">
        <v>0</v>
      </c>
      <c r="F2664" s="2">
        <v>2111.64972919</v>
      </c>
    </row>
    <row r="2665" spans="1:6" x14ac:dyDescent="0.3">
      <c r="A2665" s="1">
        <v>43951</v>
      </c>
      <c r="B2665" t="s">
        <v>6</v>
      </c>
      <c r="C2665" t="s">
        <v>12</v>
      </c>
      <c r="D2665" s="2">
        <v>0</v>
      </c>
      <c r="E2665" s="2">
        <v>8809.1980000000003</v>
      </c>
      <c r="F2665" s="2">
        <v>8809.1980000000003</v>
      </c>
    </row>
    <row r="2666" spans="1:6" x14ac:dyDescent="0.3">
      <c r="A2666" s="1">
        <v>43951</v>
      </c>
      <c r="B2666" t="s">
        <v>15</v>
      </c>
      <c r="C2666" t="s">
        <v>23</v>
      </c>
      <c r="D2666" s="2">
        <v>264.34199999999998</v>
      </c>
      <c r="E2666" s="2">
        <v>0</v>
      </c>
      <c r="F2666" s="2">
        <v>264.34199999999998</v>
      </c>
    </row>
    <row r="2667" spans="1:6" x14ac:dyDescent="0.3">
      <c r="A2667" s="1">
        <v>43951</v>
      </c>
      <c r="B2667" t="s">
        <v>22</v>
      </c>
      <c r="C2667" t="s">
        <v>14</v>
      </c>
      <c r="D2667" s="2">
        <v>19053618.914902199</v>
      </c>
      <c r="E2667" s="2">
        <v>5920552.9534519101</v>
      </c>
      <c r="F2667" s="2">
        <v>24974171.868354101</v>
      </c>
    </row>
    <row r="2668" spans="1:6" x14ac:dyDescent="0.3">
      <c r="A2668" s="1">
        <v>43951</v>
      </c>
      <c r="B2668" t="s">
        <v>13</v>
      </c>
      <c r="C2668" t="s">
        <v>14</v>
      </c>
      <c r="D2668" s="2">
        <v>18512019.8683681</v>
      </c>
      <c r="E2668" s="2">
        <v>23584.17239951</v>
      </c>
      <c r="F2668" s="2">
        <v>18535604.040767699</v>
      </c>
    </row>
    <row r="2669" spans="1:6" x14ac:dyDescent="0.3">
      <c r="A2669" s="1">
        <v>43951</v>
      </c>
      <c r="B2669" t="s">
        <v>15</v>
      </c>
      <c r="C2669" t="s">
        <v>17</v>
      </c>
      <c r="D2669" s="2">
        <v>87257.448841250007</v>
      </c>
      <c r="E2669" s="2">
        <v>0</v>
      </c>
      <c r="F2669" s="2">
        <v>87257.448841250007</v>
      </c>
    </row>
    <row r="2670" spans="1:6" x14ac:dyDescent="0.3">
      <c r="A2670" s="1">
        <v>43951</v>
      </c>
      <c r="B2670" t="s">
        <v>15</v>
      </c>
      <c r="C2670" t="s">
        <v>18</v>
      </c>
      <c r="D2670" s="2">
        <v>150101.06094016001</v>
      </c>
      <c r="E2670" s="2">
        <v>0</v>
      </c>
      <c r="F2670" s="2">
        <v>150101.06094016001</v>
      </c>
    </row>
    <row r="2671" spans="1:6" x14ac:dyDescent="0.3">
      <c r="A2671" s="1">
        <v>43951</v>
      </c>
      <c r="B2671" t="s">
        <v>15</v>
      </c>
      <c r="C2671" t="s">
        <v>19</v>
      </c>
      <c r="D2671" s="2">
        <v>276049.32976515999</v>
      </c>
      <c r="E2671" s="2">
        <v>5896968.7810524004</v>
      </c>
      <c r="F2671" s="2">
        <v>6173018.11081756</v>
      </c>
    </row>
    <row r="2672" spans="1:6" x14ac:dyDescent="0.3">
      <c r="A2672" s="1">
        <v>43951</v>
      </c>
      <c r="B2672" t="s">
        <v>15</v>
      </c>
      <c r="C2672" t="s">
        <v>20</v>
      </c>
      <c r="D2672" s="2">
        <v>2453.7529874799998</v>
      </c>
      <c r="E2672" s="2">
        <v>0</v>
      </c>
      <c r="F2672" s="2">
        <v>2453.7529874799998</v>
      </c>
    </row>
    <row r="2673" spans="1:6" x14ac:dyDescent="0.3">
      <c r="A2673" s="1">
        <v>43951</v>
      </c>
      <c r="B2673" t="s">
        <v>15</v>
      </c>
      <c r="C2673" t="s">
        <v>16</v>
      </c>
      <c r="D2673" s="2">
        <v>25473.112000000001</v>
      </c>
      <c r="E2673" s="2">
        <v>0</v>
      </c>
      <c r="F2673" s="2">
        <v>25473.112000000001</v>
      </c>
    </row>
    <row r="2674" spans="1:6" x14ac:dyDescent="0.3">
      <c r="A2674" s="1">
        <v>43951</v>
      </c>
      <c r="B2674" t="s">
        <v>6</v>
      </c>
      <c r="C2674" t="s">
        <v>7</v>
      </c>
      <c r="D2674" s="2">
        <v>4000897.415</v>
      </c>
      <c r="E2674" s="2">
        <v>875.79100000000005</v>
      </c>
      <c r="F2674" s="2">
        <v>4001773.2059999998</v>
      </c>
    </row>
    <row r="2675" spans="1:6" x14ac:dyDescent="0.3">
      <c r="A2675" s="1">
        <v>43951</v>
      </c>
      <c r="B2675" t="s">
        <v>6</v>
      </c>
      <c r="C2675" t="s">
        <v>8</v>
      </c>
      <c r="D2675" s="2">
        <v>10155648.014799999</v>
      </c>
      <c r="E2675" s="2">
        <v>8078.6808000000001</v>
      </c>
      <c r="F2675" s="2">
        <v>10163726.695599999</v>
      </c>
    </row>
    <row r="2676" spans="1:6" x14ac:dyDescent="0.3">
      <c r="A2676" s="1">
        <v>43951</v>
      </c>
      <c r="B2676" t="s">
        <v>6</v>
      </c>
      <c r="C2676" t="s">
        <v>9</v>
      </c>
      <c r="D2676" s="2">
        <v>2441632.25135</v>
      </c>
      <c r="E2676" s="2">
        <v>4980.8687</v>
      </c>
      <c r="F2676" s="2">
        <v>2446613.12005</v>
      </c>
    </row>
    <row r="2677" spans="1:6" x14ac:dyDescent="0.3">
      <c r="A2677" s="1">
        <v>43951</v>
      </c>
      <c r="B2677" t="s">
        <v>6</v>
      </c>
      <c r="C2677" t="s">
        <v>10</v>
      </c>
      <c r="D2677" s="2">
        <v>1492074.9046181501</v>
      </c>
      <c r="E2677" s="2">
        <v>839.63389950999999</v>
      </c>
      <c r="F2677" s="2">
        <v>1492914.53851766</v>
      </c>
    </row>
    <row r="2678" spans="1:6" x14ac:dyDescent="0.3">
      <c r="A2678" s="1">
        <v>43951</v>
      </c>
      <c r="B2678" t="s">
        <v>6</v>
      </c>
      <c r="C2678" t="s">
        <v>11</v>
      </c>
      <c r="D2678" s="2">
        <v>421767.28259999998</v>
      </c>
      <c r="E2678" s="2">
        <v>0</v>
      </c>
      <c r="F2678" s="2">
        <v>421767.28259999998</v>
      </c>
    </row>
    <row r="2679" spans="1:6" x14ac:dyDescent="0.3">
      <c r="A2679" s="1">
        <v>43951</v>
      </c>
      <c r="B2679" t="s">
        <v>21</v>
      </c>
      <c r="C2679" t="s">
        <v>14</v>
      </c>
      <c r="D2679" s="2">
        <v>541599.04653405002</v>
      </c>
      <c r="E2679" s="2">
        <v>5896968.7810524004</v>
      </c>
      <c r="F2679" s="2">
        <v>6438567.8275864497</v>
      </c>
    </row>
    <row r="2680" spans="1:6" x14ac:dyDescent="0.3">
      <c r="A2680" s="1">
        <v>43982</v>
      </c>
      <c r="B2680" t="s">
        <v>15</v>
      </c>
      <c r="C2680" t="s">
        <v>20</v>
      </c>
      <c r="D2680" s="2">
        <v>2432.0607936599999</v>
      </c>
      <c r="E2680" s="2">
        <v>0</v>
      </c>
      <c r="F2680" s="2">
        <v>2432.0607936599999</v>
      </c>
    </row>
    <row r="2681" spans="1:6" x14ac:dyDescent="0.3">
      <c r="A2681" s="1">
        <v>43982</v>
      </c>
      <c r="B2681" t="s">
        <v>13</v>
      </c>
      <c r="C2681" t="s">
        <v>14</v>
      </c>
      <c r="D2681" s="2">
        <v>19208457.2383436</v>
      </c>
      <c r="E2681" s="2">
        <v>23582.20114813</v>
      </c>
      <c r="F2681" s="2">
        <v>19232039.4394917</v>
      </c>
    </row>
    <row r="2682" spans="1:6" x14ac:dyDescent="0.3">
      <c r="A2682" s="1">
        <v>43982</v>
      </c>
      <c r="B2682" t="s">
        <v>15</v>
      </c>
      <c r="C2682" t="s">
        <v>16</v>
      </c>
      <c r="D2682" s="2">
        <v>80723.808675780005</v>
      </c>
      <c r="E2682" s="2">
        <v>0</v>
      </c>
      <c r="F2682" s="2">
        <v>80723.808675780005</v>
      </c>
    </row>
    <row r="2683" spans="1:6" x14ac:dyDescent="0.3">
      <c r="A2683" s="1">
        <v>43982</v>
      </c>
      <c r="B2683" t="s">
        <v>15</v>
      </c>
      <c r="C2683" t="s">
        <v>23</v>
      </c>
      <c r="D2683" s="2">
        <v>264.34199999999998</v>
      </c>
      <c r="E2683" s="2">
        <v>0</v>
      </c>
      <c r="F2683" s="2">
        <v>264.34199999999998</v>
      </c>
    </row>
    <row r="2684" spans="1:6" x14ac:dyDescent="0.3">
      <c r="A2684" s="1">
        <v>43982</v>
      </c>
      <c r="B2684" t="s">
        <v>15</v>
      </c>
      <c r="C2684" t="s">
        <v>17</v>
      </c>
      <c r="D2684" s="2">
        <v>88607.987799139999</v>
      </c>
      <c r="E2684" s="2">
        <v>0</v>
      </c>
      <c r="F2684" s="2">
        <v>88607.987799139999</v>
      </c>
    </row>
    <row r="2685" spans="1:6" x14ac:dyDescent="0.3">
      <c r="A2685" s="1">
        <v>43982</v>
      </c>
      <c r="B2685" t="s">
        <v>15</v>
      </c>
      <c r="C2685" t="s">
        <v>18</v>
      </c>
      <c r="D2685" s="2">
        <v>150082.87845310001</v>
      </c>
      <c r="E2685" s="2">
        <v>0</v>
      </c>
      <c r="F2685" s="2">
        <v>150082.87845310001</v>
      </c>
    </row>
    <row r="2686" spans="1:6" x14ac:dyDescent="0.3">
      <c r="A2686" s="1">
        <v>43982</v>
      </c>
      <c r="B2686" t="s">
        <v>15</v>
      </c>
      <c r="C2686" t="s">
        <v>19</v>
      </c>
      <c r="D2686" s="2">
        <v>282213.65141157998</v>
      </c>
      <c r="E2686" s="2">
        <v>5909896.1985793198</v>
      </c>
      <c r="F2686" s="2">
        <v>6192109.8499908997</v>
      </c>
    </row>
    <row r="2687" spans="1:6" x14ac:dyDescent="0.3">
      <c r="A2687" s="1">
        <v>43982</v>
      </c>
      <c r="B2687" t="s">
        <v>6</v>
      </c>
      <c r="C2687" t="s">
        <v>12</v>
      </c>
      <c r="D2687" s="2">
        <v>0</v>
      </c>
      <c r="E2687" s="2">
        <v>8809.1980000000003</v>
      </c>
      <c r="F2687" s="2">
        <v>8809.1980000000003</v>
      </c>
    </row>
    <row r="2688" spans="1:6" x14ac:dyDescent="0.3">
      <c r="A2688" s="1">
        <v>43982</v>
      </c>
      <c r="B2688" t="s">
        <v>21</v>
      </c>
      <c r="C2688" t="s">
        <v>14</v>
      </c>
      <c r="D2688" s="2">
        <v>604323.72913325997</v>
      </c>
      <c r="E2688" s="2">
        <v>5909896.1985793198</v>
      </c>
      <c r="F2688" s="2">
        <v>6514220.9277125699</v>
      </c>
    </row>
    <row r="2689" spans="1:6" x14ac:dyDescent="0.3">
      <c r="A2689" s="1">
        <v>43982</v>
      </c>
      <c r="B2689" t="s">
        <v>6</v>
      </c>
      <c r="C2689" t="s">
        <v>7</v>
      </c>
      <c r="D2689" s="2">
        <v>4629046.2</v>
      </c>
      <c r="E2689" s="2">
        <v>872.44100000000003</v>
      </c>
      <c r="F2689" s="2">
        <v>4629918.6409999998</v>
      </c>
    </row>
    <row r="2690" spans="1:6" x14ac:dyDescent="0.3">
      <c r="A2690" s="1">
        <v>43982</v>
      </c>
      <c r="B2690" t="s">
        <v>6</v>
      </c>
      <c r="C2690" t="s">
        <v>8</v>
      </c>
      <c r="D2690" s="2">
        <v>10168689.3969</v>
      </c>
      <c r="E2690" s="2">
        <v>8023.7888000000003</v>
      </c>
      <c r="F2690" s="2">
        <v>10176713.185699999</v>
      </c>
    </row>
    <row r="2691" spans="1:6" x14ac:dyDescent="0.3">
      <c r="A2691" s="1">
        <v>43982</v>
      </c>
      <c r="B2691" t="s">
        <v>6</v>
      </c>
      <c r="C2691" t="s">
        <v>9</v>
      </c>
      <c r="D2691" s="2">
        <v>2467632.1904500001</v>
      </c>
      <c r="E2691" s="2">
        <v>5033.4901</v>
      </c>
      <c r="F2691" s="2">
        <v>2472665.6805500002</v>
      </c>
    </row>
    <row r="2692" spans="1:6" x14ac:dyDescent="0.3">
      <c r="A2692" s="1">
        <v>43982</v>
      </c>
      <c r="B2692" t="s">
        <v>6</v>
      </c>
      <c r="C2692" t="s">
        <v>10</v>
      </c>
      <c r="D2692" s="2">
        <v>1501322.41019359</v>
      </c>
      <c r="E2692" s="2">
        <v>843.28324812999995</v>
      </c>
      <c r="F2692" s="2">
        <v>1502165.69344172</v>
      </c>
    </row>
    <row r="2693" spans="1:6" x14ac:dyDescent="0.3">
      <c r="A2693" s="1">
        <v>43982</v>
      </c>
      <c r="B2693" t="s">
        <v>6</v>
      </c>
      <c r="C2693" t="s">
        <v>11</v>
      </c>
      <c r="D2693" s="2">
        <v>441767.04080000002</v>
      </c>
      <c r="E2693" s="2">
        <v>0</v>
      </c>
      <c r="F2693" s="2">
        <v>441767.04080000002</v>
      </c>
    </row>
    <row r="2694" spans="1:6" x14ac:dyDescent="0.3">
      <c r="A2694" s="1">
        <v>43982</v>
      </c>
      <c r="B2694" t="s">
        <v>22</v>
      </c>
      <c r="C2694" t="s">
        <v>14</v>
      </c>
      <c r="D2694" s="2">
        <v>19812781.9674768</v>
      </c>
      <c r="E2694" s="2">
        <v>5933479.3997274498</v>
      </c>
      <c r="F2694" s="2">
        <v>25746260.367204301</v>
      </c>
    </row>
    <row r="2695" spans="1:6" x14ac:dyDescent="0.3">
      <c r="A2695" s="1">
        <v>44012</v>
      </c>
      <c r="B2695" t="s">
        <v>6</v>
      </c>
      <c r="C2695" t="s">
        <v>10</v>
      </c>
      <c r="D2695" s="2">
        <v>1508646.88951366</v>
      </c>
      <c r="E2695" s="2">
        <v>837.56803477999995</v>
      </c>
      <c r="F2695" s="2">
        <v>1509484.45754844</v>
      </c>
    </row>
    <row r="2696" spans="1:6" x14ac:dyDescent="0.3">
      <c r="A2696" s="1">
        <v>44012</v>
      </c>
      <c r="B2696" t="s">
        <v>6</v>
      </c>
      <c r="C2696" t="s">
        <v>11</v>
      </c>
      <c r="D2696" s="2">
        <v>461766.9522</v>
      </c>
      <c r="E2696" s="2">
        <v>0</v>
      </c>
      <c r="F2696" s="2">
        <v>461766.9522</v>
      </c>
    </row>
    <row r="2697" spans="1:6" x14ac:dyDescent="0.3">
      <c r="A2697" s="1">
        <v>44012</v>
      </c>
      <c r="B2697" t="s">
        <v>6</v>
      </c>
      <c r="C2697" t="s">
        <v>12</v>
      </c>
      <c r="D2697" s="2">
        <v>0</v>
      </c>
      <c r="E2697" s="2">
        <v>7261.857</v>
      </c>
      <c r="F2697" s="2">
        <v>7261.857</v>
      </c>
    </row>
    <row r="2698" spans="1:6" x14ac:dyDescent="0.3">
      <c r="A2698" s="1">
        <v>44012</v>
      </c>
      <c r="B2698" t="s">
        <v>21</v>
      </c>
      <c r="C2698" t="s">
        <v>14</v>
      </c>
      <c r="D2698" s="2">
        <v>645835.49073300802</v>
      </c>
      <c r="E2698" s="2">
        <v>5925441.1776031703</v>
      </c>
      <c r="F2698" s="2">
        <v>6571275.66833618</v>
      </c>
    </row>
    <row r="2699" spans="1:6" x14ac:dyDescent="0.3">
      <c r="A2699" s="1">
        <v>44012</v>
      </c>
      <c r="B2699" t="s">
        <v>22</v>
      </c>
      <c r="C2699" t="s">
        <v>14</v>
      </c>
      <c r="D2699" s="2">
        <v>20530277.746996701</v>
      </c>
      <c r="E2699" s="2">
        <v>5946962.8794379598</v>
      </c>
      <c r="F2699" s="2">
        <v>26477240.626434602</v>
      </c>
    </row>
    <row r="2700" spans="1:6" x14ac:dyDescent="0.3">
      <c r="A2700" s="1">
        <v>44012</v>
      </c>
      <c r="B2700" t="s">
        <v>13</v>
      </c>
      <c r="C2700" t="s">
        <v>14</v>
      </c>
      <c r="D2700" s="2">
        <v>19884443.256263699</v>
      </c>
      <c r="E2700" s="2">
        <v>21521.70183478</v>
      </c>
      <c r="F2700" s="2">
        <v>19905964.9580984</v>
      </c>
    </row>
    <row r="2701" spans="1:6" x14ac:dyDescent="0.3">
      <c r="A2701" s="1">
        <v>44012</v>
      </c>
      <c r="B2701" t="s">
        <v>15</v>
      </c>
      <c r="C2701" t="s">
        <v>16</v>
      </c>
      <c r="D2701" s="2">
        <v>121106.75072399</v>
      </c>
      <c r="E2701" s="2">
        <v>0</v>
      </c>
      <c r="F2701" s="2">
        <v>121106.75072399</v>
      </c>
    </row>
    <row r="2702" spans="1:6" x14ac:dyDescent="0.3">
      <c r="A2702" s="1">
        <v>44012</v>
      </c>
      <c r="B2702" t="s">
        <v>15</v>
      </c>
      <c r="C2702" t="s">
        <v>23</v>
      </c>
      <c r="D2702" s="2">
        <v>264.34199999999998</v>
      </c>
      <c r="E2702" s="2">
        <v>0</v>
      </c>
      <c r="F2702" s="2">
        <v>264.34199999999998</v>
      </c>
    </row>
    <row r="2703" spans="1:6" x14ac:dyDescent="0.3">
      <c r="A2703" s="1">
        <v>44012</v>
      </c>
      <c r="B2703" t="s">
        <v>15</v>
      </c>
      <c r="C2703" t="s">
        <v>17</v>
      </c>
      <c r="D2703" s="2">
        <v>89241.957564669996</v>
      </c>
      <c r="E2703" s="2">
        <v>0</v>
      </c>
      <c r="F2703" s="2">
        <v>89241.957564669996</v>
      </c>
    </row>
    <row r="2704" spans="1:6" x14ac:dyDescent="0.3">
      <c r="A2704" s="1">
        <v>44012</v>
      </c>
      <c r="B2704" t="s">
        <v>15</v>
      </c>
      <c r="C2704" t="s">
        <v>18</v>
      </c>
      <c r="D2704" s="2">
        <v>149819.12755753001</v>
      </c>
      <c r="E2704" s="2">
        <v>0</v>
      </c>
      <c r="F2704" s="2">
        <v>149819.12755753001</v>
      </c>
    </row>
    <row r="2705" spans="1:6" x14ac:dyDescent="0.3">
      <c r="A2705" s="1">
        <v>44012</v>
      </c>
      <c r="B2705" t="s">
        <v>15</v>
      </c>
      <c r="C2705" t="s">
        <v>19</v>
      </c>
      <c r="D2705" s="2">
        <v>283019.53716007801</v>
      </c>
      <c r="E2705" s="2">
        <v>5925441.1776031703</v>
      </c>
      <c r="F2705" s="2">
        <v>6208460.7147632502</v>
      </c>
    </row>
    <row r="2706" spans="1:6" x14ac:dyDescent="0.3">
      <c r="A2706" s="1">
        <v>44012</v>
      </c>
      <c r="B2706" t="s">
        <v>15</v>
      </c>
      <c r="C2706" t="s">
        <v>20</v>
      </c>
      <c r="D2706" s="2">
        <v>2382.7757267400002</v>
      </c>
      <c r="E2706" s="2">
        <v>0</v>
      </c>
      <c r="F2706" s="2">
        <v>2382.7757267400002</v>
      </c>
    </row>
    <row r="2707" spans="1:6" x14ac:dyDescent="0.3">
      <c r="A2707" s="1">
        <v>44012</v>
      </c>
      <c r="B2707" t="s">
        <v>6</v>
      </c>
      <c r="C2707" t="s">
        <v>7</v>
      </c>
      <c r="D2707" s="2">
        <v>5078832.6925999997</v>
      </c>
      <c r="E2707" s="2">
        <v>793.38099999999997</v>
      </c>
      <c r="F2707" s="2">
        <v>5079626.0735999998</v>
      </c>
    </row>
    <row r="2708" spans="1:6" x14ac:dyDescent="0.3">
      <c r="A2708" s="1">
        <v>44012</v>
      </c>
      <c r="B2708" t="s">
        <v>6</v>
      </c>
      <c r="C2708" t="s">
        <v>8</v>
      </c>
      <c r="D2708" s="2">
        <v>10306753.0041</v>
      </c>
      <c r="E2708" s="2">
        <v>7711.97</v>
      </c>
      <c r="F2708" s="2">
        <v>10314464.974099999</v>
      </c>
    </row>
    <row r="2709" spans="1:6" x14ac:dyDescent="0.3">
      <c r="A2709" s="1">
        <v>44012</v>
      </c>
      <c r="B2709" t="s">
        <v>6</v>
      </c>
      <c r="C2709" t="s">
        <v>9</v>
      </c>
      <c r="D2709" s="2">
        <v>2528443.7178500001</v>
      </c>
      <c r="E2709" s="2">
        <v>4916.9258</v>
      </c>
      <c r="F2709" s="2">
        <v>2533360.64365</v>
      </c>
    </row>
    <row r="2710" spans="1:6" x14ac:dyDescent="0.3">
      <c r="A2710" s="1">
        <v>44043</v>
      </c>
      <c r="B2710" t="s">
        <v>13</v>
      </c>
      <c r="C2710" t="s">
        <v>14</v>
      </c>
      <c r="D2710" s="2">
        <v>19986091.243154801</v>
      </c>
      <c r="E2710" s="2">
        <v>21772.701603559999</v>
      </c>
      <c r="F2710" s="2">
        <v>20007863.9447583</v>
      </c>
    </row>
    <row r="2711" spans="1:6" x14ac:dyDescent="0.3">
      <c r="A2711" s="1">
        <v>44043</v>
      </c>
      <c r="B2711" t="s">
        <v>22</v>
      </c>
      <c r="C2711" t="s">
        <v>14</v>
      </c>
      <c r="D2711" s="2">
        <v>20634400.329900801</v>
      </c>
      <c r="E2711" s="2">
        <v>5890553.5847046403</v>
      </c>
      <c r="F2711" s="2">
        <v>26524952.914605498</v>
      </c>
    </row>
    <row r="2712" spans="1:6" x14ac:dyDescent="0.3">
      <c r="A2712" s="1">
        <v>44043</v>
      </c>
      <c r="B2712" t="s">
        <v>15</v>
      </c>
      <c r="C2712" t="s">
        <v>16</v>
      </c>
      <c r="D2712" s="2">
        <v>116088.50335386999</v>
      </c>
      <c r="E2712" s="2">
        <v>0</v>
      </c>
      <c r="F2712" s="2">
        <v>116088.50335386999</v>
      </c>
    </row>
    <row r="2713" spans="1:6" x14ac:dyDescent="0.3">
      <c r="A2713" s="1">
        <v>44043</v>
      </c>
      <c r="B2713" t="s">
        <v>15</v>
      </c>
      <c r="C2713" t="s">
        <v>23</v>
      </c>
      <c r="D2713" s="2">
        <v>264.34199999999998</v>
      </c>
      <c r="E2713" s="2">
        <v>0</v>
      </c>
      <c r="F2713" s="2">
        <v>264.34199999999998</v>
      </c>
    </row>
    <row r="2714" spans="1:6" x14ac:dyDescent="0.3">
      <c r="A2714" s="1">
        <v>44043</v>
      </c>
      <c r="B2714" t="s">
        <v>6</v>
      </c>
      <c r="C2714" t="s">
        <v>7</v>
      </c>
      <c r="D2714" s="2">
        <v>5078132.8026999999</v>
      </c>
      <c r="E2714" s="2">
        <v>808.11500000000001</v>
      </c>
      <c r="F2714" s="2">
        <v>5078940.9177000001</v>
      </c>
    </row>
    <row r="2715" spans="1:6" x14ac:dyDescent="0.3">
      <c r="A2715" s="1">
        <v>44043</v>
      </c>
      <c r="B2715" t="s">
        <v>6</v>
      </c>
      <c r="C2715" t="s">
        <v>8</v>
      </c>
      <c r="D2715" s="2">
        <v>10419741.7214</v>
      </c>
      <c r="E2715" s="2">
        <v>7887.1410999999998</v>
      </c>
      <c r="F2715" s="2">
        <v>10427628.862500001</v>
      </c>
    </row>
    <row r="2716" spans="1:6" x14ac:dyDescent="0.3">
      <c r="A2716" s="1">
        <v>44043</v>
      </c>
      <c r="B2716" t="s">
        <v>6</v>
      </c>
      <c r="C2716" t="s">
        <v>9</v>
      </c>
      <c r="D2716" s="2">
        <v>2567980.5705499998</v>
      </c>
      <c r="E2716" s="2">
        <v>4978.7561999999998</v>
      </c>
      <c r="F2716" s="2">
        <v>2572959.32675</v>
      </c>
    </row>
    <row r="2717" spans="1:6" x14ac:dyDescent="0.3">
      <c r="A2717" s="1">
        <v>44043</v>
      </c>
      <c r="B2717" t="s">
        <v>6</v>
      </c>
      <c r="C2717" t="s">
        <v>10</v>
      </c>
      <c r="D2717" s="2">
        <v>1485914.55210478</v>
      </c>
      <c r="E2717" s="2">
        <v>834.82230356000002</v>
      </c>
      <c r="F2717" s="2">
        <v>1486749.3744083401</v>
      </c>
    </row>
    <row r="2718" spans="1:6" x14ac:dyDescent="0.3">
      <c r="A2718" s="1">
        <v>44043</v>
      </c>
      <c r="B2718" t="s">
        <v>6</v>
      </c>
      <c r="C2718" t="s">
        <v>11</v>
      </c>
      <c r="D2718" s="2">
        <v>434321.59639999998</v>
      </c>
      <c r="E2718" s="2">
        <v>2.0099999999999998</v>
      </c>
      <c r="F2718" s="2">
        <v>434323.60639999999</v>
      </c>
    </row>
    <row r="2719" spans="1:6" x14ac:dyDescent="0.3">
      <c r="A2719" s="1">
        <v>44043</v>
      </c>
      <c r="B2719" t="s">
        <v>15</v>
      </c>
      <c r="C2719" t="s">
        <v>17</v>
      </c>
      <c r="D2719" s="2">
        <v>91850.681916939997</v>
      </c>
      <c r="E2719" s="2">
        <v>0</v>
      </c>
      <c r="F2719" s="2">
        <v>91850.681916939997</v>
      </c>
    </row>
    <row r="2720" spans="1:6" x14ac:dyDescent="0.3">
      <c r="A2720" s="1">
        <v>44043</v>
      </c>
      <c r="B2720" t="s">
        <v>15</v>
      </c>
      <c r="C2720" t="s">
        <v>18</v>
      </c>
      <c r="D2720" s="2">
        <v>149447.76134758</v>
      </c>
      <c r="E2720" s="2">
        <v>0</v>
      </c>
      <c r="F2720" s="2">
        <v>149447.76134758</v>
      </c>
    </row>
    <row r="2721" spans="1:6" x14ac:dyDescent="0.3">
      <c r="A2721" s="1">
        <v>44043</v>
      </c>
      <c r="B2721" t="s">
        <v>15</v>
      </c>
      <c r="C2721" t="s">
        <v>19</v>
      </c>
      <c r="D2721" s="2">
        <v>288268.485270479</v>
      </c>
      <c r="E2721" s="2">
        <v>5868780.8831010796</v>
      </c>
      <c r="F2721" s="2">
        <v>6157049.36837155</v>
      </c>
    </row>
    <row r="2722" spans="1:6" x14ac:dyDescent="0.3">
      <c r="A2722" s="1">
        <v>44043</v>
      </c>
      <c r="B2722" t="s">
        <v>15</v>
      </c>
      <c r="C2722" t="s">
        <v>20</v>
      </c>
      <c r="D2722" s="2">
        <v>2389.3128572000001</v>
      </c>
      <c r="E2722" s="2">
        <v>0</v>
      </c>
      <c r="F2722" s="2">
        <v>2389.3128572000001</v>
      </c>
    </row>
    <row r="2723" spans="1:6" x14ac:dyDescent="0.3">
      <c r="A2723" s="1">
        <v>44043</v>
      </c>
      <c r="B2723" t="s">
        <v>6</v>
      </c>
      <c r="C2723" t="s">
        <v>12</v>
      </c>
      <c r="D2723" s="2">
        <v>0</v>
      </c>
      <c r="E2723" s="2">
        <v>7261.857</v>
      </c>
      <c r="F2723" s="2">
        <v>7261.857</v>
      </c>
    </row>
    <row r="2724" spans="1:6" x14ac:dyDescent="0.3">
      <c r="A2724" s="1">
        <v>44043</v>
      </c>
      <c r="B2724" t="s">
        <v>21</v>
      </c>
      <c r="C2724" t="s">
        <v>14</v>
      </c>
      <c r="D2724" s="2">
        <v>648308.08674606902</v>
      </c>
      <c r="E2724" s="2">
        <v>5868780.8831010796</v>
      </c>
      <c r="F2724" s="2">
        <v>6517089.9698471399</v>
      </c>
    </row>
    <row r="2725" spans="1:6" x14ac:dyDescent="0.3">
      <c r="A2725" s="1">
        <v>44074</v>
      </c>
      <c r="B2725" t="s">
        <v>6</v>
      </c>
      <c r="C2725" t="s">
        <v>7</v>
      </c>
      <c r="D2725" s="2">
        <v>5075874.7224000003</v>
      </c>
      <c r="E2725" s="2">
        <v>846.721</v>
      </c>
      <c r="F2725" s="2">
        <v>5076721.4434000002</v>
      </c>
    </row>
    <row r="2726" spans="1:6" x14ac:dyDescent="0.3">
      <c r="A2726" s="1">
        <v>44074</v>
      </c>
      <c r="B2726" t="s">
        <v>6</v>
      </c>
      <c r="C2726" t="s">
        <v>8</v>
      </c>
      <c r="D2726" s="2">
        <v>10516332.294399999</v>
      </c>
      <c r="E2726" s="2">
        <v>7699.5682999999999</v>
      </c>
      <c r="F2726" s="2">
        <v>10524031.8627</v>
      </c>
    </row>
    <row r="2727" spans="1:6" x14ac:dyDescent="0.3">
      <c r="A2727" s="1">
        <v>44074</v>
      </c>
      <c r="B2727" t="s">
        <v>6</v>
      </c>
      <c r="C2727" t="s">
        <v>9</v>
      </c>
      <c r="D2727" s="2">
        <v>2619323.3375499998</v>
      </c>
      <c r="E2727" s="2">
        <v>5212.0582000000004</v>
      </c>
      <c r="F2727" s="2">
        <v>2624535.3957500001</v>
      </c>
    </row>
    <row r="2728" spans="1:6" x14ac:dyDescent="0.3">
      <c r="A2728" s="1">
        <v>44074</v>
      </c>
      <c r="B2728" t="s">
        <v>6</v>
      </c>
      <c r="C2728" t="s">
        <v>10</v>
      </c>
      <c r="D2728" s="2">
        <v>1501097.1926240199</v>
      </c>
      <c r="E2728" s="2">
        <v>774.78708054000003</v>
      </c>
      <c r="F2728" s="2">
        <v>1501871.97970456</v>
      </c>
    </row>
    <row r="2729" spans="1:6" x14ac:dyDescent="0.3">
      <c r="A2729" s="1">
        <v>44074</v>
      </c>
      <c r="B2729" t="s">
        <v>6</v>
      </c>
      <c r="C2729" t="s">
        <v>11</v>
      </c>
      <c r="D2729" s="2">
        <v>456321.8222</v>
      </c>
      <c r="E2729" s="2">
        <v>2.0099999999999998</v>
      </c>
      <c r="F2729" s="2">
        <v>456323.8322</v>
      </c>
    </row>
    <row r="2730" spans="1:6" x14ac:dyDescent="0.3">
      <c r="A2730" s="1">
        <v>44074</v>
      </c>
      <c r="B2730" t="s">
        <v>6</v>
      </c>
      <c r="C2730" t="s">
        <v>12</v>
      </c>
      <c r="D2730" s="2">
        <v>0</v>
      </c>
      <c r="E2730" s="2">
        <v>7261.857</v>
      </c>
      <c r="F2730" s="2">
        <v>7261.857</v>
      </c>
    </row>
    <row r="2731" spans="1:6" x14ac:dyDescent="0.3">
      <c r="A2731" s="1">
        <v>44074</v>
      </c>
      <c r="B2731" t="s">
        <v>13</v>
      </c>
      <c r="C2731" t="s">
        <v>14</v>
      </c>
      <c r="D2731" s="2">
        <v>20168949.369174</v>
      </c>
      <c r="E2731" s="2">
        <v>21797.00158054</v>
      </c>
      <c r="F2731" s="2">
        <v>20190746.370754499</v>
      </c>
    </row>
    <row r="2732" spans="1:6" x14ac:dyDescent="0.3">
      <c r="A2732" s="1">
        <v>44074</v>
      </c>
      <c r="B2732" t="s">
        <v>15</v>
      </c>
      <c r="C2732" t="s">
        <v>16</v>
      </c>
      <c r="D2732" s="2">
        <v>116094.18720599001</v>
      </c>
      <c r="E2732" s="2">
        <v>0</v>
      </c>
      <c r="F2732" s="2">
        <v>116094.18720599001</v>
      </c>
    </row>
    <row r="2733" spans="1:6" x14ac:dyDescent="0.3">
      <c r="A2733" s="1">
        <v>44074</v>
      </c>
      <c r="B2733" t="s">
        <v>15</v>
      </c>
      <c r="C2733" t="s">
        <v>18</v>
      </c>
      <c r="D2733" s="2">
        <v>149076.92017498001</v>
      </c>
      <c r="E2733" s="2">
        <v>0</v>
      </c>
      <c r="F2733" s="2">
        <v>149076.92017498001</v>
      </c>
    </row>
    <row r="2734" spans="1:6" x14ac:dyDescent="0.3">
      <c r="A2734" s="1">
        <v>44074</v>
      </c>
      <c r="B2734" t="s">
        <v>15</v>
      </c>
      <c r="C2734" t="s">
        <v>23</v>
      </c>
      <c r="D2734" s="2">
        <v>264.34199999999998</v>
      </c>
      <c r="E2734" s="2">
        <v>0</v>
      </c>
      <c r="F2734" s="2">
        <v>264.34199999999998</v>
      </c>
    </row>
    <row r="2735" spans="1:6" x14ac:dyDescent="0.3">
      <c r="A2735" s="1">
        <v>44074</v>
      </c>
      <c r="B2735" t="s">
        <v>15</v>
      </c>
      <c r="C2735" t="s">
        <v>17</v>
      </c>
      <c r="D2735" s="2">
        <v>95900.756129300004</v>
      </c>
      <c r="E2735" s="2">
        <v>0</v>
      </c>
      <c r="F2735" s="2">
        <v>95900.756129300004</v>
      </c>
    </row>
    <row r="2736" spans="1:6" x14ac:dyDescent="0.3">
      <c r="A2736" s="1">
        <v>44074</v>
      </c>
      <c r="B2736" t="s">
        <v>15</v>
      </c>
      <c r="C2736" t="s">
        <v>19</v>
      </c>
      <c r="D2736" s="2">
        <v>289278.95585030998</v>
      </c>
      <c r="E2736" s="2">
        <v>5885000.4550218396</v>
      </c>
      <c r="F2736" s="2">
        <v>6174279.4108721502</v>
      </c>
    </row>
    <row r="2737" spans="1:6" x14ac:dyDescent="0.3">
      <c r="A2737" s="1">
        <v>44074</v>
      </c>
      <c r="B2737" t="s">
        <v>15</v>
      </c>
      <c r="C2737" t="s">
        <v>20</v>
      </c>
      <c r="D2737" s="2">
        <v>2473.8593687900002</v>
      </c>
      <c r="E2737" s="2">
        <v>0</v>
      </c>
      <c r="F2737" s="2">
        <v>2473.8593687900002</v>
      </c>
    </row>
    <row r="2738" spans="1:6" x14ac:dyDescent="0.3">
      <c r="A2738" s="1">
        <v>44074</v>
      </c>
      <c r="B2738" t="s">
        <v>21</v>
      </c>
      <c r="C2738" t="s">
        <v>14</v>
      </c>
      <c r="D2738" s="2">
        <v>653089.02072936995</v>
      </c>
      <c r="E2738" s="2">
        <v>5885000.4550218396</v>
      </c>
      <c r="F2738" s="2">
        <v>6538089.47575121</v>
      </c>
    </row>
    <row r="2739" spans="1:6" x14ac:dyDescent="0.3">
      <c r="A2739" s="1">
        <v>44074</v>
      </c>
      <c r="B2739" t="s">
        <v>22</v>
      </c>
      <c r="C2739" t="s">
        <v>14</v>
      </c>
      <c r="D2739" s="2">
        <v>20822038.3899034</v>
      </c>
      <c r="E2739" s="2">
        <v>5906797.4566023797</v>
      </c>
      <c r="F2739" s="2">
        <v>26728835.846505798</v>
      </c>
    </row>
    <row r="2740" spans="1:6" x14ac:dyDescent="0.3">
      <c r="A2740" s="1">
        <v>44104</v>
      </c>
      <c r="B2740" t="s">
        <v>6</v>
      </c>
      <c r="C2740" t="s">
        <v>7</v>
      </c>
      <c r="D2740" s="2">
        <v>5028126.6458000001</v>
      </c>
      <c r="E2740" s="2">
        <v>781.005</v>
      </c>
      <c r="F2740" s="2">
        <v>5028907.6507999999</v>
      </c>
    </row>
    <row r="2741" spans="1:6" x14ac:dyDescent="0.3">
      <c r="A2741" s="1">
        <v>44104</v>
      </c>
      <c r="B2741" t="s">
        <v>6</v>
      </c>
      <c r="C2741" t="s">
        <v>8</v>
      </c>
      <c r="D2741" s="2">
        <v>10655969.4827</v>
      </c>
      <c r="E2741" s="2">
        <v>7794.1733999999997</v>
      </c>
      <c r="F2741" s="2">
        <v>10663763.656099999</v>
      </c>
    </row>
    <row r="2742" spans="1:6" x14ac:dyDescent="0.3">
      <c r="A2742" s="1">
        <v>44104</v>
      </c>
      <c r="B2742" t="s">
        <v>6</v>
      </c>
      <c r="C2742" t="s">
        <v>9</v>
      </c>
      <c r="D2742" s="2">
        <v>2668116.1195499999</v>
      </c>
      <c r="E2742" s="2">
        <v>5376.6728999999996</v>
      </c>
      <c r="F2742" s="2">
        <v>2673492.7924500001</v>
      </c>
    </row>
    <row r="2743" spans="1:6" x14ac:dyDescent="0.3">
      <c r="A2743" s="1">
        <v>44104</v>
      </c>
      <c r="B2743" t="s">
        <v>6</v>
      </c>
      <c r="C2743" t="s">
        <v>10</v>
      </c>
      <c r="D2743" s="2">
        <v>1522417.76742605</v>
      </c>
      <c r="E2743" s="2">
        <v>772.82374204999996</v>
      </c>
      <c r="F2743" s="2">
        <v>1523190.5911681</v>
      </c>
    </row>
    <row r="2744" spans="1:6" x14ac:dyDescent="0.3">
      <c r="A2744" s="1">
        <v>44104</v>
      </c>
      <c r="B2744" t="s">
        <v>6</v>
      </c>
      <c r="C2744" t="s">
        <v>11</v>
      </c>
      <c r="D2744" s="2">
        <v>478319.77409999998</v>
      </c>
      <c r="E2744" s="2">
        <v>4.125</v>
      </c>
      <c r="F2744" s="2">
        <v>478323.89909999998</v>
      </c>
    </row>
    <row r="2745" spans="1:6" x14ac:dyDescent="0.3">
      <c r="A2745" s="1">
        <v>44104</v>
      </c>
      <c r="B2745" t="s">
        <v>6</v>
      </c>
      <c r="C2745" t="s">
        <v>12</v>
      </c>
      <c r="D2745" s="2">
        <v>0</v>
      </c>
      <c r="E2745" s="2">
        <v>7261.857</v>
      </c>
      <c r="F2745" s="2">
        <v>7261.857</v>
      </c>
    </row>
    <row r="2746" spans="1:6" x14ac:dyDescent="0.3">
      <c r="A2746" s="1">
        <v>44104</v>
      </c>
      <c r="B2746" t="s">
        <v>13</v>
      </c>
      <c r="C2746" t="s">
        <v>14</v>
      </c>
      <c r="D2746" s="2">
        <v>20352949.789576001</v>
      </c>
      <c r="E2746" s="2">
        <v>21990.657042049999</v>
      </c>
      <c r="F2746" s="2">
        <v>20374940.446618099</v>
      </c>
    </row>
    <row r="2747" spans="1:6" x14ac:dyDescent="0.3">
      <c r="A2747" s="1">
        <v>44104</v>
      </c>
      <c r="B2747" t="s">
        <v>15</v>
      </c>
      <c r="C2747" t="s">
        <v>16</v>
      </c>
      <c r="D2747" s="2">
        <v>116099.84528249</v>
      </c>
      <c r="E2747" s="2">
        <v>0</v>
      </c>
      <c r="F2747" s="2">
        <v>116099.84528249</v>
      </c>
    </row>
    <row r="2748" spans="1:6" x14ac:dyDescent="0.3">
      <c r="A2748" s="1">
        <v>44104</v>
      </c>
      <c r="B2748" t="s">
        <v>15</v>
      </c>
      <c r="C2748" t="s">
        <v>23</v>
      </c>
      <c r="D2748" s="2">
        <v>264.34199999999998</v>
      </c>
      <c r="E2748" s="2">
        <v>0</v>
      </c>
      <c r="F2748" s="2">
        <v>264.34199999999998</v>
      </c>
    </row>
    <row r="2749" spans="1:6" x14ac:dyDescent="0.3">
      <c r="A2749" s="1">
        <v>44104</v>
      </c>
      <c r="B2749" t="s">
        <v>15</v>
      </c>
      <c r="C2749" t="s">
        <v>17</v>
      </c>
      <c r="D2749" s="2">
        <v>106606.72692520999</v>
      </c>
      <c r="E2749" s="2">
        <v>0</v>
      </c>
      <c r="F2749" s="2">
        <v>106606.72692520999</v>
      </c>
    </row>
    <row r="2750" spans="1:6" x14ac:dyDescent="0.3">
      <c r="A2750" s="1">
        <v>44104</v>
      </c>
      <c r="B2750" t="s">
        <v>15</v>
      </c>
      <c r="C2750" t="s">
        <v>18</v>
      </c>
      <c r="D2750" s="2">
        <v>148677.45796289001</v>
      </c>
      <c r="E2750" s="2">
        <v>0</v>
      </c>
      <c r="F2750" s="2">
        <v>148677.45796289001</v>
      </c>
    </row>
    <row r="2751" spans="1:6" x14ac:dyDescent="0.3">
      <c r="A2751" s="1">
        <v>44104</v>
      </c>
      <c r="B2751" t="s">
        <v>15</v>
      </c>
      <c r="C2751" t="s">
        <v>19</v>
      </c>
      <c r="D2751" s="2">
        <v>291831.36602764</v>
      </c>
      <c r="E2751" s="2">
        <v>5904448.45718747</v>
      </c>
      <c r="F2751" s="2">
        <v>6196279.8232151102</v>
      </c>
    </row>
    <row r="2752" spans="1:6" x14ac:dyDescent="0.3">
      <c r="A2752" s="1">
        <v>44104</v>
      </c>
      <c r="B2752" t="s">
        <v>15</v>
      </c>
      <c r="C2752" t="s">
        <v>20</v>
      </c>
      <c r="D2752" s="2">
        <v>2522.5395075800002</v>
      </c>
      <c r="E2752" s="2">
        <v>0</v>
      </c>
      <c r="F2752" s="2">
        <v>2522.5395075800002</v>
      </c>
    </row>
    <row r="2753" spans="1:6" x14ac:dyDescent="0.3">
      <c r="A2753" s="1">
        <v>44104</v>
      </c>
      <c r="B2753" t="s">
        <v>21</v>
      </c>
      <c r="C2753" t="s">
        <v>14</v>
      </c>
      <c r="D2753" s="2">
        <v>666002.27770581003</v>
      </c>
      <c r="E2753" s="2">
        <v>5904448.45718747</v>
      </c>
      <c r="F2753" s="2">
        <v>6570450.7348932801</v>
      </c>
    </row>
    <row r="2754" spans="1:6" x14ac:dyDescent="0.3">
      <c r="A2754" s="1">
        <v>44104</v>
      </c>
      <c r="B2754" t="s">
        <v>22</v>
      </c>
      <c r="C2754" t="s">
        <v>14</v>
      </c>
      <c r="D2754" s="2">
        <v>21018952.067281801</v>
      </c>
      <c r="E2754" s="2">
        <v>5926439.1142295199</v>
      </c>
      <c r="F2754" s="2">
        <v>26945391.181511398</v>
      </c>
    </row>
    <row r="2755" spans="1:6" x14ac:dyDescent="0.3">
      <c r="A2755" s="1">
        <v>44135</v>
      </c>
      <c r="B2755" t="s">
        <v>6</v>
      </c>
      <c r="C2755" t="s">
        <v>7</v>
      </c>
      <c r="D2755" s="2">
        <v>4984441.0921999998</v>
      </c>
      <c r="E2755" s="2">
        <v>898.43499999999995</v>
      </c>
      <c r="F2755" s="2">
        <v>4985339.5272000004</v>
      </c>
    </row>
    <row r="2756" spans="1:6" x14ac:dyDescent="0.3">
      <c r="A2756" s="1">
        <v>44135</v>
      </c>
      <c r="B2756" t="s">
        <v>6</v>
      </c>
      <c r="C2756" t="s">
        <v>8</v>
      </c>
      <c r="D2756" s="2">
        <v>10721510.7534</v>
      </c>
      <c r="E2756" s="2">
        <v>7690.8788000000004</v>
      </c>
      <c r="F2756" s="2">
        <v>10729201.632200001</v>
      </c>
    </row>
    <row r="2757" spans="1:6" x14ac:dyDescent="0.3">
      <c r="A2757" s="1">
        <v>44135</v>
      </c>
      <c r="B2757" t="s">
        <v>6</v>
      </c>
      <c r="C2757" t="s">
        <v>9</v>
      </c>
      <c r="D2757" s="2">
        <v>2691618.3352000001</v>
      </c>
      <c r="E2757" s="2">
        <v>5517.8298000000004</v>
      </c>
      <c r="F2757" s="2">
        <v>2697136.165</v>
      </c>
    </row>
    <row r="2758" spans="1:6" x14ac:dyDescent="0.3">
      <c r="A2758" s="1">
        <v>44135</v>
      </c>
      <c r="B2758" t="s">
        <v>6</v>
      </c>
      <c r="C2758" t="s">
        <v>10</v>
      </c>
      <c r="D2758" s="2">
        <v>1544238.72563358</v>
      </c>
      <c r="E2758" s="2">
        <v>725.15201844000001</v>
      </c>
      <c r="F2758" s="2">
        <v>1544963.87765202</v>
      </c>
    </row>
    <row r="2759" spans="1:6" x14ac:dyDescent="0.3">
      <c r="A2759" s="1">
        <v>44135</v>
      </c>
      <c r="B2759" t="s">
        <v>6</v>
      </c>
      <c r="C2759" t="s">
        <v>11</v>
      </c>
      <c r="D2759" s="2">
        <v>478315.39909999998</v>
      </c>
      <c r="E2759" s="2">
        <v>8.5</v>
      </c>
      <c r="F2759" s="2">
        <v>478323.89909999998</v>
      </c>
    </row>
    <row r="2760" spans="1:6" x14ac:dyDescent="0.3">
      <c r="A2760" s="1">
        <v>44135</v>
      </c>
      <c r="B2760" t="s">
        <v>6</v>
      </c>
      <c r="C2760" t="s">
        <v>12</v>
      </c>
      <c r="D2760" s="2">
        <v>0</v>
      </c>
      <c r="E2760" s="2">
        <v>7261.857</v>
      </c>
      <c r="F2760" s="2">
        <v>7261.857</v>
      </c>
    </row>
    <row r="2761" spans="1:6" x14ac:dyDescent="0.3">
      <c r="A2761" s="1">
        <v>44135</v>
      </c>
      <c r="B2761" t="s">
        <v>13</v>
      </c>
      <c r="C2761" t="s">
        <v>14</v>
      </c>
      <c r="D2761" s="2">
        <v>20420124.305533599</v>
      </c>
      <c r="E2761" s="2">
        <v>22102.652618439999</v>
      </c>
      <c r="F2761" s="2">
        <v>20442226.958152</v>
      </c>
    </row>
    <row r="2762" spans="1:6" x14ac:dyDescent="0.3">
      <c r="A2762" s="1">
        <v>44135</v>
      </c>
      <c r="B2762" t="s">
        <v>15</v>
      </c>
      <c r="C2762" t="s">
        <v>16</v>
      </c>
      <c r="D2762" s="2">
        <v>111102.3867491</v>
      </c>
      <c r="E2762" s="2">
        <v>0</v>
      </c>
      <c r="F2762" s="2">
        <v>111102.3867491</v>
      </c>
    </row>
    <row r="2763" spans="1:6" x14ac:dyDescent="0.3">
      <c r="A2763" s="1">
        <v>44135</v>
      </c>
      <c r="B2763" t="s">
        <v>15</v>
      </c>
      <c r="C2763" t="s">
        <v>23</v>
      </c>
      <c r="D2763" s="2">
        <v>264.34199999999998</v>
      </c>
      <c r="E2763" s="2">
        <v>0</v>
      </c>
      <c r="F2763" s="2">
        <v>264.34199999999998</v>
      </c>
    </row>
    <row r="2764" spans="1:6" x14ac:dyDescent="0.3">
      <c r="A2764" s="1">
        <v>44135</v>
      </c>
      <c r="B2764" t="s">
        <v>15</v>
      </c>
      <c r="C2764" t="s">
        <v>17</v>
      </c>
      <c r="D2764" s="2">
        <v>116843.64480828001</v>
      </c>
      <c r="E2764" s="2">
        <v>0</v>
      </c>
      <c r="F2764" s="2">
        <v>116843.64480828001</v>
      </c>
    </row>
    <row r="2765" spans="1:6" x14ac:dyDescent="0.3">
      <c r="A2765" s="1">
        <v>44135</v>
      </c>
      <c r="B2765" t="s">
        <v>15</v>
      </c>
      <c r="C2765" t="s">
        <v>18</v>
      </c>
      <c r="D2765" s="2">
        <v>148286.12095864999</v>
      </c>
      <c r="E2765" s="2">
        <v>0</v>
      </c>
      <c r="F2765" s="2">
        <v>148286.12095864999</v>
      </c>
    </row>
    <row r="2766" spans="1:6" x14ac:dyDescent="0.3">
      <c r="A2766" s="1">
        <v>44135</v>
      </c>
      <c r="B2766" t="s">
        <v>15</v>
      </c>
      <c r="C2766" t="s">
        <v>19</v>
      </c>
      <c r="D2766" s="2">
        <v>297681.72252674901</v>
      </c>
      <c r="E2766" s="2">
        <v>6016399.56336476</v>
      </c>
      <c r="F2766" s="2">
        <v>6314081.2858915096</v>
      </c>
    </row>
    <row r="2767" spans="1:6" x14ac:dyDescent="0.3">
      <c r="A2767" s="1">
        <v>44135</v>
      </c>
      <c r="B2767" t="s">
        <v>15</v>
      </c>
      <c r="C2767" t="s">
        <v>20</v>
      </c>
      <c r="D2767" s="2">
        <v>2672.09529238</v>
      </c>
      <c r="E2767" s="2">
        <v>0</v>
      </c>
      <c r="F2767" s="2">
        <v>2672.09529238</v>
      </c>
    </row>
    <row r="2768" spans="1:6" x14ac:dyDescent="0.3">
      <c r="A2768" s="1">
        <v>44135</v>
      </c>
      <c r="B2768" t="s">
        <v>21</v>
      </c>
      <c r="C2768" t="s">
        <v>14</v>
      </c>
      <c r="D2768" s="2">
        <v>676850.31233515905</v>
      </c>
      <c r="E2768" s="2">
        <v>6016399.56336476</v>
      </c>
      <c r="F2768" s="2">
        <v>6693249.7006999198</v>
      </c>
    </row>
    <row r="2769" spans="1:6" x14ac:dyDescent="0.3">
      <c r="A2769" s="1">
        <v>44135</v>
      </c>
      <c r="B2769" t="s">
        <v>22</v>
      </c>
      <c r="C2769" t="s">
        <v>14</v>
      </c>
      <c r="D2769" s="2">
        <v>21096974.617868699</v>
      </c>
      <c r="E2769" s="2">
        <v>6038502.2159831999</v>
      </c>
      <c r="F2769" s="2">
        <v>27135476.658851899</v>
      </c>
    </row>
    <row r="2770" spans="1:6" x14ac:dyDescent="0.3">
      <c r="A2770" s="1">
        <v>44165</v>
      </c>
      <c r="B2770" t="s">
        <v>6</v>
      </c>
      <c r="C2770" t="s">
        <v>7</v>
      </c>
      <c r="D2770" s="2">
        <v>4942664.0774999997</v>
      </c>
      <c r="E2770" s="2">
        <v>999.43</v>
      </c>
      <c r="F2770" s="2">
        <v>4943663.5075000003</v>
      </c>
    </row>
    <row r="2771" spans="1:6" x14ac:dyDescent="0.3">
      <c r="A2771" s="1">
        <v>44165</v>
      </c>
      <c r="B2771" t="s">
        <v>6</v>
      </c>
      <c r="C2771" t="s">
        <v>8</v>
      </c>
      <c r="D2771" s="2">
        <v>10911912.1931</v>
      </c>
      <c r="E2771" s="2">
        <v>7223.6821</v>
      </c>
      <c r="F2771" s="2">
        <v>10919135.8752</v>
      </c>
    </row>
    <row r="2772" spans="1:6" x14ac:dyDescent="0.3">
      <c r="A2772" s="1">
        <v>44165</v>
      </c>
      <c r="B2772" t="s">
        <v>6</v>
      </c>
      <c r="C2772" t="s">
        <v>9</v>
      </c>
      <c r="D2772" s="2">
        <v>2781069.1916</v>
      </c>
      <c r="E2772" s="2">
        <v>5550.0977999999996</v>
      </c>
      <c r="F2772" s="2">
        <v>2786619.2894000001</v>
      </c>
    </row>
    <row r="2773" spans="1:6" x14ac:dyDescent="0.3">
      <c r="A2773" s="1">
        <v>44165</v>
      </c>
      <c r="B2773" t="s">
        <v>6</v>
      </c>
      <c r="C2773" t="s">
        <v>10</v>
      </c>
      <c r="D2773" s="2">
        <v>1560512.14202544</v>
      </c>
      <c r="E2773" s="2">
        <v>714.74353180000003</v>
      </c>
      <c r="F2773" s="2">
        <v>1561226.8855572401</v>
      </c>
    </row>
    <row r="2774" spans="1:6" x14ac:dyDescent="0.3">
      <c r="A2774" s="1">
        <v>44165</v>
      </c>
      <c r="B2774" t="s">
        <v>6</v>
      </c>
      <c r="C2774" t="s">
        <v>11</v>
      </c>
      <c r="D2774" s="2">
        <v>474499.77360000001</v>
      </c>
      <c r="E2774" s="2">
        <v>2.4900000000000002</v>
      </c>
      <c r="F2774" s="2">
        <v>474502.26360000001</v>
      </c>
    </row>
    <row r="2775" spans="1:6" x14ac:dyDescent="0.3">
      <c r="A2775" s="1">
        <v>44165</v>
      </c>
      <c r="B2775" t="s">
        <v>6</v>
      </c>
      <c r="C2775" t="s">
        <v>12</v>
      </c>
      <c r="D2775" s="2">
        <v>0</v>
      </c>
      <c r="E2775" s="2">
        <v>7261.857</v>
      </c>
      <c r="F2775" s="2">
        <v>7261.857</v>
      </c>
    </row>
    <row r="2776" spans="1:6" x14ac:dyDescent="0.3">
      <c r="A2776" s="1">
        <v>44165</v>
      </c>
      <c r="B2776" t="s">
        <v>13</v>
      </c>
      <c r="C2776" t="s">
        <v>14</v>
      </c>
      <c r="D2776" s="2">
        <v>20670657.377825402</v>
      </c>
      <c r="E2776" s="2">
        <v>21752.300431799998</v>
      </c>
      <c r="F2776" s="2">
        <v>20692409.678257201</v>
      </c>
    </row>
    <row r="2777" spans="1:6" x14ac:dyDescent="0.3">
      <c r="A2777" s="1">
        <v>44165</v>
      </c>
      <c r="B2777" t="s">
        <v>15</v>
      </c>
      <c r="C2777" t="s">
        <v>16</v>
      </c>
      <c r="D2777" s="2">
        <v>111107.54735425</v>
      </c>
      <c r="E2777" s="2">
        <v>0</v>
      </c>
      <c r="F2777" s="2">
        <v>111107.54735425</v>
      </c>
    </row>
    <row r="2778" spans="1:6" x14ac:dyDescent="0.3">
      <c r="A2778" s="1">
        <v>44165</v>
      </c>
      <c r="B2778" t="s">
        <v>15</v>
      </c>
      <c r="C2778" t="s">
        <v>23</v>
      </c>
      <c r="D2778" s="2">
        <v>264.34199999999998</v>
      </c>
      <c r="E2778" s="2">
        <v>0</v>
      </c>
      <c r="F2778" s="2">
        <v>264.34199999999998</v>
      </c>
    </row>
    <row r="2779" spans="1:6" x14ac:dyDescent="0.3">
      <c r="A2779" s="1">
        <v>44165</v>
      </c>
      <c r="B2779" t="s">
        <v>15</v>
      </c>
      <c r="C2779" t="s">
        <v>17</v>
      </c>
      <c r="D2779" s="2">
        <v>116268.8126113</v>
      </c>
      <c r="E2779" s="2">
        <v>0</v>
      </c>
      <c r="F2779" s="2">
        <v>116268.8126113</v>
      </c>
    </row>
    <row r="2780" spans="1:6" x14ac:dyDescent="0.3">
      <c r="A2780" s="1">
        <v>44165</v>
      </c>
      <c r="B2780" t="s">
        <v>15</v>
      </c>
      <c r="C2780" t="s">
        <v>18</v>
      </c>
      <c r="D2780" s="2">
        <v>147882.00071697001</v>
      </c>
      <c r="E2780" s="2">
        <v>0</v>
      </c>
      <c r="F2780" s="2">
        <v>147882.00071697001</v>
      </c>
    </row>
    <row r="2781" spans="1:6" x14ac:dyDescent="0.3">
      <c r="A2781" s="1">
        <v>44165</v>
      </c>
      <c r="B2781" t="s">
        <v>15</v>
      </c>
      <c r="C2781" t="s">
        <v>19</v>
      </c>
      <c r="D2781" s="2">
        <v>300591.13054299902</v>
      </c>
      <c r="E2781" s="2">
        <v>6075064.3699761098</v>
      </c>
      <c r="F2781" s="2">
        <v>6375654.5005191099</v>
      </c>
    </row>
    <row r="2782" spans="1:6" x14ac:dyDescent="0.3">
      <c r="A2782" s="1">
        <v>44165</v>
      </c>
      <c r="B2782" t="s">
        <v>15</v>
      </c>
      <c r="C2782" t="s">
        <v>20</v>
      </c>
      <c r="D2782" s="2">
        <v>2700.3530029899998</v>
      </c>
      <c r="E2782" s="2">
        <v>0</v>
      </c>
      <c r="F2782" s="2">
        <v>2700.3530029899998</v>
      </c>
    </row>
    <row r="2783" spans="1:6" x14ac:dyDescent="0.3">
      <c r="A2783" s="1">
        <v>44165</v>
      </c>
      <c r="B2783" t="s">
        <v>21</v>
      </c>
      <c r="C2783" t="s">
        <v>14</v>
      </c>
      <c r="D2783" s="2">
        <v>678814.18622850894</v>
      </c>
      <c r="E2783" s="2">
        <v>6075064.3699761098</v>
      </c>
      <c r="F2783" s="2">
        <v>6753878.5562046198</v>
      </c>
    </row>
    <row r="2784" spans="1:6" x14ac:dyDescent="0.3">
      <c r="A2784" s="1">
        <v>44165</v>
      </c>
      <c r="B2784" t="s">
        <v>22</v>
      </c>
      <c r="C2784" t="s">
        <v>14</v>
      </c>
      <c r="D2784" s="2">
        <v>21349471.564053901</v>
      </c>
      <c r="E2784" s="2">
        <v>6096816.6704079099</v>
      </c>
      <c r="F2784" s="2">
        <v>27446288.234461799</v>
      </c>
    </row>
    <row r="2785" spans="1:6" x14ac:dyDescent="0.3">
      <c r="A2785" s="1">
        <v>44196</v>
      </c>
      <c r="B2785" t="s">
        <v>6</v>
      </c>
      <c r="C2785" t="s">
        <v>10</v>
      </c>
      <c r="D2785" s="2">
        <v>1578599.11252046</v>
      </c>
      <c r="E2785" s="2">
        <v>670.98997554000005</v>
      </c>
      <c r="F2785" s="2">
        <v>1579270.102496</v>
      </c>
    </row>
    <row r="2786" spans="1:6" x14ac:dyDescent="0.3">
      <c r="A2786" s="1">
        <v>44196</v>
      </c>
      <c r="B2786" t="s">
        <v>6</v>
      </c>
      <c r="C2786" t="s">
        <v>11</v>
      </c>
      <c r="D2786" s="2">
        <v>498498.66340000002</v>
      </c>
      <c r="E2786" s="2">
        <v>3.7050000000000001</v>
      </c>
      <c r="F2786" s="2">
        <v>498502.36839999998</v>
      </c>
    </row>
    <row r="2787" spans="1:6" x14ac:dyDescent="0.3">
      <c r="A2787" s="1">
        <v>44196</v>
      </c>
      <c r="B2787" t="s">
        <v>6</v>
      </c>
      <c r="C2787" t="s">
        <v>12</v>
      </c>
      <c r="D2787" s="2">
        <v>0</v>
      </c>
      <c r="E2787" s="2">
        <v>7261.857</v>
      </c>
      <c r="F2787" s="2">
        <v>7261.857</v>
      </c>
    </row>
    <row r="2788" spans="1:6" x14ac:dyDescent="0.3">
      <c r="A2788" s="1">
        <v>44196</v>
      </c>
      <c r="B2788" t="s">
        <v>6</v>
      </c>
      <c r="C2788" t="s">
        <v>7</v>
      </c>
      <c r="D2788" s="2">
        <v>4963056.1085000001</v>
      </c>
      <c r="E2788" s="2">
        <v>1083.7460000000001</v>
      </c>
      <c r="F2788" s="2">
        <v>4964139.8545000004</v>
      </c>
    </row>
    <row r="2789" spans="1:6" x14ac:dyDescent="0.3">
      <c r="A2789" s="1">
        <v>44196</v>
      </c>
      <c r="B2789" t="s">
        <v>6</v>
      </c>
      <c r="C2789" t="s">
        <v>8</v>
      </c>
      <c r="D2789" s="2">
        <v>11084743.840700001</v>
      </c>
      <c r="E2789" s="2">
        <v>7180.3536000000004</v>
      </c>
      <c r="F2789" s="2">
        <v>11091924.1943</v>
      </c>
    </row>
    <row r="2790" spans="1:6" x14ac:dyDescent="0.3">
      <c r="A2790" s="1">
        <v>44196</v>
      </c>
      <c r="B2790" t="s">
        <v>6</v>
      </c>
      <c r="C2790" t="s">
        <v>9</v>
      </c>
      <c r="D2790" s="2">
        <v>2833624.8017000002</v>
      </c>
      <c r="E2790" s="2">
        <v>5668.1018000000004</v>
      </c>
      <c r="F2790" s="2">
        <v>2839292.9035</v>
      </c>
    </row>
    <row r="2791" spans="1:6" x14ac:dyDescent="0.3">
      <c r="A2791" s="1">
        <v>44196</v>
      </c>
      <c r="B2791" t="s">
        <v>13</v>
      </c>
      <c r="C2791" t="s">
        <v>14</v>
      </c>
      <c r="D2791" s="2">
        <v>20958522.526820399</v>
      </c>
      <c r="E2791" s="2">
        <v>21868.75337554</v>
      </c>
      <c r="F2791" s="2">
        <v>20980391.280196</v>
      </c>
    </row>
    <row r="2792" spans="1:6" x14ac:dyDescent="0.3">
      <c r="A2792" s="1">
        <v>44196</v>
      </c>
      <c r="B2792" t="s">
        <v>15</v>
      </c>
      <c r="C2792" t="s">
        <v>16</v>
      </c>
      <c r="D2792" s="2">
        <v>111112.05425152001</v>
      </c>
      <c r="E2792" s="2">
        <v>0</v>
      </c>
      <c r="F2792" s="2">
        <v>111112.05425152001</v>
      </c>
    </row>
    <row r="2793" spans="1:6" x14ac:dyDescent="0.3">
      <c r="A2793" s="1">
        <v>44196</v>
      </c>
      <c r="B2793" t="s">
        <v>15</v>
      </c>
      <c r="C2793" t="s">
        <v>23</v>
      </c>
      <c r="D2793" s="2">
        <v>264.34199999999998</v>
      </c>
      <c r="E2793" s="2">
        <v>0</v>
      </c>
      <c r="F2793" s="2">
        <v>264.34199999999998</v>
      </c>
    </row>
    <row r="2794" spans="1:6" x14ac:dyDescent="0.3">
      <c r="A2794" s="1">
        <v>44196</v>
      </c>
      <c r="B2794" t="s">
        <v>15</v>
      </c>
      <c r="C2794" t="s">
        <v>17</v>
      </c>
      <c r="D2794" s="2">
        <v>115785.72844260999</v>
      </c>
      <c r="E2794" s="2">
        <v>0</v>
      </c>
      <c r="F2794" s="2">
        <v>115785.72844260999</v>
      </c>
    </row>
    <row r="2795" spans="1:6" x14ac:dyDescent="0.3">
      <c r="A2795" s="1">
        <v>44196</v>
      </c>
      <c r="B2795" t="s">
        <v>15</v>
      </c>
      <c r="C2795" t="s">
        <v>18</v>
      </c>
      <c r="D2795" s="2">
        <v>147129.67909419999</v>
      </c>
      <c r="E2795" s="2">
        <v>0</v>
      </c>
      <c r="F2795" s="2">
        <v>147129.67909419999</v>
      </c>
    </row>
    <row r="2796" spans="1:6" x14ac:dyDescent="0.3">
      <c r="A2796" s="1">
        <v>44196</v>
      </c>
      <c r="B2796" t="s">
        <v>15</v>
      </c>
      <c r="C2796" t="s">
        <v>19</v>
      </c>
      <c r="D2796" s="2">
        <v>296811.98989633098</v>
      </c>
      <c r="E2796" s="2">
        <v>6093509.8575272299</v>
      </c>
      <c r="F2796" s="2">
        <v>6390321.84742356</v>
      </c>
    </row>
    <row r="2797" spans="1:6" x14ac:dyDescent="0.3">
      <c r="A2797" s="1">
        <v>44196</v>
      </c>
      <c r="B2797" t="s">
        <v>15</v>
      </c>
      <c r="C2797" t="s">
        <v>20</v>
      </c>
      <c r="D2797" s="2">
        <v>2792.58982444</v>
      </c>
      <c r="E2797" s="2">
        <v>0</v>
      </c>
      <c r="F2797" s="2">
        <v>2792.58982444</v>
      </c>
    </row>
    <row r="2798" spans="1:6" x14ac:dyDescent="0.3">
      <c r="A2798" s="1">
        <v>44196</v>
      </c>
      <c r="B2798" t="s">
        <v>21</v>
      </c>
      <c r="C2798" t="s">
        <v>14</v>
      </c>
      <c r="D2798" s="2">
        <v>673896.383509101</v>
      </c>
      <c r="E2798" s="2">
        <v>6093509.8575272299</v>
      </c>
      <c r="F2798" s="2">
        <v>6767407.2410363303</v>
      </c>
    </row>
    <row r="2799" spans="1:6" x14ac:dyDescent="0.3">
      <c r="A2799" s="1">
        <v>44196</v>
      </c>
      <c r="B2799" t="s">
        <v>22</v>
      </c>
      <c r="C2799" t="s">
        <v>14</v>
      </c>
      <c r="D2799" s="2">
        <v>21632418.910329498</v>
      </c>
      <c r="E2799" s="2">
        <v>6115378.6109027704</v>
      </c>
      <c r="F2799" s="2">
        <v>27747797.5212323</v>
      </c>
    </row>
    <row r="2800" spans="1:6" x14ac:dyDescent="0.3">
      <c r="A2800" s="1">
        <v>44227</v>
      </c>
      <c r="B2800" t="s">
        <v>6</v>
      </c>
      <c r="C2800" t="s">
        <v>7</v>
      </c>
      <c r="D2800" s="2">
        <v>4953848.8375000004</v>
      </c>
      <c r="E2800" s="2">
        <v>1101.32</v>
      </c>
      <c r="F2800" s="2">
        <v>4954950.1574999997</v>
      </c>
    </row>
    <row r="2801" spans="1:6" x14ac:dyDescent="0.3">
      <c r="A2801" s="1">
        <v>44227</v>
      </c>
      <c r="B2801" t="s">
        <v>6</v>
      </c>
      <c r="C2801" t="s">
        <v>8</v>
      </c>
      <c r="D2801" s="2">
        <v>11165664.0329</v>
      </c>
      <c r="E2801" s="2">
        <v>7097.7389000000003</v>
      </c>
      <c r="F2801" s="2">
        <v>11172761.7718</v>
      </c>
    </row>
    <row r="2802" spans="1:6" x14ac:dyDescent="0.3">
      <c r="A2802" s="1">
        <v>44227</v>
      </c>
      <c r="B2802" t="s">
        <v>6</v>
      </c>
      <c r="C2802" t="s">
        <v>9</v>
      </c>
      <c r="D2802" s="2">
        <v>2859903.3128</v>
      </c>
      <c r="E2802" s="2">
        <v>5802.1768000000002</v>
      </c>
      <c r="F2802" s="2">
        <v>2865705.4896</v>
      </c>
    </row>
    <row r="2803" spans="1:6" x14ac:dyDescent="0.3">
      <c r="A2803" s="1">
        <v>44227</v>
      </c>
      <c r="B2803" t="s">
        <v>6</v>
      </c>
      <c r="C2803" t="s">
        <v>10</v>
      </c>
      <c r="D2803" s="2">
        <v>1549100.6833919301</v>
      </c>
      <c r="E2803" s="2">
        <v>683.14186514999994</v>
      </c>
      <c r="F2803" s="2">
        <v>1549783.8252570799</v>
      </c>
    </row>
    <row r="2804" spans="1:6" x14ac:dyDescent="0.3">
      <c r="A2804" s="1">
        <v>44227</v>
      </c>
      <c r="B2804" t="s">
        <v>6</v>
      </c>
      <c r="C2804" t="s">
        <v>11</v>
      </c>
      <c r="D2804" s="2">
        <v>498489.69339999999</v>
      </c>
      <c r="E2804" s="2">
        <v>12.675000000000001</v>
      </c>
      <c r="F2804" s="2">
        <v>498502.36839999998</v>
      </c>
    </row>
    <row r="2805" spans="1:6" x14ac:dyDescent="0.3">
      <c r="A2805" s="1">
        <v>44227</v>
      </c>
      <c r="B2805" t="s">
        <v>6</v>
      </c>
      <c r="C2805" t="s">
        <v>12</v>
      </c>
      <c r="D2805" s="2">
        <v>0</v>
      </c>
      <c r="E2805" s="2">
        <v>7261.857</v>
      </c>
      <c r="F2805" s="2">
        <v>7261.857</v>
      </c>
    </row>
    <row r="2806" spans="1:6" x14ac:dyDescent="0.3">
      <c r="A2806" s="1">
        <v>44227</v>
      </c>
      <c r="B2806" t="s">
        <v>13</v>
      </c>
      <c r="C2806" t="s">
        <v>14</v>
      </c>
      <c r="D2806" s="2">
        <v>21027006.5599919</v>
      </c>
      <c r="E2806" s="2">
        <v>21958.909565149999</v>
      </c>
      <c r="F2806" s="2">
        <v>21048965.469557099</v>
      </c>
    </row>
    <row r="2807" spans="1:6" x14ac:dyDescent="0.3">
      <c r="A2807" s="1">
        <v>44227</v>
      </c>
      <c r="B2807" t="s">
        <v>15</v>
      </c>
      <c r="C2807" t="s">
        <v>16</v>
      </c>
      <c r="D2807" s="2">
        <v>53073.56388306</v>
      </c>
      <c r="E2807" s="2">
        <v>0</v>
      </c>
      <c r="F2807" s="2">
        <v>53073.56388306</v>
      </c>
    </row>
    <row r="2808" spans="1:6" x14ac:dyDescent="0.3">
      <c r="A2808" s="1">
        <v>44227</v>
      </c>
      <c r="B2808" t="s">
        <v>15</v>
      </c>
      <c r="C2808" t="s">
        <v>23</v>
      </c>
      <c r="D2808" s="2">
        <v>264.34199999999998</v>
      </c>
      <c r="E2808" s="2">
        <v>0</v>
      </c>
      <c r="F2808" s="2">
        <v>264.34199999999998</v>
      </c>
    </row>
    <row r="2809" spans="1:6" x14ac:dyDescent="0.3">
      <c r="A2809" s="1">
        <v>44227</v>
      </c>
      <c r="B2809" t="s">
        <v>15</v>
      </c>
      <c r="C2809" t="s">
        <v>17</v>
      </c>
      <c r="D2809" s="2">
        <v>114582.82906968</v>
      </c>
      <c r="E2809" s="2">
        <v>0</v>
      </c>
      <c r="F2809" s="2">
        <v>114582.82906968</v>
      </c>
    </row>
    <row r="2810" spans="1:6" x14ac:dyDescent="0.3">
      <c r="A2810" s="1">
        <v>44227</v>
      </c>
      <c r="B2810" t="s">
        <v>15</v>
      </c>
      <c r="C2810" t="s">
        <v>18</v>
      </c>
      <c r="D2810" s="2">
        <v>146655.0925195</v>
      </c>
      <c r="E2810" s="2">
        <v>0</v>
      </c>
      <c r="F2810" s="2">
        <v>146655.0925195</v>
      </c>
    </row>
    <row r="2811" spans="1:6" x14ac:dyDescent="0.3">
      <c r="A2811" s="1">
        <v>44227</v>
      </c>
      <c r="B2811" t="s">
        <v>15</v>
      </c>
      <c r="C2811" t="s">
        <v>19</v>
      </c>
      <c r="D2811" s="2">
        <v>299532.20201420801</v>
      </c>
      <c r="E2811" s="2">
        <v>6118678.8467137301</v>
      </c>
      <c r="F2811" s="2">
        <v>6418212.0487279398</v>
      </c>
    </row>
    <row r="2812" spans="1:6" x14ac:dyDescent="0.3">
      <c r="A2812" s="1">
        <v>44227</v>
      </c>
      <c r="B2812" t="s">
        <v>15</v>
      </c>
      <c r="C2812" t="s">
        <v>20</v>
      </c>
      <c r="D2812" s="2">
        <v>2800.20361985</v>
      </c>
      <c r="E2812" s="2">
        <v>0</v>
      </c>
      <c r="F2812" s="2">
        <v>2800.20361985</v>
      </c>
    </row>
    <row r="2813" spans="1:6" x14ac:dyDescent="0.3">
      <c r="A2813" s="1">
        <v>44227</v>
      </c>
      <c r="B2813" t="s">
        <v>21</v>
      </c>
      <c r="C2813" t="s">
        <v>14</v>
      </c>
      <c r="D2813" s="2">
        <v>616908.23310629802</v>
      </c>
      <c r="E2813" s="2">
        <v>6118678.8467137301</v>
      </c>
      <c r="F2813" s="2">
        <v>6735588.0798200304</v>
      </c>
    </row>
    <row r="2814" spans="1:6" x14ac:dyDescent="0.3">
      <c r="A2814" s="1">
        <v>44227</v>
      </c>
      <c r="B2814" t="s">
        <v>22</v>
      </c>
      <c r="C2814" t="s">
        <v>14</v>
      </c>
      <c r="D2814" s="2">
        <v>21643914.7930982</v>
      </c>
      <c r="E2814" s="2">
        <v>6140637.7562788799</v>
      </c>
      <c r="F2814" s="2">
        <v>27784552.549377099</v>
      </c>
    </row>
    <row r="2815" spans="1:6" x14ac:dyDescent="0.3">
      <c r="A2815" s="1">
        <v>44255</v>
      </c>
      <c r="B2815" t="s">
        <v>6</v>
      </c>
      <c r="C2815" t="s">
        <v>7</v>
      </c>
      <c r="D2815" s="2">
        <v>4857868.1856000004</v>
      </c>
      <c r="E2815" s="2">
        <v>1164.665</v>
      </c>
      <c r="F2815" s="2">
        <v>4859032.8505999995</v>
      </c>
    </row>
    <row r="2816" spans="1:6" x14ac:dyDescent="0.3">
      <c r="A2816" s="1">
        <v>44255</v>
      </c>
      <c r="B2816" t="s">
        <v>6</v>
      </c>
      <c r="C2816" t="s">
        <v>8</v>
      </c>
      <c r="D2816" s="2">
        <v>11305192.436799999</v>
      </c>
      <c r="E2816" s="2">
        <v>7083.5036</v>
      </c>
      <c r="F2816" s="2">
        <v>11312275.940400001</v>
      </c>
    </row>
    <row r="2817" spans="1:6" x14ac:dyDescent="0.3">
      <c r="A2817" s="1">
        <v>44255</v>
      </c>
      <c r="B2817" t="s">
        <v>6</v>
      </c>
      <c r="C2817" t="s">
        <v>9</v>
      </c>
      <c r="D2817" s="2">
        <v>2913929.47645</v>
      </c>
      <c r="E2817" s="2">
        <v>5738.9134999999997</v>
      </c>
      <c r="F2817" s="2">
        <v>2919668.3899500002</v>
      </c>
    </row>
    <row r="2818" spans="1:6" x14ac:dyDescent="0.3">
      <c r="A2818" s="1">
        <v>44255</v>
      </c>
      <c r="B2818" t="s">
        <v>6</v>
      </c>
      <c r="C2818" t="s">
        <v>10</v>
      </c>
      <c r="D2818" s="2">
        <v>1559327.5884533101</v>
      </c>
      <c r="E2818" s="2">
        <v>661.00141413999995</v>
      </c>
      <c r="F2818" s="2">
        <v>1559988.5898674501</v>
      </c>
    </row>
    <row r="2819" spans="1:6" x14ac:dyDescent="0.3">
      <c r="A2819" s="1">
        <v>44255</v>
      </c>
      <c r="B2819" t="s">
        <v>6</v>
      </c>
      <c r="C2819" t="s">
        <v>11</v>
      </c>
      <c r="D2819" s="2">
        <v>500225.85759999999</v>
      </c>
      <c r="E2819" s="2">
        <v>66.391999999999996</v>
      </c>
      <c r="F2819" s="2">
        <v>500292.24959999998</v>
      </c>
    </row>
    <row r="2820" spans="1:6" x14ac:dyDescent="0.3">
      <c r="A2820" s="1">
        <v>44255</v>
      </c>
      <c r="B2820" t="s">
        <v>6</v>
      </c>
      <c r="C2820" t="s">
        <v>12</v>
      </c>
      <c r="D2820" s="2">
        <v>0</v>
      </c>
      <c r="E2820" s="2">
        <v>7261.857</v>
      </c>
      <c r="F2820" s="2">
        <v>7261.857</v>
      </c>
    </row>
    <row r="2821" spans="1:6" x14ac:dyDescent="0.3">
      <c r="A2821" s="1">
        <v>44255</v>
      </c>
      <c r="B2821" t="s">
        <v>13</v>
      </c>
      <c r="C2821" t="s">
        <v>14</v>
      </c>
      <c r="D2821" s="2">
        <v>21136543.544903301</v>
      </c>
      <c r="E2821" s="2">
        <v>21976.332514139998</v>
      </c>
      <c r="F2821" s="2">
        <v>21158519.8774174</v>
      </c>
    </row>
    <row r="2822" spans="1:6" x14ac:dyDescent="0.3">
      <c r="A2822" s="1">
        <v>44255</v>
      </c>
      <c r="B2822" t="s">
        <v>15</v>
      </c>
      <c r="C2822" t="s">
        <v>16</v>
      </c>
      <c r="D2822" s="2">
        <v>53074.485368250003</v>
      </c>
      <c r="E2822" s="2">
        <v>0</v>
      </c>
      <c r="F2822" s="2">
        <v>53074.485368250003</v>
      </c>
    </row>
    <row r="2823" spans="1:6" x14ac:dyDescent="0.3">
      <c r="A2823" s="1">
        <v>44255</v>
      </c>
      <c r="B2823" t="s">
        <v>15</v>
      </c>
      <c r="C2823" t="s">
        <v>23</v>
      </c>
      <c r="D2823" s="2">
        <v>264.34199999999998</v>
      </c>
      <c r="E2823" s="2">
        <v>0</v>
      </c>
      <c r="F2823" s="2">
        <v>264.34199999999998</v>
      </c>
    </row>
    <row r="2824" spans="1:6" x14ac:dyDescent="0.3">
      <c r="A2824" s="1">
        <v>44255</v>
      </c>
      <c r="B2824" t="s">
        <v>15</v>
      </c>
      <c r="C2824" t="s">
        <v>17</v>
      </c>
      <c r="D2824" s="2">
        <v>117108.53776175001</v>
      </c>
      <c r="E2824" s="2">
        <v>0</v>
      </c>
      <c r="F2824" s="2">
        <v>117108.53776175001</v>
      </c>
    </row>
    <row r="2825" spans="1:6" x14ac:dyDescent="0.3">
      <c r="A2825" s="1">
        <v>44255</v>
      </c>
      <c r="B2825" t="s">
        <v>15</v>
      </c>
      <c r="C2825" t="s">
        <v>18</v>
      </c>
      <c r="D2825" s="2">
        <v>146319.87562847999</v>
      </c>
      <c r="E2825" s="2">
        <v>0</v>
      </c>
      <c r="F2825" s="2">
        <v>146319.87562847999</v>
      </c>
    </row>
    <row r="2826" spans="1:6" x14ac:dyDescent="0.3">
      <c r="A2826" s="1">
        <v>44255</v>
      </c>
      <c r="B2826" t="s">
        <v>15</v>
      </c>
      <c r="C2826" t="s">
        <v>19</v>
      </c>
      <c r="D2826" s="2">
        <v>299601.196727462</v>
      </c>
      <c r="E2826" s="2">
        <v>6124649.9168165801</v>
      </c>
      <c r="F2826" s="2">
        <v>6424251.1135440404</v>
      </c>
    </row>
    <row r="2827" spans="1:6" x14ac:dyDescent="0.3">
      <c r="A2827" s="1">
        <v>44255</v>
      </c>
      <c r="B2827" t="s">
        <v>15</v>
      </c>
      <c r="C2827" t="s">
        <v>20</v>
      </c>
      <c r="D2827" s="2">
        <v>2825.8458966100002</v>
      </c>
      <c r="E2827" s="2">
        <v>0</v>
      </c>
      <c r="F2827" s="2">
        <v>2825.8458966100002</v>
      </c>
    </row>
    <row r="2828" spans="1:6" x14ac:dyDescent="0.3">
      <c r="A2828" s="1">
        <v>44255</v>
      </c>
      <c r="B2828" t="s">
        <v>21</v>
      </c>
      <c r="C2828" t="s">
        <v>14</v>
      </c>
      <c r="D2828" s="2">
        <v>619194.28338255198</v>
      </c>
      <c r="E2828" s="2">
        <v>6124649.9168165801</v>
      </c>
      <c r="F2828" s="2">
        <v>6743844.20019913</v>
      </c>
    </row>
    <row r="2829" spans="1:6" x14ac:dyDescent="0.3">
      <c r="A2829" s="1">
        <v>44255</v>
      </c>
      <c r="B2829" t="s">
        <v>22</v>
      </c>
      <c r="C2829" t="s">
        <v>14</v>
      </c>
      <c r="D2829" s="2">
        <v>21755736.828285899</v>
      </c>
      <c r="E2829" s="2">
        <v>6146627.2493307199</v>
      </c>
      <c r="F2829" s="2">
        <v>27902364.077616598</v>
      </c>
    </row>
    <row r="2830" spans="1:6" x14ac:dyDescent="0.3">
      <c r="A2830" s="1">
        <v>44286</v>
      </c>
      <c r="B2830" t="s">
        <v>6</v>
      </c>
      <c r="C2830" t="s">
        <v>7</v>
      </c>
      <c r="D2830" s="2">
        <v>4667845.9471000005</v>
      </c>
      <c r="E2830" s="2">
        <v>1192.5650000000001</v>
      </c>
      <c r="F2830" s="2">
        <v>4669038.5120999999</v>
      </c>
    </row>
    <row r="2831" spans="1:6" x14ac:dyDescent="0.3">
      <c r="A2831" s="1">
        <v>44286</v>
      </c>
      <c r="B2831" t="s">
        <v>6</v>
      </c>
      <c r="C2831" t="s">
        <v>8</v>
      </c>
      <c r="D2831" s="2">
        <v>11590088.1326</v>
      </c>
      <c r="E2831" s="2">
        <v>7128.8775999999998</v>
      </c>
      <c r="F2831" s="2">
        <v>11597217.010199999</v>
      </c>
    </row>
    <row r="2832" spans="1:6" x14ac:dyDescent="0.3">
      <c r="A2832" s="1">
        <v>44286</v>
      </c>
      <c r="B2832" t="s">
        <v>6</v>
      </c>
      <c r="C2832" t="s">
        <v>9</v>
      </c>
      <c r="D2832" s="2">
        <v>3000423.40705</v>
      </c>
      <c r="E2832" s="2">
        <v>5891.1184999999996</v>
      </c>
      <c r="F2832" s="2">
        <v>3006314.5255499999</v>
      </c>
    </row>
    <row r="2833" spans="1:6" x14ac:dyDescent="0.3">
      <c r="A2833" s="1">
        <v>44286</v>
      </c>
      <c r="B2833" t="s">
        <v>6</v>
      </c>
      <c r="C2833" t="s">
        <v>10</v>
      </c>
      <c r="D2833" s="2">
        <v>1581332.82809679</v>
      </c>
      <c r="E2833" s="2">
        <v>642.93841415999998</v>
      </c>
      <c r="F2833" s="2">
        <v>1581975.7665109499</v>
      </c>
    </row>
    <row r="2834" spans="1:6" x14ac:dyDescent="0.3">
      <c r="A2834" s="1">
        <v>44286</v>
      </c>
      <c r="B2834" t="s">
        <v>6</v>
      </c>
      <c r="C2834" t="s">
        <v>11</v>
      </c>
      <c r="D2834" s="2">
        <v>526209.98919999995</v>
      </c>
      <c r="E2834" s="2">
        <v>82.301000000000002</v>
      </c>
      <c r="F2834" s="2">
        <v>526292.29020000005</v>
      </c>
    </row>
    <row r="2835" spans="1:6" x14ac:dyDescent="0.3">
      <c r="A2835" s="1">
        <v>44286</v>
      </c>
      <c r="B2835" t="s">
        <v>6</v>
      </c>
      <c r="C2835" t="s">
        <v>12</v>
      </c>
      <c r="D2835" s="2">
        <v>0</v>
      </c>
      <c r="E2835" s="2">
        <v>7261.857</v>
      </c>
      <c r="F2835" s="2">
        <v>7261.857</v>
      </c>
    </row>
    <row r="2836" spans="1:6" x14ac:dyDescent="0.3">
      <c r="A2836" s="1">
        <v>44286</v>
      </c>
      <c r="B2836" t="s">
        <v>13</v>
      </c>
      <c r="C2836" t="s">
        <v>14</v>
      </c>
      <c r="D2836" s="2">
        <v>21365900.304046798</v>
      </c>
      <c r="E2836" s="2">
        <v>22199.657514160001</v>
      </c>
      <c r="F2836" s="2">
        <v>21388099.961560901</v>
      </c>
    </row>
    <row r="2837" spans="1:6" x14ac:dyDescent="0.3">
      <c r="A2837" s="1">
        <v>44286</v>
      </c>
      <c r="B2837" t="s">
        <v>15</v>
      </c>
      <c r="C2837" t="s">
        <v>16</v>
      </c>
      <c r="D2837" s="2">
        <v>53074.951950800001</v>
      </c>
      <c r="E2837" s="2">
        <v>0</v>
      </c>
      <c r="F2837" s="2">
        <v>53074.951950800001</v>
      </c>
    </row>
    <row r="2838" spans="1:6" x14ac:dyDescent="0.3">
      <c r="A2838" s="1">
        <v>44286</v>
      </c>
      <c r="B2838" t="s">
        <v>15</v>
      </c>
      <c r="C2838" t="s">
        <v>23</v>
      </c>
      <c r="D2838" s="2">
        <v>264.34199999999998</v>
      </c>
      <c r="E2838" s="2">
        <v>0</v>
      </c>
      <c r="F2838" s="2">
        <v>264.34199999999998</v>
      </c>
    </row>
    <row r="2839" spans="1:6" x14ac:dyDescent="0.3">
      <c r="A2839" s="1">
        <v>44286</v>
      </c>
      <c r="B2839" t="s">
        <v>15</v>
      </c>
      <c r="C2839" t="s">
        <v>17</v>
      </c>
      <c r="D2839" s="2">
        <v>121683.95327158</v>
      </c>
      <c r="E2839" s="2">
        <v>0</v>
      </c>
      <c r="F2839" s="2">
        <v>121683.95327158</v>
      </c>
    </row>
    <row r="2840" spans="1:6" x14ac:dyDescent="0.3">
      <c r="A2840" s="1">
        <v>44286</v>
      </c>
      <c r="B2840" t="s">
        <v>15</v>
      </c>
      <c r="C2840" t="s">
        <v>18</v>
      </c>
      <c r="D2840" s="2">
        <v>145792.87927505001</v>
      </c>
      <c r="E2840" s="2">
        <v>0</v>
      </c>
      <c r="F2840" s="2">
        <v>145792.87927505001</v>
      </c>
    </row>
    <row r="2841" spans="1:6" x14ac:dyDescent="0.3">
      <c r="A2841" s="1">
        <v>44286</v>
      </c>
      <c r="B2841" t="s">
        <v>15</v>
      </c>
      <c r="C2841" t="s">
        <v>19</v>
      </c>
      <c r="D2841" s="2">
        <v>297423.15580450901</v>
      </c>
      <c r="E2841" s="2">
        <v>6123431.8968409598</v>
      </c>
      <c r="F2841" s="2">
        <v>6420855.05264547</v>
      </c>
    </row>
    <row r="2842" spans="1:6" x14ac:dyDescent="0.3">
      <c r="A2842" s="1">
        <v>44286</v>
      </c>
      <c r="B2842" t="s">
        <v>15</v>
      </c>
      <c r="C2842" t="s">
        <v>20</v>
      </c>
      <c r="D2842" s="2">
        <v>2798.9063975099998</v>
      </c>
      <c r="E2842" s="2">
        <v>0</v>
      </c>
      <c r="F2842" s="2">
        <v>2798.9063975099998</v>
      </c>
    </row>
    <row r="2843" spans="1:6" x14ac:dyDescent="0.3">
      <c r="A2843" s="1">
        <v>44286</v>
      </c>
      <c r="B2843" t="s">
        <v>21</v>
      </c>
      <c r="C2843" t="s">
        <v>14</v>
      </c>
      <c r="D2843" s="2">
        <v>621038.18869944895</v>
      </c>
      <c r="E2843" s="2">
        <v>6123431.8968409598</v>
      </c>
      <c r="F2843" s="2">
        <v>6744470.0855404101</v>
      </c>
    </row>
    <row r="2844" spans="1:6" x14ac:dyDescent="0.3">
      <c r="A2844" s="1">
        <v>44286</v>
      </c>
      <c r="B2844" t="s">
        <v>22</v>
      </c>
      <c r="C2844" t="s">
        <v>14</v>
      </c>
      <c r="D2844" s="2">
        <v>21986939.4927462</v>
      </c>
      <c r="E2844" s="2">
        <v>6145631.5543551203</v>
      </c>
      <c r="F2844" s="2">
        <v>28132570.0471013</v>
      </c>
    </row>
    <row r="2845" spans="1:6" x14ac:dyDescent="0.3">
      <c r="A2845" s="1">
        <v>44316</v>
      </c>
      <c r="B2845" t="s">
        <v>6</v>
      </c>
      <c r="C2845" t="s">
        <v>7</v>
      </c>
      <c r="D2845" s="2">
        <v>4538683.4242000002</v>
      </c>
      <c r="E2845" s="2">
        <v>1366.9849999999999</v>
      </c>
      <c r="F2845" s="2">
        <v>4540050.4091999996</v>
      </c>
    </row>
    <row r="2846" spans="1:6" x14ac:dyDescent="0.3">
      <c r="A2846" s="1">
        <v>44316</v>
      </c>
      <c r="B2846" t="s">
        <v>6</v>
      </c>
      <c r="C2846" t="s">
        <v>8</v>
      </c>
      <c r="D2846" s="2">
        <v>11776025.339500001</v>
      </c>
      <c r="E2846" s="2">
        <v>7278.8155999999999</v>
      </c>
      <c r="F2846" s="2">
        <v>11783304.155099999</v>
      </c>
    </row>
    <row r="2847" spans="1:6" x14ac:dyDescent="0.3">
      <c r="A2847" s="1">
        <v>44316</v>
      </c>
      <c r="B2847" t="s">
        <v>6</v>
      </c>
      <c r="C2847" t="s">
        <v>9</v>
      </c>
      <c r="D2847" s="2">
        <v>3056508.7128499998</v>
      </c>
      <c r="E2847" s="2">
        <v>6073.5294999999996</v>
      </c>
      <c r="F2847" s="2">
        <v>3062582.24235</v>
      </c>
    </row>
    <row r="2848" spans="1:6" x14ac:dyDescent="0.3">
      <c r="A2848" s="1">
        <v>44316</v>
      </c>
      <c r="B2848" t="s">
        <v>6</v>
      </c>
      <c r="C2848" t="s">
        <v>10</v>
      </c>
      <c r="D2848" s="2">
        <v>1561548.0902157701</v>
      </c>
      <c r="E2848" s="2">
        <v>638.02506151</v>
      </c>
      <c r="F2848" s="2">
        <v>1562186.1152772801</v>
      </c>
    </row>
    <row r="2849" spans="1:6" x14ac:dyDescent="0.3">
      <c r="A2849" s="1">
        <v>44316</v>
      </c>
      <c r="B2849" t="s">
        <v>6</v>
      </c>
      <c r="C2849" t="s">
        <v>11</v>
      </c>
      <c r="D2849" s="2">
        <v>501386.71159999998</v>
      </c>
      <c r="E2849" s="2">
        <v>82.444999999999993</v>
      </c>
      <c r="F2849" s="2">
        <v>501469.15659999999</v>
      </c>
    </row>
    <row r="2850" spans="1:6" x14ac:dyDescent="0.3">
      <c r="A2850" s="1">
        <v>44316</v>
      </c>
      <c r="B2850" t="s">
        <v>6</v>
      </c>
      <c r="C2850" t="s">
        <v>12</v>
      </c>
      <c r="D2850" s="2">
        <v>0</v>
      </c>
      <c r="E2850" s="2">
        <v>7261.857</v>
      </c>
      <c r="F2850" s="2">
        <v>7261.857</v>
      </c>
    </row>
    <row r="2851" spans="1:6" x14ac:dyDescent="0.3">
      <c r="A2851" s="1">
        <v>44316</v>
      </c>
      <c r="B2851" t="s">
        <v>13</v>
      </c>
      <c r="C2851" t="s">
        <v>14</v>
      </c>
      <c r="D2851" s="2">
        <v>21434152.278365701</v>
      </c>
      <c r="E2851" s="2">
        <v>22701.65716151</v>
      </c>
      <c r="F2851" s="2">
        <v>21456853.935527299</v>
      </c>
    </row>
    <row r="2852" spans="1:6" x14ac:dyDescent="0.3">
      <c r="A2852" s="1">
        <v>44316</v>
      </c>
      <c r="B2852" t="s">
        <v>15</v>
      </c>
      <c r="C2852" t="s">
        <v>16</v>
      </c>
      <c r="D2852" s="2">
        <v>53075.30189106</v>
      </c>
      <c r="E2852" s="2">
        <v>0</v>
      </c>
      <c r="F2852" s="2">
        <v>53075.30189106</v>
      </c>
    </row>
    <row r="2853" spans="1:6" x14ac:dyDescent="0.3">
      <c r="A2853" s="1">
        <v>44316</v>
      </c>
      <c r="B2853" t="s">
        <v>15</v>
      </c>
      <c r="C2853" t="s">
        <v>23</v>
      </c>
      <c r="D2853" s="2">
        <v>264.34199999999998</v>
      </c>
      <c r="E2853" s="2">
        <v>0</v>
      </c>
      <c r="F2853" s="2">
        <v>264.34199999999998</v>
      </c>
    </row>
    <row r="2854" spans="1:6" x14ac:dyDescent="0.3">
      <c r="A2854" s="1">
        <v>44316</v>
      </c>
      <c r="B2854" t="s">
        <v>15</v>
      </c>
      <c r="C2854" t="s">
        <v>17</v>
      </c>
      <c r="D2854" s="2">
        <v>123707.6397053</v>
      </c>
      <c r="E2854" s="2">
        <v>0</v>
      </c>
      <c r="F2854" s="2">
        <v>123707.6397053</v>
      </c>
    </row>
    <row r="2855" spans="1:6" x14ac:dyDescent="0.3">
      <c r="A2855" s="1">
        <v>44316</v>
      </c>
      <c r="B2855" t="s">
        <v>15</v>
      </c>
      <c r="C2855" t="s">
        <v>18</v>
      </c>
      <c r="D2855" s="2">
        <v>145269.28725982999</v>
      </c>
      <c r="E2855" s="2">
        <v>0</v>
      </c>
      <c r="F2855" s="2">
        <v>145269.28725982999</v>
      </c>
    </row>
    <row r="2856" spans="1:6" x14ac:dyDescent="0.3">
      <c r="A2856" s="1">
        <v>44316</v>
      </c>
      <c r="B2856" t="s">
        <v>15</v>
      </c>
      <c r="C2856" t="s">
        <v>19</v>
      </c>
      <c r="D2856" s="2">
        <v>296675.12516019098</v>
      </c>
      <c r="E2856" s="2">
        <v>6095957.5222238004</v>
      </c>
      <c r="F2856" s="2">
        <v>6392632.6473839898</v>
      </c>
    </row>
    <row r="2857" spans="1:6" x14ac:dyDescent="0.3">
      <c r="A2857" s="1">
        <v>44316</v>
      </c>
      <c r="B2857" t="s">
        <v>15</v>
      </c>
      <c r="C2857" t="s">
        <v>20</v>
      </c>
      <c r="D2857" s="2">
        <v>2911.1456747000002</v>
      </c>
      <c r="E2857" s="2">
        <v>0</v>
      </c>
      <c r="F2857" s="2">
        <v>2911.1456747000002</v>
      </c>
    </row>
    <row r="2858" spans="1:6" x14ac:dyDescent="0.3">
      <c r="A2858" s="1">
        <v>44316</v>
      </c>
      <c r="B2858" t="s">
        <v>21</v>
      </c>
      <c r="C2858" t="s">
        <v>14</v>
      </c>
      <c r="D2858" s="2">
        <v>621902.84169108095</v>
      </c>
      <c r="E2858" s="2">
        <v>6095957.5222238004</v>
      </c>
      <c r="F2858" s="2">
        <v>6717861.36391488</v>
      </c>
    </row>
    <row r="2859" spans="1:6" x14ac:dyDescent="0.3">
      <c r="A2859" s="1">
        <v>44316</v>
      </c>
      <c r="B2859" t="s">
        <v>22</v>
      </c>
      <c r="C2859" t="s">
        <v>14</v>
      </c>
      <c r="D2859" s="2">
        <v>22056055.120056801</v>
      </c>
      <c r="E2859" s="2">
        <v>6118659.17938531</v>
      </c>
      <c r="F2859" s="2">
        <v>28174714.299442101</v>
      </c>
    </row>
    <row r="2860" spans="1:6" x14ac:dyDescent="0.3">
      <c r="A2860" s="1">
        <v>44347</v>
      </c>
      <c r="B2860" t="s">
        <v>6</v>
      </c>
      <c r="C2860" t="s">
        <v>7</v>
      </c>
      <c r="D2860" s="2">
        <v>4375781.2648999998</v>
      </c>
      <c r="E2860" s="2">
        <v>1296.42</v>
      </c>
      <c r="F2860" s="2">
        <v>4377077.6848999998</v>
      </c>
    </row>
    <row r="2861" spans="1:6" x14ac:dyDescent="0.3">
      <c r="A2861" s="1">
        <v>44347</v>
      </c>
      <c r="B2861" t="s">
        <v>6</v>
      </c>
      <c r="C2861" t="s">
        <v>8</v>
      </c>
      <c r="D2861" s="2">
        <v>11821156.922800001</v>
      </c>
      <c r="E2861" s="2">
        <v>9198.0221000000001</v>
      </c>
      <c r="F2861" s="2">
        <v>11830354.9449</v>
      </c>
    </row>
    <row r="2862" spans="1:6" x14ac:dyDescent="0.3">
      <c r="A2862" s="1">
        <v>44347</v>
      </c>
      <c r="B2862" t="s">
        <v>6</v>
      </c>
      <c r="C2862" t="s">
        <v>9</v>
      </c>
      <c r="D2862" s="2">
        <v>3087149.4006500002</v>
      </c>
      <c r="E2862" s="2">
        <v>6689.6864999999998</v>
      </c>
      <c r="F2862" s="2">
        <v>3093839.08715</v>
      </c>
    </row>
    <row r="2863" spans="1:6" x14ac:dyDescent="0.3">
      <c r="A2863" s="1">
        <v>44347</v>
      </c>
      <c r="B2863" t="s">
        <v>6</v>
      </c>
      <c r="C2863" t="s">
        <v>10</v>
      </c>
      <c r="D2863" s="2">
        <v>1584621.2986667</v>
      </c>
      <c r="E2863" s="2">
        <v>702.91997693999997</v>
      </c>
      <c r="F2863" s="2">
        <v>1585324.2186436399</v>
      </c>
    </row>
    <row r="2864" spans="1:6" x14ac:dyDescent="0.3">
      <c r="A2864" s="1">
        <v>44347</v>
      </c>
      <c r="B2864" t="s">
        <v>6</v>
      </c>
      <c r="C2864" t="s">
        <v>11</v>
      </c>
      <c r="D2864" s="2">
        <v>527386.85</v>
      </c>
      <c r="E2864" s="2">
        <v>82.444999999999993</v>
      </c>
      <c r="F2864" s="2">
        <v>527469.29500000004</v>
      </c>
    </row>
    <row r="2865" spans="1:6" x14ac:dyDescent="0.3">
      <c r="A2865" s="1">
        <v>44347</v>
      </c>
      <c r="B2865" t="s">
        <v>6</v>
      </c>
      <c r="C2865" t="s">
        <v>12</v>
      </c>
      <c r="D2865" s="2">
        <v>0</v>
      </c>
      <c r="E2865" s="2">
        <v>7261.857</v>
      </c>
      <c r="F2865" s="2">
        <v>7261.857</v>
      </c>
    </row>
    <row r="2866" spans="1:6" x14ac:dyDescent="0.3">
      <c r="A2866" s="1">
        <v>44347</v>
      </c>
      <c r="B2866" t="s">
        <v>13</v>
      </c>
      <c r="C2866" t="s">
        <v>14</v>
      </c>
      <c r="D2866" s="2">
        <v>21396095.7370167</v>
      </c>
      <c r="E2866" s="2">
        <v>25231.35057694</v>
      </c>
      <c r="F2866" s="2">
        <v>21421327.0875936</v>
      </c>
    </row>
    <row r="2867" spans="1:6" x14ac:dyDescent="0.3">
      <c r="A2867" s="1">
        <v>44347</v>
      </c>
      <c r="B2867" t="s">
        <v>15</v>
      </c>
      <c r="C2867" t="s">
        <v>16</v>
      </c>
      <c r="D2867" s="2">
        <v>53075.348549980001</v>
      </c>
      <c r="E2867" s="2">
        <v>0</v>
      </c>
      <c r="F2867" s="2">
        <v>53075.348549980001</v>
      </c>
    </row>
    <row r="2868" spans="1:6" x14ac:dyDescent="0.3">
      <c r="A2868" s="1">
        <v>44347</v>
      </c>
      <c r="B2868" t="s">
        <v>15</v>
      </c>
      <c r="C2868" t="s">
        <v>23</v>
      </c>
      <c r="D2868" s="2">
        <v>264.34199999999998</v>
      </c>
      <c r="E2868" s="2">
        <v>0</v>
      </c>
      <c r="F2868" s="2">
        <v>264.34199999999998</v>
      </c>
    </row>
    <row r="2869" spans="1:6" x14ac:dyDescent="0.3">
      <c r="A2869" s="1">
        <v>44347</v>
      </c>
      <c r="B2869" t="s">
        <v>15</v>
      </c>
      <c r="C2869" t="s">
        <v>17</v>
      </c>
      <c r="D2869" s="2">
        <v>125338.96307853</v>
      </c>
      <c r="E2869" s="2">
        <v>0</v>
      </c>
      <c r="F2869" s="2">
        <v>125338.96307853</v>
      </c>
    </row>
    <row r="2870" spans="1:6" x14ac:dyDescent="0.3">
      <c r="A2870" s="1">
        <v>44347</v>
      </c>
      <c r="B2870" t="s">
        <v>15</v>
      </c>
      <c r="C2870" t="s">
        <v>18</v>
      </c>
      <c r="D2870" s="2">
        <v>144915.13692208001</v>
      </c>
      <c r="E2870" s="2">
        <v>0</v>
      </c>
      <c r="F2870" s="2">
        <v>144915.13692208001</v>
      </c>
    </row>
    <row r="2871" spans="1:6" x14ac:dyDescent="0.3">
      <c r="A2871" s="1">
        <v>44347</v>
      </c>
      <c r="B2871" t="s">
        <v>15</v>
      </c>
      <c r="C2871" t="s">
        <v>19</v>
      </c>
      <c r="D2871" s="2">
        <v>298295.08933458902</v>
      </c>
      <c r="E2871" s="2">
        <v>6152838.1150706997</v>
      </c>
      <c r="F2871" s="2">
        <v>6451133.2044052798</v>
      </c>
    </row>
    <row r="2872" spans="1:6" x14ac:dyDescent="0.3">
      <c r="A2872" s="1">
        <v>44347</v>
      </c>
      <c r="B2872" t="s">
        <v>15</v>
      </c>
      <c r="C2872" t="s">
        <v>20</v>
      </c>
      <c r="D2872" s="2">
        <v>2954.59327132</v>
      </c>
      <c r="E2872" s="2">
        <v>0</v>
      </c>
      <c r="F2872" s="2">
        <v>2954.59327132</v>
      </c>
    </row>
    <row r="2873" spans="1:6" x14ac:dyDescent="0.3">
      <c r="A2873" s="1">
        <v>44347</v>
      </c>
      <c r="B2873" t="s">
        <v>21</v>
      </c>
      <c r="C2873" t="s">
        <v>14</v>
      </c>
      <c r="D2873" s="2">
        <v>624843.47315649898</v>
      </c>
      <c r="E2873" s="2">
        <v>6152838.1150706997</v>
      </c>
      <c r="F2873" s="2">
        <v>6777680.5882271901</v>
      </c>
    </row>
    <row r="2874" spans="1:6" x14ac:dyDescent="0.3">
      <c r="A2874" s="1">
        <v>44347</v>
      </c>
      <c r="B2874" t="s">
        <v>22</v>
      </c>
      <c r="C2874" t="s">
        <v>14</v>
      </c>
      <c r="D2874" s="2">
        <v>22020939.210173201</v>
      </c>
      <c r="E2874" s="2">
        <v>6178069.4656476397</v>
      </c>
      <c r="F2874" s="2">
        <v>28199007.675820801</v>
      </c>
    </row>
    <row r="2875" spans="1:6" x14ac:dyDescent="0.3">
      <c r="A2875" s="1">
        <v>44377</v>
      </c>
      <c r="B2875" t="s">
        <v>6</v>
      </c>
      <c r="C2875" t="s">
        <v>7</v>
      </c>
      <c r="D2875" s="2">
        <v>4273669.5376000004</v>
      </c>
      <c r="E2875" s="2">
        <v>1422.43</v>
      </c>
      <c r="F2875" s="2">
        <v>4275091.9676000001</v>
      </c>
    </row>
    <row r="2876" spans="1:6" x14ac:dyDescent="0.3">
      <c r="A2876" s="1">
        <v>44377</v>
      </c>
      <c r="B2876" t="s">
        <v>6</v>
      </c>
      <c r="C2876" t="s">
        <v>8</v>
      </c>
      <c r="D2876" s="2">
        <v>12097215.864</v>
      </c>
      <c r="E2876" s="2">
        <v>9135.6916000000001</v>
      </c>
      <c r="F2876" s="2">
        <v>12106351.555600001</v>
      </c>
    </row>
    <row r="2877" spans="1:6" x14ac:dyDescent="0.3">
      <c r="A2877" s="1">
        <v>44377</v>
      </c>
      <c r="B2877" t="s">
        <v>6</v>
      </c>
      <c r="C2877" t="s">
        <v>9</v>
      </c>
      <c r="D2877" s="2">
        <v>3173226.3375499998</v>
      </c>
      <c r="E2877" s="2">
        <v>6702.2494999999999</v>
      </c>
      <c r="F2877" s="2">
        <v>3179928.5870500002</v>
      </c>
    </row>
    <row r="2878" spans="1:6" x14ac:dyDescent="0.3">
      <c r="A2878" s="1">
        <v>44377</v>
      </c>
      <c r="B2878" t="s">
        <v>6</v>
      </c>
      <c r="C2878" t="s">
        <v>10</v>
      </c>
      <c r="D2878" s="2">
        <v>1617396.1609976699</v>
      </c>
      <c r="E2878" s="2">
        <v>734.23649946</v>
      </c>
      <c r="F2878" s="2">
        <v>1618130.3974971301</v>
      </c>
    </row>
    <row r="2879" spans="1:6" x14ac:dyDescent="0.3">
      <c r="A2879" s="1">
        <v>44377</v>
      </c>
      <c r="B2879" t="s">
        <v>6</v>
      </c>
      <c r="C2879" t="s">
        <v>11</v>
      </c>
      <c r="D2879" s="2">
        <v>553405.22569999995</v>
      </c>
      <c r="E2879" s="2">
        <v>64.415000000000006</v>
      </c>
      <c r="F2879" s="2">
        <v>553469.64069999999</v>
      </c>
    </row>
    <row r="2880" spans="1:6" x14ac:dyDescent="0.3">
      <c r="A2880" s="1">
        <v>44377</v>
      </c>
      <c r="B2880" t="s">
        <v>6</v>
      </c>
      <c r="C2880" t="s">
        <v>12</v>
      </c>
      <c r="D2880" s="2">
        <v>0</v>
      </c>
      <c r="E2880" s="2">
        <v>6053.0389999999998</v>
      </c>
      <c r="F2880" s="2">
        <v>6053.0389999999998</v>
      </c>
    </row>
    <row r="2881" spans="1:6" x14ac:dyDescent="0.3">
      <c r="A2881" s="1">
        <v>44377</v>
      </c>
      <c r="B2881" t="s">
        <v>13</v>
      </c>
      <c r="C2881" t="s">
        <v>14</v>
      </c>
      <c r="D2881" s="2">
        <v>21714913.125847701</v>
      </c>
      <c r="E2881" s="2">
        <v>24112.061599460001</v>
      </c>
      <c r="F2881" s="2">
        <v>21739025.187447101</v>
      </c>
    </row>
    <row r="2882" spans="1:6" x14ac:dyDescent="0.3">
      <c r="A2882" s="1">
        <v>44377</v>
      </c>
      <c r="B2882" t="s">
        <v>15</v>
      </c>
      <c r="C2882" t="s">
        <v>16</v>
      </c>
      <c r="D2882" s="2">
        <v>44570.920554869997</v>
      </c>
      <c r="E2882" s="2">
        <v>0</v>
      </c>
      <c r="F2882" s="2">
        <v>44570.920554869997</v>
      </c>
    </row>
    <row r="2883" spans="1:6" x14ac:dyDescent="0.3">
      <c r="A2883" s="1">
        <v>44377</v>
      </c>
      <c r="B2883" t="s">
        <v>15</v>
      </c>
      <c r="C2883" t="s">
        <v>23</v>
      </c>
      <c r="D2883" s="2">
        <v>264.34199999999998</v>
      </c>
      <c r="E2883" s="2">
        <v>0</v>
      </c>
      <c r="F2883" s="2">
        <v>264.34199999999998</v>
      </c>
    </row>
    <row r="2884" spans="1:6" x14ac:dyDescent="0.3">
      <c r="A2884" s="1">
        <v>44377</v>
      </c>
      <c r="B2884" t="s">
        <v>15</v>
      </c>
      <c r="C2884" t="s">
        <v>17</v>
      </c>
      <c r="D2884" s="2">
        <v>122754.51332678</v>
      </c>
      <c r="E2884" s="2">
        <v>0</v>
      </c>
      <c r="F2884" s="2">
        <v>122754.51332678</v>
      </c>
    </row>
    <row r="2885" spans="1:6" x14ac:dyDescent="0.3">
      <c r="A2885" s="1">
        <v>44377</v>
      </c>
      <c r="B2885" t="s">
        <v>15</v>
      </c>
      <c r="C2885" t="s">
        <v>18</v>
      </c>
      <c r="D2885" s="2">
        <v>144692.89793231999</v>
      </c>
      <c r="E2885" s="2">
        <v>0</v>
      </c>
      <c r="F2885" s="2">
        <v>144692.89793231999</v>
      </c>
    </row>
    <row r="2886" spans="1:6" x14ac:dyDescent="0.3">
      <c r="A2886" s="1">
        <v>44377</v>
      </c>
      <c r="B2886" t="s">
        <v>15</v>
      </c>
      <c r="C2886" t="s">
        <v>19</v>
      </c>
      <c r="D2886" s="2">
        <v>299575.06692538998</v>
      </c>
      <c r="E2886" s="2">
        <v>6175501.2779236399</v>
      </c>
      <c r="F2886" s="2">
        <v>6475076.3448490296</v>
      </c>
    </row>
    <row r="2887" spans="1:6" x14ac:dyDescent="0.3">
      <c r="A2887" s="1">
        <v>44377</v>
      </c>
      <c r="B2887" t="s">
        <v>15</v>
      </c>
      <c r="C2887" t="s">
        <v>20</v>
      </c>
      <c r="D2887" s="2">
        <v>3051.92492567</v>
      </c>
      <c r="E2887" s="2">
        <v>0</v>
      </c>
      <c r="F2887" s="2">
        <v>3051.92492567</v>
      </c>
    </row>
    <row r="2888" spans="1:6" x14ac:dyDescent="0.3">
      <c r="A2888" s="1">
        <v>44377</v>
      </c>
      <c r="B2888" t="s">
        <v>21</v>
      </c>
      <c r="C2888" t="s">
        <v>14</v>
      </c>
      <c r="D2888" s="2">
        <v>614909.66566503001</v>
      </c>
      <c r="E2888" s="2">
        <v>6175501.2779236399</v>
      </c>
      <c r="F2888" s="2">
        <v>6790410.9435886703</v>
      </c>
    </row>
    <row r="2889" spans="1:6" x14ac:dyDescent="0.3">
      <c r="A2889" s="1">
        <v>44377</v>
      </c>
      <c r="B2889" t="s">
        <v>22</v>
      </c>
      <c r="C2889" t="s">
        <v>14</v>
      </c>
      <c r="D2889" s="2">
        <v>22329822.791512702</v>
      </c>
      <c r="E2889" s="2">
        <v>6199613.3395231003</v>
      </c>
      <c r="F2889" s="2">
        <v>28529436.131035801</v>
      </c>
    </row>
    <row r="2890" spans="1:6" x14ac:dyDescent="0.3">
      <c r="A2890" s="1">
        <v>44408</v>
      </c>
      <c r="B2890" t="s">
        <v>6</v>
      </c>
      <c r="C2890" t="s">
        <v>7</v>
      </c>
      <c r="D2890" s="2">
        <v>4140792.4999000002</v>
      </c>
      <c r="E2890" s="2">
        <v>1334.1849999999999</v>
      </c>
      <c r="F2890" s="2">
        <v>4142126.6849000002</v>
      </c>
    </row>
    <row r="2891" spans="1:6" x14ac:dyDescent="0.3">
      <c r="A2891" s="1">
        <v>44408</v>
      </c>
      <c r="B2891" t="s">
        <v>6</v>
      </c>
      <c r="C2891" t="s">
        <v>8</v>
      </c>
      <c r="D2891" s="2">
        <v>12176507.056</v>
      </c>
      <c r="E2891" s="2">
        <v>8518.7767000000003</v>
      </c>
      <c r="F2891" s="2">
        <v>12185025.832699999</v>
      </c>
    </row>
    <row r="2892" spans="1:6" x14ac:dyDescent="0.3">
      <c r="A2892" s="1">
        <v>44408</v>
      </c>
      <c r="B2892" t="s">
        <v>6</v>
      </c>
      <c r="C2892" t="s">
        <v>9</v>
      </c>
      <c r="D2892" s="2">
        <v>3201102.4766500001</v>
      </c>
      <c r="E2892" s="2">
        <v>6777.0535</v>
      </c>
      <c r="F2892" s="2">
        <v>3207879.53015</v>
      </c>
    </row>
    <row r="2893" spans="1:6" x14ac:dyDescent="0.3">
      <c r="A2893" s="1">
        <v>44408</v>
      </c>
      <c r="B2893" t="s">
        <v>6</v>
      </c>
      <c r="C2893" t="s">
        <v>10</v>
      </c>
      <c r="D2893" s="2">
        <v>1603247.37165669</v>
      </c>
      <c r="E2893" s="2">
        <v>739.73449171000004</v>
      </c>
      <c r="F2893" s="2">
        <v>1603987.1061484001</v>
      </c>
    </row>
    <row r="2894" spans="1:6" x14ac:dyDescent="0.3">
      <c r="A2894" s="1">
        <v>44408</v>
      </c>
      <c r="B2894" t="s">
        <v>6</v>
      </c>
      <c r="C2894" t="s">
        <v>11</v>
      </c>
      <c r="D2894" s="2">
        <v>553383.16070000001</v>
      </c>
      <c r="E2894" s="2">
        <v>86.48</v>
      </c>
      <c r="F2894" s="2">
        <v>553469.64069999999</v>
      </c>
    </row>
    <row r="2895" spans="1:6" x14ac:dyDescent="0.3">
      <c r="A2895" s="1">
        <v>44408</v>
      </c>
      <c r="B2895" t="s">
        <v>6</v>
      </c>
      <c r="C2895" t="s">
        <v>12</v>
      </c>
      <c r="D2895" s="2">
        <v>0</v>
      </c>
      <c r="E2895" s="2">
        <v>6053.0389999999998</v>
      </c>
      <c r="F2895" s="2">
        <v>6053.0389999999998</v>
      </c>
    </row>
    <row r="2896" spans="1:6" x14ac:dyDescent="0.3">
      <c r="A2896" s="1">
        <v>44408</v>
      </c>
      <c r="B2896" t="s">
        <v>13</v>
      </c>
      <c r="C2896" t="s">
        <v>14</v>
      </c>
      <c r="D2896" s="2">
        <v>21675032.564906701</v>
      </c>
      <c r="E2896" s="2">
        <v>23509.26869171</v>
      </c>
      <c r="F2896" s="2">
        <v>21698541.833598401</v>
      </c>
    </row>
    <row r="2897" spans="1:6" x14ac:dyDescent="0.3">
      <c r="A2897" s="1">
        <v>44408</v>
      </c>
      <c r="B2897" t="s">
        <v>15</v>
      </c>
      <c r="C2897" t="s">
        <v>16</v>
      </c>
      <c r="D2897" s="2">
        <v>44571.760672149998</v>
      </c>
      <c r="E2897" s="2">
        <v>0</v>
      </c>
      <c r="F2897" s="2">
        <v>44571.760672149998</v>
      </c>
    </row>
    <row r="2898" spans="1:6" x14ac:dyDescent="0.3">
      <c r="A2898" s="1">
        <v>44408</v>
      </c>
      <c r="B2898" t="s">
        <v>15</v>
      </c>
      <c r="C2898" t="s">
        <v>23</v>
      </c>
      <c r="D2898" s="2">
        <v>264.34199999999998</v>
      </c>
      <c r="E2898" s="2">
        <v>0</v>
      </c>
      <c r="F2898" s="2">
        <v>264.34199999999998</v>
      </c>
    </row>
    <row r="2899" spans="1:6" x14ac:dyDescent="0.3">
      <c r="A2899" s="1">
        <v>44408</v>
      </c>
      <c r="B2899" t="s">
        <v>15</v>
      </c>
      <c r="C2899" t="s">
        <v>17</v>
      </c>
      <c r="D2899" s="2">
        <v>135428.08573965001</v>
      </c>
      <c r="E2899" s="2">
        <v>0</v>
      </c>
      <c r="F2899" s="2">
        <v>135428.08573965001</v>
      </c>
    </row>
    <row r="2900" spans="1:6" x14ac:dyDescent="0.3">
      <c r="A2900" s="1">
        <v>44408</v>
      </c>
      <c r="B2900" t="s">
        <v>15</v>
      </c>
      <c r="C2900" t="s">
        <v>18</v>
      </c>
      <c r="D2900" s="2">
        <v>144381.78217004999</v>
      </c>
      <c r="E2900" s="2">
        <v>0</v>
      </c>
      <c r="F2900" s="2">
        <v>144381.78217004999</v>
      </c>
    </row>
    <row r="2901" spans="1:6" x14ac:dyDescent="0.3">
      <c r="A2901" s="1">
        <v>44408</v>
      </c>
      <c r="B2901" t="s">
        <v>15</v>
      </c>
      <c r="C2901" t="s">
        <v>19</v>
      </c>
      <c r="D2901" s="2">
        <v>281873.68431074102</v>
      </c>
      <c r="E2901" s="2">
        <v>6119584.7651805598</v>
      </c>
      <c r="F2901" s="2">
        <v>6401459.4494912997</v>
      </c>
    </row>
    <row r="2902" spans="1:6" x14ac:dyDescent="0.3">
      <c r="A2902" s="1">
        <v>44408</v>
      </c>
      <c r="B2902" t="s">
        <v>15</v>
      </c>
      <c r="C2902" t="s">
        <v>20</v>
      </c>
      <c r="D2902" s="2">
        <v>3075.3313799399998</v>
      </c>
      <c r="E2902" s="2">
        <v>0</v>
      </c>
      <c r="F2902" s="2">
        <v>3075.3313799399998</v>
      </c>
    </row>
    <row r="2903" spans="1:6" x14ac:dyDescent="0.3">
      <c r="A2903" s="1">
        <v>44408</v>
      </c>
      <c r="B2903" t="s">
        <v>21</v>
      </c>
      <c r="C2903" t="s">
        <v>14</v>
      </c>
      <c r="D2903" s="2">
        <v>609594.98627253098</v>
      </c>
      <c r="E2903" s="2">
        <v>6119584.7651805598</v>
      </c>
      <c r="F2903" s="2">
        <v>6729179.7514530905</v>
      </c>
    </row>
    <row r="2904" spans="1:6" x14ac:dyDescent="0.3">
      <c r="A2904" s="1">
        <v>44408</v>
      </c>
      <c r="B2904" t="s">
        <v>22</v>
      </c>
      <c r="C2904" t="s">
        <v>14</v>
      </c>
      <c r="D2904" s="2">
        <v>22284627.5511792</v>
      </c>
      <c r="E2904" s="2">
        <v>6143094.03387227</v>
      </c>
      <c r="F2904" s="2">
        <v>28427721.585051499</v>
      </c>
    </row>
    <row r="2905" spans="1:6" x14ac:dyDescent="0.3">
      <c r="A2905" s="1">
        <v>44439</v>
      </c>
      <c r="B2905" t="s">
        <v>6</v>
      </c>
      <c r="C2905" t="s">
        <v>7</v>
      </c>
      <c r="D2905" s="2">
        <v>4036834.9328000001</v>
      </c>
      <c r="E2905" s="2">
        <v>1277.8150000000001</v>
      </c>
      <c r="F2905" s="2">
        <v>4038112.7478</v>
      </c>
    </row>
    <row r="2906" spans="1:6" x14ac:dyDescent="0.3">
      <c r="A2906" s="1">
        <v>44439</v>
      </c>
      <c r="B2906" t="s">
        <v>6</v>
      </c>
      <c r="C2906" t="s">
        <v>8</v>
      </c>
      <c r="D2906" s="2">
        <v>12403487.937100001</v>
      </c>
      <c r="E2906" s="2">
        <v>8425.0360999999994</v>
      </c>
      <c r="F2906" s="2">
        <v>12411912.973200001</v>
      </c>
    </row>
    <row r="2907" spans="1:6" x14ac:dyDescent="0.3">
      <c r="A2907" s="1">
        <v>44439</v>
      </c>
      <c r="B2907" t="s">
        <v>6</v>
      </c>
      <c r="C2907" t="s">
        <v>9</v>
      </c>
      <c r="D2907" s="2">
        <v>3287357.47535</v>
      </c>
      <c r="E2907" s="2">
        <v>6752.1723000000002</v>
      </c>
      <c r="F2907" s="2">
        <v>3294109.6476500002</v>
      </c>
    </row>
    <row r="2908" spans="1:6" x14ac:dyDescent="0.3">
      <c r="A2908" s="1">
        <v>44439</v>
      </c>
      <c r="B2908" t="s">
        <v>6</v>
      </c>
      <c r="C2908" t="s">
        <v>10</v>
      </c>
      <c r="D2908" s="2">
        <v>1627920.41460789</v>
      </c>
      <c r="E2908" s="2">
        <v>712.56965335999996</v>
      </c>
      <c r="F2908" s="2">
        <v>1628632.9842612499</v>
      </c>
    </row>
    <row r="2909" spans="1:6" x14ac:dyDescent="0.3">
      <c r="A2909" s="1">
        <v>44439</v>
      </c>
      <c r="B2909" t="s">
        <v>6</v>
      </c>
      <c r="C2909" t="s">
        <v>11</v>
      </c>
      <c r="D2909" s="2">
        <v>553288.32339999999</v>
      </c>
      <c r="E2909" s="2">
        <v>78.064999999999998</v>
      </c>
      <c r="F2909" s="2">
        <v>553366.38840000005</v>
      </c>
    </row>
    <row r="2910" spans="1:6" x14ac:dyDescent="0.3">
      <c r="A2910" s="1">
        <v>44439</v>
      </c>
      <c r="B2910" t="s">
        <v>6</v>
      </c>
      <c r="C2910" t="s">
        <v>12</v>
      </c>
      <c r="D2910" s="2">
        <v>0</v>
      </c>
      <c r="E2910" s="2">
        <v>6053.0389999999998</v>
      </c>
      <c r="F2910" s="2">
        <v>6053.0389999999998</v>
      </c>
    </row>
    <row r="2911" spans="1:6" x14ac:dyDescent="0.3">
      <c r="A2911" s="1">
        <v>44439</v>
      </c>
      <c r="B2911" t="s">
        <v>13</v>
      </c>
      <c r="C2911" t="s">
        <v>14</v>
      </c>
      <c r="D2911" s="2">
        <v>21908889.083257899</v>
      </c>
      <c r="E2911" s="2">
        <v>23298.69705336</v>
      </c>
      <c r="F2911" s="2">
        <v>21932187.780311201</v>
      </c>
    </row>
    <row r="2912" spans="1:6" x14ac:dyDescent="0.3">
      <c r="A2912" s="1">
        <v>44439</v>
      </c>
      <c r="B2912" t="s">
        <v>15</v>
      </c>
      <c r="C2912" t="s">
        <v>16</v>
      </c>
      <c r="D2912" s="2">
        <v>44572.7221651</v>
      </c>
      <c r="E2912" s="2">
        <v>0</v>
      </c>
      <c r="F2912" s="2">
        <v>44572.7221651</v>
      </c>
    </row>
    <row r="2913" spans="1:6" x14ac:dyDescent="0.3">
      <c r="A2913" s="1">
        <v>44439</v>
      </c>
      <c r="B2913" t="s">
        <v>15</v>
      </c>
      <c r="C2913" t="s">
        <v>23</v>
      </c>
      <c r="D2913" s="2">
        <v>264.34199999999998</v>
      </c>
      <c r="E2913" s="2">
        <v>0</v>
      </c>
      <c r="F2913" s="2">
        <v>264.34199999999998</v>
      </c>
    </row>
    <row r="2914" spans="1:6" x14ac:dyDescent="0.3">
      <c r="A2914" s="1">
        <v>44439</v>
      </c>
      <c r="B2914" t="s">
        <v>15</v>
      </c>
      <c r="C2914" t="s">
        <v>17</v>
      </c>
      <c r="D2914" s="2">
        <v>129561.88516895</v>
      </c>
      <c r="E2914" s="2">
        <v>0</v>
      </c>
      <c r="F2914" s="2">
        <v>129561.88516895</v>
      </c>
    </row>
    <row r="2915" spans="1:6" x14ac:dyDescent="0.3">
      <c r="A2915" s="1">
        <v>44439</v>
      </c>
      <c r="B2915" t="s">
        <v>15</v>
      </c>
      <c r="C2915" t="s">
        <v>18</v>
      </c>
      <c r="D2915" s="2">
        <v>144020.00998353999</v>
      </c>
      <c r="E2915" s="2">
        <v>0</v>
      </c>
      <c r="F2915" s="2">
        <v>144020.00998353999</v>
      </c>
    </row>
    <row r="2916" spans="1:6" x14ac:dyDescent="0.3">
      <c r="A2916" s="1">
        <v>44439</v>
      </c>
      <c r="B2916" t="s">
        <v>15</v>
      </c>
      <c r="C2916" t="s">
        <v>19</v>
      </c>
      <c r="D2916" s="2">
        <v>24175.397544719999</v>
      </c>
      <c r="E2916" s="2">
        <v>6149474.6107861102</v>
      </c>
      <c r="F2916" s="2">
        <v>6173650.0083308304</v>
      </c>
    </row>
    <row r="2917" spans="1:6" x14ac:dyDescent="0.3">
      <c r="A2917" s="1">
        <v>44439</v>
      </c>
      <c r="B2917" t="s">
        <v>15</v>
      </c>
      <c r="C2917" t="s">
        <v>20</v>
      </c>
      <c r="D2917" s="2">
        <v>3060.0042959900002</v>
      </c>
      <c r="E2917" s="2">
        <v>0</v>
      </c>
      <c r="F2917" s="2">
        <v>3060.0042959900002</v>
      </c>
    </row>
    <row r="2918" spans="1:6" x14ac:dyDescent="0.3">
      <c r="A2918" s="1">
        <v>44439</v>
      </c>
      <c r="B2918" t="s">
        <v>21</v>
      </c>
      <c r="C2918" t="s">
        <v>14</v>
      </c>
      <c r="D2918" s="2">
        <v>345654.36115830002</v>
      </c>
      <c r="E2918" s="2">
        <v>6149474.6107861102</v>
      </c>
      <c r="F2918" s="2">
        <v>6495128.9719444104</v>
      </c>
    </row>
    <row r="2919" spans="1:6" x14ac:dyDescent="0.3">
      <c r="A2919" s="1">
        <v>44439</v>
      </c>
      <c r="B2919" t="s">
        <v>22</v>
      </c>
      <c r="C2919" t="s">
        <v>14</v>
      </c>
      <c r="D2919" s="2">
        <v>22254544.444416199</v>
      </c>
      <c r="E2919" s="2">
        <v>6172774.30783947</v>
      </c>
      <c r="F2919" s="2">
        <v>28427316.7522556</v>
      </c>
    </row>
    <row r="2920" spans="1:6" x14ac:dyDescent="0.3">
      <c r="A2920" s="1">
        <v>44469</v>
      </c>
      <c r="B2920" t="s">
        <v>15</v>
      </c>
      <c r="C2920" t="s">
        <v>18</v>
      </c>
      <c r="D2920" s="2">
        <v>143662.05692154</v>
      </c>
      <c r="E2920" s="2">
        <v>0</v>
      </c>
      <c r="F2920" s="2">
        <v>143662.05692154</v>
      </c>
    </row>
    <row r="2921" spans="1:6" x14ac:dyDescent="0.3">
      <c r="A2921" s="1">
        <v>44469</v>
      </c>
      <c r="B2921" t="s">
        <v>15</v>
      </c>
      <c r="C2921" t="s">
        <v>19</v>
      </c>
      <c r="D2921" s="2">
        <v>120537.14953580999</v>
      </c>
      <c r="E2921" s="2">
        <v>6122780.9297712203</v>
      </c>
      <c r="F2921" s="2">
        <v>6243318.07930703</v>
      </c>
    </row>
    <row r="2922" spans="1:6" x14ac:dyDescent="0.3">
      <c r="A2922" s="1">
        <v>44469</v>
      </c>
      <c r="B2922" t="s">
        <v>15</v>
      </c>
      <c r="C2922" t="s">
        <v>20</v>
      </c>
      <c r="D2922" s="2">
        <v>3143.7658477499999</v>
      </c>
      <c r="E2922" s="2">
        <v>0</v>
      </c>
      <c r="F2922" s="2">
        <v>3143.7658477499999</v>
      </c>
    </row>
    <row r="2923" spans="1:6" x14ac:dyDescent="0.3">
      <c r="A2923" s="1">
        <v>44469</v>
      </c>
      <c r="B2923" t="s">
        <v>21</v>
      </c>
      <c r="C2923" t="s">
        <v>14</v>
      </c>
      <c r="D2923" s="2">
        <v>427434.97038686997</v>
      </c>
      <c r="E2923" s="2">
        <v>6122780.9297712203</v>
      </c>
      <c r="F2923" s="2">
        <v>6550215.9001580896</v>
      </c>
    </row>
    <row r="2924" spans="1:6" x14ac:dyDescent="0.3">
      <c r="A2924" s="1">
        <v>44469</v>
      </c>
      <c r="B2924" t="s">
        <v>22</v>
      </c>
      <c r="C2924" t="s">
        <v>14</v>
      </c>
      <c r="D2924" s="2">
        <v>22282900.228130199</v>
      </c>
      <c r="E2924" s="2">
        <v>6146017.8843384497</v>
      </c>
      <c r="F2924" s="2">
        <v>28428919.1124686</v>
      </c>
    </row>
    <row r="2925" spans="1:6" x14ac:dyDescent="0.3">
      <c r="A2925" s="1">
        <v>44469</v>
      </c>
      <c r="B2925" t="s">
        <v>6</v>
      </c>
      <c r="C2925" t="s">
        <v>7</v>
      </c>
      <c r="D2925" s="2">
        <v>3712951.5196000002</v>
      </c>
      <c r="E2925" s="2">
        <v>1167.0487000000001</v>
      </c>
      <c r="F2925" s="2">
        <v>3714118.5682999999</v>
      </c>
    </row>
    <row r="2926" spans="1:6" x14ac:dyDescent="0.3">
      <c r="A2926" s="1">
        <v>44469</v>
      </c>
      <c r="B2926" t="s">
        <v>6</v>
      </c>
      <c r="C2926" t="s">
        <v>8</v>
      </c>
      <c r="D2926" s="2">
        <v>12570462.9311</v>
      </c>
      <c r="E2926" s="2">
        <v>8478.1686000000009</v>
      </c>
      <c r="F2926" s="2">
        <v>12578941.0997</v>
      </c>
    </row>
    <row r="2927" spans="1:6" x14ac:dyDescent="0.3">
      <c r="A2927" s="1">
        <v>44469</v>
      </c>
      <c r="B2927" t="s">
        <v>6</v>
      </c>
      <c r="C2927" t="s">
        <v>9</v>
      </c>
      <c r="D2927" s="2">
        <v>3340760.23275</v>
      </c>
      <c r="E2927" s="2">
        <v>6795.2563</v>
      </c>
      <c r="F2927" s="2">
        <v>3347555.48905</v>
      </c>
    </row>
    <row r="2928" spans="1:6" x14ac:dyDescent="0.3">
      <c r="A2928" s="1">
        <v>44469</v>
      </c>
      <c r="B2928" t="s">
        <v>6</v>
      </c>
      <c r="C2928" t="s">
        <v>10</v>
      </c>
      <c r="D2928" s="2">
        <v>1651998.37629334</v>
      </c>
      <c r="E2928" s="2">
        <v>669.21696723000002</v>
      </c>
      <c r="F2928" s="2">
        <v>1652667.59326057</v>
      </c>
    </row>
    <row r="2929" spans="1:6" x14ac:dyDescent="0.3">
      <c r="A2929" s="1">
        <v>44469</v>
      </c>
      <c r="B2929" t="s">
        <v>6</v>
      </c>
      <c r="C2929" t="s">
        <v>11</v>
      </c>
      <c r="D2929" s="2">
        <v>579292.19799999997</v>
      </c>
      <c r="E2929" s="2">
        <v>74.224999999999994</v>
      </c>
      <c r="F2929" s="2">
        <v>579366.42299999995</v>
      </c>
    </row>
    <row r="2930" spans="1:6" x14ac:dyDescent="0.3">
      <c r="A2930" s="1">
        <v>44469</v>
      </c>
      <c r="B2930" t="s">
        <v>6</v>
      </c>
      <c r="C2930" t="s">
        <v>12</v>
      </c>
      <c r="D2930" s="2">
        <v>0</v>
      </c>
      <c r="E2930" s="2">
        <v>6053.0389999999998</v>
      </c>
      <c r="F2930" s="2">
        <v>6053.0389999999998</v>
      </c>
    </row>
    <row r="2931" spans="1:6" x14ac:dyDescent="0.3">
      <c r="A2931" s="1">
        <v>44469</v>
      </c>
      <c r="B2931" t="s">
        <v>13</v>
      </c>
      <c r="C2931" t="s">
        <v>14</v>
      </c>
      <c r="D2931" s="2">
        <v>21855465.257743299</v>
      </c>
      <c r="E2931" s="2">
        <v>23236.954567230001</v>
      </c>
      <c r="F2931" s="2">
        <v>21878702.212310601</v>
      </c>
    </row>
    <row r="2932" spans="1:6" x14ac:dyDescent="0.3">
      <c r="A2932" s="1">
        <v>44469</v>
      </c>
      <c r="B2932" t="s">
        <v>15</v>
      </c>
      <c r="C2932" t="s">
        <v>16</v>
      </c>
      <c r="D2932" s="2">
        <v>32781.097005390002</v>
      </c>
      <c r="E2932" s="2">
        <v>0</v>
      </c>
      <c r="F2932" s="2">
        <v>32781.097005390002</v>
      </c>
    </row>
    <row r="2933" spans="1:6" x14ac:dyDescent="0.3">
      <c r="A2933" s="1">
        <v>44469</v>
      </c>
      <c r="B2933" t="s">
        <v>15</v>
      </c>
      <c r="C2933" t="s">
        <v>23</v>
      </c>
      <c r="D2933" s="2">
        <v>264.34199999999998</v>
      </c>
      <c r="E2933" s="2">
        <v>0</v>
      </c>
      <c r="F2933" s="2">
        <v>264.34199999999998</v>
      </c>
    </row>
    <row r="2934" spans="1:6" x14ac:dyDescent="0.3">
      <c r="A2934" s="1">
        <v>44469</v>
      </c>
      <c r="B2934" t="s">
        <v>15</v>
      </c>
      <c r="C2934" t="s">
        <v>17</v>
      </c>
      <c r="D2934" s="2">
        <v>127046.55907638</v>
      </c>
      <c r="E2934" s="2">
        <v>0</v>
      </c>
      <c r="F2934" s="2">
        <v>127046.55907638</v>
      </c>
    </row>
    <row r="2935" spans="1:6" x14ac:dyDescent="0.3">
      <c r="A2935" s="1">
        <v>44500</v>
      </c>
      <c r="B2935" t="s">
        <v>15</v>
      </c>
      <c r="C2935" t="s">
        <v>18</v>
      </c>
      <c r="D2935" s="2">
        <v>143514.94515593999</v>
      </c>
      <c r="E2935" s="2">
        <v>0</v>
      </c>
      <c r="F2935" s="2">
        <v>143514.94515593999</v>
      </c>
    </row>
    <row r="2936" spans="1:6" x14ac:dyDescent="0.3">
      <c r="A2936" s="1">
        <v>44500</v>
      </c>
      <c r="B2936" t="s">
        <v>15</v>
      </c>
      <c r="C2936" t="s">
        <v>19</v>
      </c>
      <c r="D2936" s="2">
        <v>229416.46784220001</v>
      </c>
      <c r="E2936" s="2">
        <v>6247230.0708861304</v>
      </c>
      <c r="F2936" s="2">
        <v>6476646.5387283303</v>
      </c>
    </row>
    <row r="2937" spans="1:6" x14ac:dyDescent="0.3">
      <c r="A2937" s="1">
        <v>44500</v>
      </c>
      <c r="B2937" t="s">
        <v>15</v>
      </c>
      <c r="C2937" t="s">
        <v>20</v>
      </c>
      <c r="D2937" s="2">
        <v>3177.5501197399999</v>
      </c>
      <c r="E2937" s="2">
        <v>0</v>
      </c>
      <c r="F2937" s="2">
        <v>3177.5501197399999</v>
      </c>
    </row>
    <row r="2938" spans="1:6" x14ac:dyDescent="0.3">
      <c r="A2938" s="1">
        <v>44500</v>
      </c>
      <c r="B2938" t="s">
        <v>21</v>
      </c>
      <c r="C2938" t="s">
        <v>14</v>
      </c>
      <c r="D2938" s="2">
        <v>529452.71049129998</v>
      </c>
      <c r="E2938" s="2">
        <v>6247230.0708861304</v>
      </c>
      <c r="F2938" s="2">
        <v>6776682.7813774301</v>
      </c>
    </row>
    <row r="2939" spans="1:6" x14ac:dyDescent="0.3">
      <c r="A2939" s="1">
        <v>44500</v>
      </c>
      <c r="B2939" t="s">
        <v>22</v>
      </c>
      <c r="C2939" t="s">
        <v>14</v>
      </c>
      <c r="D2939" s="2">
        <v>22637089.618510999</v>
      </c>
      <c r="E2939" s="2">
        <v>6271676.2427948797</v>
      </c>
      <c r="F2939" s="2">
        <v>28908764.8613059</v>
      </c>
    </row>
    <row r="2940" spans="1:6" x14ac:dyDescent="0.3">
      <c r="A2940" s="1">
        <v>44500</v>
      </c>
      <c r="B2940" t="s">
        <v>6</v>
      </c>
      <c r="C2940" t="s">
        <v>7</v>
      </c>
      <c r="D2940" s="2">
        <v>3850718.0666999999</v>
      </c>
      <c r="E2940" s="2">
        <v>1387.8767</v>
      </c>
      <c r="F2940" s="2">
        <v>3852105.9434000002</v>
      </c>
    </row>
    <row r="2941" spans="1:6" x14ac:dyDescent="0.3">
      <c r="A2941" s="1">
        <v>44500</v>
      </c>
      <c r="B2941" t="s">
        <v>6</v>
      </c>
      <c r="C2941" t="s">
        <v>8</v>
      </c>
      <c r="D2941" s="2">
        <v>12637484.2393</v>
      </c>
      <c r="E2941" s="2">
        <v>8680.1846000000005</v>
      </c>
      <c r="F2941" s="2">
        <v>12646164.423900001</v>
      </c>
    </row>
    <row r="2942" spans="1:6" x14ac:dyDescent="0.3">
      <c r="A2942" s="1">
        <v>44500</v>
      </c>
      <c r="B2942" t="s">
        <v>6</v>
      </c>
      <c r="C2942" t="s">
        <v>9</v>
      </c>
      <c r="D2942" s="2">
        <v>3365745.2994499998</v>
      </c>
      <c r="E2942" s="2">
        <v>7615.0675000000001</v>
      </c>
      <c r="F2942" s="2">
        <v>3373360.3669500002</v>
      </c>
    </row>
    <row r="2943" spans="1:6" x14ac:dyDescent="0.3">
      <c r="A2943" s="1">
        <v>44500</v>
      </c>
      <c r="B2943" t="s">
        <v>6</v>
      </c>
      <c r="C2943" t="s">
        <v>10</v>
      </c>
      <c r="D2943" s="2">
        <v>1674397.8995697501</v>
      </c>
      <c r="E2943" s="2">
        <v>633.98410875000002</v>
      </c>
      <c r="F2943" s="2">
        <v>1675031.8836785001</v>
      </c>
    </row>
    <row r="2944" spans="1:6" x14ac:dyDescent="0.3">
      <c r="A2944" s="1">
        <v>44500</v>
      </c>
      <c r="B2944" t="s">
        <v>6</v>
      </c>
      <c r="C2944" t="s">
        <v>11</v>
      </c>
      <c r="D2944" s="2">
        <v>579291.40300000005</v>
      </c>
      <c r="E2944" s="2">
        <v>75.02</v>
      </c>
      <c r="F2944" s="2">
        <v>579366.42299999995</v>
      </c>
    </row>
    <row r="2945" spans="1:6" x14ac:dyDescent="0.3">
      <c r="A2945" s="1">
        <v>44500</v>
      </c>
      <c r="B2945" t="s">
        <v>6</v>
      </c>
      <c r="C2945" t="s">
        <v>12</v>
      </c>
      <c r="D2945" s="2">
        <v>0</v>
      </c>
      <c r="E2945" s="2">
        <v>6053.0389999999998</v>
      </c>
      <c r="F2945" s="2">
        <v>6053.0389999999998</v>
      </c>
    </row>
    <row r="2946" spans="1:6" x14ac:dyDescent="0.3">
      <c r="A2946" s="1">
        <v>44500</v>
      </c>
      <c r="B2946" t="s">
        <v>13</v>
      </c>
      <c r="C2946" t="s">
        <v>14</v>
      </c>
      <c r="D2946" s="2">
        <v>22107636.908019699</v>
      </c>
      <c r="E2946" s="2">
        <v>24445.171908749999</v>
      </c>
      <c r="F2946" s="2">
        <v>22132082.079928499</v>
      </c>
    </row>
    <row r="2947" spans="1:6" x14ac:dyDescent="0.3">
      <c r="A2947" s="1">
        <v>44500</v>
      </c>
      <c r="B2947" t="s">
        <v>15</v>
      </c>
      <c r="C2947" t="s">
        <v>16</v>
      </c>
      <c r="D2947" s="2">
        <v>32781.548714190001</v>
      </c>
      <c r="E2947" s="2">
        <v>0</v>
      </c>
      <c r="F2947" s="2">
        <v>32781.548714190001</v>
      </c>
    </row>
    <row r="2948" spans="1:6" x14ac:dyDescent="0.3">
      <c r="A2948" s="1">
        <v>44500</v>
      </c>
      <c r="B2948" t="s">
        <v>15</v>
      </c>
      <c r="C2948" t="s">
        <v>23</v>
      </c>
      <c r="D2948" s="2">
        <v>264.34199999999998</v>
      </c>
      <c r="E2948" s="2">
        <v>0</v>
      </c>
      <c r="F2948" s="2">
        <v>264.34199999999998</v>
      </c>
    </row>
    <row r="2949" spans="1:6" x14ac:dyDescent="0.3">
      <c r="A2949" s="1">
        <v>44500</v>
      </c>
      <c r="B2949" t="s">
        <v>15</v>
      </c>
      <c r="C2949" t="s">
        <v>17</v>
      </c>
      <c r="D2949" s="2">
        <v>120297.85665923</v>
      </c>
      <c r="E2949" s="2">
        <v>0</v>
      </c>
      <c r="F2949" s="2">
        <v>120297.85665923</v>
      </c>
    </row>
    <row r="2950" spans="1:6" x14ac:dyDescent="0.3">
      <c r="A2950" s="1">
        <v>44530</v>
      </c>
      <c r="B2950" t="s">
        <v>6</v>
      </c>
      <c r="C2950" t="s">
        <v>8</v>
      </c>
      <c r="D2950" s="2">
        <v>12845780.977700001</v>
      </c>
      <c r="E2950" s="2">
        <v>8780.2793000000001</v>
      </c>
      <c r="F2950" s="2">
        <v>12854561.256999999</v>
      </c>
    </row>
    <row r="2951" spans="1:6" x14ac:dyDescent="0.3">
      <c r="A2951" s="1">
        <v>44530</v>
      </c>
      <c r="B2951" t="s">
        <v>6</v>
      </c>
      <c r="C2951" t="s">
        <v>9</v>
      </c>
      <c r="D2951" s="2">
        <v>3426187.9351499998</v>
      </c>
      <c r="E2951" s="2">
        <v>7337.3924999999999</v>
      </c>
      <c r="F2951" s="2">
        <v>3433525.3276499999</v>
      </c>
    </row>
    <row r="2952" spans="1:6" x14ac:dyDescent="0.3">
      <c r="A2952" s="1">
        <v>44530</v>
      </c>
      <c r="B2952" t="s">
        <v>6</v>
      </c>
      <c r="C2952" t="s">
        <v>10</v>
      </c>
      <c r="D2952" s="2">
        <v>1694646.45274331</v>
      </c>
      <c r="E2952" s="2">
        <v>625.76860988999999</v>
      </c>
      <c r="F2952" s="2">
        <v>1695272.2213532</v>
      </c>
    </row>
    <row r="2953" spans="1:6" x14ac:dyDescent="0.3">
      <c r="A2953" s="1">
        <v>44530</v>
      </c>
      <c r="B2953" t="s">
        <v>6</v>
      </c>
      <c r="C2953" t="s">
        <v>11</v>
      </c>
      <c r="D2953" s="2">
        <v>576028.42039999994</v>
      </c>
      <c r="E2953" s="2">
        <v>70.37</v>
      </c>
      <c r="F2953" s="2">
        <v>576098.79040000006</v>
      </c>
    </row>
    <row r="2954" spans="1:6" x14ac:dyDescent="0.3">
      <c r="A2954" s="1">
        <v>44530</v>
      </c>
      <c r="B2954" t="s">
        <v>6</v>
      </c>
      <c r="C2954" t="s">
        <v>12</v>
      </c>
      <c r="D2954" s="2">
        <v>0</v>
      </c>
      <c r="E2954" s="2">
        <v>6053.0389999999998</v>
      </c>
      <c r="F2954" s="2">
        <v>6053.0389999999998</v>
      </c>
    </row>
    <row r="2955" spans="1:6" x14ac:dyDescent="0.3">
      <c r="A2955" s="1">
        <v>44530</v>
      </c>
      <c r="B2955" t="s">
        <v>13</v>
      </c>
      <c r="C2955" t="s">
        <v>14</v>
      </c>
      <c r="D2955" s="2">
        <v>22327320.546693299</v>
      </c>
      <c r="E2955" s="2">
        <v>24286.41610989</v>
      </c>
      <c r="F2955" s="2">
        <v>22351606.9628032</v>
      </c>
    </row>
    <row r="2956" spans="1:6" x14ac:dyDescent="0.3">
      <c r="A2956" s="1">
        <v>44530</v>
      </c>
      <c r="B2956" t="s">
        <v>15</v>
      </c>
      <c r="C2956" t="s">
        <v>16</v>
      </c>
      <c r="D2956" s="2">
        <v>28591.580326089999</v>
      </c>
      <c r="E2956" s="2">
        <v>0</v>
      </c>
      <c r="F2956" s="2">
        <v>28591.580326089999</v>
      </c>
    </row>
    <row r="2957" spans="1:6" x14ac:dyDescent="0.3">
      <c r="A2957" s="1">
        <v>44530</v>
      </c>
      <c r="B2957" t="s">
        <v>15</v>
      </c>
      <c r="C2957" t="s">
        <v>23</v>
      </c>
      <c r="D2957" s="2">
        <v>264.34199999999998</v>
      </c>
      <c r="E2957" s="2">
        <v>0</v>
      </c>
      <c r="F2957" s="2">
        <v>264.34199999999998</v>
      </c>
    </row>
    <row r="2958" spans="1:6" x14ac:dyDescent="0.3">
      <c r="A2958" s="1">
        <v>44530</v>
      </c>
      <c r="B2958" t="s">
        <v>6</v>
      </c>
      <c r="C2958" t="s">
        <v>7</v>
      </c>
      <c r="D2958" s="2">
        <v>3784676.7607</v>
      </c>
      <c r="E2958" s="2">
        <v>1419.5667000000001</v>
      </c>
      <c r="F2958" s="2">
        <v>3786096.3273999998</v>
      </c>
    </row>
    <row r="2959" spans="1:6" x14ac:dyDescent="0.3">
      <c r="A2959" s="1">
        <v>44530</v>
      </c>
      <c r="B2959" t="s">
        <v>15</v>
      </c>
      <c r="C2959" t="s">
        <v>17</v>
      </c>
      <c r="D2959" s="2">
        <v>113851.72312446</v>
      </c>
      <c r="E2959" s="2">
        <v>0</v>
      </c>
      <c r="F2959" s="2">
        <v>113851.72312446</v>
      </c>
    </row>
    <row r="2960" spans="1:6" x14ac:dyDescent="0.3">
      <c r="A2960" s="1">
        <v>44530</v>
      </c>
      <c r="B2960" t="s">
        <v>15</v>
      </c>
      <c r="C2960" t="s">
        <v>18</v>
      </c>
      <c r="D2960" s="2">
        <v>144170.85779921</v>
      </c>
      <c r="E2960" s="2">
        <v>0</v>
      </c>
      <c r="F2960" s="2">
        <v>144170.85779921</v>
      </c>
    </row>
    <row r="2961" spans="1:6" x14ac:dyDescent="0.3">
      <c r="A2961" s="1">
        <v>44530</v>
      </c>
      <c r="B2961" t="s">
        <v>15</v>
      </c>
      <c r="C2961" t="s">
        <v>19</v>
      </c>
      <c r="D2961" s="2">
        <v>28462.36867036</v>
      </c>
      <c r="E2961" s="2">
        <v>6237789.18901644</v>
      </c>
      <c r="F2961" s="2">
        <v>6266250.5576868001</v>
      </c>
    </row>
    <row r="2962" spans="1:6" x14ac:dyDescent="0.3">
      <c r="A2962" s="1">
        <v>44530</v>
      </c>
      <c r="B2962" t="s">
        <v>15</v>
      </c>
      <c r="C2962" t="s">
        <v>20</v>
      </c>
      <c r="D2962" s="2">
        <v>3250.44351207</v>
      </c>
      <c r="E2962" s="2">
        <v>0</v>
      </c>
      <c r="F2962" s="2">
        <v>3250.44351207</v>
      </c>
    </row>
    <row r="2963" spans="1:6" x14ac:dyDescent="0.3">
      <c r="A2963" s="1">
        <v>44530</v>
      </c>
      <c r="B2963" t="s">
        <v>21</v>
      </c>
      <c r="C2963" t="s">
        <v>14</v>
      </c>
      <c r="D2963" s="2">
        <v>318591.31543219002</v>
      </c>
      <c r="E2963" s="2">
        <v>6237789.18901644</v>
      </c>
      <c r="F2963" s="2">
        <v>6556379.5044486299</v>
      </c>
    </row>
    <row r="2964" spans="1:6" x14ac:dyDescent="0.3">
      <c r="A2964" s="1">
        <v>44530</v>
      </c>
      <c r="B2964" t="s">
        <v>22</v>
      </c>
      <c r="C2964" t="s">
        <v>14</v>
      </c>
      <c r="D2964" s="2">
        <v>22645911.862125501</v>
      </c>
      <c r="E2964" s="2">
        <v>6262074.6051263297</v>
      </c>
      <c r="F2964" s="2">
        <v>28907987.4672518</v>
      </c>
    </row>
    <row r="2965" spans="1:6" x14ac:dyDescent="0.3">
      <c r="A2965" s="1">
        <v>44561</v>
      </c>
      <c r="B2965" t="s">
        <v>6</v>
      </c>
      <c r="C2965" t="s">
        <v>7</v>
      </c>
      <c r="D2965" s="2">
        <v>3767964.0301000001</v>
      </c>
      <c r="E2965" s="2">
        <v>2101.538</v>
      </c>
      <c r="F2965" s="2">
        <v>3770065.5680999998</v>
      </c>
    </row>
    <row r="2966" spans="1:6" x14ac:dyDescent="0.3">
      <c r="A2966" s="1">
        <v>44561</v>
      </c>
      <c r="B2966" t="s">
        <v>6</v>
      </c>
      <c r="C2966" t="s">
        <v>8</v>
      </c>
      <c r="D2966" s="2">
        <v>12992160.0952</v>
      </c>
      <c r="E2966" s="2">
        <v>8346.4082999999991</v>
      </c>
      <c r="F2966" s="2">
        <v>13000506.5035</v>
      </c>
    </row>
    <row r="2967" spans="1:6" x14ac:dyDescent="0.3">
      <c r="A2967" s="1">
        <v>44561</v>
      </c>
      <c r="B2967" t="s">
        <v>6</v>
      </c>
      <c r="C2967" t="s">
        <v>9</v>
      </c>
      <c r="D2967" s="2">
        <v>3474153.3787500001</v>
      </c>
      <c r="E2967" s="2">
        <v>7357.9764999999998</v>
      </c>
      <c r="F2967" s="2">
        <v>3481511.35525</v>
      </c>
    </row>
    <row r="2968" spans="1:6" x14ac:dyDescent="0.3">
      <c r="A2968" s="1">
        <v>44561</v>
      </c>
      <c r="B2968" t="s">
        <v>6</v>
      </c>
      <c r="C2968" t="s">
        <v>10</v>
      </c>
      <c r="D2968" s="2">
        <v>1727968.07500719</v>
      </c>
      <c r="E2968" s="2">
        <v>627.18645749999996</v>
      </c>
      <c r="F2968" s="2">
        <v>1728595.2614646901</v>
      </c>
    </row>
    <row r="2969" spans="1:6" x14ac:dyDescent="0.3">
      <c r="A2969" s="1">
        <v>44561</v>
      </c>
      <c r="B2969" t="s">
        <v>6</v>
      </c>
      <c r="C2969" t="s">
        <v>11</v>
      </c>
      <c r="D2969" s="2">
        <v>603301.74419999996</v>
      </c>
      <c r="E2969" s="2">
        <v>58.09</v>
      </c>
      <c r="F2969" s="2">
        <v>603359.83420000004</v>
      </c>
    </row>
    <row r="2970" spans="1:6" x14ac:dyDescent="0.3">
      <c r="A2970" s="1">
        <v>44561</v>
      </c>
      <c r="B2970" t="s">
        <v>6</v>
      </c>
      <c r="C2970" t="s">
        <v>12</v>
      </c>
      <c r="D2970" s="2">
        <v>0</v>
      </c>
      <c r="E2970" s="2">
        <v>6053.0389999999998</v>
      </c>
      <c r="F2970" s="2">
        <v>6053.0389999999998</v>
      </c>
    </row>
    <row r="2971" spans="1:6" x14ac:dyDescent="0.3">
      <c r="A2971" s="1">
        <v>44561</v>
      </c>
      <c r="B2971" t="s">
        <v>13</v>
      </c>
      <c r="C2971" t="s">
        <v>14</v>
      </c>
      <c r="D2971" s="2">
        <v>22565547.3232572</v>
      </c>
      <c r="E2971" s="2">
        <v>24544.238257500001</v>
      </c>
      <c r="F2971" s="2">
        <v>22590091.561514702</v>
      </c>
    </row>
    <row r="2972" spans="1:6" x14ac:dyDescent="0.3">
      <c r="A2972" s="1">
        <v>44561</v>
      </c>
      <c r="B2972" t="s">
        <v>15</v>
      </c>
      <c r="C2972" t="s">
        <v>16</v>
      </c>
      <c r="D2972" s="2">
        <v>28592.155198209999</v>
      </c>
      <c r="E2972" s="2">
        <v>0</v>
      </c>
      <c r="F2972" s="2">
        <v>28592.155198209999</v>
      </c>
    </row>
    <row r="2973" spans="1:6" x14ac:dyDescent="0.3">
      <c r="A2973" s="1">
        <v>44561</v>
      </c>
      <c r="B2973" t="s">
        <v>15</v>
      </c>
      <c r="C2973" t="s">
        <v>23</v>
      </c>
      <c r="D2973" s="2">
        <v>264.34199999999998</v>
      </c>
      <c r="E2973" s="2">
        <v>0</v>
      </c>
      <c r="F2973" s="2">
        <v>264.34199999999998</v>
      </c>
    </row>
    <row r="2974" spans="1:6" x14ac:dyDescent="0.3">
      <c r="A2974" s="1">
        <v>44561</v>
      </c>
      <c r="B2974" t="s">
        <v>15</v>
      </c>
      <c r="C2974" t="s">
        <v>17</v>
      </c>
      <c r="D2974" s="2">
        <v>109702.76658883</v>
      </c>
      <c r="E2974" s="2">
        <v>0</v>
      </c>
      <c r="F2974" s="2">
        <v>109702.76658883</v>
      </c>
    </row>
    <row r="2975" spans="1:6" x14ac:dyDescent="0.3">
      <c r="A2975" s="1">
        <v>44561</v>
      </c>
      <c r="B2975" t="s">
        <v>15</v>
      </c>
      <c r="C2975" t="s">
        <v>18</v>
      </c>
      <c r="D2975" s="2">
        <v>146201.32850892999</v>
      </c>
      <c r="E2975" s="2">
        <v>0</v>
      </c>
      <c r="F2975" s="2">
        <v>146201.32850892999</v>
      </c>
    </row>
    <row r="2976" spans="1:6" x14ac:dyDescent="0.3">
      <c r="A2976" s="1">
        <v>44561</v>
      </c>
      <c r="B2976" t="s">
        <v>15</v>
      </c>
      <c r="C2976" t="s">
        <v>19</v>
      </c>
      <c r="D2976" s="2">
        <v>290176.86039281997</v>
      </c>
      <c r="E2976" s="2">
        <v>6448922.9404264204</v>
      </c>
      <c r="F2976" s="2">
        <v>6739099.8008192396</v>
      </c>
    </row>
    <row r="2977" spans="1:6" x14ac:dyDescent="0.3">
      <c r="A2977" s="1">
        <v>44561</v>
      </c>
      <c r="B2977" t="s">
        <v>15</v>
      </c>
      <c r="C2977" t="s">
        <v>20</v>
      </c>
      <c r="D2977" s="2">
        <v>3262.5659969500002</v>
      </c>
      <c r="E2977" s="2">
        <v>0</v>
      </c>
      <c r="F2977" s="2">
        <v>3262.5659969500002</v>
      </c>
    </row>
    <row r="2978" spans="1:6" x14ac:dyDescent="0.3">
      <c r="A2978" s="1">
        <v>44561</v>
      </c>
      <c r="B2978" t="s">
        <v>21</v>
      </c>
      <c r="C2978" t="s">
        <v>14</v>
      </c>
      <c r="D2978" s="2">
        <v>578200.01868573995</v>
      </c>
      <c r="E2978" s="2">
        <v>6448922.9404264204</v>
      </c>
      <c r="F2978" s="2">
        <v>7027122.9591121599</v>
      </c>
    </row>
    <row r="2979" spans="1:6" x14ac:dyDescent="0.3">
      <c r="A2979" s="1">
        <v>44561</v>
      </c>
      <c r="B2979" t="s">
        <v>22</v>
      </c>
      <c r="C2979" t="s">
        <v>14</v>
      </c>
      <c r="D2979" s="2">
        <v>23143747.341942899</v>
      </c>
      <c r="E2979" s="2">
        <v>6473468.1786839198</v>
      </c>
      <c r="F2979" s="2">
        <v>29617214.520626798</v>
      </c>
    </row>
    <row r="2980" spans="1:6" x14ac:dyDescent="0.3">
      <c r="A2980" s="1">
        <v>44592</v>
      </c>
      <c r="B2980" t="s">
        <v>6</v>
      </c>
      <c r="C2980" t="s">
        <v>7</v>
      </c>
      <c r="D2980" s="2">
        <v>3958703.3922999999</v>
      </c>
      <c r="E2980" s="2">
        <v>2347.9780000000001</v>
      </c>
      <c r="F2980" s="2">
        <v>3961051.3703000001</v>
      </c>
    </row>
    <row r="2981" spans="1:6" x14ac:dyDescent="0.3">
      <c r="A2981" s="1">
        <v>44592</v>
      </c>
      <c r="B2981" t="s">
        <v>6</v>
      </c>
      <c r="C2981" t="s">
        <v>8</v>
      </c>
      <c r="D2981" s="2">
        <v>13133210.6765</v>
      </c>
      <c r="E2981" s="2">
        <v>8340.2152999999998</v>
      </c>
      <c r="F2981" s="2">
        <v>13141550.891799999</v>
      </c>
    </row>
    <row r="2982" spans="1:6" x14ac:dyDescent="0.3">
      <c r="A2982" s="1">
        <v>44592</v>
      </c>
      <c r="B2982" t="s">
        <v>6</v>
      </c>
      <c r="C2982" t="s">
        <v>9</v>
      </c>
      <c r="D2982" s="2">
        <v>3522479.4589499999</v>
      </c>
      <c r="E2982" s="2">
        <v>7549.9745000000003</v>
      </c>
      <c r="F2982" s="2">
        <v>3530029.4334499999</v>
      </c>
    </row>
    <row r="2983" spans="1:6" x14ac:dyDescent="0.3">
      <c r="A2983" s="1">
        <v>44592</v>
      </c>
      <c r="B2983" t="s">
        <v>6</v>
      </c>
      <c r="C2983" t="s">
        <v>10</v>
      </c>
      <c r="D2983" s="2">
        <v>1704402.9439562</v>
      </c>
      <c r="E2983" s="2">
        <v>628.30971724000005</v>
      </c>
      <c r="F2983" s="2">
        <v>1705031.2536734401</v>
      </c>
    </row>
    <row r="2984" spans="1:6" x14ac:dyDescent="0.3">
      <c r="A2984" s="1">
        <v>44592</v>
      </c>
      <c r="B2984" t="s">
        <v>6</v>
      </c>
      <c r="C2984" t="s">
        <v>11</v>
      </c>
      <c r="D2984" s="2">
        <v>575127.2084</v>
      </c>
      <c r="E2984" s="2">
        <v>55.094999999999999</v>
      </c>
      <c r="F2984" s="2">
        <v>575182.30339999998</v>
      </c>
    </row>
    <row r="2985" spans="1:6" x14ac:dyDescent="0.3">
      <c r="A2985" s="1">
        <v>44592</v>
      </c>
      <c r="B2985" t="s">
        <v>6</v>
      </c>
      <c r="C2985" t="s">
        <v>12</v>
      </c>
      <c r="D2985" s="2">
        <v>0</v>
      </c>
      <c r="E2985" s="2">
        <v>6053.0389999999998</v>
      </c>
      <c r="F2985" s="2">
        <v>6053.0389999999998</v>
      </c>
    </row>
    <row r="2986" spans="1:6" x14ac:dyDescent="0.3">
      <c r="A2986" s="1">
        <v>44592</v>
      </c>
      <c r="B2986" t="s">
        <v>13</v>
      </c>
      <c r="C2986" t="s">
        <v>14</v>
      </c>
      <c r="D2986" s="2">
        <v>22893923.6801062</v>
      </c>
      <c r="E2986" s="2">
        <v>24974.611517239999</v>
      </c>
      <c r="F2986" s="2">
        <v>22918898.291623399</v>
      </c>
    </row>
    <row r="2987" spans="1:6" x14ac:dyDescent="0.3">
      <c r="A2987" s="1">
        <v>44592</v>
      </c>
      <c r="B2987" t="s">
        <v>15</v>
      </c>
      <c r="C2987" t="s">
        <v>16</v>
      </c>
      <c r="D2987" s="2">
        <v>28593.571879539999</v>
      </c>
      <c r="E2987" s="2">
        <v>0</v>
      </c>
      <c r="F2987" s="2">
        <v>28593.571879539999</v>
      </c>
    </row>
    <row r="2988" spans="1:6" x14ac:dyDescent="0.3">
      <c r="A2988" s="1">
        <v>44592</v>
      </c>
      <c r="B2988" t="s">
        <v>15</v>
      </c>
      <c r="C2988" t="s">
        <v>23</v>
      </c>
      <c r="D2988" s="2">
        <v>264.34199999999998</v>
      </c>
      <c r="E2988" s="2">
        <v>0</v>
      </c>
      <c r="F2988" s="2">
        <v>264.34199999999998</v>
      </c>
    </row>
    <row r="2989" spans="1:6" x14ac:dyDescent="0.3">
      <c r="A2989" s="1">
        <v>44592</v>
      </c>
      <c r="B2989" t="s">
        <v>15</v>
      </c>
      <c r="C2989" t="s">
        <v>17</v>
      </c>
      <c r="D2989" s="2">
        <v>108070.06858984999</v>
      </c>
      <c r="E2989" s="2">
        <v>0</v>
      </c>
      <c r="F2989" s="2">
        <v>108070.06858984999</v>
      </c>
    </row>
    <row r="2990" spans="1:6" x14ac:dyDescent="0.3">
      <c r="A2990" s="1">
        <v>44592</v>
      </c>
      <c r="B2990" t="s">
        <v>15</v>
      </c>
      <c r="C2990" t="s">
        <v>18</v>
      </c>
      <c r="D2990" s="2">
        <v>148838.96228882999</v>
      </c>
      <c r="E2990" s="2">
        <v>0</v>
      </c>
      <c r="F2990" s="2">
        <v>148838.96228882999</v>
      </c>
    </row>
    <row r="2991" spans="1:6" x14ac:dyDescent="0.3">
      <c r="A2991" s="1">
        <v>44592</v>
      </c>
      <c r="B2991" t="s">
        <v>15</v>
      </c>
      <c r="C2991" t="s">
        <v>19</v>
      </c>
      <c r="D2991" s="2">
        <v>304045.61854121002</v>
      </c>
      <c r="E2991" s="2">
        <v>6500231.2627139799</v>
      </c>
      <c r="F2991" s="2">
        <v>6804275.8812551899</v>
      </c>
    </row>
    <row r="2992" spans="1:6" x14ac:dyDescent="0.3">
      <c r="A2992" s="1">
        <v>44592</v>
      </c>
      <c r="B2992" t="s">
        <v>15</v>
      </c>
      <c r="C2992" t="s">
        <v>20</v>
      </c>
      <c r="D2992" s="2">
        <v>3444.6083219400002</v>
      </c>
      <c r="E2992" s="2">
        <v>0</v>
      </c>
      <c r="F2992" s="2">
        <v>3444.6083219400002</v>
      </c>
    </row>
    <row r="2993" spans="1:6" x14ac:dyDescent="0.3">
      <c r="A2993" s="1">
        <v>44592</v>
      </c>
      <c r="B2993" t="s">
        <v>21</v>
      </c>
      <c r="C2993" t="s">
        <v>14</v>
      </c>
      <c r="D2993" s="2">
        <v>593257.17162137001</v>
      </c>
      <c r="E2993" s="2">
        <v>6500231.2627139799</v>
      </c>
      <c r="F2993" s="2">
        <v>7093488.4343353501</v>
      </c>
    </row>
    <row r="2994" spans="1:6" x14ac:dyDescent="0.3">
      <c r="A2994" s="1">
        <v>44592</v>
      </c>
      <c r="B2994" t="s">
        <v>22</v>
      </c>
      <c r="C2994" t="s">
        <v>14</v>
      </c>
      <c r="D2994" s="2">
        <v>23487180.851727601</v>
      </c>
      <c r="E2994" s="2">
        <v>6525204.8742312202</v>
      </c>
      <c r="F2994" s="2">
        <v>30012385.725958802</v>
      </c>
    </row>
    <row r="2995" spans="1:6" x14ac:dyDescent="0.3">
      <c r="A2995" s="1">
        <v>44620</v>
      </c>
      <c r="B2995" t="s">
        <v>6</v>
      </c>
      <c r="C2995" t="s">
        <v>7</v>
      </c>
      <c r="D2995" s="2">
        <v>4053010.6444999999</v>
      </c>
      <c r="E2995" s="2">
        <v>1991.0419999999999</v>
      </c>
      <c r="F2995" s="2">
        <v>4055001.6864999998</v>
      </c>
    </row>
    <row r="2996" spans="1:6" x14ac:dyDescent="0.3">
      <c r="A2996" s="1">
        <v>44620</v>
      </c>
      <c r="B2996" t="s">
        <v>6</v>
      </c>
      <c r="C2996" t="s">
        <v>8</v>
      </c>
      <c r="D2996" s="2">
        <v>13219366.245999999</v>
      </c>
      <c r="E2996" s="2">
        <v>8258.6236000000008</v>
      </c>
      <c r="F2996" s="2">
        <v>13227624.8696</v>
      </c>
    </row>
    <row r="2997" spans="1:6" x14ac:dyDescent="0.3">
      <c r="A2997" s="1">
        <v>44620</v>
      </c>
      <c r="B2997" t="s">
        <v>6</v>
      </c>
      <c r="C2997" t="s">
        <v>9</v>
      </c>
      <c r="D2997" s="2">
        <v>3581504.0500500002</v>
      </c>
      <c r="E2997" s="2">
        <v>7691.5634</v>
      </c>
      <c r="F2997" s="2">
        <v>3589195.6134500001</v>
      </c>
    </row>
    <row r="2998" spans="1:6" x14ac:dyDescent="0.3">
      <c r="A2998" s="1">
        <v>44620</v>
      </c>
      <c r="B2998" t="s">
        <v>6</v>
      </c>
      <c r="C2998" t="s">
        <v>10</v>
      </c>
      <c r="D2998" s="2">
        <v>1720272.1390667399</v>
      </c>
      <c r="E2998" s="2">
        <v>632.35921078000001</v>
      </c>
      <c r="F2998" s="2">
        <v>1720904.4982775201</v>
      </c>
    </row>
    <row r="2999" spans="1:6" x14ac:dyDescent="0.3">
      <c r="A2999" s="1">
        <v>44620</v>
      </c>
      <c r="B2999" t="s">
        <v>6</v>
      </c>
      <c r="C2999" t="s">
        <v>11</v>
      </c>
      <c r="D2999" s="2">
        <v>597104.29500000004</v>
      </c>
      <c r="E2999" s="2">
        <v>78.17</v>
      </c>
      <c r="F2999" s="2">
        <v>597182.46499999997</v>
      </c>
    </row>
    <row r="3000" spans="1:6" x14ac:dyDescent="0.3">
      <c r="A3000" s="1">
        <v>44620</v>
      </c>
      <c r="B3000" t="s">
        <v>6</v>
      </c>
      <c r="C3000" t="s">
        <v>12</v>
      </c>
      <c r="D3000" s="2">
        <v>0</v>
      </c>
      <c r="E3000" s="2">
        <v>6053.0389999999998</v>
      </c>
      <c r="F3000" s="2">
        <v>6053.0389999999998</v>
      </c>
    </row>
    <row r="3001" spans="1:6" x14ac:dyDescent="0.3">
      <c r="A3001" s="1">
        <v>44620</v>
      </c>
      <c r="B3001" t="s">
        <v>13</v>
      </c>
      <c r="C3001" t="s">
        <v>14</v>
      </c>
      <c r="D3001" s="2">
        <v>23171257.374616701</v>
      </c>
      <c r="E3001" s="2">
        <v>24704.797210780001</v>
      </c>
      <c r="F3001" s="2">
        <v>23195962.171827499</v>
      </c>
    </row>
    <row r="3002" spans="1:6" x14ac:dyDescent="0.3">
      <c r="A3002" s="1">
        <v>44620</v>
      </c>
      <c r="B3002" t="s">
        <v>15</v>
      </c>
      <c r="C3002" t="s">
        <v>16</v>
      </c>
      <c r="D3002" s="2">
        <v>28596.992407689999</v>
      </c>
      <c r="E3002" s="2">
        <v>0</v>
      </c>
      <c r="F3002" s="2">
        <v>28596.992407689999</v>
      </c>
    </row>
    <row r="3003" spans="1:6" x14ac:dyDescent="0.3">
      <c r="A3003" s="1">
        <v>44620</v>
      </c>
      <c r="B3003" t="s">
        <v>15</v>
      </c>
      <c r="C3003" t="s">
        <v>23</v>
      </c>
      <c r="D3003" s="2">
        <v>264.34199999999998</v>
      </c>
      <c r="E3003" s="2">
        <v>0</v>
      </c>
      <c r="F3003" s="2">
        <v>264.34199999999998</v>
      </c>
    </row>
    <row r="3004" spans="1:6" x14ac:dyDescent="0.3">
      <c r="A3004" s="1">
        <v>44620</v>
      </c>
      <c r="B3004" t="s">
        <v>15</v>
      </c>
      <c r="C3004" t="s">
        <v>17</v>
      </c>
      <c r="D3004" s="2">
        <v>112488.98473675</v>
      </c>
      <c r="E3004" s="2">
        <v>0</v>
      </c>
      <c r="F3004" s="2">
        <v>112488.98473675</v>
      </c>
    </row>
    <row r="3005" spans="1:6" x14ac:dyDescent="0.3">
      <c r="A3005" s="1">
        <v>44620</v>
      </c>
      <c r="B3005" t="s">
        <v>15</v>
      </c>
      <c r="C3005" t="s">
        <v>18</v>
      </c>
      <c r="D3005" s="2">
        <v>149349.03411352</v>
      </c>
      <c r="E3005" s="2">
        <v>0</v>
      </c>
      <c r="F3005" s="2">
        <v>149349.03411352</v>
      </c>
    </row>
    <row r="3006" spans="1:6" x14ac:dyDescent="0.3">
      <c r="A3006" s="1">
        <v>44620</v>
      </c>
      <c r="B3006" t="s">
        <v>15</v>
      </c>
      <c r="C3006" t="s">
        <v>19</v>
      </c>
      <c r="D3006" s="2">
        <v>311196.12900700001</v>
      </c>
      <c r="E3006" s="2">
        <v>6489087.6716400804</v>
      </c>
      <c r="F3006" s="2">
        <v>6800283.8006470799</v>
      </c>
    </row>
    <row r="3007" spans="1:6" x14ac:dyDescent="0.3">
      <c r="A3007" s="1">
        <v>44620</v>
      </c>
      <c r="B3007" t="s">
        <v>15</v>
      </c>
      <c r="C3007" t="s">
        <v>20</v>
      </c>
      <c r="D3007" s="2">
        <v>3407.00145797</v>
      </c>
      <c r="E3007" s="2">
        <v>0</v>
      </c>
      <c r="F3007" s="2">
        <v>3407.00145797</v>
      </c>
    </row>
    <row r="3008" spans="1:6" x14ac:dyDescent="0.3">
      <c r="A3008" s="1">
        <v>44620</v>
      </c>
      <c r="B3008" t="s">
        <v>21</v>
      </c>
      <c r="C3008" t="s">
        <v>14</v>
      </c>
      <c r="D3008" s="2">
        <v>605303.48372292996</v>
      </c>
      <c r="E3008" s="2">
        <v>6489087.6716400804</v>
      </c>
      <c r="F3008" s="2">
        <v>7094391.1553630102</v>
      </c>
    </row>
    <row r="3009" spans="1:6" x14ac:dyDescent="0.3">
      <c r="A3009" s="1">
        <v>44620</v>
      </c>
      <c r="B3009" t="s">
        <v>22</v>
      </c>
      <c r="C3009" t="s">
        <v>14</v>
      </c>
      <c r="D3009" s="2">
        <v>23776559.8583396</v>
      </c>
      <c r="E3009" s="2">
        <v>6513793.4688508604</v>
      </c>
      <c r="F3009" s="2">
        <v>30290353.3271905</v>
      </c>
    </row>
    <row r="3010" spans="1:6" x14ac:dyDescent="0.3">
      <c r="A3010" s="1">
        <v>44651</v>
      </c>
      <c r="B3010" t="s">
        <v>6</v>
      </c>
      <c r="C3010" t="s">
        <v>7</v>
      </c>
      <c r="D3010" s="2">
        <v>3927254.1985999998</v>
      </c>
      <c r="E3010" s="2">
        <v>1706.675</v>
      </c>
      <c r="F3010" s="2">
        <v>3928960.8736</v>
      </c>
    </row>
    <row r="3011" spans="1:6" x14ac:dyDescent="0.3">
      <c r="A3011" s="1">
        <v>44651</v>
      </c>
      <c r="B3011" t="s">
        <v>6</v>
      </c>
      <c r="C3011" t="s">
        <v>8</v>
      </c>
      <c r="D3011" s="2">
        <v>13340845.6346</v>
      </c>
      <c r="E3011" s="2">
        <v>7617.8155999999999</v>
      </c>
      <c r="F3011" s="2">
        <v>13348463.450200001</v>
      </c>
    </row>
    <row r="3012" spans="1:6" x14ac:dyDescent="0.3">
      <c r="A3012" s="1">
        <v>44651</v>
      </c>
      <c r="B3012" t="s">
        <v>6</v>
      </c>
      <c r="C3012" t="s">
        <v>9</v>
      </c>
      <c r="D3012" s="2">
        <v>3623927.9817499998</v>
      </c>
      <c r="E3012" s="2">
        <v>7578.4494999999997</v>
      </c>
      <c r="F3012" s="2">
        <v>3631506.4312499999</v>
      </c>
    </row>
    <row r="3013" spans="1:6" x14ac:dyDescent="0.3">
      <c r="A3013" s="1">
        <v>44651</v>
      </c>
      <c r="B3013" t="s">
        <v>6</v>
      </c>
      <c r="C3013" t="s">
        <v>10</v>
      </c>
      <c r="D3013" s="2">
        <v>1751328.6775159901</v>
      </c>
      <c r="E3013" s="2">
        <v>616.70935124000005</v>
      </c>
      <c r="F3013" s="2">
        <v>1751945.3868672301</v>
      </c>
    </row>
    <row r="3014" spans="1:6" x14ac:dyDescent="0.3">
      <c r="A3014" s="1">
        <v>44651</v>
      </c>
      <c r="B3014" t="s">
        <v>6</v>
      </c>
      <c r="C3014" t="s">
        <v>11</v>
      </c>
      <c r="D3014" s="2">
        <v>619116.98329999996</v>
      </c>
      <c r="E3014" s="2">
        <v>65.94</v>
      </c>
      <c r="F3014" s="2">
        <v>619182.92330000002</v>
      </c>
    </row>
    <row r="3015" spans="1:6" x14ac:dyDescent="0.3">
      <c r="A3015" s="1">
        <v>44651</v>
      </c>
      <c r="B3015" t="s">
        <v>6</v>
      </c>
      <c r="C3015" t="s">
        <v>12</v>
      </c>
      <c r="D3015" s="2">
        <v>0</v>
      </c>
      <c r="E3015" s="2">
        <v>6053.0389999999998</v>
      </c>
      <c r="F3015" s="2">
        <v>6053.0389999999998</v>
      </c>
    </row>
    <row r="3016" spans="1:6" x14ac:dyDescent="0.3">
      <c r="A3016" s="1">
        <v>44651</v>
      </c>
      <c r="B3016" t="s">
        <v>13</v>
      </c>
      <c r="C3016" t="s">
        <v>14</v>
      </c>
      <c r="D3016" s="2">
        <v>23262473.475765999</v>
      </c>
      <c r="E3016" s="2">
        <v>23638.628451240002</v>
      </c>
      <c r="F3016" s="2">
        <v>23286112.104217201</v>
      </c>
    </row>
    <row r="3017" spans="1:6" x14ac:dyDescent="0.3">
      <c r="A3017" s="1">
        <v>44651</v>
      </c>
      <c r="B3017" t="s">
        <v>15</v>
      </c>
      <c r="C3017" t="s">
        <v>16</v>
      </c>
      <c r="D3017" s="2">
        <v>28601.917305319999</v>
      </c>
      <c r="E3017" s="2">
        <v>0</v>
      </c>
      <c r="F3017" s="2">
        <v>28601.917305319999</v>
      </c>
    </row>
    <row r="3018" spans="1:6" x14ac:dyDescent="0.3">
      <c r="A3018" s="1">
        <v>44651</v>
      </c>
      <c r="B3018" t="s">
        <v>15</v>
      </c>
      <c r="C3018" t="s">
        <v>23</v>
      </c>
      <c r="D3018" s="2">
        <v>264.34199999999998</v>
      </c>
      <c r="E3018" s="2">
        <v>0</v>
      </c>
      <c r="F3018" s="2">
        <v>264.34199999999998</v>
      </c>
    </row>
    <row r="3019" spans="1:6" x14ac:dyDescent="0.3">
      <c r="A3019" s="1">
        <v>44651</v>
      </c>
      <c r="B3019" t="s">
        <v>15</v>
      </c>
      <c r="C3019" t="s">
        <v>17</v>
      </c>
      <c r="D3019" s="2">
        <v>118249.60262482001</v>
      </c>
      <c r="E3019" s="2">
        <v>0</v>
      </c>
      <c r="F3019" s="2">
        <v>118249.60262482001</v>
      </c>
    </row>
    <row r="3020" spans="1:6" x14ac:dyDescent="0.3">
      <c r="A3020" s="1">
        <v>44651</v>
      </c>
      <c r="B3020" t="s">
        <v>15</v>
      </c>
      <c r="C3020" t="s">
        <v>18</v>
      </c>
      <c r="D3020" s="2">
        <v>149758.09676986001</v>
      </c>
      <c r="E3020" s="2">
        <v>0</v>
      </c>
      <c r="F3020" s="2">
        <v>149758.09676986001</v>
      </c>
    </row>
    <row r="3021" spans="1:6" x14ac:dyDescent="0.3">
      <c r="A3021" s="1">
        <v>44651</v>
      </c>
      <c r="B3021" t="s">
        <v>15</v>
      </c>
      <c r="C3021" t="s">
        <v>19</v>
      </c>
      <c r="D3021" s="2">
        <v>317125.94377011003</v>
      </c>
      <c r="E3021" s="2">
        <v>6497554.2750925301</v>
      </c>
      <c r="F3021" s="2">
        <v>6814679.2188626397</v>
      </c>
    </row>
    <row r="3022" spans="1:6" x14ac:dyDescent="0.3">
      <c r="A3022" s="1">
        <v>44651</v>
      </c>
      <c r="B3022" t="s">
        <v>15</v>
      </c>
      <c r="C3022" t="s">
        <v>20</v>
      </c>
      <c r="D3022" s="2">
        <v>3294.3463635500002</v>
      </c>
      <c r="E3022" s="2">
        <v>0</v>
      </c>
      <c r="F3022" s="2">
        <v>3294.3463635500002</v>
      </c>
    </row>
    <row r="3023" spans="1:6" x14ac:dyDescent="0.3">
      <c r="A3023" s="1">
        <v>44651</v>
      </c>
      <c r="B3023" t="s">
        <v>21</v>
      </c>
      <c r="C3023" t="s">
        <v>14</v>
      </c>
      <c r="D3023" s="2">
        <v>617294.24883366004</v>
      </c>
      <c r="E3023" s="2">
        <v>6497554.2750925301</v>
      </c>
      <c r="F3023" s="2">
        <v>7114847.5239261901</v>
      </c>
    </row>
    <row r="3024" spans="1:6" x14ac:dyDescent="0.3">
      <c r="A3024" s="1">
        <v>44651</v>
      </c>
      <c r="B3024" t="s">
        <v>22</v>
      </c>
      <c r="C3024" t="s">
        <v>14</v>
      </c>
      <c r="D3024" s="2">
        <v>23879767.7245996</v>
      </c>
      <c r="E3024" s="2">
        <v>6521191.9035437703</v>
      </c>
      <c r="F3024" s="2">
        <v>30400959.6281434</v>
      </c>
    </row>
    <row r="3025" spans="1:6" x14ac:dyDescent="0.3">
      <c r="A3025" s="1">
        <v>44681</v>
      </c>
      <c r="B3025" t="s">
        <v>6</v>
      </c>
      <c r="C3025" t="s">
        <v>7</v>
      </c>
      <c r="D3025" s="2">
        <v>3826069.6923000002</v>
      </c>
      <c r="E3025" s="2">
        <v>1858.41</v>
      </c>
      <c r="F3025" s="2">
        <v>3827928.1022999999</v>
      </c>
    </row>
    <row r="3026" spans="1:6" x14ac:dyDescent="0.3">
      <c r="A3026" s="1">
        <v>44681</v>
      </c>
      <c r="B3026" t="s">
        <v>6</v>
      </c>
      <c r="C3026" t="s">
        <v>8</v>
      </c>
      <c r="D3026" s="2">
        <v>13401966.6033</v>
      </c>
      <c r="E3026" s="2">
        <v>7572.7299000000003</v>
      </c>
      <c r="F3026" s="2">
        <v>13409539.3332</v>
      </c>
    </row>
    <row r="3027" spans="1:6" x14ac:dyDescent="0.3">
      <c r="A3027" s="1">
        <v>44681</v>
      </c>
      <c r="B3027" t="s">
        <v>6</v>
      </c>
      <c r="C3027" t="s">
        <v>9</v>
      </c>
      <c r="D3027" s="2">
        <v>3650002.0558500001</v>
      </c>
      <c r="E3027" s="2">
        <v>6275.2184999999999</v>
      </c>
      <c r="F3027" s="2">
        <v>3656277.2743500001</v>
      </c>
    </row>
    <row r="3028" spans="1:6" x14ac:dyDescent="0.3">
      <c r="A3028" s="1">
        <v>44681</v>
      </c>
      <c r="B3028" t="s">
        <v>6</v>
      </c>
      <c r="C3028" t="s">
        <v>10</v>
      </c>
      <c r="D3028" s="2">
        <v>1735020.86737941</v>
      </c>
      <c r="E3028" s="2">
        <v>617.98027367999998</v>
      </c>
      <c r="F3028" s="2">
        <v>1735638.84765309</v>
      </c>
    </row>
    <row r="3029" spans="1:6" x14ac:dyDescent="0.3">
      <c r="A3029" s="1">
        <v>44681</v>
      </c>
      <c r="B3029" t="s">
        <v>6</v>
      </c>
      <c r="C3029" t="s">
        <v>11</v>
      </c>
      <c r="D3029" s="2">
        <v>619099.07330000005</v>
      </c>
      <c r="E3029" s="2">
        <v>83.85</v>
      </c>
      <c r="F3029" s="2">
        <v>619182.92330000002</v>
      </c>
    </row>
    <row r="3030" spans="1:6" x14ac:dyDescent="0.3">
      <c r="A3030" s="1">
        <v>44681</v>
      </c>
      <c r="B3030" t="s">
        <v>6</v>
      </c>
      <c r="C3030" t="s">
        <v>12</v>
      </c>
      <c r="D3030" s="2">
        <v>0</v>
      </c>
      <c r="E3030" s="2">
        <v>6053.0389999999998</v>
      </c>
      <c r="F3030" s="2">
        <v>6053.0389999999998</v>
      </c>
    </row>
    <row r="3031" spans="1:6" x14ac:dyDescent="0.3">
      <c r="A3031" s="1">
        <v>44681</v>
      </c>
      <c r="B3031" t="s">
        <v>13</v>
      </c>
      <c r="C3031" t="s">
        <v>14</v>
      </c>
      <c r="D3031" s="2">
        <v>23232158.292129401</v>
      </c>
      <c r="E3031" s="2">
        <v>22461.227673680001</v>
      </c>
      <c r="F3031" s="2">
        <v>23254619.519803099</v>
      </c>
    </row>
    <row r="3032" spans="1:6" x14ac:dyDescent="0.3">
      <c r="A3032" s="1">
        <v>44681</v>
      </c>
      <c r="B3032" t="s">
        <v>15</v>
      </c>
      <c r="C3032" t="s">
        <v>16</v>
      </c>
      <c r="D3032" s="2">
        <v>28610.190445690001</v>
      </c>
      <c r="E3032" s="2">
        <v>0</v>
      </c>
      <c r="F3032" s="2">
        <v>28610.190445690001</v>
      </c>
    </row>
    <row r="3033" spans="1:6" x14ac:dyDescent="0.3">
      <c r="A3033" s="1">
        <v>44681</v>
      </c>
      <c r="B3033" t="s">
        <v>15</v>
      </c>
      <c r="C3033" t="s">
        <v>23</v>
      </c>
      <c r="D3033" s="2">
        <v>264.34199999999998</v>
      </c>
      <c r="E3033" s="2">
        <v>0</v>
      </c>
      <c r="F3033" s="2">
        <v>264.34199999999998</v>
      </c>
    </row>
    <row r="3034" spans="1:6" x14ac:dyDescent="0.3">
      <c r="A3034" s="1">
        <v>44681</v>
      </c>
      <c r="B3034" t="s">
        <v>15</v>
      </c>
      <c r="C3034" t="s">
        <v>17</v>
      </c>
      <c r="D3034" s="2">
        <v>119066.17345335</v>
      </c>
      <c r="E3034" s="2">
        <v>0</v>
      </c>
      <c r="F3034" s="2">
        <v>119066.17345335</v>
      </c>
    </row>
    <row r="3035" spans="1:6" x14ac:dyDescent="0.3">
      <c r="A3035" s="1">
        <v>44681</v>
      </c>
      <c r="B3035" t="s">
        <v>15</v>
      </c>
      <c r="C3035" t="s">
        <v>18</v>
      </c>
      <c r="D3035" s="2">
        <v>153141.48834921001</v>
      </c>
      <c r="E3035" s="2">
        <v>0</v>
      </c>
      <c r="F3035" s="2">
        <v>153141.48834921001</v>
      </c>
    </row>
    <row r="3036" spans="1:6" x14ac:dyDescent="0.3">
      <c r="A3036" s="1">
        <v>44681</v>
      </c>
      <c r="B3036" t="s">
        <v>15</v>
      </c>
      <c r="C3036" t="s">
        <v>19</v>
      </c>
      <c r="D3036" s="2">
        <v>310815.51161388098</v>
      </c>
      <c r="E3036" s="2">
        <v>6504447.8924116697</v>
      </c>
      <c r="F3036" s="2">
        <v>6815264.40402555</v>
      </c>
    </row>
    <row r="3037" spans="1:6" x14ac:dyDescent="0.3">
      <c r="A3037" s="1">
        <v>44681</v>
      </c>
      <c r="B3037" t="s">
        <v>15</v>
      </c>
      <c r="C3037" t="s">
        <v>20</v>
      </c>
      <c r="D3037" s="2">
        <v>3189.05351638</v>
      </c>
      <c r="E3037" s="2">
        <v>0</v>
      </c>
      <c r="F3037" s="2">
        <v>3189.05351638</v>
      </c>
    </row>
    <row r="3038" spans="1:6" x14ac:dyDescent="0.3">
      <c r="A3038" s="1">
        <v>44681</v>
      </c>
      <c r="B3038" t="s">
        <v>21</v>
      </c>
      <c r="C3038" t="s">
        <v>14</v>
      </c>
      <c r="D3038" s="2">
        <v>615086.75937851099</v>
      </c>
      <c r="E3038" s="2">
        <v>6504447.8924116697</v>
      </c>
      <c r="F3038" s="2">
        <v>7119534.6517901802</v>
      </c>
    </row>
    <row r="3039" spans="1:6" x14ac:dyDescent="0.3">
      <c r="A3039" s="1">
        <v>44681</v>
      </c>
      <c r="B3039" t="s">
        <v>22</v>
      </c>
      <c r="C3039" t="s">
        <v>14</v>
      </c>
      <c r="D3039" s="2">
        <v>23847245.051507901</v>
      </c>
      <c r="E3039" s="2">
        <v>6526909.1200853502</v>
      </c>
      <c r="F3039" s="2">
        <v>30374155.171593301</v>
      </c>
    </row>
    <row r="3040" spans="1:6" x14ac:dyDescent="0.3">
      <c r="A3040" s="1">
        <v>44712</v>
      </c>
      <c r="B3040" t="s">
        <v>6</v>
      </c>
      <c r="C3040" t="s">
        <v>7</v>
      </c>
      <c r="D3040" s="2">
        <v>3671227.6121</v>
      </c>
      <c r="E3040" s="2">
        <v>1695.7049999999999</v>
      </c>
      <c r="F3040" s="2">
        <v>3672923.3171000001</v>
      </c>
    </row>
    <row r="3041" spans="1:6" x14ac:dyDescent="0.3">
      <c r="A3041" s="1">
        <v>44712</v>
      </c>
      <c r="B3041" t="s">
        <v>6</v>
      </c>
      <c r="C3041" t="s">
        <v>8</v>
      </c>
      <c r="D3041" s="2">
        <v>13508581.9001</v>
      </c>
      <c r="E3041" s="2">
        <v>7748.7808999999997</v>
      </c>
      <c r="F3041" s="2">
        <v>13516330.681</v>
      </c>
    </row>
    <row r="3042" spans="1:6" x14ac:dyDescent="0.3">
      <c r="A3042" s="1">
        <v>44712</v>
      </c>
      <c r="B3042" t="s">
        <v>6</v>
      </c>
      <c r="C3042" t="s">
        <v>9</v>
      </c>
      <c r="D3042" s="2">
        <v>3725316.6905499999</v>
      </c>
      <c r="E3042" s="2">
        <v>6115.4645</v>
      </c>
      <c r="F3042" s="2">
        <v>3731432.1550500002</v>
      </c>
    </row>
    <row r="3043" spans="1:6" x14ac:dyDescent="0.3">
      <c r="A3043" s="1">
        <v>44712</v>
      </c>
      <c r="B3043" t="s">
        <v>6</v>
      </c>
      <c r="C3043" t="s">
        <v>10</v>
      </c>
      <c r="D3043" s="2">
        <v>1775179.09628205</v>
      </c>
      <c r="E3043" s="2">
        <v>640.58932031999996</v>
      </c>
      <c r="F3043" s="2">
        <v>1775819.68560237</v>
      </c>
    </row>
    <row r="3044" spans="1:6" x14ac:dyDescent="0.3">
      <c r="A3044" s="1">
        <v>44712</v>
      </c>
      <c r="B3044" t="s">
        <v>6</v>
      </c>
      <c r="C3044" t="s">
        <v>11</v>
      </c>
      <c r="D3044" s="2">
        <v>604532.48910000001</v>
      </c>
      <c r="E3044" s="2">
        <v>63.95</v>
      </c>
      <c r="F3044" s="2">
        <v>604596.43909999996</v>
      </c>
    </row>
    <row r="3045" spans="1:6" x14ac:dyDescent="0.3">
      <c r="A3045" s="1">
        <v>44712</v>
      </c>
      <c r="B3045" t="s">
        <v>6</v>
      </c>
      <c r="C3045" t="s">
        <v>12</v>
      </c>
      <c r="D3045" s="2">
        <v>0</v>
      </c>
      <c r="E3045" s="2">
        <v>6053.0389999999998</v>
      </c>
      <c r="F3045" s="2">
        <v>6053.0389999999998</v>
      </c>
    </row>
    <row r="3046" spans="1:6" x14ac:dyDescent="0.3">
      <c r="A3046" s="1">
        <v>44712</v>
      </c>
      <c r="B3046" t="s">
        <v>13</v>
      </c>
      <c r="C3046" t="s">
        <v>14</v>
      </c>
      <c r="D3046" s="2">
        <v>23284837.788132001</v>
      </c>
      <c r="E3046" s="2">
        <v>22317.528720319999</v>
      </c>
      <c r="F3046" s="2">
        <v>23307155.316852398</v>
      </c>
    </row>
    <row r="3047" spans="1:6" x14ac:dyDescent="0.3">
      <c r="A3047" s="1">
        <v>44712</v>
      </c>
      <c r="B3047" t="s">
        <v>15</v>
      </c>
      <c r="C3047" t="s">
        <v>16</v>
      </c>
      <c r="D3047" s="2">
        <v>25802.371422349999</v>
      </c>
      <c r="E3047" s="2">
        <v>0</v>
      </c>
      <c r="F3047" s="2">
        <v>25802.371422349999</v>
      </c>
    </row>
    <row r="3048" spans="1:6" x14ac:dyDescent="0.3">
      <c r="A3048" s="1">
        <v>44712</v>
      </c>
      <c r="B3048" t="s">
        <v>15</v>
      </c>
      <c r="C3048" t="s">
        <v>23</v>
      </c>
      <c r="D3048" s="2">
        <v>264.34199999999998</v>
      </c>
      <c r="E3048" s="2">
        <v>0</v>
      </c>
      <c r="F3048" s="2">
        <v>264.34199999999998</v>
      </c>
    </row>
    <row r="3049" spans="1:6" x14ac:dyDescent="0.3">
      <c r="A3049" s="1">
        <v>44712</v>
      </c>
      <c r="B3049" t="s">
        <v>15</v>
      </c>
      <c r="C3049" t="s">
        <v>17</v>
      </c>
      <c r="D3049" s="2">
        <v>114307.99774224</v>
      </c>
      <c r="E3049" s="2">
        <v>0</v>
      </c>
      <c r="F3049" s="2">
        <v>114307.99774224</v>
      </c>
    </row>
    <row r="3050" spans="1:6" x14ac:dyDescent="0.3">
      <c r="A3050" s="1">
        <v>44712</v>
      </c>
      <c r="B3050" t="s">
        <v>15</v>
      </c>
      <c r="C3050" t="s">
        <v>18</v>
      </c>
      <c r="D3050" s="2">
        <v>157698.39132990999</v>
      </c>
      <c r="E3050" s="2">
        <v>0</v>
      </c>
      <c r="F3050" s="2">
        <v>157698.39132990999</v>
      </c>
    </row>
    <row r="3051" spans="1:6" x14ac:dyDescent="0.3">
      <c r="A3051" s="1">
        <v>44712</v>
      </c>
      <c r="B3051" t="s">
        <v>15</v>
      </c>
      <c r="C3051" t="s">
        <v>19</v>
      </c>
      <c r="D3051" s="2">
        <v>318347.59602573997</v>
      </c>
      <c r="E3051" s="2">
        <v>6572910.2747663604</v>
      </c>
      <c r="F3051" s="2">
        <v>6891256.8707921002</v>
      </c>
    </row>
    <row r="3052" spans="1:6" x14ac:dyDescent="0.3">
      <c r="A3052" s="1">
        <v>44712</v>
      </c>
      <c r="B3052" t="s">
        <v>15</v>
      </c>
      <c r="C3052" t="s">
        <v>20</v>
      </c>
      <c r="D3052" s="2">
        <v>3132.9345642500002</v>
      </c>
      <c r="E3052" s="2">
        <v>0</v>
      </c>
      <c r="F3052" s="2">
        <v>3132.9345642500002</v>
      </c>
    </row>
    <row r="3053" spans="1:6" x14ac:dyDescent="0.3">
      <c r="A3053" s="1">
        <v>44712</v>
      </c>
      <c r="B3053" t="s">
        <v>21</v>
      </c>
      <c r="C3053" t="s">
        <v>14</v>
      </c>
      <c r="D3053" s="2">
        <v>619553.63308448996</v>
      </c>
      <c r="E3053" s="2">
        <v>6572910.2747663604</v>
      </c>
      <c r="F3053" s="2">
        <v>7192462.9078508504</v>
      </c>
    </row>
    <row r="3054" spans="1:6" x14ac:dyDescent="0.3">
      <c r="A3054" s="1">
        <v>44712</v>
      </c>
      <c r="B3054" t="s">
        <v>22</v>
      </c>
      <c r="C3054" t="s">
        <v>14</v>
      </c>
      <c r="D3054" s="2">
        <v>23904391.421216499</v>
      </c>
      <c r="E3054" s="2">
        <v>6595226.8034866797</v>
      </c>
      <c r="F3054" s="2">
        <v>30499619.2247032</v>
      </c>
    </row>
    <row r="3055" spans="1:6" x14ac:dyDescent="0.3">
      <c r="A3055" s="1">
        <v>44742</v>
      </c>
      <c r="B3055" t="s">
        <v>6</v>
      </c>
      <c r="C3055" t="s">
        <v>7</v>
      </c>
      <c r="D3055" s="2">
        <v>3522601.3665999998</v>
      </c>
      <c r="E3055" s="2">
        <v>1323.95</v>
      </c>
      <c r="F3055" s="2">
        <v>3523925.3166</v>
      </c>
    </row>
    <row r="3056" spans="1:6" x14ac:dyDescent="0.3">
      <c r="A3056" s="1">
        <v>44742</v>
      </c>
      <c r="B3056" t="s">
        <v>6</v>
      </c>
      <c r="C3056" t="s">
        <v>8</v>
      </c>
      <c r="D3056" s="2">
        <v>13575955.1127</v>
      </c>
      <c r="E3056" s="2">
        <v>7642.2048999999997</v>
      </c>
      <c r="F3056" s="2">
        <v>13583597.317600001</v>
      </c>
    </row>
    <row r="3057" spans="1:6" x14ac:dyDescent="0.3">
      <c r="A3057" s="1">
        <v>44742</v>
      </c>
      <c r="B3057" t="s">
        <v>6</v>
      </c>
      <c r="C3057" t="s">
        <v>9</v>
      </c>
      <c r="D3057" s="2">
        <v>3760441.6021500002</v>
      </c>
      <c r="E3057" s="2">
        <v>6178.2195000000002</v>
      </c>
      <c r="F3057" s="2">
        <v>3766619.8216499998</v>
      </c>
    </row>
    <row r="3058" spans="1:6" x14ac:dyDescent="0.3">
      <c r="A3058" s="1">
        <v>44742</v>
      </c>
      <c r="B3058" t="s">
        <v>6</v>
      </c>
      <c r="C3058" t="s">
        <v>10</v>
      </c>
      <c r="D3058" s="2">
        <v>1805355.7576840499</v>
      </c>
      <c r="E3058" s="2">
        <v>640.07523719999995</v>
      </c>
      <c r="F3058" s="2">
        <v>1805995.83292125</v>
      </c>
    </row>
    <row r="3059" spans="1:6" x14ac:dyDescent="0.3">
      <c r="A3059" s="1">
        <v>44742</v>
      </c>
      <c r="B3059" t="s">
        <v>6</v>
      </c>
      <c r="C3059" t="s">
        <v>11</v>
      </c>
      <c r="D3059" s="2">
        <v>626512.45330000005</v>
      </c>
      <c r="E3059" s="2">
        <v>84.35</v>
      </c>
      <c r="F3059" s="2">
        <v>626596.80330000003</v>
      </c>
    </row>
    <row r="3060" spans="1:6" x14ac:dyDescent="0.3">
      <c r="A3060" s="1">
        <v>44742</v>
      </c>
      <c r="B3060" t="s">
        <v>6</v>
      </c>
      <c r="C3060" t="s">
        <v>12</v>
      </c>
      <c r="D3060" s="2">
        <v>0</v>
      </c>
      <c r="E3060" s="2">
        <v>4847.0079999999998</v>
      </c>
      <c r="F3060" s="2">
        <v>4847.0079999999998</v>
      </c>
    </row>
    <row r="3061" spans="1:6" x14ac:dyDescent="0.3">
      <c r="A3061" s="1">
        <v>44742</v>
      </c>
      <c r="B3061" t="s">
        <v>13</v>
      </c>
      <c r="C3061" t="s">
        <v>14</v>
      </c>
      <c r="D3061" s="2">
        <v>23290866.292433999</v>
      </c>
      <c r="E3061" s="2">
        <v>20715.8076372</v>
      </c>
      <c r="F3061" s="2">
        <v>23311582.100071199</v>
      </c>
    </row>
    <row r="3062" spans="1:6" x14ac:dyDescent="0.3">
      <c r="A3062" s="1">
        <v>44742</v>
      </c>
      <c r="B3062" t="s">
        <v>15</v>
      </c>
      <c r="C3062" t="s">
        <v>16</v>
      </c>
      <c r="D3062" s="2">
        <v>25816.223031639998</v>
      </c>
      <c r="E3062" s="2">
        <v>0</v>
      </c>
      <c r="F3062" s="2">
        <v>25816.223031639998</v>
      </c>
    </row>
    <row r="3063" spans="1:6" x14ac:dyDescent="0.3">
      <c r="A3063" s="1">
        <v>44742</v>
      </c>
      <c r="B3063" t="s">
        <v>15</v>
      </c>
      <c r="C3063" t="s">
        <v>23</v>
      </c>
      <c r="D3063" s="2">
        <v>264.34199999999998</v>
      </c>
      <c r="E3063" s="2">
        <v>0</v>
      </c>
      <c r="F3063" s="2">
        <v>264.34199999999998</v>
      </c>
    </row>
    <row r="3064" spans="1:6" x14ac:dyDescent="0.3">
      <c r="A3064" s="1">
        <v>44742</v>
      </c>
      <c r="B3064" t="s">
        <v>15</v>
      </c>
      <c r="C3064" t="s">
        <v>17</v>
      </c>
      <c r="D3064" s="2">
        <v>108208.18735170001</v>
      </c>
      <c r="E3064" s="2">
        <v>0</v>
      </c>
      <c r="F3064" s="2">
        <v>108208.18735170001</v>
      </c>
    </row>
    <row r="3065" spans="1:6" x14ac:dyDescent="0.3">
      <c r="A3065" s="1">
        <v>44742</v>
      </c>
      <c r="B3065" t="s">
        <v>15</v>
      </c>
      <c r="C3065" t="s">
        <v>18</v>
      </c>
      <c r="D3065" s="2">
        <v>160439.8569322</v>
      </c>
      <c r="E3065" s="2">
        <v>0</v>
      </c>
      <c r="F3065" s="2">
        <v>160439.8569322</v>
      </c>
    </row>
    <row r="3066" spans="1:6" x14ac:dyDescent="0.3">
      <c r="A3066" s="1">
        <v>44742</v>
      </c>
      <c r="B3066" t="s">
        <v>15</v>
      </c>
      <c r="C3066" t="s">
        <v>19</v>
      </c>
      <c r="D3066" s="2">
        <v>323348.75395878003</v>
      </c>
      <c r="E3066" s="2">
        <v>6635706.2199078901</v>
      </c>
      <c r="F3066" s="2">
        <v>6959054.9738666704</v>
      </c>
    </row>
    <row r="3067" spans="1:6" x14ac:dyDescent="0.3">
      <c r="A3067" s="1">
        <v>44742</v>
      </c>
      <c r="B3067" t="s">
        <v>15</v>
      </c>
      <c r="C3067" t="s">
        <v>20</v>
      </c>
      <c r="D3067" s="2">
        <v>3216.0529320800001</v>
      </c>
      <c r="E3067" s="2">
        <v>0</v>
      </c>
      <c r="F3067" s="2">
        <v>3216.0529320800001</v>
      </c>
    </row>
    <row r="3068" spans="1:6" x14ac:dyDescent="0.3">
      <c r="A3068" s="1">
        <v>44742</v>
      </c>
      <c r="B3068" t="s">
        <v>21</v>
      </c>
      <c r="C3068" t="s">
        <v>14</v>
      </c>
      <c r="D3068" s="2">
        <v>621293.41620640003</v>
      </c>
      <c r="E3068" s="2">
        <v>6635706.2199078901</v>
      </c>
      <c r="F3068" s="2">
        <v>7256999.63611429</v>
      </c>
    </row>
    <row r="3069" spans="1:6" x14ac:dyDescent="0.3">
      <c r="A3069" s="1">
        <v>44742</v>
      </c>
      <c r="B3069" t="s">
        <v>22</v>
      </c>
      <c r="C3069" t="s">
        <v>14</v>
      </c>
      <c r="D3069" s="2">
        <v>23912159.7086404</v>
      </c>
      <c r="E3069" s="2">
        <v>6656422.0275450898</v>
      </c>
      <c r="F3069" s="2">
        <v>30568581.736185499</v>
      </c>
    </row>
    <row r="3070" spans="1:6" x14ac:dyDescent="0.3">
      <c r="A3070" s="1">
        <v>44773</v>
      </c>
      <c r="B3070" t="s">
        <v>6</v>
      </c>
      <c r="C3070" t="s">
        <v>7</v>
      </c>
      <c r="D3070" s="2">
        <v>3513559.2012</v>
      </c>
      <c r="E3070" s="2">
        <v>1376.8</v>
      </c>
      <c r="F3070" s="2">
        <v>3514936.0011999998</v>
      </c>
    </row>
    <row r="3071" spans="1:6" x14ac:dyDescent="0.3">
      <c r="A3071" s="1">
        <v>44773</v>
      </c>
      <c r="B3071" t="s">
        <v>6</v>
      </c>
      <c r="C3071" t="s">
        <v>8</v>
      </c>
      <c r="D3071" s="2">
        <v>13623822.594799999</v>
      </c>
      <c r="E3071" s="2">
        <v>7140.6158999999998</v>
      </c>
      <c r="F3071" s="2">
        <v>13630963.2107</v>
      </c>
    </row>
    <row r="3072" spans="1:6" x14ac:dyDescent="0.3">
      <c r="A3072" s="1">
        <v>44773</v>
      </c>
      <c r="B3072" t="s">
        <v>6</v>
      </c>
      <c r="C3072" t="s">
        <v>9</v>
      </c>
      <c r="D3072" s="2">
        <v>3781547.8009500001</v>
      </c>
      <c r="E3072" s="2">
        <v>6493.6315000000004</v>
      </c>
      <c r="F3072" s="2">
        <v>3788041.4324500002</v>
      </c>
    </row>
    <row r="3073" spans="1:6" x14ac:dyDescent="0.3">
      <c r="A3073" s="1">
        <v>44773</v>
      </c>
      <c r="B3073" t="s">
        <v>6</v>
      </c>
      <c r="C3073" t="s">
        <v>10</v>
      </c>
      <c r="D3073" s="2">
        <v>1788644.5676240299</v>
      </c>
      <c r="E3073" s="2">
        <v>691.91697225999997</v>
      </c>
      <c r="F3073" s="2">
        <v>1789336.4845962899</v>
      </c>
    </row>
    <row r="3074" spans="1:6" x14ac:dyDescent="0.3">
      <c r="A3074" s="1">
        <v>44773</v>
      </c>
      <c r="B3074" t="s">
        <v>6</v>
      </c>
      <c r="C3074" t="s">
        <v>11</v>
      </c>
      <c r="D3074" s="2">
        <v>626537.78330000001</v>
      </c>
      <c r="E3074" s="2">
        <v>84.02</v>
      </c>
      <c r="F3074" s="2">
        <v>626621.80330000003</v>
      </c>
    </row>
    <row r="3075" spans="1:6" x14ac:dyDescent="0.3">
      <c r="A3075" s="1">
        <v>44773</v>
      </c>
      <c r="B3075" t="s">
        <v>6</v>
      </c>
      <c r="C3075" t="s">
        <v>12</v>
      </c>
      <c r="D3075" s="2">
        <v>0</v>
      </c>
      <c r="E3075" s="2">
        <v>4847.0079999999998</v>
      </c>
      <c r="F3075" s="2">
        <v>4847.0079999999998</v>
      </c>
    </row>
    <row r="3076" spans="1:6" x14ac:dyDescent="0.3">
      <c r="A3076" s="1">
        <v>44773</v>
      </c>
      <c r="B3076" t="s">
        <v>13</v>
      </c>
      <c r="C3076" t="s">
        <v>14</v>
      </c>
      <c r="D3076" s="2">
        <v>23334111.947873998</v>
      </c>
      <c r="E3076" s="2">
        <v>20633.99237226</v>
      </c>
      <c r="F3076" s="2">
        <v>23354745.940246299</v>
      </c>
    </row>
    <row r="3077" spans="1:6" x14ac:dyDescent="0.3">
      <c r="A3077" s="1">
        <v>44773</v>
      </c>
      <c r="B3077" t="s">
        <v>15</v>
      </c>
      <c r="C3077" t="s">
        <v>16</v>
      </c>
      <c r="D3077" s="2">
        <v>25835.99051897</v>
      </c>
      <c r="E3077" s="2">
        <v>0</v>
      </c>
      <c r="F3077" s="2">
        <v>25835.99051897</v>
      </c>
    </row>
    <row r="3078" spans="1:6" x14ac:dyDescent="0.3">
      <c r="A3078" s="1">
        <v>44773</v>
      </c>
      <c r="B3078" t="s">
        <v>15</v>
      </c>
      <c r="C3078" t="s">
        <v>23</v>
      </c>
      <c r="D3078" s="2">
        <v>264.34199999999998</v>
      </c>
      <c r="E3078" s="2">
        <v>0</v>
      </c>
      <c r="F3078" s="2">
        <v>264.34199999999998</v>
      </c>
    </row>
    <row r="3079" spans="1:6" x14ac:dyDescent="0.3">
      <c r="A3079" s="1">
        <v>44773</v>
      </c>
      <c r="B3079" t="s">
        <v>15</v>
      </c>
      <c r="C3079" t="s">
        <v>17</v>
      </c>
      <c r="D3079" s="2">
        <v>103865.81492406</v>
      </c>
      <c r="E3079" s="2">
        <v>0</v>
      </c>
      <c r="F3079" s="2">
        <v>103865.81492406</v>
      </c>
    </row>
    <row r="3080" spans="1:6" x14ac:dyDescent="0.3">
      <c r="A3080" s="1">
        <v>44773</v>
      </c>
      <c r="B3080" t="s">
        <v>15</v>
      </c>
      <c r="C3080" t="s">
        <v>18</v>
      </c>
      <c r="D3080" s="2">
        <v>162521.96991625</v>
      </c>
      <c r="E3080" s="2">
        <v>0</v>
      </c>
      <c r="F3080" s="2">
        <v>162521.96991625</v>
      </c>
    </row>
    <row r="3081" spans="1:6" x14ac:dyDescent="0.3">
      <c r="A3081" s="1">
        <v>44773</v>
      </c>
      <c r="B3081" t="s">
        <v>15</v>
      </c>
      <c r="C3081" t="s">
        <v>19</v>
      </c>
      <c r="D3081" s="2">
        <v>322714.79845235997</v>
      </c>
      <c r="E3081" s="2">
        <v>6621895.3917609099</v>
      </c>
      <c r="F3081" s="2">
        <v>6944610.1902132696</v>
      </c>
    </row>
    <row r="3082" spans="1:6" x14ac:dyDescent="0.3">
      <c r="A3082" s="1">
        <v>44773</v>
      </c>
      <c r="B3082" t="s">
        <v>15</v>
      </c>
      <c r="C3082" t="s">
        <v>20</v>
      </c>
      <c r="D3082" s="2">
        <v>3264.3999405</v>
      </c>
      <c r="E3082" s="2">
        <v>0</v>
      </c>
      <c r="F3082" s="2">
        <v>3264.3999405</v>
      </c>
    </row>
    <row r="3083" spans="1:6" x14ac:dyDescent="0.3">
      <c r="A3083" s="1">
        <v>44773</v>
      </c>
      <c r="B3083" t="s">
        <v>21</v>
      </c>
      <c r="C3083" t="s">
        <v>14</v>
      </c>
      <c r="D3083" s="2">
        <v>618467.31575214001</v>
      </c>
      <c r="E3083" s="2">
        <v>6621895.3917609099</v>
      </c>
      <c r="F3083" s="2">
        <v>7240362.6825130498</v>
      </c>
    </row>
    <row r="3084" spans="1:6" x14ac:dyDescent="0.3">
      <c r="A3084" s="1">
        <v>44773</v>
      </c>
      <c r="B3084" t="s">
        <v>22</v>
      </c>
      <c r="C3084" t="s">
        <v>14</v>
      </c>
      <c r="D3084" s="2">
        <v>23952579.263626199</v>
      </c>
      <c r="E3084" s="2">
        <v>6642529.3841331704</v>
      </c>
      <c r="F3084" s="2">
        <v>30595108.622759301</v>
      </c>
    </row>
    <row r="3085" spans="1:6" x14ac:dyDescent="0.3">
      <c r="A3085" s="1">
        <v>44804</v>
      </c>
      <c r="B3085" t="s">
        <v>6</v>
      </c>
      <c r="C3085" t="s">
        <v>7</v>
      </c>
      <c r="D3085" s="2">
        <v>3723766.2919999999</v>
      </c>
      <c r="E3085" s="2">
        <v>1213.0899999999999</v>
      </c>
      <c r="F3085" s="2">
        <v>3724979.3820000002</v>
      </c>
    </row>
    <row r="3086" spans="1:6" x14ac:dyDescent="0.3">
      <c r="A3086" s="1">
        <v>44804</v>
      </c>
      <c r="B3086" t="s">
        <v>6</v>
      </c>
      <c r="C3086" t="s">
        <v>8</v>
      </c>
      <c r="D3086" s="2">
        <v>13664817.6994</v>
      </c>
      <c r="E3086" s="2">
        <v>7328.1148999999996</v>
      </c>
      <c r="F3086" s="2">
        <v>13672145.814300001</v>
      </c>
    </row>
    <row r="3087" spans="1:6" x14ac:dyDescent="0.3">
      <c r="A3087" s="1">
        <v>44804</v>
      </c>
      <c r="B3087" t="s">
        <v>6</v>
      </c>
      <c r="C3087" t="s">
        <v>9</v>
      </c>
      <c r="D3087" s="2">
        <v>3837714.7577499999</v>
      </c>
      <c r="E3087" s="2">
        <v>6638.0155000000004</v>
      </c>
      <c r="F3087" s="2">
        <v>3844352.7732500001</v>
      </c>
    </row>
    <row r="3088" spans="1:6" x14ac:dyDescent="0.3">
      <c r="A3088" s="1">
        <v>44804</v>
      </c>
      <c r="B3088" t="s">
        <v>6</v>
      </c>
      <c r="C3088" t="s">
        <v>10</v>
      </c>
      <c r="D3088" s="2">
        <v>1823972.25549622</v>
      </c>
      <c r="E3088" s="2">
        <v>683.92423208000002</v>
      </c>
      <c r="F3088" s="2">
        <v>1824656.1797283001</v>
      </c>
    </row>
    <row r="3089" spans="1:6" x14ac:dyDescent="0.3">
      <c r="A3089" s="1">
        <v>44804</v>
      </c>
      <c r="B3089" t="s">
        <v>6</v>
      </c>
      <c r="C3089" t="s">
        <v>11</v>
      </c>
      <c r="D3089" s="2">
        <v>603899.8567</v>
      </c>
      <c r="E3089" s="2">
        <v>77.37</v>
      </c>
      <c r="F3089" s="2">
        <v>603977.2267</v>
      </c>
    </row>
    <row r="3090" spans="1:6" x14ac:dyDescent="0.3">
      <c r="A3090" s="1">
        <v>44804</v>
      </c>
      <c r="B3090" t="s">
        <v>6</v>
      </c>
      <c r="C3090" t="s">
        <v>12</v>
      </c>
      <c r="D3090" s="2">
        <v>0</v>
      </c>
      <c r="E3090" s="2">
        <v>4847.0079999999998</v>
      </c>
      <c r="F3090" s="2">
        <v>4847.0079999999998</v>
      </c>
    </row>
    <row r="3091" spans="1:6" x14ac:dyDescent="0.3">
      <c r="A3091" s="1">
        <v>44804</v>
      </c>
      <c r="B3091" t="s">
        <v>13</v>
      </c>
      <c r="C3091" t="s">
        <v>14</v>
      </c>
      <c r="D3091" s="2">
        <v>23654170.8613462</v>
      </c>
      <c r="E3091" s="2">
        <v>20787.522632079999</v>
      </c>
      <c r="F3091" s="2">
        <v>23674958.3839783</v>
      </c>
    </row>
    <row r="3092" spans="1:6" x14ac:dyDescent="0.3">
      <c r="A3092" s="1">
        <v>44804</v>
      </c>
      <c r="B3092" t="s">
        <v>15</v>
      </c>
      <c r="C3092" t="s">
        <v>16</v>
      </c>
      <c r="D3092" s="2">
        <v>25863.849563600001</v>
      </c>
      <c r="E3092" s="2">
        <v>0</v>
      </c>
      <c r="F3092" s="2">
        <v>25863.849563600001</v>
      </c>
    </row>
    <row r="3093" spans="1:6" x14ac:dyDescent="0.3">
      <c r="A3093" s="1">
        <v>44804</v>
      </c>
      <c r="B3093" t="s">
        <v>15</v>
      </c>
      <c r="C3093" t="s">
        <v>23</v>
      </c>
      <c r="D3093" s="2">
        <v>264.34199999999998</v>
      </c>
      <c r="E3093" s="2">
        <v>0</v>
      </c>
      <c r="F3093" s="2">
        <v>264.34199999999998</v>
      </c>
    </row>
    <row r="3094" spans="1:6" x14ac:dyDescent="0.3">
      <c r="A3094" s="1">
        <v>44804</v>
      </c>
      <c r="B3094" t="s">
        <v>15</v>
      </c>
      <c r="C3094" t="s">
        <v>17</v>
      </c>
      <c r="D3094" s="2">
        <v>99064.78307782</v>
      </c>
      <c r="E3094" s="2">
        <v>0</v>
      </c>
      <c r="F3094" s="2">
        <v>99064.78307782</v>
      </c>
    </row>
    <row r="3095" spans="1:6" x14ac:dyDescent="0.3">
      <c r="A3095" s="1">
        <v>44804</v>
      </c>
      <c r="B3095" t="s">
        <v>15</v>
      </c>
      <c r="C3095" t="s">
        <v>18</v>
      </c>
      <c r="D3095" s="2">
        <v>164355.29431207001</v>
      </c>
      <c r="E3095" s="2">
        <v>0</v>
      </c>
      <c r="F3095" s="2">
        <v>164355.29431207001</v>
      </c>
    </row>
    <row r="3096" spans="1:6" x14ac:dyDescent="0.3">
      <c r="A3096" s="1">
        <v>44804</v>
      </c>
      <c r="B3096" t="s">
        <v>15</v>
      </c>
      <c r="C3096" t="s">
        <v>19</v>
      </c>
      <c r="D3096" s="2">
        <v>320611.60296147002</v>
      </c>
      <c r="E3096" s="2">
        <v>6647736.44997002</v>
      </c>
      <c r="F3096" s="2">
        <v>6968348.0529314904</v>
      </c>
    </row>
    <row r="3097" spans="1:6" x14ac:dyDescent="0.3">
      <c r="A3097" s="1">
        <v>44804</v>
      </c>
      <c r="B3097" t="s">
        <v>15</v>
      </c>
      <c r="C3097" t="s">
        <v>20</v>
      </c>
      <c r="D3097" s="2">
        <v>3220.4873073499998</v>
      </c>
      <c r="E3097" s="2">
        <v>0</v>
      </c>
      <c r="F3097" s="2">
        <v>3220.4873073499998</v>
      </c>
    </row>
    <row r="3098" spans="1:6" x14ac:dyDescent="0.3">
      <c r="A3098" s="1">
        <v>44804</v>
      </c>
      <c r="B3098" t="s">
        <v>21</v>
      </c>
      <c r="C3098" t="s">
        <v>14</v>
      </c>
      <c r="D3098" s="2">
        <v>613380.35922231001</v>
      </c>
      <c r="E3098" s="2">
        <v>6647736.44997002</v>
      </c>
      <c r="F3098" s="2">
        <v>7261116.8091923296</v>
      </c>
    </row>
    <row r="3099" spans="1:6" x14ac:dyDescent="0.3">
      <c r="A3099" s="1">
        <v>44804</v>
      </c>
      <c r="B3099" t="s">
        <v>22</v>
      </c>
      <c r="C3099" t="s">
        <v>14</v>
      </c>
      <c r="D3099" s="2">
        <v>24267551.2205685</v>
      </c>
      <c r="E3099" s="2">
        <v>6668523.9726021001</v>
      </c>
      <c r="F3099" s="2">
        <v>30936075.1931706</v>
      </c>
    </row>
    <row r="3100" spans="1:6" x14ac:dyDescent="0.3">
      <c r="A3100" s="1">
        <v>44834</v>
      </c>
      <c r="B3100" t="s">
        <v>6</v>
      </c>
      <c r="C3100" t="s">
        <v>7</v>
      </c>
      <c r="D3100" s="2">
        <v>3643675.2524000001</v>
      </c>
      <c r="E3100" s="2">
        <v>944.94799999999998</v>
      </c>
      <c r="F3100" s="2">
        <v>3644620.2004</v>
      </c>
    </row>
    <row r="3101" spans="1:6" x14ac:dyDescent="0.3">
      <c r="A3101" s="1">
        <v>44834</v>
      </c>
      <c r="B3101" t="s">
        <v>6</v>
      </c>
      <c r="C3101" t="s">
        <v>8</v>
      </c>
      <c r="D3101" s="2">
        <v>13696487.6086</v>
      </c>
      <c r="E3101" s="2">
        <v>7307.7439000000004</v>
      </c>
      <c r="F3101" s="2">
        <v>13703795.352499999</v>
      </c>
    </row>
    <row r="3102" spans="1:6" x14ac:dyDescent="0.3">
      <c r="A3102" s="1">
        <v>44834</v>
      </c>
      <c r="B3102" t="s">
        <v>6</v>
      </c>
      <c r="C3102" t="s">
        <v>9</v>
      </c>
      <c r="D3102" s="2">
        <v>3867671.6539500002</v>
      </c>
      <c r="E3102" s="2">
        <v>6680.4894999999997</v>
      </c>
      <c r="F3102" s="2">
        <v>3874352.1434499999</v>
      </c>
    </row>
    <row r="3103" spans="1:6" x14ac:dyDescent="0.3">
      <c r="A3103" s="1">
        <v>44834</v>
      </c>
      <c r="B3103" t="s">
        <v>6</v>
      </c>
      <c r="C3103" t="s">
        <v>10</v>
      </c>
      <c r="D3103" s="2">
        <v>1839843.33998246</v>
      </c>
      <c r="E3103" s="2">
        <v>688.72035701000004</v>
      </c>
      <c r="F3103" s="2">
        <v>1840532.0603394699</v>
      </c>
    </row>
    <row r="3104" spans="1:6" x14ac:dyDescent="0.3">
      <c r="A3104" s="1">
        <v>44834</v>
      </c>
      <c r="B3104" t="s">
        <v>6</v>
      </c>
      <c r="C3104" t="s">
        <v>11</v>
      </c>
      <c r="D3104" s="2">
        <v>625896.52729999996</v>
      </c>
      <c r="E3104" s="2">
        <v>80.650000000000006</v>
      </c>
      <c r="F3104" s="2">
        <v>625977.17729999998</v>
      </c>
    </row>
    <row r="3105" spans="1:6" x14ac:dyDescent="0.3">
      <c r="A3105" s="1">
        <v>44834</v>
      </c>
      <c r="B3105" t="s">
        <v>6</v>
      </c>
      <c r="C3105" t="s">
        <v>12</v>
      </c>
      <c r="D3105" s="2">
        <v>0</v>
      </c>
      <c r="E3105" s="2">
        <v>4847.0079999999998</v>
      </c>
      <c r="F3105" s="2">
        <v>4847.0079999999998</v>
      </c>
    </row>
    <row r="3106" spans="1:6" x14ac:dyDescent="0.3">
      <c r="A3106" s="1">
        <v>44834</v>
      </c>
      <c r="B3106" t="s">
        <v>13</v>
      </c>
      <c r="C3106" t="s">
        <v>14</v>
      </c>
      <c r="D3106" s="2">
        <v>23673574.382232402</v>
      </c>
      <c r="E3106" s="2">
        <v>20549.55975701</v>
      </c>
      <c r="F3106" s="2">
        <v>23694123.9419895</v>
      </c>
    </row>
    <row r="3107" spans="1:6" x14ac:dyDescent="0.3">
      <c r="A3107" s="1">
        <v>44834</v>
      </c>
      <c r="B3107" t="s">
        <v>15</v>
      </c>
      <c r="C3107" t="s">
        <v>16</v>
      </c>
      <c r="D3107" s="2">
        <v>25893.877858899999</v>
      </c>
      <c r="E3107" s="2">
        <v>0</v>
      </c>
      <c r="F3107" s="2">
        <v>25893.877858899999</v>
      </c>
    </row>
    <row r="3108" spans="1:6" x14ac:dyDescent="0.3">
      <c r="A3108" s="1">
        <v>44834</v>
      </c>
      <c r="B3108" t="s">
        <v>15</v>
      </c>
      <c r="C3108" t="s">
        <v>23</v>
      </c>
      <c r="D3108" s="2">
        <v>264.34199999999998</v>
      </c>
      <c r="E3108" s="2">
        <v>0</v>
      </c>
      <c r="F3108" s="2">
        <v>264.34199999999998</v>
      </c>
    </row>
    <row r="3109" spans="1:6" x14ac:dyDescent="0.3">
      <c r="A3109" s="1">
        <v>44834</v>
      </c>
      <c r="B3109" t="s">
        <v>15</v>
      </c>
      <c r="C3109" t="s">
        <v>17</v>
      </c>
      <c r="D3109" s="2">
        <v>109235.72952364</v>
      </c>
      <c r="E3109" s="2">
        <v>0</v>
      </c>
      <c r="F3109" s="2">
        <v>109235.72952364</v>
      </c>
    </row>
    <row r="3110" spans="1:6" x14ac:dyDescent="0.3">
      <c r="A3110" s="1">
        <v>44834</v>
      </c>
      <c r="B3110" t="s">
        <v>15</v>
      </c>
      <c r="C3110" t="s">
        <v>18</v>
      </c>
      <c r="D3110" s="2">
        <v>166292.43118931001</v>
      </c>
      <c r="E3110" s="2">
        <v>0</v>
      </c>
      <c r="F3110" s="2">
        <v>166292.43118931001</v>
      </c>
    </row>
    <row r="3111" spans="1:6" x14ac:dyDescent="0.3">
      <c r="A3111" s="1">
        <v>44834</v>
      </c>
      <c r="B3111" t="s">
        <v>15</v>
      </c>
      <c r="C3111" t="s">
        <v>19</v>
      </c>
      <c r="D3111" s="2">
        <v>320633.96855686</v>
      </c>
      <c r="E3111" s="2">
        <v>6609169.4333912097</v>
      </c>
      <c r="F3111" s="2">
        <v>6929803.4019480702</v>
      </c>
    </row>
    <row r="3112" spans="1:6" x14ac:dyDescent="0.3">
      <c r="A3112" s="1">
        <v>44834</v>
      </c>
      <c r="B3112" t="s">
        <v>15</v>
      </c>
      <c r="C3112" t="s">
        <v>20</v>
      </c>
      <c r="D3112" s="2">
        <v>3297.8625190600001</v>
      </c>
      <c r="E3112" s="2">
        <v>0</v>
      </c>
      <c r="F3112" s="2">
        <v>3297.8625190600001</v>
      </c>
    </row>
    <row r="3113" spans="1:6" x14ac:dyDescent="0.3">
      <c r="A3113" s="1">
        <v>44834</v>
      </c>
      <c r="B3113" t="s">
        <v>21</v>
      </c>
      <c r="C3113" t="s">
        <v>14</v>
      </c>
      <c r="D3113" s="2">
        <v>625618.21164777002</v>
      </c>
      <c r="E3113" s="2">
        <v>6609169.4333912097</v>
      </c>
      <c r="F3113" s="2">
        <v>7234787.6450389801</v>
      </c>
    </row>
    <row r="3114" spans="1:6" x14ac:dyDescent="0.3">
      <c r="A3114" s="1">
        <v>44834</v>
      </c>
      <c r="B3114" t="s">
        <v>22</v>
      </c>
      <c r="C3114" t="s">
        <v>14</v>
      </c>
      <c r="D3114" s="2">
        <v>24299192.593880199</v>
      </c>
      <c r="E3114" s="2">
        <v>6629718.9931482198</v>
      </c>
      <c r="F3114" s="2">
        <v>30928911.587028399</v>
      </c>
    </row>
    <row r="3115" spans="1:6" x14ac:dyDescent="0.3">
      <c r="A3115" s="1">
        <v>44865</v>
      </c>
      <c r="B3115" t="s">
        <v>6</v>
      </c>
      <c r="C3115" t="s">
        <v>7</v>
      </c>
      <c r="D3115" s="2">
        <v>3664797.5893000001</v>
      </c>
      <c r="E3115" s="2">
        <v>1180.8599999999999</v>
      </c>
      <c r="F3115" s="2">
        <v>3665978.4493</v>
      </c>
    </row>
    <row r="3116" spans="1:6" x14ac:dyDescent="0.3">
      <c r="A3116" s="1">
        <v>44865</v>
      </c>
      <c r="B3116" t="s">
        <v>6</v>
      </c>
      <c r="C3116" t="s">
        <v>8</v>
      </c>
      <c r="D3116" s="2">
        <v>13727319.9538</v>
      </c>
      <c r="E3116" s="2">
        <v>6889.1039000000001</v>
      </c>
      <c r="F3116" s="2">
        <v>13734209.057700001</v>
      </c>
    </row>
    <row r="3117" spans="1:6" x14ac:dyDescent="0.3">
      <c r="A3117" s="1">
        <v>44865</v>
      </c>
      <c r="B3117" t="s">
        <v>6</v>
      </c>
      <c r="C3117" t="s">
        <v>9</v>
      </c>
      <c r="D3117" s="2">
        <v>3897465.2236500001</v>
      </c>
      <c r="E3117" s="2">
        <v>6875.0514999999996</v>
      </c>
      <c r="F3117" s="2">
        <v>3904340.2751500001</v>
      </c>
    </row>
    <row r="3118" spans="1:6" x14ac:dyDescent="0.3">
      <c r="A3118" s="1">
        <v>44865</v>
      </c>
      <c r="B3118" t="s">
        <v>6</v>
      </c>
      <c r="C3118" t="s">
        <v>10</v>
      </c>
      <c r="D3118" s="2">
        <v>1860204.1358769101</v>
      </c>
      <c r="E3118" s="2">
        <v>681.74306207999996</v>
      </c>
      <c r="F3118" s="2">
        <v>1860885.8789389899</v>
      </c>
    </row>
    <row r="3119" spans="1:6" x14ac:dyDescent="0.3">
      <c r="A3119" s="1">
        <v>44865</v>
      </c>
      <c r="B3119" t="s">
        <v>6</v>
      </c>
      <c r="C3119" t="s">
        <v>11</v>
      </c>
      <c r="D3119" s="2">
        <v>573168.90280000004</v>
      </c>
      <c r="E3119" s="2">
        <v>55.92</v>
      </c>
      <c r="F3119" s="2">
        <v>573224.82279999997</v>
      </c>
    </row>
    <row r="3120" spans="1:6" x14ac:dyDescent="0.3">
      <c r="A3120" s="1">
        <v>44865</v>
      </c>
      <c r="B3120" t="s">
        <v>6</v>
      </c>
      <c r="C3120" t="s">
        <v>12</v>
      </c>
      <c r="D3120" s="2">
        <v>0</v>
      </c>
      <c r="E3120" s="2">
        <v>4847.0079999999998</v>
      </c>
      <c r="F3120" s="2">
        <v>4847.0079999999998</v>
      </c>
    </row>
    <row r="3121" spans="1:6" x14ac:dyDescent="0.3">
      <c r="A3121" s="1">
        <v>44865</v>
      </c>
      <c r="B3121" t="s">
        <v>13</v>
      </c>
      <c r="C3121" t="s">
        <v>14</v>
      </c>
      <c r="D3121" s="2">
        <v>23722955.805426899</v>
      </c>
      <c r="E3121" s="2">
        <v>20529.686462080001</v>
      </c>
      <c r="F3121" s="2">
        <v>23743485.491889</v>
      </c>
    </row>
    <row r="3122" spans="1:6" x14ac:dyDescent="0.3">
      <c r="A3122" s="1">
        <v>44865</v>
      </c>
      <c r="B3122" t="s">
        <v>15</v>
      </c>
      <c r="C3122" t="s">
        <v>16</v>
      </c>
      <c r="D3122" s="2">
        <v>25930.39655754</v>
      </c>
      <c r="E3122" s="2">
        <v>0</v>
      </c>
      <c r="F3122" s="2">
        <v>25930.39655754</v>
      </c>
    </row>
    <row r="3123" spans="1:6" x14ac:dyDescent="0.3">
      <c r="A3123" s="1">
        <v>44865</v>
      </c>
      <c r="B3123" t="s">
        <v>15</v>
      </c>
      <c r="C3123" t="s">
        <v>23</v>
      </c>
      <c r="D3123" s="2">
        <v>264.34199999999998</v>
      </c>
      <c r="E3123" s="2">
        <v>0</v>
      </c>
      <c r="F3123" s="2">
        <v>264.34199999999998</v>
      </c>
    </row>
    <row r="3124" spans="1:6" x14ac:dyDescent="0.3">
      <c r="A3124" s="1">
        <v>44865</v>
      </c>
      <c r="B3124" t="s">
        <v>15</v>
      </c>
      <c r="C3124" t="s">
        <v>17</v>
      </c>
      <c r="D3124" s="2">
        <v>104454.47304505001</v>
      </c>
      <c r="E3124" s="2">
        <v>0</v>
      </c>
      <c r="F3124" s="2">
        <v>104454.47304505001</v>
      </c>
    </row>
    <row r="3125" spans="1:6" x14ac:dyDescent="0.3">
      <c r="A3125" s="1">
        <v>44865</v>
      </c>
      <c r="B3125" t="s">
        <v>15</v>
      </c>
      <c r="C3125" t="s">
        <v>18</v>
      </c>
      <c r="D3125" s="2">
        <v>172555.83997187001</v>
      </c>
      <c r="E3125" s="2">
        <v>0</v>
      </c>
      <c r="F3125" s="2">
        <v>172555.83997187001</v>
      </c>
    </row>
    <row r="3126" spans="1:6" x14ac:dyDescent="0.3">
      <c r="A3126" s="1">
        <v>44865</v>
      </c>
      <c r="B3126" t="s">
        <v>15</v>
      </c>
      <c r="C3126" t="s">
        <v>19</v>
      </c>
      <c r="D3126" s="2">
        <v>322953.58074944001</v>
      </c>
      <c r="E3126" s="2">
        <v>6865229.7994318502</v>
      </c>
      <c r="F3126" s="2">
        <v>7188183.3801812902</v>
      </c>
    </row>
    <row r="3127" spans="1:6" x14ac:dyDescent="0.3">
      <c r="A3127" s="1">
        <v>44865</v>
      </c>
      <c r="B3127" t="s">
        <v>15</v>
      </c>
      <c r="C3127" t="s">
        <v>20</v>
      </c>
      <c r="D3127" s="2">
        <v>3427.2329369399999</v>
      </c>
      <c r="E3127" s="2">
        <v>0</v>
      </c>
      <c r="F3127" s="2">
        <v>3427.2329369399999</v>
      </c>
    </row>
    <row r="3128" spans="1:6" x14ac:dyDescent="0.3">
      <c r="A3128" s="1">
        <v>44865</v>
      </c>
      <c r="B3128" t="s">
        <v>21</v>
      </c>
      <c r="C3128" t="s">
        <v>14</v>
      </c>
      <c r="D3128" s="2">
        <v>629585.86526084004</v>
      </c>
      <c r="E3128" s="2">
        <v>6865229.7994318502</v>
      </c>
      <c r="F3128" s="2">
        <v>7494815.6646926897</v>
      </c>
    </row>
    <row r="3129" spans="1:6" x14ac:dyDescent="0.3">
      <c r="A3129" s="1">
        <v>44865</v>
      </c>
      <c r="B3129" t="s">
        <v>22</v>
      </c>
      <c r="C3129" t="s">
        <v>14</v>
      </c>
      <c r="D3129" s="2">
        <v>24352541.670687702</v>
      </c>
      <c r="E3129" s="2">
        <v>6885759.4858939303</v>
      </c>
      <c r="F3129" s="2">
        <v>31238301.1565817</v>
      </c>
    </row>
    <row r="3130" spans="1:6" x14ac:dyDescent="0.3">
      <c r="A3130" s="1">
        <v>44895</v>
      </c>
      <c r="B3130" t="s">
        <v>6</v>
      </c>
      <c r="C3130" t="s">
        <v>7</v>
      </c>
      <c r="D3130" s="2">
        <v>3810733.1414000001</v>
      </c>
      <c r="E3130" s="2">
        <v>1172.01</v>
      </c>
      <c r="F3130" s="2">
        <v>3811905.1513999999</v>
      </c>
    </row>
    <row r="3131" spans="1:6" x14ac:dyDescent="0.3">
      <c r="A3131" s="1">
        <v>44895</v>
      </c>
      <c r="B3131" t="s">
        <v>6</v>
      </c>
      <c r="C3131" t="s">
        <v>8</v>
      </c>
      <c r="D3131" s="2">
        <v>13711307.106799999</v>
      </c>
      <c r="E3131" s="2">
        <v>6630.2469000000001</v>
      </c>
      <c r="F3131" s="2">
        <v>13717937.353700001</v>
      </c>
    </row>
    <row r="3132" spans="1:6" x14ac:dyDescent="0.3">
      <c r="A3132" s="1">
        <v>44895</v>
      </c>
      <c r="B3132" t="s">
        <v>6</v>
      </c>
      <c r="C3132" t="s">
        <v>9</v>
      </c>
      <c r="D3132" s="2">
        <v>3934877.7901499998</v>
      </c>
      <c r="E3132" s="2">
        <v>7011.6605</v>
      </c>
      <c r="F3132" s="2">
        <v>3941889.45065</v>
      </c>
    </row>
    <row r="3133" spans="1:6" x14ac:dyDescent="0.3">
      <c r="A3133" s="1">
        <v>44895</v>
      </c>
      <c r="B3133" t="s">
        <v>6</v>
      </c>
      <c r="C3133" t="s">
        <v>10</v>
      </c>
      <c r="D3133" s="2">
        <v>1880968.2546524401</v>
      </c>
      <c r="E3133" s="2">
        <v>738.92713418000005</v>
      </c>
      <c r="F3133" s="2">
        <v>1881707.1817866201</v>
      </c>
    </row>
    <row r="3134" spans="1:6" x14ac:dyDescent="0.3">
      <c r="A3134" s="1">
        <v>44895</v>
      </c>
      <c r="B3134" t="s">
        <v>6</v>
      </c>
      <c r="C3134" t="s">
        <v>11</v>
      </c>
      <c r="D3134" s="2">
        <v>595184.81819999998</v>
      </c>
      <c r="E3134" s="2">
        <v>29.34</v>
      </c>
      <c r="F3134" s="2">
        <v>595214.15819999995</v>
      </c>
    </row>
    <row r="3135" spans="1:6" x14ac:dyDescent="0.3">
      <c r="A3135" s="1">
        <v>44895</v>
      </c>
      <c r="B3135" t="s">
        <v>6</v>
      </c>
      <c r="C3135" t="s">
        <v>12</v>
      </c>
      <c r="D3135" s="2">
        <v>0</v>
      </c>
      <c r="E3135" s="2">
        <v>4847.0079999999998</v>
      </c>
      <c r="F3135" s="2">
        <v>4847.0079999999998</v>
      </c>
    </row>
    <row r="3136" spans="1:6" x14ac:dyDescent="0.3">
      <c r="A3136" s="1">
        <v>44895</v>
      </c>
      <c r="B3136" t="s">
        <v>13</v>
      </c>
      <c r="C3136" t="s">
        <v>14</v>
      </c>
      <c r="D3136" s="2">
        <v>23933071.1112024</v>
      </c>
      <c r="E3136" s="2">
        <v>20429.192534180002</v>
      </c>
      <c r="F3136" s="2">
        <v>23953500.303736601</v>
      </c>
    </row>
    <row r="3137" spans="1:6" x14ac:dyDescent="0.3">
      <c r="A3137" s="1">
        <v>44895</v>
      </c>
      <c r="B3137" t="s">
        <v>15</v>
      </c>
      <c r="C3137" t="s">
        <v>16</v>
      </c>
      <c r="D3137" s="2">
        <v>23741.76863703</v>
      </c>
      <c r="E3137" s="2">
        <v>0</v>
      </c>
      <c r="F3137" s="2">
        <v>23741.76863703</v>
      </c>
    </row>
    <row r="3138" spans="1:6" x14ac:dyDescent="0.3">
      <c r="A3138" s="1">
        <v>44895</v>
      </c>
      <c r="B3138" t="s">
        <v>15</v>
      </c>
      <c r="C3138" t="s">
        <v>23</v>
      </c>
      <c r="D3138" s="2">
        <v>264.34199999999998</v>
      </c>
      <c r="E3138" s="2">
        <v>0</v>
      </c>
      <c r="F3138" s="2">
        <v>264.34199999999998</v>
      </c>
    </row>
    <row r="3139" spans="1:6" x14ac:dyDescent="0.3">
      <c r="A3139" s="1">
        <v>44895</v>
      </c>
      <c r="B3139" t="s">
        <v>15</v>
      </c>
      <c r="C3139" t="s">
        <v>17</v>
      </c>
      <c r="D3139" s="2">
        <v>101819.08307822001</v>
      </c>
      <c r="E3139" s="2">
        <v>0</v>
      </c>
      <c r="F3139" s="2">
        <v>101819.08307822001</v>
      </c>
    </row>
    <row r="3140" spans="1:6" x14ac:dyDescent="0.3">
      <c r="A3140" s="1">
        <v>44895</v>
      </c>
      <c r="B3140" t="s">
        <v>15</v>
      </c>
      <c r="C3140" t="s">
        <v>18</v>
      </c>
      <c r="D3140" s="2">
        <v>173217.64129510001</v>
      </c>
      <c r="E3140" s="2">
        <v>0</v>
      </c>
      <c r="F3140" s="2">
        <v>173217.64129510001</v>
      </c>
    </row>
    <row r="3141" spans="1:6" x14ac:dyDescent="0.3">
      <c r="A3141" s="1">
        <v>44895</v>
      </c>
      <c r="B3141" t="s">
        <v>15</v>
      </c>
      <c r="C3141" t="s">
        <v>19</v>
      </c>
      <c r="D3141" s="2">
        <v>317927.29688058002</v>
      </c>
      <c r="E3141" s="2">
        <v>6839436.6880841898</v>
      </c>
      <c r="F3141" s="2">
        <v>7157363.9849647703</v>
      </c>
    </row>
    <row r="3142" spans="1:6" x14ac:dyDescent="0.3">
      <c r="A3142" s="1">
        <v>44895</v>
      </c>
      <c r="B3142" t="s">
        <v>15</v>
      </c>
      <c r="C3142" t="s">
        <v>20</v>
      </c>
      <c r="D3142" s="2">
        <v>3415.3098309699999</v>
      </c>
      <c r="E3142" s="2">
        <v>0</v>
      </c>
      <c r="F3142" s="2">
        <v>3415.3098309699999</v>
      </c>
    </row>
    <row r="3143" spans="1:6" x14ac:dyDescent="0.3">
      <c r="A3143" s="1">
        <v>44895</v>
      </c>
      <c r="B3143" t="s">
        <v>21</v>
      </c>
      <c r="C3143" t="s">
        <v>14</v>
      </c>
      <c r="D3143" s="2">
        <v>620385.44172190002</v>
      </c>
      <c r="E3143" s="2">
        <v>6839436.6880841898</v>
      </c>
      <c r="F3143" s="2">
        <v>7459822.1298060901</v>
      </c>
    </row>
    <row r="3144" spans="1:6" x14ac:dyDescent="0.3">
      <c r="A3144" s="1">
        <v>44895</v>
      </c>
      <c r="B3144" t="s">
        <v>22</v>
      </c>
      <c r="C3144" t="s">
        <v>14</v>
      </c>
      <c r="D3144" s="2">
        <v>24553456.552924301</v>
      </c>
      <c r="E3144" s="2">
        <v>6859865.8806183701</v>
      </c>
      <c r="F3144" s="2">
        <v>31413322.433542699</v>
      </c>
    </row>
    <row r="3145" spans="1:6" x14ac:dyDescent="0.3">
      <c r="A3145" s="1">
        <v>44926</v>
      </c>
      <c r="B3145" t="s">
        <v>6</v>
      </c>
      <c r="C3145" t="s">
        <v>7</v>
      </c>
      <c r="D3145" s="2">
        <v>3696168.8437999999</v>
      </c>
      <c r="E3145" s="2">
        <v>1217.3</v>
      </c>
      <c r="F3145" s="2">
        <v>3697386.1438000002</v>
      </c>
    </row>
    <row r="3146" spans="1:6" x14ac:dyDescent="0.3">
      <c r="A3146" s="1">
        <v>44926</v>
      </c>
      <c r="B3146" t="s">
        <v>6</v>
      </c>
      <c r="C3146" t="s">
        <v>8</v>
      </c>
      <c r="D3146" s="2">
        <v>13745309.0878</v>
      </c>
      <c r="E3146" s="2">
        <v>6607.7819</v>
      </c>
      <c r="F3146" s="2">
        <v>13751916.8697</v>
      </c>
    </row>
    <row r="3147" spans="1:6" x14ac:dyDescent="0.3">
      <c r="A3147" s="1">
        <v>44926</v>
      </c>
      <c r="B3147" t="s">
        <v>6</v>
      </c>
      <c r="C3147" t="s">
        <v>9</v>
      </c>
      <c r="D3147" s="2">
        <v>3952657.9785500001</v>
      </c>
      <c r="E3147" s="2">
        <v>7215.6274999999996</v>
      </c>
      <c r="F3147" s="2">
        <v>3959873.6060500001</v>
      </c>
    </row>
    <row r="3148" spans="1:6" x14ac:dyDescent="0.3">
      <c r="A3148" s="1">
        <v>44926</v>
      </c>
      <c r="B3148" t="s">
        <v>6</v>
      </c>
      <c r="C3148" t="s">
        <v>10</v>
      </c>
      <c r="D3148" s="2">
        <v>1907302.9178518299</v>
      </c>
      <c r="E3148" s="2">
        <v>769.07617370000003</v>
      </c>
      <c r="F3148" s="2">
        <v>1908071.9940255301</v>
      </c>
    </row>
    <row r="3149" spans="1:6" x14ac:dyDescent="0.3">
      <c r="A3149" s="1">
        <v>44926</v>
      </c>
      <c r="B3149" t="s">
        <v>6</v>
      </c>
      <c r="C3149" t="s">
        <v>11</v>
      </c>
      <c r="D3149" s="2">
        <v>617196.12170000002</v>
      </c>
      <c r="E3149" s="2">
        <v>8.07</v>
      </c>
      <c r="F3149" s="2">
        <v>617204.19169999997</v>
      </c>
    </row>
    <row r="3150" spans="1:6" x14ac:dyDescent="0.3">
      <c r="A3150" s="1">
        <v>44926</v>
      </c>
      <c r="B3150" t="s">
        <v>6</v>
      </c>
      <c r="C3150" t="s">
        <v>12</v>
      </c>
      <c r="D3150" s="2">
        <v>0</v>
      </c>
      <c r="E3150" s="2">
        <v>4847.0079999999998</v>
      </c>
      <c r="F3150" s="2">
        <v>4847.0079999999998</v>
      </c>
    </row>
    <row r="3151" spans="1:6" x14ac:dyDescent="0.3">
      <c r="A3151" s="1">
        <v>44926</v>
      </c>
      <c r="B3151" t="s">
        <v>13</v>
      </c>
      <c r="C3151" t="s">
        <v>14</v>
      </c>
      <c r="D3151" s="2">
        <v>23918634.949701801</v>
      </c>
      <c r="E3151" s="2">
        <v>20664.8635737</v>
      </c>
      <c r="F3151" s="2">
        <v>23939299.813275501</v>
      </c>
    </row>
    <row r="3152" spans="1:6" x14ac:dyDescent="0.3">
      <c r="A3152" s="1">
        <v>44926</v>
      </c>
      <c r="B3152" t="s">
        <v>15</v>
      </c>
      <c r="C3152" t="s">
        <v>16</v>
      </c>
      <c r="D3152" s="2">
        <v>23778.00872315</v>
      </c>
      <c r="E3152" s="2">
        <v>0</v>
      </c>
      <c r="F3152" s="2">
        <v>23778.00872315</v>
      </c>
    </row>
    <row r="3153" spans="1:6" x14ac:dyDescent="0.3">
      <c r="A3153" s="1">
        <v>44926</v>
      </c>
      <c r="B3153" t="s">
        <v>15</v>
      </c>
      <c r="C3153" t="s">
        <v>23</v>
      </c>
      <c r="D3153" s="2">
        <v>264.34199999999998</v>
      </c>
      <c r="E3153" s="2">
        <v>0</v>
      </c>
      <c r="F3153" s="2">
        <v>264.34199999999998</v>
      </c>
    </row>
    <row r="3154" spans="1:6" x14ac:dyDescent="0.3">
      <c r="A3154" s="1">
        <v>44926</v>
      </c>
      <c r="B3154" t="s">
        <v>15</v>
      </c>
      <c r="C3154" t="s">
        <v>17</v>
      </c>
      <c r="D3154" s="2">
        <v>99898.159961719997</v>
      </c>
      <c r="E3154" s="2">
        <v>0</v>
      </c>
      <c r="F3154" s="2">
        <v>99898.159961719997</v>
      </c>
    </row>
    <row r="3155" spans="1:6" x14ac:dyDescent="0.3">
      <c r="A3155" s="1">
        <v>44926</v>
      </c>
      <c r="B3155" t="s">
        <v>15</v>
      </c>
      <c r="C3155" t="s">
        <v>18</v>
      </c>
      <c r="D3155" s="2">
        <v>173499.80570349001</v>
      </c>
      <c r="E3155" s="2">
        <v>0</v>
      </c>
      <c r="F3155" s="2">
        <v>173499.80570349001</v>
      </c>
    </row>
    <row r="3156" spans="1:6" x14ac:dyDescent="0.3">
      <c r="A3156" s="1">
        <v>44926</v>
      </c>
      <c r="B3156" t="s">
        <v>15</v>
      </c>
      <c r="C3156" t="s">
        <v>19</v>
      </c>
      <c r="D3156" s="2">
        <v>297915.32941686001</v>
      </c>
      <c r="E3156" s="2">
        <v>6881431.34941833</v>
      </c>
      <c r="F3156" s="2">
        <v>7179346.6788351899</v>
      </c>
    </row>
    <row r="3157" spans="1:6" x14ac:dyDescent="0.3">
      <c r="A3157" s="1">
        <v>44926</v>
      </c>
      <c r="B3157" t="s">
        <v>15</v>
      </c>
      <c r="C3157" t="s">
        <v>20</v>
      </c>
      <c r="D3157" s="2">
        <v>3602.7083556600001</v>
      </c>
      <c r="E3157" s="2">
        <v>0</v>
      </c>
      <c r="F3157" s="2">
        <v>3602.7083556600001</v>
      </c>
    </row>
    <row r="3158" spans="1:6" x14ac:dyDescent="0.3">
      <c r="A3158" s="1">
        <v>44926</v>
      </c>
      <c r="B3158" t="s">
        <v>21</v>
      </c>
      <c r="C3158" t="s">
        <v>14</v>
      </c>
      <c r="D3158" s="2">
        <v>598958.35416087997</v>
      </c>
      <c r="E3158" s="2">
        <v>6881431.34941833</v>
      </c>
      <c r="F3158" s="2">
        <v>7480389.7035792097</v>
      </c>
    </row>
    <row r="3159" spans="1:6" x14ac:dyDescent="0.3">
      <c r="A3159" s="1">
        <v>44926</v>
      </c>
      <c r="B3159" t="s">
        <v>22</v>
      </c>
      <c r="C3159" t="s">
        <v>14</v>
      </c>
      <c r="D3159" s="2">
        <v>24517593.303862698</v>
      </c>
      <c r="E3159" s="2">
        <v>6902096.2129920302</v>
      </c>
      <c r="F3159" s="2">
        <v>31419689.416854698</v>
      </c>
    </row>
    <row r="3160" spans="1:6" x14ac:dyDescent="0.3">
      <c r="A3160" s="1">
        <v>44957</v>
      </c>
      <c r="B3160" t="s">
        <v>6</v>
      </c>
      <c r="C3160" t="s">
        <v>7</v>
      </c>
      <c r="D3160" s="2">
        <v>3937201.9128</v>
      </c>
      <c r="E3160" s="2">
        <v>1671.5350000000001</v>
      </c>
      <c r="F3160" s="2">
        <v>3938873.4478000002</v>
      </c>
    </row>
    <row r="3161" spans="1:6" x14ac:dyDescent="0.3">
      <c r="A3161" s="1">
        <v>44957</v>
      </c>
      <c r="B3161" t="s">
        <v>6</v>
      </c>
      <c r="C3161" t="s">
        <v>8</v>
      </c>
      <c r="D3161" s="2">
        <v>13747218.002499999</v>
      </c>
      <c r="E3161" s="2">
        <v>6572.5649000000003</v>
      </c>
      <c r="F3161" s="2">
        <v>13753790.567399999</v>
      </c>
    </row>
    <row r="3162" spans="1:6" x14ac:dyDescent="0.3">
      <c r="A3162" s="1">
        <v>44957</v>
      </c>
      <c r="B3162" t="s">
        <v>6</v>
      </c>
      <c r="C3162" t="s">
        <v>9</v>
      </c>
      <c r="D3162" s="2">
        <v>3994729.9475500002</v>
      </c>
      <c r="E3162" s="2">
        <v>7131.7605000000003</v>
      </c>
      <c r="F3162" s="2">
        <v>4001861.70805</v>
      </c>
    </row>
    <row r="3163" spans="1:6" x14ac:dyDescent="0.3">
      <c r="A3163" s="1">
        <v>44957</v>
      </c>
      <c r="B3163" t="s">
        <v>6</v>
      </c>
      <c r="C3163" t="s">
        <v>10</v>
      </c>
      <c r="D3163" s="2">
        <v>1869973.6696381001</v>
      </c>
      <c r="E3163" s="2">
        <v>844.70576429000005</v>
      </c>
      <c r="F3163" s="2">
        <v>1870818.37540239</v>
      </c>
    </row>
    <row r="3164" spans="1:6" x14ac:dyDescent="0.3">
      <c r="A3164" s="1">
        <v>44957</v>
      </c>
      <c r="B3164" t="s">
        <v>6</v>
      </c>
      <c r="C3164" t="s">
        <v>11</v>
      </c>
      <c r="D3164" s="2">
        <v>557418.19449999998</v>
      </c>
      <c r="E3164" s="2">
        <v>0</v>
      </c>
      <c r="F3164" s="2">
        <v>557418.19449999998</v>
      </c>
    </row>
    <row r="3165" spans="1:6" x14ac:dyDescent="0.3">
      <c r="A3165" s="1">
        <v>44957</v>
      </c>
      <c r="B3165" t="s">
        <v>6</v>
      </c>
      <c r="C3165" t="s">
        <v>12</v>
      </c>
      <c r="D3165" s="2">
        <v>0</v>
      </c>
      <c r="E3165" s="2">
        <v>4847.0079999999998</v>
      </c>
      <c r="F3165" s="2">
        <v>4847.0079999999998</v>
      </c>
    </row>
    <row r="3166" spans="1:6" x14ac:dyDescent="0.3">
      <c r="A3166" s="1">
        <v>44957</v>
      </c>
      <c r="B3166" t="s">
        <v>13</v>
      </c>
      <c r="C3166" t="s">
        <v>14</v>
      </c>
      <c r="D3166" s="2">
        <v>24106541.7269881</v>
      </c>
      <c r="E3166" s="2">
        <v>21067.574164289999</v>
      </c>
      <c r="F3166" s="2">
        <v>24127609.301152401</v>
      </c>
    </row>
    <row r="3167" spans="1:6" x14ac:dyDescent="0.3">
      <c r="A3167" s="1">
        <v>44957</v>
      </c>
      <c r="B3167" t="s">
        <v>15</v>
      </c>
      <c r="C3167" t="s">
        <v>16</v>
      </c>
      <c r="D3167" s="2">
        <v>23818.817245170001</v>
      </c>
      <c r="E3167" s="2">
        <v>0</v>
      </c>
      <c r="F3167" s="2">
        <v>23818.817245170001</v>
      </c>
    </row>
    <row r="3168" spans="1:6" x14ac:dyDescent="0.3">
      <c r="A3168" s="1">
        <v>44957</v>
      </c>
      <c r="B3168" t="s">
        <v>15</v>
      </c>
      <c r="C3168" t="s">
        <v>23</v>
      </c>
      <c r="D3168" s="2">
        <v>264.34199999999998</v>
      </c>
      <c r="E3168" s="2">
        <v>0</v>
      </c>
      <c r="F3168" s="2">
        <v>264.34199999999998</v>
      </c>
    </row>
    <row r="3169" spans="1:6" x14ac:dyDescent="0.3">
      <c r="A3169" s="1">
        <v>44957</v>
      </c>
      <c r="B3169" t="s">
        <v>15</v>
      </c>
      <c r="C3169" t="s">
        <v>17</v>
      </c>
      <c r="D3169" s="2">
        <v>99115.322985050007</v>
      </c>
      <c r="E3169" s="2">
        <v>0</v>
      </c>
      <c r="F3169" s="2">
        <v>99115.322985050007</v>
      </c>
    </row>
    <row r="3170" spans="1:6" x14ac:dyDescent="0.3">
      <c r="A3170" s="1">
        <v>44957</v>
      </c>
      <c r="B3170" t="s">
        <v>15</v>
      </c>
      <c r="C3170" t="s">
        <v>18</v>
      </c>
      <c r="D3170" s="2">
        <v>176464.97502951001</v>
      </c>
      <c r="E3170" s="2">
        <v>0</v>
      </c>
      <c r="F3170" s="2">
        <v>176464.97502951001</v>
      </c>
    </row>
    <row r="3171" spans="1:6" x14ac:dyDescent="0.3">
      <c r="A3171" s="1">
        <v>44957</v>
      </c>
      <c r="B3171" t="s">
        <v>15</v>
      </c>
      <c r="C3171" t="s">
        <v>19</v>
      </c>
      <c r="D3171" s="2">
        <v>174178.20599121001</v>
      </c>
      <c r="E3171" s="2">
        <v>6849921.0805002199</v>
      </c>
      <c r="F3171" s="2">
        <v>7024099.2864914304</v>
      </c>
    </row>
    <row r="3172" spans="1:6" x14ac:dyDescent="0.3">
      <c r="A3172" s="1">
        <v>44957</v>
      </c>
      <c r="B3172" t="s">
        <v>15</v>
      </c>
      <c r="C3172" t="s">
        <v>20</v>
      </c>
      <c r="D3172" s="2">
        <v>3610.09644893</v>
      </c>
      <c r="E3172" s="2">
        <v>0</v>
      </c>
      <c r="F3172" s="2">
        <v>3610.09644893</v>
      </c>
    </row>
    <row r="3173" spans="1:6" x14ac:dyDescent="0.3">
      <c r="A3173" s="1">
        <v>44957</v>
      </c>
      <c r="B3173" t="s">
        <v>21</v>
      </c>
      <c r="C3173" t="s">
        <v>14</v>
      </c>
      <c r="D3173" s="2">
        <v>477451.75969987002</v>
      </c>
      <c r="E3173" s="2">
        <v>6849921.0805002199</v>
      </c>
      <c r="F3173" s="2">
        <v>7327372.8402000898</v>
      </c>
    </row>
    <row r="3174" spans="1:6" x14ac:dyDescent="0.3">
      <c r="A3174" s="1">
        <v>44957</v>
      </c>
      <c r="B3174" t="s">
        <v>22</v>
      </c>
      <c r="C3174" t="s">
        <v>14</v>
      </c>
      <c r="D3174" s="2">
        <v>24583994.486687999</v>
      </c>
      <c r="E3174" s="2">
        <v>6870988.6546645099</v>
      </c>
      <c r="F3174" s="2">
        <v>31454982.041352499</v>
      </c>
    </row>
    <row r="3175" spans="1:6" x14ac:dyDescent="0.3">
      <c r="A3175" s="1">
        <v>44985</v>
      </c>
      <c r="B3175" t="s">
        <v>6</v>
      </c>
      <c r="C3175" t="s">
        <v>7</v>
      </c>
      <c r="D3175" s="2">
        <v>4056421.8059999999</v>
      </c>
      <c r="E3175" s="2">
        <v>1356.818</v>
      </c>
      <c r="F3175" s="2">
        <v>4057778.6239999998</v>
      </c>
    </row>
    <row r="3176" spans="1:6" x14ac:dyDescent="0.3">
      <c r="A3176" s="1">
        <v>44985</v>
      </c>
      <c r="B3176" t="s">
        <v>6</v>
      </c>
      <c r="C3176" t="s">
        <v>8</v>
      </c>
      <c r="D3176" s="2">
        <v>13724049.528200001</v>
      </c>
      <c r="E3176" s="2">
        <v>6474.8589000000002</v>
      </c>
      <c r="F3176" s="2">
        <v>13730524.3871</v>
      </c>
    </row>
    <row r="3177" spans="1:6" x14ac:dyDescent="0.3">
      <c r="A3177" s="1">
        <v>44985</v>
      </c>
      <c r="B3177" t="s">
        <v>6</v>
      </c>
      <c r="C3177" t="s">
        <v>9</v>
      </c>
      <c r="D3177" s="2">
        <v>4026597.1437499998</v>
      </c>
      <c r="E3177" s="2">
        <v>7096.9704000000002</v>
      </c>
      <c r="F3177" s="2">
        <v>4033694.1141499998</v>
      </c>
    </row>
    <row r="3178" spans="1:6" x14ac:dyDescent="0.3">
      <c r="A3178" s="1">
        <v>44985</v>
      </c>
      <c r="B3178" t="s">
        <v>6</v>
      </c>
      <c r="C3178" t="s">
        <v>10</v>
      </c>
      <c r="D3178" s="2">
        <v>1875477.0941790401</v>
      </c>
      <c r="E3178" s="2">
        <v>835.38802606000002</v>
      </c>
      <c r="F3178" s="2">
        <v>1876312.4822050999</v>
      </c>
    </row>
    <row r="3179" spans="1:6" x14ac:dyDescent="0.3">
      <c r="A3179" s="1">
        <v>44985</v>
      </c>
      <c r="B3179" t="s">
        <v>6</v>
      </c>
      <c r="C3179" t="s">
        <v>11</v>
      </c>
      <c r="D3179" s="2">
        <v>579388.21580000001</v>
      </c>
      <c r="E3179" s="2">
        <v>20.07</v>
      </c>
      <c r="F3179" s="2">
        <v>579408.28579999995</v>
      </c>
    </row>
    <row r="3180" spans="1:6" x14ac:dyDescent="0.3">
      <c r="A3180" s="1">
        <v>44985</v>
      </c>
      <c r="B3180" t="s">
        <v>6</v>
      </c>
      <c r="C3180" t="s">
        <v>12</v>
      </c>
      <c r="D3180" s="2">
        <v>0</v>
      </c>
      <c r="E3180" s="2">
        <v>4847.0079999999998</v>
      </c>
      <c r="F3180" s="2">
        <v>4847.0079999999998</v>
      </c>
    </row>
    <row r="3181" spans="1:6" x14ac:dyDescent="0.3">
      <c r="A3181" s="1">
        <v>44985</v>
      </c>
      <c r="B3181" t="s">
        <v>13</v>
      </c>
      <c r="C3181" t="s">
        <v>14</v>
      </c>
      <c r="D3181" s="2">
        <v>24261933.787928998</v>
      </c>
      <c r="E3181" s="2">
        <v>20631.11332606</v>
      </c>
      <c r="F3181" s="2">
        <v>24282564.901255101</v>
      </c>
    </row>
    <row r="3182" spans="1:6" x14ac:dyDescent="0.3">
      <c r="A3182" s="1">
        <v>44985</v>
      </c>
      <c r="B3182" t="s">
        <v>15</v>
      </c>
      <c r="C3182" t="s">
        <v>16</v>
      </c>
      <c r="D3182" s="2">
        <v>23855.772515289998</v>
      </c>
      <c r="E3182" s="2">
        <v>0</v>
      </c>
      <c r="F3182" s="2">
        <v>23855.772515289998</v>
      </c>
    </row>
    <row r="3183" spans="1:6" x14ac:dyDescent="0.3">
      <c r="A3183" s="1">
        <v>44985</v>
      </c>
      <c r="B3183" t="s">
        <v>15</v>
      </c>
      <c r="C3183" t="s">
        <v>23</v>
      </c>
      <c r="D3183" s="2">
        <v>264.34199999999998</v>
      </c>
      <c r="E3183" s="2">
        <v>0</v>
      </c>
      <c r="F3183" s="2">
        <v>264.34199999999998</v>
      </c>
    </row>
    <row r="3184" spans="1:6" x14ac:dyDescent="0.3">
      <c r="A3184" s="1">
        <v>44985</v>
      </c>
      <c r="B3184" t="s">
        <v>15</v>
      </c>
      <c r="C3184" t="s">
        <v>17</v>
      </c>
      <c r="D3184" s="2">
        <v>99734.015440210002</v>
      </c>
      <c r="E3184" s="2">
        <v>0</v>
      </c>
      <c r="F3184" s="2">
        <v>99734.015440210002</v>
      </c>
    </row>
    <row r="3185" spans="1:6" x14ac:dyDescent="0.3">
      <c r="A3185" s="1">
        <v>44985</v>
      </c>
      <c r="B3185" t="s">
        <v>15</v>
      </c>
      <c r="C3185" t="s">
        <v>18</v>
      </c>
      <c r="D3185" s="2">
        <v>177113.78717683</v>
      </c>
      <c r="E3185" s="2">
        <v>0</v>
      </c>
      <c r="F3185" s="2">
        <v>177113.78717683</v>
      </c>
    </row>
    <row r="3186" spans="1:6" x14ac:dyDescent="0.3">
      <c r="A3186" s="1">
        <v>44985</v>
      </c>
      <c r="B3186" t="s">
        <v>15</v>
      </c>
      <c r="C3186" t="s">
        <v>19</v>
      </c>
      <c r="D3186" s="2">
        <v>42684.411731450004</v>
      </c>
      <c r="E3186" s="2">
        <v>6829419.5435316302</v>
      </c>
      <c r="F3186" s="2">
        <v>6872103.9552630801</v>
      </c>
    </row>
    <row r="3187" spans="1:6" x14ac:dyDescent="0.3">
      <c r="A3187" s="1">
        <v>44985</v>
      </c>
      <c r="B3187" t="s">
        <v>15</v>
      </c>
      <c r="C3187" t="s">
        <v>20</v>
      </c>
      <c r="D3187" s="2">
        <v>3654.6840230399998</v>
      </c>
      <c r="E3187" s="2">
        <v>0</v>
      </c>
      <c r="F3187" s="2">
        <v>3654.6840230399998</v>
      </c>
    </row>
    <row r="3188" spans="1:6" x14ac:dyDescent="0.3">
      <c r="A3188" s="1">
        <v>44985</v>
      </c>
      <c r="B3188" t="s">
        <v>21</v>
      </c>
      <c r="C3188" t="s">
        <v>14</v>
      </c>
      <c r="D3188" s="2">
        <v>347307.01288682001</v>
      </c>
      <c r="E3188" s="2">
        <v>6829419.5435316302</v>
      </c>
      <c r="F3188" s="2">
        <v>7176726.5564184496</v>
      </c>
    </row>
    <row r="3189" spans="1:6" x14ac:dyDescent="0.3">
      <c r="A3189" s="1">
        <v>44985</v>
      </c>
      <c r="B3189" t="s">
        <v>22</v>
      </c>
      <c r="C3189" t="s">
        <v>14</v>
      </c>
      <c r="D3189" s="2">
        <v>24609240.800815798</v>
      </c>
      <c r="E3189" s="2">
        <v>6850050.6568576898</v>
      </c>
      <c r="F3189" s="2">
        <v>31459291.457673501</v>
      </c>
    </row>
    <row r="3190" spans="1:6" x14ac:dyDescent="0.3">
      <c r="A3190" s="1">
        <v>45016</v>
      </c>
      <c r="B3190" t="s">
        <v>6</v>
      </c>
      <c r="C3190" t="s">
        <v>7</v>
      </c>
      <c r="D3190" s="2">
        <v>4067535.9989</v>
      </c>
      <c r="E3190" s="2">
        <v>1296.8530000000001</v>
      </c>
      <c r="F3190" s="2">
        <v>4068832.8519000001</v>
      </c>
    </row>
    <row r="3191" spans="1:6" x14ac:dyDescent="0.3">
      <c r="A3191" s="1">
        <v>45016</v>
      </c>
      <c r="B3191" t="s">
        <v>6</v>
      </c>
      <c r="C3191" t="s">
        <v>8</v>
      </c>
      <c r="D3191" s="2">
        <v>13731520.166200001</v>
      </c>
      <c r="E3191" s="2">
        <v>6332.7048999999997</v>
      </c>
      <c r="F3191" s="2">
        <v>13737852.871099999</v>
      </c>
    </row>
    <row r="3192" spans="1:6" x14ac:dyDescent="0.3">
      <c r="A3192" s="1">
        <v>45016</v>
      </c>
      <c r="B3192" t="s">
        <v>6</v>
      </c>
      <c r="C3192" t="s">
        <v>9</v>
      </c>
      <c r="D3192" s="2">
        <v>4056720.6683</v>
      </c>
      <c r="E3192" s="2">
        <v>6972.9904999999999</v>
      </c>
      <c r="F3192" s="2">
        <v>4063693.6587999999</v>
      </c>
    </row>
    <row r="3193" spans="1:6" x14ac:dyDescent="0.3">
      <c r="A3193" s="1">
        <v>45016</v>
      </c>
      <c r="B3193" t="s">
        <v>6</v>
      </c>
      <c r="C3193" t="s">
        <v>10</v>
      </c>
      <c r="D3193" s="2">
        <v>1904777.4152109099</v>
      </c>
      <c r="E3193" s="2">
        <v>830.38369780000005</v>
      </c>
      <c r="F3193" s="2">
        <v>1905607.79890871</v>
      </c>
    </row>
    <row r="3194" spans="1:6" x14ac:dyDescent="0.3">
      <c r="A3194" s="1">
        <v>45016</v>
      </c>
      <c r="B3194" t="s">
        <v>6</v>
      </c>
      <c r="C3194" t="s">
        <v>11</v>
      </c>
      <c r="D3194" s="2">
        <v>601385.25490000006</v>
      </c>
      <c r="E3194" s="2">
        <v>21.94</v>
      </c>
      <c r="F3194" s="2">
        <v>601407.1949</v>
      </c>
    </row>
    <row r="3195" spans="1:6" x14ac:dyDescent="0.3">
      <c r="A3195" s="1">
        <v>45016</v>
      </c>
      <c r="B3195" t="s">
        <v>6</v>
      </c>
      <c r="C3195" t="s">
        <v>12</v>
      </c>
      <c r="D3195" s="2">
        <v>0</v>
      </c>
      <c r="E3195" s="2">
        <v>4847.0079999999998</v>
      </c>
      <c r="F3195" s="2">
        <v>4847.0079999999998</v>
      </c>
    </row>
    <row r="3196" spans="1:6" x14ac:dyDescent="0.3">
      <c r="A3196" s="1">
        <v>45016</v>
      </c>
      <c r="B3196" t="s">
        <v>13</v>
      </c>
      <c r="C3196" t="s">
        <v>14</v>
      </c>
      <c r="D3196" s="2">
        <v>24361939.5035109</v>
      </c>
      <c r="E3196" s="2">
        <v>20301.8800978</v>
      </c>
      <c r="F3196" s="2">
        <v>24382241.383608699</v>
      </c>
    </row>
    <row r="3197" spans="1:6" x14ac:dyDescent="0.3">
      <c r="A3197" s="1">
        <v>45016</v>
      </c>
      <c r="B3197" t="s">
        <v>15</v>
      </c>
      <c r="C3197" t="s">
        <v>16</v>
      </c>
      <c r="D3197" s="2">
        <v>23897.528430210001</v>
      </c>
      <c r="E3197" s="2">
        <v>0</v>
      </c>
      <c r="F3197" s="2">
        <v>23897.528430210001</v>
      </c>
    </row>
    <row r="3198" spans="1:6" x14ac:dyDescent="0.3">
      <c r="A3198" s="1">
        <v>45016</v>
      </c>
      <c r="B3198" t="s">
        <v>15</v>
      </c>
      <c r="C3198" t="s">
        <v>23</v>
      </c>
      <c r="D3198" s="2">
        <v>0</v>
      </c>
      <c r="E3198" s="2">
        <v>0</v>
      </c>
      <c r="F3198" s="2">
        <v>0</v>
      </c>
    </row>
    <row r="3199" spans="1:6" x14ac:dyDescent="0.3">
      <c r="A3199" s="1">
        <v>45016</v>
      </c>
      <c r="B3199" t="s">
        <v>15</v>
      </c>
      <c r="C3199" t="s">
        <v>17</v>
      </c>
      <c r="D3199" s="2">
        <v>98169.939487680007</v>
      </c>
      <c r="E3199" s="2">
        <v>0</v>
      </c>
      <c r="F3199" s="2">
        <v>98169.939487680007</v>
      </c>
    </row>
    <row r="3200" spans="1:6" x14ac:dyDescent="0.3">
      <c r="A3200" s="1">
        <v>45016</v>
      </c>
      <c r="B3200" t="s">
        <v>15</v>
      </c>
      <c r="C3200" t="s">
        <v>18</v>
      </c>
      <c r="D3200" s="2">
        <v>177841.02639705999</v>
      </c>
      <c r="E3200" s="2">
        <v>0</v>
      </c>
      <c r="F3200" s="2">
        <v>177841.02639705999</v>
      </c>
    </row>
    <row r="3201" spans="1:6" x14ac:dyDescent="0.3">
      <c r="A3201" s="1">
        <v>45016</v>
      </c>
      <c r="B3201" t="s">
        <v>15</v>
      </c>
      <c r="C3201" t="s">
        <v>19</v>
      </c>
      <c r="D3201" s="2">
        <v>28018.2876148</v>
      </c>
      <c r="E3201" s="2">
        <v>6744620.7411375605</v>
      </c>
      <c r="F3201" s="2">
        <v>6772639.0287523596</v>
      </c>
    </row>
    <row r="3202" spans="1:6" x14ac:dyDescent="0.3">
      <c r="A3202" s="1">
        <v>45016</v>
      </c>
      <c r="B3202" t="s">
        <v>15</v>
      </c>
      <c r="C3202" t="s">
        <v>20</v>
      </c>
      <c r="D3202" s="2">
        <v>3648.7390407600001</v>
      </c>
      <c r="E3202" s="2">
        <v>0</v>
      </c>
      <c r="F3202" s="2">
        <v>3648.7390407600001</v>
      </c>
    </row>
    <row r="3203" spans="1:6" x14ac:dyDescent="0.3">
      <c r="A3203" s="1">
        <v>45016</v>
      </c>
      <c r="B3203" t="s">
        <v>21</v>
      </c>
      <c r="C3203" t="s">
        <v>14</v>
      </c>
      <c r="D3203" s="2">
        <v>331575.52097051003</v>
      </c>
      <c r="E3203" s="2">
        <v>6744620.7411375605</v>
      </c>
      <c r="F3203" s="2">
        <v>7076196.2621080698</v>
      </c>
    </row>
    <row r="3204" spans="1:6" x14ac:dyDescent="0.3">
      <c r="A3204" s="1">
        <v>45016</v>
      </c>
      <c r="B3204" t="s">
        <v>22</v>
      </c>
      <c r="C3204" t="s">
        <v>14</v>
      </c>
      <c r="D3204" s="2">
        <v>24693515.024481401</v>
      </c>
      <c r="E3204" s="2">
        <v>6764922.6212353604</v>
      </c>
      <c r="F3204" s="2">
        <v>31458437.645716801</v>
      </c>
    </row>
    <row r="3205" spans="1:6" x14ac:dyDescent="0.3">
      <c r="A3205" s="1">
        <v>45046</v>
      </c>
      <c r="B3205" t="s">
        <v>6</v>
      </c>
      <c r="C3205" t="s">
        <v>7</v>
      </c>
      <c r="D3205" s="2">
        <v>3941468.6422999999</v>
      </c>
      <c r="E3205" s="2">
        <v>1176.7629999999999</v>
      </c>
      <c r="F3205" s="2">
        <v>3942645.4053000002</v>
      </c>
    </row>
    <row r="3206" spans="1:6" x14ac:dyDescent="0.3">
      <c r="A3206" s="1">
        <v>45046</v>
      </c>
      <c r="B3206" t="s">
        <v>6</v>
      </c>
      <c r="C3206" t="s">
        <v>8</v>
      </c>
      <c r="D3206" s="2">
        <v>13768211.039100001</v>
      </c>
      <c r="E3206" s="2">
        <v>6084.4799000000003</v>
      </c>
      <c r="F3206" s="2">
        <v>13774295.518999999</v>
      </c>
    </row>
    <row r="3207" spans="1:6" x14ac:dyDescent="0.3">
      <c r="A3207" s="1">
        <v>45046</v>
      </c>
      <c r="B3207" t="s">
        <v>6</v>
      </c>
      <c r="C3207" t="s">
        <v>9</v>
      </c>
      <c r="D3207" s="2">
        <v>4075797.4889000002</v>
      </c>
      <c r="E3207" s="2">
        <v>7027.5334999999995</v>
      </c>
      <c r="F3207" s="2">
        <v>4082825.0224000001</v>
      </c>
    </row>
    <row r="3208" spans="1:6" x14ac:dyDescent="0.3">
      <c r="A3208" s="1">
        <v>45046</v>
      </c>
      <c r="B3208" t="s">
        <v>6</v>
      </c>
      <c r="C3208" t="s">
        <v>10</v>
      </c>
      <c r="D3208" s="2">
        <v>1878907.24162937</v>
      </c>
      <c r="E3208" s="2">
        <v>868.60345310000002</v>
      </c>
      <c r="F3208" s="2">
        <v>1879775.84508247</v>
      </c>
    </row>
    <row r="3209" spans="1:6" x14ac:dyDescent="0.3">
      <c r="A3209" s="1">
        <v>45046</v>
      </c>
      <c r="B3209" t="s">
        <v>6</v>
      </c>
      <c r="C3209" t="s">
        <v>11</v>
      </c>
      <c r="D3209" s="2">
        <v>601387.42489999998</v>
      </c>
      <c r="E3209" s="2">
        <v>19.47</v>
      </c>
      <c r="F3209" s="2">
        <v>601406.89489999996</v>
      </c>
    </row>
    <row r="3210" spans="1:6" x14ac:dyDescent="0.3">
      <c r="A3210" s="1">
        <v>45046</v>
      </c>
      <c r="B3210" t="s">
        <v>6</v>
      </c>
      <c r="C3210" t="s">
        <v>12</v>
      </c>
      <c r="D3210" s="2">
        <v>0</v>
      </c>
      <c r="E3210" s="2">
        <v>4847.0079999999998</v>
      </c>
      <c r="F3210" s="2">
        <v>4847.0079999999998</v>
      </c>
    </row>
    <row r="3211" spans="1:6" x14ac:dyDescent="0.3">
      <c r="A3211" s="1">
        <v>45046</v>
      </c>
      <c r="B3211" t="s">
        <v>13</v>
      </c>
      <c r="C3211" t="s">
        <v>14</v>
      </c>
      <c r="D3211" s="2">
        <v>24265771.836829301</v>
      </c>
      <c r="E3211" s="2">
        <v>20023.857853099998</v>
      </c>
      <c r="F3211" s="2">
        <v>24285795.694682501</v>
      </c>
    </row>
    <row r="3212" spans="1:6" x14ac:dyDescent="0.3">
      <c r="A3212" s="1">
        <v>45046</v>
      </c>
      <c r="B3212" t="s">
        <v>15</v>
      </c>
      <c r="C3212" t="s">
        <v>16</v>
      </c>
      <c r="D3212" s="2">
        <v>23936.929892</v>
      </c>
      <c r="E3212" s="2">
        <v>0</v>
      </c>
      <c r="F3212" s="2">
        <v>23936.929892</v>
      </c>
    </row>
    <row r="3213" spans="1:6" x14ac:dyDescent="0.3">
      <c r="A3213" s="1">
        <v>45046</v>
      </c>
      <c r="B3213" t="s">
        <v>15</v>
      </c>
      <c r="C3213" t="s">
        <v>17</v>
      </c>
      <c r="D3213" s="2">
        <v>102241.77795204001</v>
      </c>
      <c r="E3213" s="2">
        <v>0</v>
      </c>
      <c r="F3213" s="2">
        <v>102241.77795204001</v>
      </c>
    </row>
    <row r="3214" spans="1:6" x14ac:dyDescent="0.3">
      <c r="A3214" s="1">
        <v>45046</v>
      </c>
      <c r="B3214" t="s">
        <v>15</v>
      </c>
      <c r="C3214" t="s">
        <v>18</v>
      </c>
      <c r="D3214" s="2">
        <v>178861.95830423999</v>
      </c>
      <c r="E3214" s="2">
        <v>0</v>
      </c>
      <c r="F3214" s="2">
        <v>178861.95830423999</v>
      </c>
    </row>
    <row r="3215" spans="1:6" x14ac:dyDescent="0.3">
      <c r="A3215" s="1">
        <v>45046</v>
      </c>
      <c r="B3215" t="s">
        <v>15</v>
      </c>
      <c r="C3215" t="s">
        <v>19</v>
      </c>
      <c r="D3215" s="2">
        <v>30462.042338718002</v>
      </c>
      <c r="E3215" s="2">
        <v>6832723.1679958301</v>
      </c>
      <c r="F3215" s="2">
        <v>6863185.2103345403</v>
      </c>
    </row>
    <row r="3216" spans="1:6" x14ac:dyDescent="0.3">
      <c r="A3216" s="1">
        <v>45046</v>
      </c>
      <c r="B3216" t="s">
        <v>15</v>
      </c>
      <c r="C3216" t="s">
        <v>20</v>
      </c>
      <c r="D3216" s="2">
        <v>3793.4552202</v>
      </c>
      <c r="E3216" s="2">
        <v>0</v>
      </c>
      <c r="F3216" s="2">
        <v>3793.4552202</v>
      </c>
    </row>
    <row r="3217" spans="1:6" x14ac:dyDescent="0.3">
      <c r="A3217" s="1">
        <v>45046</v>
      </c>
      <c r="B3217" t="s">
        <v>21</v>
      </c>
      <c r="C3217" t="s">
        <v>14</v>
      </c>
      <c r="D3217" s="2">
        <v>339296.16370719799</v>
      </c>
      <c r="E3217" s="2">
        <v>6832723.1679958301</v>
      </c>
      <c r="F3217" s="2">
        <v>7172019.3317030203</v>
      </c>
    </row>
    <row r="3218" spans="1:6" x14ac:dyDescent="0.3">
      <c r="A3218" s="1">
        <v>45046</v>
      </c>
      <c r="B3218" t="s">
        <v>22</v>
      </c>
      <c r="C3218" t="s">
        <v>14</v>
      </c>
      <c r="D3218" s="2">
        <v>24605068.000536501</v>
      </c>
      <c r="E3218" s="2">
        <v>6852747.0258489298</v>
      </c>
      <c r="F3218" s="2">
        <v>31457815.026385501</v>
      </c>
    </row>
    <row r="3219" spans="1:6" x14ac:dyDescent="0.3">
      <c r="A3219" s="1">
        <v>45077</v>
      </c>
      <c r="B3219" t="s">
        <v>6</v>
      </c>
      <c r="C3219" t="s">
        <v>7</v>
      </c>
      <c r="D3219" s="2">
        <v>3992377.5959999999</v>
      </c>
      <c r="E3219" s="2">
        <v>1043.588</v>
      </c>
      <c r="F3219" s="2">
        <v>3993421.1839999999</v>
      </c>
    </row>
    <row r="3220" spans="1:6" x14ac:dyDescent="0.3">
      <c r="A3220" s="1">
        <v>45077</v>
      </c>
      <c r="B3220" t="s">
        <v>6</v>
      </c>
      <c r="C3220" t="s">
        <v>8</v>
      </c>
      <c r="D3220" s="2">
        <v>13712974.336200001</v>
      </c>
      <c r="E3220" s="2">
        <v>5303.0711000000001</v>
      </c>
      <c r="F3220" s="2">
        <v>13718277.407299999</v>
      </c>
    </row>
    <row r="3221" spans="1:6" x14ac:dyDescent="0.3">
      <c r="A3221" s="1">
        <v>45077</v>
      </c>
      <c r="B3221" t="s">
        <v>6</v>
      </c>
      <c r="C3221" t="s">
        <v>9</v>
      </c>
      <c r="D3221" s="2">
        <v>4133645.3879</v>
      </c>
      <c r="E3221" s="2">
        <v>6858.1424999999999</v>
      </c>
      <c r="F3221" s="2">
        <v>4140503.5304</v>
      </c>
    </row>
    <row r="3222" spans="1:6" x14ac:dyDescent="0.3">
      <c r="A3222" s="1">
        <v>45077</v>
      </c>
      <c r="B3222" t="s">
        <v>6</v>
      </c>
      <c r="C3222" t="s">
        <v>10</v>
      </c>
      <c r="D3222" s="2">
        <v>1904033.5035711699</v>
      </c>
      <c r="E3222" s="2">
        <v>863.73144781999997</v>
      </c>
      <c r="F3222" s="2">
        <v>1904897.23501899</v>
      </c>
    </row>
    <row r="3223" spans="1:6" x14ac:dyDescent="0.3">
      <c r="A3223" s="1">
        <v>45077</v>
      </c>
      <c r="B3223" t="s">
        <v>6</v>
      </c>
      <c r="C3223" t="s">
        <v>11</v>
      </c>
      <c r="D3223" s="2">
        <v>564340.85430000001</v>
      </c>
      <c r="E3223" s="2">
        <v>18.84</v>
      </c>
      <c r="F3223" s="2">
        <v>564359.69429999997</v>
      </c>
    </row>
    <row r="3224" spans="1:6" x14ac:dyDescent="0.3">
      <c r="A3224" s="1">
        <v>45077</v>
      </c>
      <c r="B3224" t="s">
        <v>6</v>
      </c>
      <c r="C3224" t="s">
        <v>12</v>
      </c>
      <c r="D3224" s="2">
        <v>0</v>
      </c>
      <c r="E3224" s="2">
        <v>6722.1369999999997</v>
      </c>
      <c r="F3224" s="2">
        <v>6722.1369999999997</v>
      </c>
    </row>
    <row r="3225" spans="1:6" x14ac:dyDescent="0.3">
      <c r="A3225" s="1">
        <v>45077</v>
      </c>
      <c r="B3225" t="s">
        <v>13</v>
      </c>
      <c r="C3225" t="s">
        <v>14</v>
      </c>
      <c r="D3225" s="2">
        <v>24307371.677971199</v>
      </c>
      <c r="E3225" s="2">
        <v>20809.51004782</v>
      </c>
      <c r="F3225" s="2">
        <v>24328181.188019</v>
      </c>
    </row>
    <row r="3226" spans="1:6" x14ac:dyDescent="0.3">
      <c r="A3226" s="1">
        <v>45077</v>
      </c>
      <c r="B3226" t="s">
        <v>15</v>
      </c>
      <c r="C3226" t="s">
        <v>16</v>
      </c>
      <c r="D3226" s="2">
        <v>22256.73682582</v>
      </c>
      <c r="E3226" s="2">
        <v>0</v>
      </c>
      <c r="F3226" s="2">
        <v>22256.73682582</v>
      </c>
    </row>
    <row r="3227" spans="1:6" x14ac:dyDescent="0.3">
      <c r="A3227" s="1">
        <v>45077</v>
      </c>
      <c r="B3227" t="s">
        <v>15</v>
      </c>
      <c r="C3227" t="s">
        <v>17</v>
      </c>
      <c r="D3227" s="2">
        <v>96363.206844259999</v>
      </c>
      <c r="E3227" s="2">
        <v>0</v>
      </c>
      <c r="F3227" s="2">
        <v>96363.206844259999</v>
      </c>
    </row>
    <row r="3228" spans="1:6" x14ac:dyDescent="0.3">
      <c r="A3228" s="1">
        <v>45077</v>
      </c>
      <c r="B3228" t="s">
        <v>15</v>
      </c>
      <c r="C3228" t="s">
        <v>18</v>
      </c>
      <c r="D3228" s="2">
        <v>178582.10745127001</v>
      </c>
      <c r="E3228" s="2">
        <v>0</v>
      </c>
      <c r="F3228" s="2">
        <v>178582.10745127001</v>
      </c>
    </row>
    <row r="3229" spans="1:6" x14ac:dyDescent="0.3">
      <c r="A3229" s="1">
        <v>45077</v>
      </c>
      <c r="B3229" t="s">
        <v>15</v>
      </c>
      <c r="C3229" t="s">
        <v>19</v>
      </c>
      <c r="D3229" s="2">
        <v>22374.236046540002</v>
      </c>
      <c r="E3229" s="2">
        <v>6812961.67206161</v>
      </c>
      <c r="F3229" s="2">
        <v>6835335.9081081497</v>
      </c>
    </row>
    <row r="3230" spans="1:6" x14ac:dyDescent="0.3">
      <c r="A3230" s="1">
        <v>45077</v>
      </c>
      <c r="B3230" t="s">
        <v>15</v>
      </c>
      <c r="C3230" t="s">
        <v>20</v>
      </c>
      <c r="D3230" s="2">
        <v>3738.2829037199999</v>
      </c>
      <c r="E3230" s="2">
        <v>0</v>
      </c>
      <c r="F3230" s="2">
        <v>3738.2829037199999</v>
      </c>
    </row>
    <row r="3231" spans="1:6" x14ac:dyDescent="0.3">
      <c r="A3231" s="1">
        <v>45077</v>
      </c>
      <c r="B3231" t="s">
        <v>21</v>
      </c>
      <c r="C3231" t="s">
        <v>14</v>
      </c>
      <c r="D3231" s="2">
        <v>323314.57007160998</v>
      </c>
      <c r="E3231" s="2">
        <v>6812961.67206161</v>
      </c>
      <c r="F3231" s="2">
        <v>7136276.2421332197</v>
      </c>
    </row>
    <row r="3232" spans="1:6" x14ac:dyDescent="0.3">
      <c r="A3232" s="1">
        <v>45077</v>
      </c>
      <c r="B3232" t="s">
        <v>22</v>
      </c>
      <c r="C3232" t="s">
        <v>14</v>
      </c>
      <c r="D3232" s="2">
        <v>24630686.2480428</v>
      </c>
      <c r="E3232" s="2">
        <v>6833771.1821094304</v>
      </c>
      <c r="F3232" s="2">
        <v>31464457.4301522</v>
      </c>
    </row>
    <row r="3233" spans="1:6" x14ac:dyDescent="0.3">
      <c r="A3233" s="1">
        <v>45107</v>
      </c>
      <c r="B3233" t="s">
        <v>6</v>
      </c>
      <c r="C3233" t="s">
        <v>7</v>
      </c>
      <c r="D3233" s="2">
        <v>4465682.9835999999</v>
      </c>
      <c r="E3233" s="2">
        <v>1014.748</v>
      </c>
      <c r="F3233" s="2">
        <v>4466697.7315999996</v>
      </c>
    </row>
    <row r="3234" spans="1:6" x14ac:dyDescent="0.3">
      <c r="A3234" s="1">
        <v>45107</v>
      </c>
      <c r="B3234" t="s">
        <v>6</v>
      </c>
      <c r="C3234" t="s">
        <v>8</v>
      </c>
      <c r="D3234" s="2">
        <v>13718906.675899999</v>
      </c>
      <c r="E3234" s="2">
        <v>5061.8406000000004</v>
      </c>
      <c r="F3234" s="2">
        <v>13723968.5165</v>
      </c>
    </row>
    <row r="3235" spans="1:6" x14ac:dyDescent="0.3">
      <c r="A3235" s="1">
        <v>45107</v>
      </c>
      <c r="B3235" t="s">
        <v>6</v>
      </c>
      <c r="C3235" t="s">
        <v>9</v>
      </c>
      <c r="D3235" s="2">
        <v>4163696.8319000001</v>
      </c>
      <c r="E3235" s="2">
        <v>6805.3734999999997</v>
      </c>
      <c r="F3235" s="2">
        <v>4170502.2053999999</v>
      </c>
    </row>
    <row r="3236" spans="1:6" x14ac:dyDescent="0.3">
      <c r="A3236" s="1">
        <v>45107</v>
      </c>
      <c r="B3236" t="s">
        <v>6</v>
      </c>
      <c r="C3236" t="s">
        <v>10</v>
      </c>
      <c r="D3236" s="2">
        <v>1932853.34311239</v>
      </c>
      <c r="E3236" s="2">
        <v>775.90712957999995</v>
      </c>
      <c r="F3236" s="2">
        <v>1933629.2502419699</v>
      </c>
    </row>
    <row r="3237" spans="1:6" x14ac:dyDescent="0.3">
      <c r="A3237" s="1">
        <v>45107</v>
      </c>
      <c r="B3237" t="s">
        <v>6</v>
      </c>
      <c r="C3237" t="s">
        <v>11</v>
      </c>
      <c r="D3237" s="2">
        <v>586344.62239999999</v>
      </c>
      <c r="E3237" s="2">
        <v>15.14</v>
      </c>
      <c r="F3237" s="2">
        <v>586359.76240000001</v>
      </c>
    </row>
    <row r="3238" spans="1:6" x14ac:dyDescent="0.3">
      <c r="A3238" s="1">
        <v>45107</v>
      </c>
      <c r="B3238" t="s">
        <v>6</v>
      </c>
      <c r="C3238" t="s">
        <v>12</v>
      </c>
      <c r="D3238" s="2">
        <v>0</v>
      </c>
      <c r="E3238" s="2">
        <v>5492.2060000000001</v>
      </c>
      <c r="F3238" s="2">
        <v>5492.2060000000001</v>
      </c>
    </row>
    <row r="3239" spans="1:6" x14ac:dyDescent="0.3">
      <c r="A3239" s="1">
        <v>45107</v>
      </c>
      <c r="B3239" t="s">
        <v>13</v>
      </c>
      <c r="C3239" t="s">
        <v>14</v>
      </c>
      <c r="D3239" s="2">
        <v>24867484.456912398</v>
      </c>
      <c r="E3239" s="2">
        <v>19165.215229580001</v>
      </c>
      <c r="F3239" s="2">
        <v>24886649.672141999</v>
      </c>
    </row>
    <row r="3240" spans="1:6" x14ac:dyDescent="0.3">
      <c r="A3240" s="1">
        <v>45107</v>
      </c>
      <c r="B3240" t="s">
        <v>15</v>
      </c>
      <c r="C3240" t="s">
        <v>16</v>
      </c>
      <c r="D3240" s="2">
        <v>22295.892134739999</v>
      </c>
      <c r="E3240" s="2">
        <v>0</v>
      </c>
      <c r="F3240" s="2">
        <v>22295.892134739999</v>
      </c>
    </row>
    <row r="3241" spans="1:6" x14ac:dyDescent="0.3">
      <c r="A3241" s="1">
        <v>45107</v>
      </c>
      <c r="B3241" t="s">
        <v>15</v>
      </c>
      <c r="C3241" t="s">
        <v>17</v>
      </c>
      <c r="D3241" s="2">
        <v>90480.784329219998</v>
      </c>
      <c r="E3241" s="2">
        <v>0</v>
      </c>
      <c r="F3241" s="2">
        <v>90480.784329219998</v>
      </c>
    </row>
    <row r="3242" spans="1:6" x14ac:dyDescent="0.3">
      <c r="A3242" s="1">
        <v>45107</v>
      </c>
      <c r="B3242" t="s">
        <v>15</v>
      </c>
      <c r="C3242" t="s">
        <v>18</v>
      </c>
      <c r="D3242" s="2">
        <v>178253.36669535001</v>
      </c>
      <c r="E3242" s="2">
        <v>0</v>
      </c>
      <c r="F3242" s="2">
        <v>178253.36669535001</v>
      </c>
    </row>
    <row r="3243" spans="1:6" x14ac:dyDescent="0.3">
      <c r="A3243" s="1">
        <v>45107</v>
      </c>
      <c r="B3243" t="s">
        <v>15</v>
      </c>
      <c r="C3243" t="s">
        <v>19</v>
      </c>
      <c r="D3243" s="2">
        <v>299631.17051704001</v>
      </c>
      <c r="E3243" s="2">
        <v>6851110.7824775698</v>
      </c>
      <c r="F3243" s="2">
        <v>7150741.9529946102</v>
      </c>
    </row>
    <row r="3244" spans="1:6" x14ac:dyDescent="0.3">
      <c r="A3244" s="1">
        <v>45107</v>
      </c>
      <c r="B3244" t="s">
        <v>15</v>
      </c>
      <c r="C3244" t="s">
        <v>20</v>
      </c>
      <c r="D3244" s="2">
        <v>3852.5116909499998</v>
      </c>
      <c r="E3244" s="2">
        <v>0</v>
      </c>
      <c r="F3244" s="2">
        <v>3852.5116909499998</v>
      </c>
    </row>
    <row r="3245" spans="1:6" x14ac:dyDescent="0.3">
      <c r="A3245" s="1">
        <v>45107</v>
      </c>
      <c r="B3245" t="s">
        <v>21</v>
      </c>
      <c r="C3245" t="s">
        <v>14</v>
      </c>
      <c r="D3245" s="2">
        <v>594513.72536729998</v>
      </c>
      <c r="E3245" s="2">
        <v>6851110.7824775698</v>
      </c>
      <c r="F3245" s="2">
        <v>7445624.50784487</v>
      </c>
    </row>
    <row r="3246" spans="1:6" x14ac:dyDescent="0.3">
      <c r="A3246" s="1">
        <v>45107</v>
      </c>
      <c r="B3246" t="s">
        <v>22</v>
      </c>
      <c r="C3246" t="s">
        <v>14</v>
      </c>
      <c r="D3246" s="2">
        <v>25461998.182279699</v>
      </c>
      <c r="E3246" s="2">
        <v>6870275.9977071499</v>
      </c>
      <c r="F3246" s="2">
        <v>32332274.179986801</v>
      </c>
    </row>
    <row r="3247" spans="1:6" x14ac:dyDescent="0.3">
      <c r="A3247" s="1">
        <v>45138</v>
      </c>
      <c r="B3247" t="s">
        <v>6</v>
      </c>
      <c r="C3247" t="s">
        <v>7</v>
      </c>
      <c r="D3247" s="2">
        <v>4769449.5976999998</v>
      </c>
      <c r="E3247" s="2">
        <v>1064.998</v>
      </c>
      <c r="F3247" s="2">
        <v>4770514.5957000004</v>
      </c>
    </row>
    <row r="3248" spans="1:6" x14ac:dyDescent="0.3">
      <c r="A3248" s="1">
        <v>45138</v>
      </c>
      <c r="B3248" t="s">
        <v>6</v>
      </c>
      <c r="C3248" t="s">
        <v>8</v>
      </c>
      <c r="D3248" s="2">
        <v>13727102.422</v>
      </c>
      <c r="E3248" s="2">
        <v>5004.0111999999999</v>
      </c>
      <c r="F3248" s="2">
        <v>13732106.4332</v>
      </c>
    </row>
    <row r="3249" spans="1:6" x14ac:dyDescent="0.3">
      <c r="A3249" s="1">
        <v>45138</v>
      </c>
      <c r="B3249" t="s">
        <v>6</v>
      </c>
      <c r="C3249" t="s">
        <v>9</v>
      </c>
      <c r="D3249" s="2">
        <v>4193664.5918999999</v>
      </c>
      <c r="E3249" s="2">
        <v>6686.2201999999997</v>
      </c>
      <c r="F3249" s="2">
        <v>4200350.8120999997</v>
      </c>
    </row>
    <row r="3250" spans="1:6" x14ac:dyDescent="0.3">
      <c r="A3250" s="1">
        <v>45138</v>
      </c>
      <c r="B3250" t="s">
        <v>6</v>
      </c>
      <c r="C3250" t="s">
        <v>10</v>
      </c>
      <c r="D3250" s="2">
        <v>1901126.1350829401</v>
      </c>
      <c r="E3250" s="2">
        <v>838.99197562999996</v>
      </c>
      <c r="F3250" s="2">
        <v>1901965.12705857</v>
      </c>
    </row>
    <row r="3251" spans="1:6" x14ac:dyDescent="0.3">
      <c r="A3251" s="1">
        <v>45138</v>
      </c>
      <c r="B3251" t="s">
        <v>6</v>
      </c>
      <c r="C3251" t="s">
        <v>11</v>
      </c>
      <c r="D3251" s="2">
        <v>527552.28339999996</v>
      </c>
      <c r="E3251" s="2">
        <v>14.38</v>
      </c>
      <c r="F3251" s="2">
        <v>527566.66339999996</v>
      </c>
    </row>
    <row r="3252" spans="1:6" x14ac:dyDescent="0.3">
      <c r="A3252" s="1">
        <v>45138</v>
      </c>
      <c r="B3252" t="s">
        <v>6</v>
      </c>
      <c r="C3252" t="s">
        <v>12</v>
      </c>
      <c r="D3252" s="2">
        <v>0</v>
      </c>
      <c r="E3252" s="2">
        <v>5492.2060000000001</v>
      </c>
      <c r="F3252" s="2">
        <v>5492.2060000000001</v>
      </c>
    </row>
    <row r="3253" spans="1:6" x14ac:dyDescent="0.3">
      <c r="A3253" s="1">
        <v>45138</v>
      </c>
      <c r="B3253" t="s">
        <v>13</v>
      </c>
      <c r="C3253" t="s">
        <v>14</v>
      </c>
      <c r="D3253" s="2">
        <v>25118895.0300829</v>
      </c>
      <c r="E3253" s="2">
        <v>19100.80737563</v>
      </c>
      <c r="F3253" s="2">
        <v>25137995.837458599</v>
      </c>
    </row>
    <row r="3254" spans="1:6" x14ac:dyDescent="0.3">
      <c r="A3254" s="1">
        <v>45138</v>
      </c>
      <c r="B3254" t="s">
        <v>15</v>
      </c>
      <c r="C3254" t="s">
        <v>16</v>
      </c>
      <c r="D3254" s="2">
        <v>22336.849532690001</v>
      </c>
      <c r="E3254" s="2">
        <v>0</v>
      </c>
      <c r="F3254" s="2">
        <v>22336.849532690001</v>
      </c>
    </row>
    <row r="3255" spans="1:6" x14ac:dyDescent="0.3">
      <c r="A3255" s="1">
        <v>45138</v>
      </c>
      <c r="B3255" t="s">
        <v>15</v>
      </c>
      <c r="C3255" t="s">
        <v>17</v>
      </c>
      <c r="D3255" s="2">
        <v>88043.032189029997</v>
      </c>
      <c r="E3255" s="2">
        <v>0</v>
      </c>
      <c r="F3255" s="2">
        <v>88043.032189029997</v>
      </c>
    </row>
    <row r="3256" spans="1:6" x14ac:dyDescent="0.3">
      <c r="A3256" s="1">
        <v>45138</v>
      </c>
      <c r="B3256" t="s">
        <v>15</v>
      </c>
      <c r="C3256" t="s">
        <v>18</v>
      </c>
      <c r="D3256" s="2">
        <v>177725.06613485</v>
      </c>
      <c r="E3256" s="2">
        <v>0</v>
      </c>
      <c r="F3256" s="2">
        <v>177725.06613485</v>
      </c>
    </row>
    <row r="3257" spans="1:6" x14ac:dyDescent="0.3">
      <c r="A3257" s="1">
        <v>45138</v>
      </c>
      <c r="B3257" t="s">
        <v>15</v>
      </c>
      <c r="C3257" t="s">
        <v>19</v>
      </c>
      <c r="D3257" s="2">
        <v>297906.25791877997</v>
      </c>
      <c r="E3257" s="2">
        <v>6880685.0384807196</v>
      </c>
      <c r="F3257" s="2">
        <v>7178591.2963995002</v>
      </c>
    </row>
    <row r="3258" spans="1:6" x14ac:dyDescent="0.3">
      <c r="A3258" s="1">
        <v>45138</v>
      </c>
      <c r="B3258" t="s">
        <v>15</v>
      </c>
      <c r="C3258" t="s">
        <v>20</v>
      </c>
      <c r="D3258" s="2">
        <v>3893.0278897799999</v>
      </c>
      <c r="E3258" s="2">
        <v>0</v>
      </c>
      <c r="F3258" s="2">
        <v>3893.0278897799999</v>
      </c>
    </row>
    <row r="3259" spans="1:6" x14ac:dyDescent="0.3">
      <c r="A3259" s="1">
        <v>45138</v>
      </c>
      <c r="B3259" t="s">
        <v>21</v>
      </c>
      <c r="C3259" t="s">
        <v>14</v>
      </c>
      <c r="D3259" s="2">
        <v>589904.23366512998</v>
      </c>
      <c r="E3259" s="2">
        <v>6880685.0384807196</v>
      </c>
      <c r="F3259" s="2">
        <v>7470589.2721458497</v>
      </c>
    </row>
    <row r="3260" spans="1:6" x14ac:dyDescent="0.3">
      <c r="A3260" s="1">
        <v>45138</v>
      </c>
      <c r="B3260" t="s">
        <v>22</v>
      </c>
      <c r="C3260" t="s">
        <v>14</v>
      </c>
      <c r="D3260" s="2">
        <v>25708799.263748098</v>
      </c>
      <c r="E3260" s="2">
        <v>6899785.8458563499</v>
      </c>
      <c r="F3260" s="2">
        <v>32608585.1096044</v>
      </c>
    </row>
    <row r="3261" spans="1:6" x14ac:dyDescent="0.3">
      <c r="A3261" s="1">
        <v>45169</v>
      </c>
      <c r="B3261" t="s">
        <v>6</v>
      </c>
      <c r="C3261" t="s">
        <v>7</v>
      </c>
      <c r="D3261" s="2">
        <v>5072860.2439000001</v>
      </c>
      <c r="E3261" s="2">
        <v>1062.1679999999999</v>
      </c>
      <c r="F3261" s="2">
        <v>5073922.4118999997</v>
      </c>
    </row>
    <row r="3262" spans="1:6" x14ac:dyDescent="0.3">
      <c r="A3262" s="1">
        <v>45169</v>
      </c>
      <c r="B3262" t="s">
        <v>6</v>
      </c>
      <c r="C3262" t="s">
        <v>8</v>
      </c>
      <c r="D3262" s="2">
        <v>13697858.628900001</v>
      </c>
      <c r="E3262" s="2">
        <v>4688.6405999999997</v>
      </c>
      <c r="F3262" s="2">
        <v>13702547.2695</v>
      </c>
    </row>
    <row r="3263" spans="1:6" x14ac:dyDescent="0.3">
      <c r="A3263" s="1">
        <v>45169</v>
      </c>
      <c r="B3263" t="s">
        <v>6</v>
      </c>
      <c r="C3263" t="s">
        <v>9</v>
      </c>
      <c r="D3263" s="2">
        <v>4220197.8611000003</v>
      </c>
      <c r="E3263" s="2">
        <v>6729.4071999999996</v>
      </c>
      <c r="F3263" s="2">
        <v>4226927.2682999996</v>
      </c>
    </row>
    <row r="3264" spans="1:6" x14ac:dyDescent="0.3">
      <c r="A3264" s="1">
        <v>45169</v>
      </c>
      <c r="B3264" t="s">
        <v>6</v>
      </c>
      <c r="C3264" t="s">
        <v>10</v>
      </c>
      <c r="D3264" s="2">
        <v>1916258.26639279</v>
      </c>
      <c r="E3264" s="2">
        <v>859.63896854999996</v>
      </c>
      <c r="F3264" s="2">
        <v>1917117.9053613399</v>
      </c>
    </row>
    <row r="3265" spans="1:6" x14ac:dyDescent="0.3">
      <c r="A3265" s="1">
        <v>45169</v>
      </c>
      <c r="B3265" t="s">
        <v>6</v>
      </c>
      <c r="C3265" t="s">
        <v>11</v>
      </c>
      <c r="D3265" s="2">
        <v>551539.50970000005</v>
      </c>
      <c r="E3265" s="2">
        <v>16.45</v>
      </c>
      <c r="F3265" s="2">
        <v>551555.95970000001</v>
      </c>
    </row>
    <row r="3266" spans="1:6" x14ac:dyDescent="0.3">
      <c r="A3266" s="1">
        <v>45169</v>
      </c>
      <c r="B3266" t="s">
        <v>6</v>
      </c>
      <c r="C3266" t="s">
        <v>12</v>
      </c>
      <c r="D3266" s="2">
        <v>0</v>
      </c>
      <c r="E3266" s="2">
        <v>5492.2060000000001</v>
      </c>
      <c r="F3266" s="2">
        <v>5492.2060000000001</v>
      </c>
    </row>
    <row r="3267" spans="1:6" x14ac:dyDescent="0.3">
      <c r="A3267" s="1">
        <v>45169</v>
      </c>
      <c r="B3267" t="s">
        <v>13</v>
      </c>
      <c r="C3267" t="s">
        <v>14</v>
      </c>
      <c r="D3267" s="2">
        <v>25458714.509992801</v>
      </c>
      <c r="E3267" s="2">
        <v>18848.510768550001</v>
      </c>
      <c r="F3267" s="2">
        <v>25477563.0207613</v>
      </c>
    </row>
    <row r="3268" spans="1:6" x14ac:dyDescent="0.3">
      <c r="A3268" s="1">
        <v>45169</v>
      </c>
      <c r="B3268" t="s">
        <v>15</v>
      </c>
      <c r="C3268" t="s">
        <v>16</v>
      </c>
      <c r="D3268" s="2">
        <v>22378.369444799999</v>
      </c>
      <c r="E3268" s="2">
        <v>0</v>
      </c>
      <c r="F3268" s="2">
        <v>22378.369444799999</v>
      </c>
    </row>
    <row r="3269" spans="1:6" x14ac:dyDescent="0.3">
      <c r="A3269" s="1">
        <v>45169</v>
      </c>
      <c r="B3269" t="s">
        <v>15</v>
      </c>
      <c r="C3269" t="s">
        <v>17</v>
      </c>
      <c r="D3269" s="2">
        <v>84665.367383000004</v>
      </c>
      <c r="E3269" s="2">
        <v>0</v>
      </c>
      <c r="F3269" s="2">
        <v>84665.367383000004</v>
      </c>
    </row>
    <row r="3270" spans="1:6" x14ac:dyDescent="0.3">
      <c r="A3270" s="1">
        <v>45169</v>
      </c>
      <c r="B3270" t="s">
        <v>15</v>
      </c>
      <c r="C3270" t="s">
        <v>18</v>
      </c>
      <c r="D3270" s="2">
        <v>176640.51188671999</v>
      </c>
      <c r="E3270" s="2">
        <v>0</v>
      </c>
      <c r="F3270" s="2">
        <v>176640.51188671999</v>
      </c>
    </row>
    <row r="3271" spans="1:6" x14ac:dyDescent="0.3">
      <c r="A3271" s="1">
        <v>45169</v>
      </c>
      <c r="B3271" t="s">
        <v>15</v>
      </c>
      <c r="C3271" t="s">
        <v>19</v>
      </c>
      <c r="D3271" s="2">
        <v>297699.08682967001</v>
      </c>
      <c r="E3271" s="2">
        <v>6851250.1484355601</v>
      </c>
      <c r="F3271" s="2">
        <v>7148949.2352652298</v>
      </c>
    </row>
    <row r="3272" spans="1:6" x14ac:dyDescent="0.3">
      <c r="A3272" s="1">
        <v>45169</v>
      </c>
      <c r="B3272" t="s">
        <v>15</v>
      </c>
      <c r="C3272" t="s">
        <v>20</v>
      </c>
      <c r="D3272" s="2">
        <v>3952.77822513</v>
      </c>
      <c r="E3272" s="2">
        <v>0</v>
      </c>
      <c r="F3272" s="2">
        <v>3952.77822513</v>
      </c>
    </row>
    <row r="3273" spans="1:6" x14ac:dyDescent="0.3">
      <c r="A3273" s="1">
        <v>45169</v>
      </c>
      <c r="B3273" t="s">
        <v>21</v>
      </c>
      <c r="C3273" t="s">
        <v>14</v>
      </c>
      <c r="D3273" s="2">
        <v>585336.11376931996</v>
      </c>
      <c r="E3273" s="2">
        <v>6851250.1484355601</v>
      </c>
      <c r="F3273" s="2">
        <v>7436586.2622048799</v>
      </c>
    </row>
    <row r="3274" spans="1:6" x14ac:dyDescent="0.3">
      <c r="A3274" s="1">
        <v>45169</v>
      </c>
      <c r="B3274" t="s">
        <v>22</v>
      </c>
      <c r="C3274" t="s">
        <v>14</v>
      </c>
      <c r="D3274" s="2">
        <v>26044050.623762101</v>
      </c>
      <c r="E3274" s="2">
        <v>6870098.6592041096</v>
      </c>
      <c r="F3274" s="2">
        <v>32914149.2829662</v>
      </c>
    </row>
    <row r="3275" spans="1:6" x14ac:dyDescent="0.3">
      <c r="A3275" s="1">
        <v>45199</v>
      </c>
      <c r="B3275" t="s">
        <v>6</v>
      </c>
      <c r="C3275" t="s">
        <v>7</v>
      </c>
      <c r="D3275" s="2">
        <v>5259329.3914000001</v>
      </c>
      <c r="E3275" s="2">
        <v>1077.5329999999999</v>
      </c>
      <c r="F3275" s="2">
        <v>5260406.9243999999</v>
      </c>
    </row>
    <row r="3276" spans="1:6" x14ac:dyDescent="0.3">
      <c r="A3276" s="1">
        <v>45199</v>
      </c>
      <c r="B3276" t="s">
        <v>6</v>
      </c>
      <c r="C3276" t="s">
        <v>8</v>
      </c>
      <c r="D3276" s="2">
        <v>13724903.9618</v>
      </c>
      <c r="E3276" s="2">
        <v>4582.3143</v>
      </c>
      <c r="F3276" s="2">
        <v>13729486.2761</v>
      </c>
    </row>
    <row r="3277" spans="1:6" x14ac:dyDescent="0.3">
      <c r="A3277" s="1">
        <v>45199</v>
      </c>
      <c r="B3277" t="s">
        <v>6</v>
      </c>
      <c r="C3277" t="s">
        <v>9</v>
      </c>
      <c r="D3277" s="2">
        <v>4240162.2928999998</v>
      </c>
      <c r="E3277" s="2">
        <v>6763.9859999999999</v>
      </c>
      <c r="F3277" s="2">
        <v>4246926.2789000003</v>
      </c>
    </row>
    <row r="3278" spans="1:6" x14ac:dyDescent="0.3">
      <c r="A3278" s="1">
        <v>45199</v>
      </c>
      <c r="B3278" t="s">
        <v>6</v>
      </c>
      <c r="C3278" t="s">
        <v>10</v>
      </c>
      <c r="D3278" s="2">
        <v>1934946.80280006</v>
      </c>
      <c r="E3278" s="2">
        <v>868.00178095000001</v>
      </c>
      <c r="F3278" s="2">
        <v>1935814.80458101</v>
      </c>
    </row>
    <row r="3279" spans="1:6" x14ac:dyDescent="0.3">
      <c r="A3279" s="1">
        <v>45199</v>
      </c>
      <c r="B3279" t="s">
        <v>6</v>
      </c>
      <c r="C3279" t="s">
        <v>11</v>
      </c>
      <c r="D3279" s="2">
        <v>575538.79079999996</v>
      </c>
      <c r="E3279" s="2">
        <v>17.37</v>
      </c>
      <c r="F3279" s="2">
        <v>575556.16079999995</v>
      </c>
    </row>
    <row r="3280" spans="1:6" x14ac:dyDescent="0.3">
      <c r="A3280" s="1">
        <v>45199</v>
      </c>
      <c r="B3280" t="s">
        <v>6</v>
      </c>
      <c r="C3280" t="s">
        <v>12</v>
      </c>
      <c r="D3280" s="2">
        <v>0</v>
      </c>
      <c r="E3280" s="2">
        <v>5492.2060000000001</v>
      </c>
      <c r="F3280" s="2">
        <v>5492.2060000000001</v>
      </c>
    </row>
    <row r="3281" spans="1:6" x14ac:dyDescent="0.3">
      <c r="A3281" s="1">
        <v>45199</v>
      </c>
      <c r="B3281" t="s">
        <v>13</v>
      </c>
      <c r="C3281" t="s">
        <v>14</v>
      </c>
      <c r="D3281" s="2">
        <v>25734881.239700001</v>
      </c>
      <c r="E3281" s="2">
        <v>18801.411080950002</v>
      </c>
      <c r="F3281" s="2">
        <v>25753682.650780998</v>
      </c>
    </row>
    <row r="3282" spans="1:6" x14ac:dyDescent="0.3">
      <c r="A3282" s="1">
        <v>45199</v>
      </c>
      <c r="B3282" t="s">
        <v>15</v>
      </c>
      <c r="C3282" t="s">
        <v>16</v>
      </c>
      <c r="D3282" s="2">
        <v>22417.553098019998</v>
      </c>
      <c r="E3282" s="2">
        <v>0</v>
      </c>
      <c r="F3282" s="2">
        <v>22417.553098019998</v>
      </c>
    </row>
    <row r="3283" spans="1:6" x14ac:dyDescent="0.3">
      <c r="A3283" s="1">
        <v>45199</v>
      </c>
      <c r="B3283" t="s">
        <v>15</v>
      </c>
      <c r="C3283" t="s">
        <v>17</v>
      </c>
      <c r="D3283" s="2">
        <v>94168.984671309998</v>
      </c>
      <c r="E3283" s="2">
        <v>0</v>
      </c>
      <c r="F3283" s="2">
        <v>94168.984671309998</v>
      </c>
    </row>
    <row r="3284" spans="1:6" x14ac:dyDescent="0.3">
      <c r="A3284" s="1">
        <v>45199</v>
      </c>
      <c r="B3284" t="s">
        <v>15</v>
      </c>
      <c r="C3284" t="s">
        <v>18</v>
      </c>
      <c r="D3284" s="2">
        <v>175702.22996170001</v>
      </c>
      <c r="E3284" s="2">
        <v>0</v>
      </c>
      <c r="F3284" s="2">
        <v>175702.22996170001</v>
      </c>
    </row>
    <row r="3285" spans="1:6" x14ac:dyDescent="0.3">
      <c r="A3285" s="1">
        <v>45199</v>
      </c>
      <c r="B3285" t="s">
        <v>15</v>
      </c>
      <c r="C3285" t="s">
        <v>19</v>
      </c>
      <c r="D3285" s="2">
        <v>298893.44449064002</v>
      </c>
      <c r="E3285" s="2">
        <v>6818389.5614202702</v>
      </c>
      <c r="F3285" s="2">
        <v>7117284.0059109097</v>
      </c>
    </row>
    <row r="3286" spans="1:6" x14ac:dyDescent="0.3">
      <c r="A3286" s="1">
        <v>45199</v>
      </c>
      <c r="B3286" t="s">
        <v>15</v>
      </c>
      <c r="C3286" t="s">
        <v>20</v>
      </c>
      <c r="D3286" s="2">
        <v>4079.4010343800001</v>
      </c>
      <c r="E3286" s="2">
        <v>0</v>
      </c>
      <c r="F3286" s="2">
        <v>4079.4010343800001</v>
      </c>
    </row>
    <row r="3287" spans="1:6" x14ac:dyDescent="0.3">
      <c r="A3287" s="1">
        <v>45199</v>
      </c>
      <c r="B3287" t="s">
        <v>21</v>
      </c>
      <c r="C3287" t="s">
        <v>14</v>
      </c>
      <c r="D3287" s="2">
        <v>595260.61325605004</v>
      </c>
      <c r="E3287" s="2">
        <v>6818389.5614202702</v>
      </c>
      <c r="F3287" s="2">
        <v>7413651.1746763196</v>
      </c>
    </row>
    <row r="3288" spans="1:6" x14ac:dyDescent="0.3">
      <c r="A3288" s="1">
        <v>45199</v>
      </c>
      <c r="B3288" t="s">
        <v>22</v>
      </c>
      <c r="C3288" t="s">
        <v>14</v>
      </c>
      <c r="D3288" s="2">
        <v>26330141.852956101</v>
      </c>
      <c r="E3288" s="2">
        <v>6837191.9725012202</v>
      </c>
      <c r="F3288" s="2">
        <v>33167333.825457301</v>
      </c>
    </row>
    <row r="3289" spans="1:6" x14ac:dyDescent="0.3">
      <c r="A3289" s="1">
        <v>45230</v>
      </c>
      <c r="B3289" t="s">
        <v>6</v>
      </c>
      <c r="C3289" t="s">
        <v>7</v>
      </c>
      <c r="D3289" s="2">
        <v>5455834.5232999995</v>
      </c>
      <c r="E3289" s="2">
        <v>1163.8900000000001</v>
      </c>
      <c r="F3289" s="2">
        <v>5456998.4133000001</v>
      </c>
    </row>
    <row r="3290" spans="1:6" x14ac:dyDescent="0.3">
      <c r="A3290" s="1">
        <v>45230</v>
      </c>
      <c r="B3290" t="s">
        <v>6</v>
      </c>
      <c r="C3290" t="s">
        <v>8</v>
      </c>
      <c r="D3290" s="2">
        <v>13757646.762599999</v>
      </c>
      <c r="E3290" s="2">
        <v>4660.4252999999999</v>
      </c>
      <c r="F3290" s="2">
        <v>13762307.187899999</v>
      </c>
    </row>
    <row r="3291" spans="1:6" x14ac:dyDescent="0.3">
      <c r="A3291" s="1">
        <v>45230</v>
      </c>
      <c r="B3291" t="s">
        <v>6</v>
      </c>
      <c r="C3291" t="s">
        <v>9</v>
      </c>
      <c r="D3291" s="2">
        <v>4286041.0137</v>
      </c>
      <c r="E3291" s="2">
        <v>6884.4592000000002</v>
      </c>
      <c r="F3291" s="2">
        <v>4292925.4729000004</v>
      </c>
    </row>
    <row r="3292" spans="1:6" x14ac:dyDescent="0.3">
      <c r="A3292" s="1">
        <v>45230</v>
      </c>
      <c r="B3292" t="s">
        <v>6</v>
      </c>
      <c r="C3292" t="s">
        <v>10</v>
      </c>
      <c r="D3292" s="2">
        <v>1965435.1705504199</v>
      </c>
      <c r="E3292" s="2">
        <v>856.10990893999997</v>
      </c>
      <c r="F3292" s="2">
        <v>1966291.28045936</v>
      </c>
    </row>
    <row r="3293" spans="1:6" x14ac:dyDescent="0.3">
      <c r="A3293" s="1">
        <v>45230</v>
      </c>
      <c r="B3293" t="s">
        <v>6</v>
      </c>
      <c r="C3293" t="s">
        <v>11</v>
      </c>
      <c r="D3293" s="2">
        <v>519441.70490000001</v>
      </c>
      <c r="E3293" s="2">
        <v>10.67</v>
      </c>
      <c r="F3293" s="2">
        <v>519452.3749</v>
      </c>
    </row>
    <row r="3294" spans="1:6" x14ac:dyDescent="0.3">
      <c r="A3294" s="1">
        <v>45230</v>
      </c>
      <c r="B3294" t="s">
        <v>6</v>
      </c>
      <c r="C3294" t="s">
        <v>12</v>
      </c>
      <c r="D3294" s="2">
        <v>0</v>
      </c>
      <c r="E3294" s="2">
        <v>5492.2060000000001</v>
      </c>
      <c r="F3294" s="2">
        <v>5492.2060000000001</v>
      </c>
    </row>
    <row r="3295" spans="1:6" x14ac:dyDescent="0.3">
      <c r="A3295" s="1">
        <v>45230</v>
      </c>
      <c r="B3295" t="s">
        <v>13</v>
      </c>
      <c r="C3295" t="s">
        <v>14</v>
      </c>
      <c r="D3295" s="2">
        <v>25984399.1750504</v>
      </c>
      <c r="E3295" s="2">
        <v>19067.760408940001</v>
      </c>
      <c r="F3295" s="2">
        <v>26003466.935459301</v>
      </c>
    </row>
    <row r="3296" spans="1:6" x14ac:dyDescent="0.3">
      <c r="A3296" s="1">
        <v>45230</v>
      </c>
      <c r="B3296" t="s">
        <v>15</v>
      </c>
      <c r="C3296" t="s">
        <v>16</v>
      </c>
      <c r="D3296" s="2">
        <v>22461.010617299999</v>
      </c>
      <c r="E3296" s="2">
        <v>0</v>
      </c>
      <c r="F3296" s="2">
        <v>22461.010617299999</v>
      </c>
    </row>
    <row r="3297" spans="1:6" x14ac:dyDescent="0.3">
      <c r="A3297" s="1">
        <v>45230</v>
      </c>
      <c r="B3297" t="s">
        <v>15</v>
      </c>
      <c r="C3297" t="s">
        <v>17</v>
      </c>
      <c r="D3297" s="2">
        <v>93001.174307930007</v>
      </c>
      <c r="E3297" s="2">
        <v>0</v>
      </c>
      <c r="F3297" s="2">
        <v>93001.174307930007</v>
      </c>
    </row>
    <row r="3298" spans="1:6" x14ac:dyDescent="0.3">
      <c r="A3298" s="1">
        <v>45230</v>
      </c>
      <c r="B3298" t="s">
        <v>15</v>
      </c>
      <c r="C3298" t="s">
        <v>18</v>
      </c>
      <c r="D3298" s="2">
        <v>174128.10214731001</v>
      </c>
      <c r="E3298" s="2">
        <v>0</v>
      </c>
      <c r="F3298" s="2">
        <v>174128.10214731001</v>
      </c>
    </row>
    <row r="3299" spans="1:6" x14ac:dyDescent="0.3">
      <c r="A3299" s="1">
        <v>45230</v>
      </c>
      <c r="B3299" t="s">
        <v>15</v>
      </c>
      <c r="C3299" t="s">
        <v>19</v>
      </c>
      <c r="D3299" s="2">
        <v>298122.83883363998</v>
      </c>
      <c r="E3299" s="2">
        <v>7104290.7861657701</v>
      </c>
      <c r="F3299" s="2">
        <v>7402412.6249994095</v>
      </c>
    </row>
    <row r="3300" spans="1:6" x14ac:dyDescent="0.3">
      <c r="A3300" s="1">
        <v>45230</v>
      </c>
      <c r="B3300" t="s">
        <v>15</v>
      </c>
      <c r="C3300" t="s">
        <v>20</v>
      </c>
      <c r="D3300" s="2">
        <v>4109.7402340600001</v>
      </c>
      <c r="E3300" s="2">
        <v>0</v>
      </c>
      <c r="F3300" s="2">
        <v>4109.7402340600001</v>
      </c>
    </row>
    <row r="3301" spans="1:6" x14ac:dyDescent="0.3">
      <c r="A3301" s="1">
        <v>45230</v>
      </c>
      <c r="B3301" t="s">
        <v>21</v>
      </c>
      <c r="C3301" t="s">
        <v>14</v>
      </c>
      <c r="D3301" s="2">
        <v>591822.86614023999</v>
      </c>
      <c r="E3301" s="2">
        <v>7104290.7861657701</v>
      </c>
      <c r="F3301" s="2">
        <v>7696112.65230601</v>
      </c>
    </row>
    <row r="3302" spans="1:6" x14ac:dyDescent="0.3">
      <c r="A3302" s="1">
        <v>45230</v>
      </c>
      <c r="B3302" t="s">
        <v>22</v>
      </c>
      <c r="C3302" t="s">
        <v>14</v>
      </c>
      <c r="D3302" s="2">
        <v>26576222.041190598</v>
      </c>
      <c r="E3302" s="2">
        <v>7123357.5465747099</v>
      </c>
      <c r="F3302" s="2">
        <v>33699579.587765403</v>
      </c>
    </row>
    <row r="3303" spans="1:6" x14ac:dyDescent="0.3">
      <c r="A3303" s="1">
        <v>45260</v>
      </c>
      <c r="B3303" t="s">
        <v>6</v>
      </c>
      <c r="C3303" t="s">
        <v>7</v>
      </c>
      <c r="D3303" s="2">
        <v>5670154.8301999997</v>
      </c>
      <c r="E3303" s="2">
        <v>994.38800000000003</v>
      </c>
      <c r="F3303" s="2">
        <v>5671149.2182</v>
      </c>
    </row>
    <row r="3304" spans="1:6" x14ac:dyDescent="0.3">
      <c r="A3304" s="1">
        <v>45260</v>
      </c>
      <c r="B3304" t="s">
        <v>6</v>
      </c>
      <c r="C3304" t="s">
        <v>8</v>
      </c>
      <c r="D3304" s="2">
        <v>13724679.063999999</v>
      </c>
      <c r="E3304" s="2">
        <v>4931.5020999999997</v>
      </c>
      <c r="F3304" s="2">
        <v>13729610.566099999</v>
      </c>
    </row>
    <row r="3305" spans="1:6" x14ac:dyDescent="0.3">
      <c r="A3305" s="1">
        <v>45260</v>
      </c>
      <c r="B3305" t="s">
        <v>6</v>
      </c>
      <c r="C3305" t="s">
        <v>9</v>
      </c>
      <c r="D3305" s="2">
        <v>4326514.8877999997</v>
      </c>
      <c r="E3305" s="2">
        <v>7050.5346</v>
      </c>
      <c r="F3305" s="2">
        <v>4333565.4223999996</v>
      </c>
    </row>
    <row r="3306" spans="1:6" x14ac:dyDescent="0.3">
      <c r="A3306" s="1">
        <v>45260</v>
      </c>
      <c r="B3306" t="s">
        <v>6</v>
      </c>
      <c r="C3306" t="s">
        <v>10</v>
      </c>
      <c r="D3306" s="2">
        <v>1985764.4865440801</v>
      </c>
      <c r="E3306" s="2">
        <v>891.62541897000006</v>
      </c>
      <c r="F3306" s="2">
        <v>1986656.11196305</v>
      </c>
    </row>
    <row r="3307" spans="1:6" x14ac:dyDescent="0.3">
      <c r="A3307" s="1">
        <v>45260</v>
      </c>
      <c r="B3307" t="s">
        <v>6</v>
      </c>
      <c r="C3307" t="s">
        <v>11</v>
      </c>
      <c r="D3307" s="2">
        <v>545426.42460000003</v>
      </c>
      <c r="E3307" s="2">
        <v>26.01</v>
      </c>
      <c r="F3307" s="2">
        <v>545452.43460000004</v>
      </c>
    </row>
    <row r="3308" spans="1:6" x14ac:dyDescent="0.3">
      <c r="A3308" s="1">
        <v>45260</v>
      </c>
      <c r="B3308" t="s">
        <v>6</v>
      </c>
      <c r="C3308" t="s">
        <v>12</v>
      </c>
      <c r="D3308" s="2">
        <v>0</v>
      </c>
      <c r="E3308" s="2">
        <v>5492.2060000000001</v>
      </c>
      <c r="F3308" s="2">
        <v>5492.2060000000001</v>
      </c>
    </row>
    <row r="3309" spans="1:6" x14ac:dyDescent="0.3">
      <c r="A3309" s="1">
        <v>45260</v>
      </c>
      <c r="B3309" t="s">
        <v>13</v>
      </c>
      <c r="C3309" t="s">
        <v>14</v>
      </c>
      <c r="D3309" s="2">
        <v>26252539.693144102</v>
      </c>
      <c r="E3309" s="2">
        <v>19386.266118970001</v>
      </c>
      <c r="F3309" s="2">
        <v>26271925.959263001</v>
      </c>
    </row>
    <row r="3310" spans="1:6" x14ac:dyDescent="0.3">
      <c r="A3310" s="1">
        <v>45260</v>
      </c>
      <c r="B3310" t="s">
        <v>15</v>
      </c>
      <c r="C3310" t="s">
        <v>16</v>
      </c>
      <c r="D3310" s="2">
        <v>19871.109868579999</v>
      </c>
      <c r="E3310" s="2">
        <v>0</v>
      </c>
      <c r="F3310" s="2">
        <v>19871.109868579999</v>
      </c>
    </row>
    <row r="3311" spans="1:6" x14ac:dyDescent="0.3">
      <c r="A3311" s="1">
        <v>45260</v>
      </c>
      <c r="B3311" t="s">
        <v>15</v>
      </c>
      <c r="C3311" t="s">
        <v>17</v>
      </c>
      <c r="D3311" s="2">
        <v>94663.016675089995</v>
      </c>
      <c r="E3311" s="2">
        <v>0</v>
      </c>
      <c r="F3311" s="2">
        <v>94663.016675089995</v>
      </c>
    </row>
    <row r="3312" spans="1:6" x14ac:dyDescent="0.3">
      <c r="A3312" s="1">
        <v>45260</v>
      </c>
      <c r="B3312" t="s">
        <v>15</v>
      </c>
      <c r="C3312" t="s">
        <v>18</v>
      </c>
      <c r="D3312" s="2">
        <v>172988.20208250001</v>
      </c>
      <c r="E3312" s="2">
        <v>0</v>
      </c>
      <c r="F3312" s="2">
        <v>172988.20208250001</v>
      </c>
    </row>
    <row r="3313" spans="1:6" x14ac:dyDescent="0.3">
      <c r="A3313" s="1">
        <v>45260</v>
      </c>
      <c r="B3313" t="s">
        <v>15</v>
      </c>
      <c r="C3313" t="s">
        <v>19</v>
      </c>
      <c r="D3313" s="2">
        <v>299616.51972667</v>
      </c>
      <c r="E3313" s="2">
        <v>7015471.45966441</v>
      </c>
      <c r="F3313" s="2">
        <v>7315087.9793910803</v>
      </c>
    </row>
    <row r="3314" spans="1:6" x14ac:dyDescent="0.3">
      <c r="A3314" s="1">
        <v>45260</v>
      </c>
      <c r="B3314" t="s">
        <v>15</v>
      </c>
      <c r="C3314" t="s">
        <v>20</v>
      </c>
      <c r="D3314" s="2">
        <v>4143.5225030000001</v>
      </c>
      <c r="E3314" s="2">
        <v>0</v>
      </c>
      <c r="F3314" s="2">
        <v>4143.5225030000001</v>
      </c>
    </row>
    <row r="3315" spans="1:6" x14ac:dyDescent="0.3">
      <c r="A3315" s="1">
        <v>45260</v>
      </c>
      <c r="B3315" t="s">
        <v>21</v>
      </c>
      <c r="C3315" t="s">
        <v>14</v>
      </c>
      <c r="D3315" s="2">
        <v>591282.37085584004</v>
      </c>
      <c r="E3315" s="2">
        <v>7015471.45966441</v>
      </c>
      <c r="F3315" s="2">
        <v>7606752.8305202499</v>
      </c>
    </row>
    <row r="3316" spans="1:6" x14ac:dyDescent="0.3">
      <c r="A3316" s="1">
        <v>45260</v>
      </c>
      <c r="B3316" t="s">
        <v>22</v>
      </c>
      <c r="C3316" t="s">
        <v>14</v>
      </c>
      <c r="D3316" s="2">
        <v>26843822.063999899</v>
      </c>
      <c r="E3316" s="2">
        <v>7034856.7257833797</v>
      </c>
      <c r="F3316" s="2">
        <v>33878678.789783299</v>
      </c>
    </row>
    <row r="3317" spans="1:6" x14ac:dyDescent="0.3">
      <c r="A3317" s="1">
        <v>45291</v>
      </c>
      <c r="B3317" t="s">
        <v>6</v>
      </c>
      <c r="C3317" t="s">
        <v>7</v>
      </c>
      <c r="D3317" s="2">
        <v>5674825.4005000005</v>
      </c>
      <c r="E3317" s="2">
        <v>955.66300000000001</v>
      </c>
      <c r="F3317" s="2">
        <v>5675781.0635000002</v>
      </c>
    </row>
    <row r="3318" spans="1:6" x14ac:dyDescent="0.3">
      <c r="A3318" s="1">
        <v>45291</v>
      </c>
      <c r="B3318" t="s">
        <v>6</v>
      </c>
      <c r="C3318" t="s">
        <v>8</v>
      </c>
      <c r="D3318" s="2">
        <v>13753526.4715</v>
      </c>
      <c r="E3318" s="2">
        <v>4678.3694999999998</v>
      </c>
      <c r="F3318" s="2">
        <v>13758204.841</v>
      </c>
    </row>
    <row r="3319" spans="1:6" x14ac:dyDescent="0.3">
      <c r="A3319" s="1">
        <v>45291</v>
      </c>
      <c r="B3319" t="s">
        <v>6</v>
      </c>
      <c r="C3319" t="s">
        <v>9</v>
      </c>
      <c r="D3319" s="2">
        <v>4347388.1896000002</v>
      </c>
      <c r="E3319" s="2">
        <v>7164.7745999999997</v>
      </c>
      <c r="F3319" s="2">
        <v>4354552.9642000003</v>
      </c>
    </row>
    <row r="3320" spans="1:6" x14ac:dyDescent="0.3">
      <c r="A3320" s="1">
        <v>45291</v>
      </c>
      <c r="B3320" t="s">
        <v>6</v>
      </c>
      <c r="C3320" t="s">
        <v>10</v>
      </c>
      <c r="D3320" s="2">
        <v>2005719.21210921</v>
      </c>
      <c r="E3320" s="2">
        <v>504.89211681</v>
      </c>
      <c r="F3320" s="2">
        <v>2006224.1042260199</v>
      </c>
    </row>
    <row r="3321" spans="1:6" x14ac:dyDescent="0.3">
      <c r="A3321" s="1">
        <v>45291</v>
      </c>
      <c r="B3321" t="s">
        <v>6</v>
      </c>
      <c r="C3321" t="s">
        <v>11</v>
      </c>
      <c r="D3321" s="2">
        <v>571425.23800000001</v>
      </c>
      <c r="E3321" s="2">
        <v>27.38</v>
      </c>
      <c r="F3321" s="2">
        <v>571452.61800000002</v>
      </c>
    </row>
    <row r="3322" spans="1:6" x14ac:dyDescent="0.3">
      <c r="A3322" s="1">
        <v>45291</v>
      </c>
      <c r="B3322" t="s">
        <v>6</v>
      </c>
      <c r="C3322" t="s">
        <v>12</v>
      </c>
      <c r="D3322" s="2">
        <v>0</v>
      </c>
      <c r="E3322" s="2">
        <v>5492.2060000000001</v>
      </c>
      <c r="F3322" s="2">
        <v>5492.2060000000001</v>
      </c>
    </row>
    <row r="3323" spans="1:6" x14ac:dyDescent="0.3">
      <c r="A3323" s="1">
        <v>45291</v>
      </c>
      <c r="B3323" t="s">
        <v>13</v>
      </c>
      <c r="C3323" t="s">
        <v>14</v>
      </c>
      <c r="D3323" s="2">
        <v>26352884.511709198</v>
      </c>
      <c r="E3323" s="2">
        <v>18823.28521681</v>
      </c>
      <c r="F3323" s="2">
        <v>26371707.796925999</v>
      </c>
    </row>
    <row r="3324" spans="1:6" x14ac:dyDescent="0.3">
      <c r="A3324" s="1">
        <v>45291</v>
      </c>
      <c r="B3324" t="s">
        <v>15</v>
      </c>
      <c r="C3324" t="s">
        <v>16</v>
      </c>
      <c r="D3324" s="2">
        <v>17292.83542535</v>
      </c>
      <c r="E3324" s="2">
        <v>0</v>
      </c>
      <c r="F3324" s="2">
        <v>17292.83542535</v>
      </c>
    </row>
    <row r="3325" spans="1:6" x14ac:dyDescent="0.3">
      <c r="A3325" s="1">
        <v>45291</v>
      </c>
      <c r="B3325" t="s">
        <v>15</v>
      </c>
      <c r="C3325" t="s">
        <v>17</v>
      </c>
      <c r="D3325" s="2">
        <v>91536.420436820001</v>
      </c>
      <c r="E3325" s="2">
        <v>0</v>
      </c>
      <c r="F3325" s="2">
        <v>91536.420436820001</v>
      </c>
    </row>
    <row r="3326" spans="1:6" x14ac:dyDescent="0.3">
      <c r="A3326" s="1">
        <v>45291</v>
      </c>
      <c r="B3326" t="s">
        <v>15</v>
      </c>
      <c r="C3326" t="s">
        <v>18</v>
      </c>
      <c r="D3326" s="2">
        <v>171963.64506069</v>
      </c>
      <c r="E3326" s="2">
        <v>0</v>
      </c>
      <c r="F3326" s="2">
        <v>171963.64506069</v>
      </c>
    </row>
    <row r="3327" spans="1:6" x14ac:dyDescent="0.3">
      <c r="A3327" s="1">
        <v>45291</v>
      </c>
      <c r="B3327" t="s">
        <v>15</v>
      </c>
      <c r="C3327" t="s">
        <v>19</v>
      </c>
      <c r="D3327" s="2">
        <v>300580.62089374999</v>
      </c>
      <c r="E3327" s="2">
        <v>7044152.7556640804</v>
      </c>
      <c r="F3327" s="2">
        <v>7344733.3765578298</v>
      </c>
    </row>
    <row r="3328" spans="1:6" x14ac:dyDescent="0.3">
      <c r="A3328" s="1">
        <v>45291</v>
      </c>
      <c r="B3328" t="s">
        <v>15</v>
      </c>
      <c r="C3328" t="s">
        <v>20</v>
      </c>
      <c r="D3328" s="2">
        <v>4259.5097610299999</v>
      </c>
      <c r="E3328" s="2">
        <v>0</v>
      </c>
      <c r="F3328" s="2">
        <v>4259.5097610299999</v>
      </c>
    </row>
    <row r="3329" spans="1:6" x14ac:dyDescent="0.3">
      <c r="A3329" s="1">
        <v>45291</v>
      </c>
      <c r="B3329" t="s">
        <v>21</v>
      </c>
      <c r="C3329" t="s">
        <v>14</v>
      </c>
      <c r="D3329" s="2">
        <v>585633.03157763998</v>
      </c>
      <c r="E3329" s="2">
        <v>7044152.7556640804</v>
      </c>
      <c r="F3329" s="2">
        <v>7629785.7872417197</v>
      </c>
    </row>
    <row r="3330" spans="1:6" x14ac:dyDescent="0.3">
      <c r="A3330" s="1">
        <v>45291</v>
      </c>
      <c r="B3330" t="s">
        <v>22</v>
      </c>
      <c r="C3330" t="s">
        <v>14</v>
      </c>
      <c r="D3330" s="2">
        <v>26938517.5432868</v>
      </c>
      <c r="E3330" s="2">
        <v>7062976.0408808896</v>
      </c>
      <c r="F3330" s="2">
        <v>34001493.584167697</v>
      </c>
    </row>
    <row r="3331" spans="1:6" x14ac:dyDescent="0.3">
      <c r="A3331" s="1">
        <v>45322</v>
      </c>
      <c r="B3331" t="s">
        <v>6</v>
      </c>
      <c r="C3331" t="s">
        <v>7</v>
      </c>
      <c r="D3331" s="2">
        <v>5779020.7915000003</v>
      </c>
      <c r="E3331" s="2">
        <v>1222.998</v>
      </c>
      <c r="F3331" s="2">
        <v>5780243.7895</v>
      </c>
    </row>
    <row r="3332" spans="1:6" x14ac:dyDescent="0.3">
      <c r="A3332" s="1">
        <v>45322</v>
      </c>
      <c r="B3332" t="s">
        <v>6</v>
      </c>
      <c r="C3332" t="s">
        <v>8</v>
      </c>
      <c r="D3332" s="2">
        <v>13826190.107999999</v>
      </c>
      <c r="E3332" s="2">
        <v>4992.5856999999996</v>
      </c>
      <c r="F3332" s="2">
        <v>13831182.693700001</v>
      </c>
    </row>
    <row r="3333" spans="1:6" x14ac:dyDescent="0.3">
      <c r="A3333" s="1">
        <v>45322</v>
      </c>
      <c r="B3333" t="s">
        <v>6</v>
      </c>
      <c r="C3333" t="s">
        <v>9</v>
      </c>
      <c r="D3333" s="2">
        <v>4394498.4269000003</v>
      </c>
      <c r="E3333" s="2">
        <v>7049.6005999999998</v>
      </c>
      <c r="F3333" s="2">
        <v>4401548.0274999999</v>
      </c>
    </row>
    <row r="3334" spans="1:6" x14ac:dyDescent="0.3">
      <c r="A3334" s="1">
        <v>45322</v>
      </c>
      <c r="B3334" t="s">
        <v>6</v>
      </c>
      <c r="C3334" t="s">
        <v>10</v>
      </c>
      <c r="D3334" s="2">
        <v>1965830.5922449499</v>
      </c>
      <c r="E3334" s="2">
        <v>474.45215003999999</v>
      </c>
      <c r="F3334" s="2">
        <v>1966305.04439499</v>
      </c>
    </row>
    <row r="3335" spans="1:6" x14ac:dyDescent="0.3">
      <c r="A3335" s="1">
        <v>45322</v>
      </c>
      <c r="B3335" t="s">
        <v>6</v>
      </c>
      <c r="C3335" t="s">
        <v>11</v>
      </c>
      <c r="D3335" s="2">
        <v>525534.64390000002</v>
      </c>
      <c r="E3335" s="2">
        <v>31.15</v>
      </c>
      <c r="F3335" s="2">
        <v>525565.79390000005</v>
      </c>
    </row>
    <row r="3336" spans="1:6" x14ac:dyDescent="0.3">
      <c r="A3336" s="1">
        <v>45322</v>
      </c>
      <c r="B3336" t="s">
        <v>6</v>
      </c>
      <c r="C3336" t="s">
        <v>12</v>
      </c>
      <c r="D3336" s="2">
        <v>0</v>
      </c>
      <c r="E3336" s="2">
        <v>5492.2060000000001</v>
      </c>
      <c r="F3336" s="2">
        <v>5492.2060000000001</v>
      </c>
    </row>
    <row r="3337" spans="1:6" x14ac:dyDescent="0.3">
      <c r="A3337" s="1">
        <v>45322</v>
      </c>
      <c r="B3337" t="s">
        <v>13</v>
      </c>
      <c r="C3337" t="s">
        <v>14</v>
      </c>
      <c r="D3337" s="2">
        <v>26491074.562544901</v>
      </c>
      <c r="E3337" s="2">
        <v>19262.992450040001</v>
      </c>
      <c r="F3337" s="2">
        <v>26510337.554995</v>
      </c>
    </row>
    <row r="3338" spans="1:6" x14ac:dyDescent="0.3">
      <c r="A3338" s="1">
        <v>45322</v>
      </c>
      <c r="B3338" t="s">
        <v>15</v>
      </c>
      <c r="C3338" t="s">
        <v>16</v>
      </c>
      <c r="D3338" s="2">
        <v>17191.62590649</v>
      </c>
      <c r="E3338" s="2">
        <v>0</v>
      </c>
      <c r="F3338" s="2">
        <v>17191.62590649</v>
      </c>
    </row>
    <row r="3339" spans="1:6" x14ac:dyDescent="0.3">
      <c r="A3339" s="1">
        <v>45322</v>
      </c>
      <c r="B3339" t="s">
        <v>15</v>
      </c>
      <c r="C3339" t="s">
        <v>17</v>
      </c>
      <c r="D3339" s="2">
        <v>89936.374713430007</v>
      </c>
      <c r="E3339" s="2">
        <v>0</v>
      </c>
      <c r="F3339" s="2">
        <v>89936.374713430007</v>
      </c>
    </row>
    <row r="3340" spans="1:6" x14ac:dyDescent="0.3">
      <c r="A3340" s="1">
        <v>45322</v>
      </c>
      <c r="B3340" t="s">
        <v>15</v>
      </c>
      <c r="C3340" t="s">
        <v>18</v>
      </c>
      <c r="D3340" s="2">
        <v>169338.62620869</v>
      </c>
      <c r="E3340" s="2">
        <v>0</v>
      </c>
      <c r="F3340" s="2">
        <v>169338.62620869</v>
      </c>
    </row>
    <row r="3341" spans="1:6" x14ac:dyDescent="0.3">
      <c r="A3341" s="1">
        <v>45322</v>
      </c>
      <c r="B3341" t="s">
        <v>15</v>
      </c>
      <c r="C3341" t="s">
        <v>19</v>
      </c>
      <c r="D3341" s="2">
        <v>300091.92735398997</v>
      </c>
      <c r="E3341" s="2">
        <v>7100025.5158753796</v>
      </c>
      <c r="F3341" s="2">
        <v>7400118.4432293698</v>
      </c>
    </row>
    <row r="3342" spans="1:6" x14ac:dyDescent="0.3">
      <c r="A3342" s="1">
        <v>45322</v>
      </c>
      <c r="B3342" t="s">
        <v>15</v>
      </c>
      <c r="C3342" t="s">
        <v>20</v>
      </c>
      <c r="D3342" s="2">
        <v>4228.7945217099996</v>
      </c>
      <c r="E3342" s="2">
        <v>0</v>
      </c>
      <c r="F3342" s="2">
        <v>4228.7945217099996</v>
      </c>
    </row>
    <row r="3343" spans="1:6" x14ac:dyDescent="0.3">
      <c r="A3343" s="1">
        <v>45322</v>
      </c>
      <c r="B3343" t="s">
        <v>21</v>
      </c>
      <c r="C3343" t="s">
        <v>14</v>
      </c>
      <c r="D3343" s="2">
        <v>580787.34870431002</v>
      </c>
      <c r="E3343" s="2">
        <v>7100025.5158753796</v>
      </c>
      <c r="F3343" s="2">
        <v>7680811.8645796897</v>
      </c>
    </row>
    <row r="3344" spans="1:6" x14ac:dyDescent="0.3">
      <c r="A3344" s="1">
        <v>45322</v>
      </c>
      <c r="B3344" t="s">
        <v>22</v>
      </c>
      <c r="C3344" t="s">
        <v>14</v>
      </c>
      <c r="D3344" s="2">
        <v>27071861.911249202</v>
      </c>
      <c r="E3344" s="2">
        <v>7119288.5083254203</v>
      </c>
      <c r="F3344" s="2">
        <v>34191150.4195747</v>
      </c>
    </row>
    <row r="3345" spans="1:6" x14ac:dyDescent="0.3">
      <c r="A3345" s="1">
        <v>45351</v>
      </c>
      <c r="B3345" t="s">
        <v>6</v>
      </c>
      <c r="C3345" t="s">
        <v>7</v>
      </c>
      <c r="D3345" s="2">
        <v>6010137.1045000004</v>
      </c>
      <c r="E3345" s="2">
        <v>1099.2729999999999</v>
      </c>
      <c r="F3345" s="2">
        <v>6011236.3775000004</v>
      </c>
    </row>
    <row r="3346" spans="1:6" x14ac:dyDescent="0.3">
      <c r="A3346" s="1">
        <v>45351</v>
      </c>
      <c r="B3346" t="s">
        <v>6</v>
      </c>
      <c r="C3346" t="s">
        <v>8</v>
      </c>
      <c r="D3346" s="2">
        <v>13825170.910800001</v>
      </c>
      <c r="E3346" s="2">
        <v>4621.1584999999995</v>
      </c>
      <c r="F3346" s="2">
        <v>13829792.0693</v>
      </c>
    </row>
    <row r="3347" spans="1:6" x14ac:dyDescent="0.3">
      <c r="A3347" s="1">
        <v>45351</v>
      </c>
      <c r="B3347" t="s">
        <v>6</v>
      </c>
      <c r="C3347" t="s">
        <v>9</v>
      </c>
      <c r="D3347" s="2">
        <v>4438166.5081000002</v>
      </c>
      <c r="E3347" s="2">
        <v>6910.4660000000003</v>
      </c>
      <c r="F3347" s="2">
        <v>4445076.9741000002</v>
      </c>
    </row>
    <row r="3348" spans="1:6" x14ac:dyDescent="0.3">
      <c r="A3348" s="1">
        <v>45351</v>
      </c>
      <c r="B3348" t="s">
        <v>6</v>
      </c>
      <c r="C3348" t="s">
        <v>10</v>
      </c>
      <c r="D3348" s="2">
        <v>1973185.18196059</v>
      </c>
      <c r="E3348" s="2">
        <v>501.66991177</v>
      </c>
      <c r="F3348" s="2">
        <v>1973686.8518723601</v>
      </c>
    </row>
    <row r="3349" spans="1:6" x14ac:dyDescent="0.3">
      <c r="A3349" s="1">
        <v>45351</v>
      </c>
      <c r="B3349" t="s">
        <v>6</v>
      </c>
      <c r="C3349" t="s">
        <v>11</v>
      </c>
      <c r="D3349" s="2">
        <v>553526.66810000001</v>
      </c>
      <c r="E3349" s="2">
        <v>38.94</v>
      </c>
      <c r="F3349" s="2">
        <v>553565.60809999995</v>
      </c>
    </row>
    <row r="3350" spans="1:6" x14ac:dyDescent="0.3">
      <c r="A3350" s="1">
        <v>45351</v>
      </c>
      <c r="B3350" t="s">
        <v>6</v>
      </c>
      <c r="C3350" t="s">
        <v>12</v>
      </c>
      <c r="D3350" s="2">
        <v>0</v>
      </c>
      <c r="E3350" s="2">
        <v>5492.2060000000001</v>
      </c>
      <c r="F3350" s="2">
        <v>5492.2060000000001</v>
      </c>
    </row>
    <row r="3351" spans="1:6" x14ac:dyDescent="0.3">
      <c r="A3351" s="1">
        <v>45351</v>
      </c>
      <c r="B3351" t="s">
        <v>13</v>
      </c>
      <c r="C3351" t="s">
        <v>14</v>
      </c>
      <c r="D3351" s="2">
        <v>26800186.373460598</v>
      </c>
      <c r="E3351" s="2">
        <v>18663.713411770001</v>
      </c>
      <c r="F3351" s="2">
        <v>26818850.086872298</v>
      </c>
    </row>
    <row r="3352" spans="1:6" x14ac:dyDescent="0.3">
      <c r="A3352" s="1">
        <v>45351</v>
      </c>
      <c r="B3352" t="s">
        <v>15</v>
      </c>
      <c r="C3352" t="s">
        <v>16</v>
      </c>
      <c r="D3352" s="2">
        <v>17213.297966120001</v>
      </c>
      <c r="E3352" s="2">
        <v>0</v>
      </c>
      <c r="F3352" s="2">
        <v>17213.297966120001</v>
      </c>
    </row>
    <row r="3353" spans="1:6" x14ac:dyDescent="0.3">
      <c r="A3353" s="1">
        <v>45351</v>
      </c>
      <c r="B3353" t="s">
        <v>15</v>
      </c>
      <c r="C3353" t="s">
        <v>17</v>
      </c>
      <c r="D3353" s="2">
        <v>88705.159957680007</v>
      </c>
      <c r="E3353" s="2">
        <v>0</v>
      </c>
      <c r="F3353" s="2">
        <v>88705.159957680007</v>
      </c>
    </row>
    <row r="3354" spans="1:6" x14ac:dyDescent="0.3">
      <c r="A3354" s="1">
        <v>45351</v>
      </c>
      <c r="B3354" t="s">
        <v>15</v>
      </c>
      <c r="C3354" t="s">
        <v>18</v>
      </c>
      <c r="D3354" s="2">
        <v>168007.59912889</v>
      </c>
      <c r="E3354" s="2">
        <v>0</v>
      </c>
      <c r="F3354" s="2">
        <v>168007.59912889</v>
      </c>
    </row>
    <row r="3355" spans="1:6" x14ac:dyDescent="0.3">
      <c r="A3355" s="1">
        <v>45351</v>
      </c>
      <c r="B3355" t="s">
        <v>15</v>
      </c>
      <c r="C3355" t="s">
        <v>19</v>
      </c>
      <c r="D3355" s="2">
        <v>301952.87635799998</v>
      </c>
      <c r="E3355" s="2">
        <v>7072129.9173756298</v>
      </c>
      <c r="F3355" s="2">
        <v>7374081.7937336303</v>
      </c>
    </row>
    <row r="3356" spans="1:6" x14ac:dyDescent="0.3">
      <c r="A3356" s="1">
        <v>45351</v>
      </c>
      <c r="B3356" t="s">
        <v>15</v>
      </c>
      <c r="C3356" t="s">
        <v>20</v>
      </c>
      <c r="D3356" s="2">
        <v>4224.6513748899997</v>
      </c>
      <c r="E3356" s="2">
        <v>0</v>
      </c>
      <c r="F3356" s="2">
        <v>4224.6513748899997</v>
      </c>
    </row>
    <row r="3357" spans="1:6" x14ac:dyDescent="0.3">
      <c r="A3357" s="1">
        <v>45351</v>
      </c>
      <c r="B3357" t="s">
        <v>21</v>
      </c>
      <c r="C3357" t="s">
        <v>14</v>
      </c>
      <c r="D3357" s="2">
        <v>580103.58478558005</v>
      </c>
      <c r="E3357" s="2">
        <v>7072129.9173756298</v>
      </c>
      <c r="F3357" s="2">
        <v>7652232.5021612002</v>
      </c>
    </row>
    <row r="3358" spans="1:6" x14ac:dyDescent="0.3">
      <c r="A3358" s="1">
        <v>45351</v>
      </c>
      <c r="B3358" t="s">
        <v>22</v>
      </c>
      <c r="C3358" t="s">
        <v>14</v>
      </c>
      <c r="D3358" s="2">
        <v>27380289.958246201</v>
      </c>
      <c r="E3358" s="2">
        <v>7090792.6307873996</v>
      </c>
      <c r="F3358" s="2">
        <v>34471082.589033499</v>
      </c>
    </row>
    <row r="3359" spans="1:6" x14ac:dyDescent="0.3">
      <c r="A3359" s="1">
        <v>45382</v>
      </c>
      <c r="B3359" t="s">
        <v>6</v>
      </c>
      <c r="C3359" t="s">
        <v>7</v>
      </c>
      <c r="D3359" s="2">
        <v>6061735.8735999996</v>
      </c>
      <c r="E3359" s="2">
        <v>1129.463</v>
      </c>
      <c r="F3359" s="2">
        <v>6062865.3366</v>
      </c>
    </row>
    <row r="3360" spans="1:6" x14ac:dyDescent="0.3">
      <c r="A3360" s="1">
        <v>45382</v>
      </c>
      <c r="B3360" t="s">
        <v>6</v>
      </c>
      <c r="C3360" t="s">
        <v>8</v>
      </c>
      <c r="D3360" s="2">
        <v>13858606.585200001</v>
      </c>
      <c r="E3360" s="2">
        <v>4588.4175999999998</v>
      </c>
      <c r="F3360" s="2">
        <v>13863195.002800001</v>
      </c>
    </row>
    <row r="3361" spans="1:6" x14ac:dyDescent="0.3">
      <c r="A3361" s="1">
        <v>45382</v>
      </c>
      <c r="B3361" t="s">
        <v>6</v>
      </c>
      <c r="C3361" t="s">
        <v>9</v>
      </c>
      <c r="D3361" s="2">
        <v>4460168.6335000005</v>
      </c>
      <c r="E3361" s="2">
        <v>6887.7120999999997</v>
      </c>
      <c r="F3361" s="2">
        <v>4467056.3455999997</v>
      </c>
    </row>
    <row r="3362" spans="1:6" x14ac:dyDescent="0.3">
      <c r="A3362" s="1">
        <v>45382</v>
      </c>
      <c r="B3362" t="s">
        <v>6</v>
      </c>
      <c r="C3362" t="s">
        <v>10</v>
      </c>
      <c r="D3362" s="2">
        <v>1998753.1922581999</v>
      </c>
      <c r="E3362" s="2">
        <v>580.21076870000002</v>
      </c>
      <c r="F3362" s="2">
        <v>1999333.4030269</v>
      </c>
    </row>
    <row r="3363" spans="1:6" x14ac:dyDescent="0.3">
      <c r="A3363" s="1">
        <v>45382</v>
      </c>
      <c r="B3363" t="s">
        <v>6</v>
      </c>
      <c r="C3363" t="s">
        <v>11</v>
      </c>
      <c r="D3363" s="2">
        <v>553515.37809999997</v>
      </c>
      <c r="E3363" s="2">
        <v>50.23</v>
      </c>
      <c r="F3363" s="2">
        <v>553565.60809999995</v>
      </c>
    </row>
    <row r="3364" spans="1:6" x14ac:dyDescent="0.3">
      <c r="A3364" s="1">
        <v>45382</v>
      </c>
      <c r="B3364" t="s">
        <v>6</v>
      </c>
      <c r="C3364" t="s">
        <v>12</v>
      </c>
      <c r="D3364" s="2">
        <v>0</v>
      </c>
      <c r="E3364" s="2">
        <v>5492.2060000000001</v>
      </c>
      <c r="F3364" s="2">
        <v>5492.2060000000001</v>
      </c>
    </row>
    <row r="3365" spans="1:6" x14ac:dyDescent="0.3">
      <c r="A3365" s="1">
        <v>45382</v>
      </c>
      <c r="B3365" t="s">
        <v>13</v>
      </c>
      <c r="C3365" t="s">
        <v>14</v>
      </c>
      <c r="D3365" s="2">
        <v>26932779.6626582</v>
      </c>
      <c r="E3365" s="2">
        <v>18728.239468700001</v>
      </c>
      <c r="F3365" s="2">
        <v>26951507.902126901</v>
      </c>
    </row>
    <row r="3366" spans="1:6" x14ac:dyDescent="0.3">
      <c r="A3366" s="1">
        <v>45382</v>
      </c>
      <c r="B3366" t="s">
        <v>15</v>
      </c>
      <c r="C3366" t="s">
        <v>16</v>
      </c>
      <c r="D3366" s="2">
        <v>17235.117063810001</v>
      </c>
      <c r="E3366" s="2">
        <v>0</v>
      </c>
      <c r="F3366" s="2">
        <v>17235.117063810001</v>
      </c>
    </row>
    <row r="3367" spans="1:6" x14ac:dyDescent="0.3">
      <c r="A3367" s="1">
        <v>45382</v>
      </c>
      <c r="B3367" t="s">
        <v>15</v>
      </c>
      <c r="C3367" t="s">
        <v>17</v>
      </c>
      <c r="D3367" s="2">
        <v>91427.752109669993</v>
      </c>
      <c r="E3367" s="2">
        <v>0</v>
      </c>
      <c r="F3367" s="2">
        <v>91427.752109669993</v>
      </c>
    </row>
    <row r="3368" spans="1:6" x14ac:dyDescent="0.3">
      <c r="A3368" s="1">
        <v>45382</v>
      </c>
      <c r="B3368" t="s">
        <v>15</v>
      </c>
      <c r="C3368" t="s">
        <v>18</v>
      </c>
      <c r="D3368" s="2">
        <v>166874.71624464</v>
      </c>
      <c r="E3368" s="2">
        <v>0</v>
      </c>
      <c r="F3368" s="2">
        <v>166874.71624464</v>
      </c>
    </row>
    <row r="3369" spans="1:6" x14ac:dyDescent="0.3">
      <c r="A3369" s="1">
        <v>45382</v>
      </c>
      <c r="B3369" t="s">
        <v>15</v>
      </c>
      <c r="C3369" t="s">
        <v>19</v>
      </c>
      <c r="D3369" s="2">
        <v>298899.39685596002</v>
      </c>
      <c r="E3369" s="2">
        <v>7056350.3070281101</v>
      </c>
      <c r="F3369" s="2">
        <v>7355248.7038840698</v>
      </c>
    </row>
    <row r="3370" spans="1:6" x14ac:dyDescent="0.3">
      <c r="A3370" s="1">
        <v>45382</v>
      </c>
      <c r="B3370" t="s">
        <v>15</v>
      </c>
      <c r="C3370" t="s">
        <v>20</v>
      </c>
      <c r="D3370" s="2">
        <v>4238.6046340900002</v>
      </c>
      <c r="E3370" s="2">
        <v>0</v>
      </c>
      <c r="F3370" s="2">
        <v>4238.6046340900002</v>
      </c>
    </row>
    <row r="3371" spans="1:6" x14ac:dyDescent="0.3">
      <c r="A3371" s="1">
        <v>45382</v>
      </c>
      <c r="B3371" t="s">
        <v>21</v>
      </c>
      <c r="C3371" t="s">
        <v>14</v>
      </c>
      <c r="D3371" s="2">
        <v>578674.58690817002</v>
      </c>
      <c r="E3371" s="2">
        <v>7056350.3070281101</v>
      </c>
      <c r="F3371" s="2">
        <v>7635026.8939362802</v>
      </c>
    </row>
    <row r="3372" spans="1:6" x14ac:dyDescent="0.3">
      <c r="A3372" s="1">
        <v>45382</v>
      </c>
      <c r="B3372" t="s">
        <v>22</v>
      </c>
      <c r="C3372" t="s">
        <v>14</v>
      </c>
      <c r="D3372" s="2">
        <v>27511455.249566302</v>
      </c>
      <c r="E3372" s="2">
        <v>7075077.5464968104</v>
      </c>
      <c r="F3372" s="2">
        <v>34586532.7960632</v>
      </c>
    </row>
    <row r="3373" spans="1:6" x14ac:dyDescent="0.3">
      <c r="A3373" s="1">
        <v>45412</v>
      </c>
      <c r="B3373" t="s">
        <v>6</v>
      </c>
      <c r="C3373" t="s">
        <v>7</v>
      </c>
      <c r="D3373" s="2">
        <v>5865412.3404000001</v>
      </c>
      <c r="E3373" s="2">
        <v>1350.1077</v>
      </c>
      <c r="F3373" s="2">
        <v>5866762.4480999997</v>
      </c>
    </row>
    <row r="3374" spans="1:6" x14ac:dyDescent="0.3">
      <c r="A3374" s="1">
        <v>45412</v>
      </c>
      <c r="B3374" t="s">
        <v>6</v>
      </c>
      <c r="C3374" t="s">
        <v>8</v>
      </c>
      <c r="D3374" s="2">
        <v>13989123.739800001</v>
      </c>
      <c r="E3374" s="2">
        <v>5729.7599</v>
      </c>
      <c r="F3374" s="2">
        <v>13994853.499700001</v>
      </c>
    </row>
    <row r="3375" spans="1:6" x14ac:dyDescent="0.3">
      <c r="A3375" s="1">
        <v>45412</v>
      </c>
      <c r="B3375" t="s">
        <v>6</v>
      </c>
      <c r="C3375" t="s">
        <v>9</v>
      </c>
      <c r="D3375" s="2">
        <v>4508908.8910999997</v>
      </c>
      <c r="E3375" s="2">
        <v>6359.2816999999995</v>
      </c>
      <c r="F3375" s="2">
        <v>4515268.1727999998</v>
      </c>
    </row>
    <row r="3376" spans="1:6" x14ac:dyDescent="0.3">
      <c r="A3376" s="1">
        <v>45412</v>
      </c>
      <c r="B3376" t="s">
        <v>6</v>
      </c>
      <c r="C3376" t="s">
        <v>10</v>
      </c>
      <c r="D3376" s="2">
        <v>1995109.8563389999</v>
      </c>
      <c r="E3376" s="2">
        <v>528.95798117000004</v>
      </c>
      <c r="F3376" s="2">
        <v>1995638.8143201701</v>
      </c>
    </row>
    <row r="3377" spans="1:6" x14ac:dyDescent="0.3">
      <c r="A3377" s="1">
        <v>45412</v>
      </c>
      <c r="B3377" t="s">
        <v>6</v>
      </c>
      <c r="C3377" t="s">
        <v>11</v>
      </c>
      <c r="D3377" s="2">
        <v>540302.72490000003</v>
      </c>
      <c r="E3377" s="2">
        <v>46.7</v>
      </c>
      <c r="F3377" s="2">
        <v>540349.42489999998</v>
      </c>
    </row>
    <row r="3378" spans="1:6" x14ac:dyDescent="0.3">
      <c r="A3378" s="1">
        <v>45412</v>
      </c>
      <c r="B3378" t="s">
        <v>6</v>
      </c>
      <c r="C3378" t="s">
        <v>12</v>
      </c>
      <c r="D3378" s="2">
        <v>0</v>
      </c>
      <c r="E3378" s="2">
        <v>5492.2060000000001</v>
      </c>
      <c r="F3378" s="2">
        <v>5492.2060000000001</v>
      </c>
    </row>
    <row r="3379" spans="1:6" x14ac:dyDescent="0.3">
      <c r="A3379" s="1">
        <v>45412</v>
      </c>
      <c r="B3379" t="s">
        <v>13</v>
      </c>
      <c r="C3379" t="s">
        <v>14</v>
      </c>
      <c r="D3379" s="2">
        <v>26898857.552538998</v>
      </c>
      <c r="E3379" s="2">
        <v>19507.013281169999</v>
      </c>
      <c r="F3379" s="2">
        <v>26918364.565820199</v>
      </c>
    </row>
    <row r="3380" spans="1:6" x14ac:dyDescent="0.3">
      <c r="A3380" s="1">
        <v>45412</v>
      </c>
      <c r="B3380" t="s">
        <v>15</v>
      </c>
      <c r="C3380" t="s">
        <v>16</v>
      </c>
      <c r="D3380" s="2">
        <v>17259.239757920001</v>
      </c>
      <c r="E3380" s="2">
        <v>0</v>
      </c>
      <c r="F3380" s="2">
        <v>17259.239757920001</v>
      </c>
    </row>
    <row r="3381" spans="1:6" x14ac:dyDescent="0.3">
      <c r="A3381" s="1">
        <v>45412</v>
      </c>
      <c r="B3381" t="s">
        <v>15</v>
      </c>
      <c r="C3381" t="s">
        <v>17</v>
      </c>
      <c r="D3381" s="2">
        <v>93943.853865619996</v>
      </c>
      <c r="E3381" s="2">
        <v>0</v>
      </c>
      <c r="F3381" s="2">
        <v>93943.853865619996</v>
      </c>
    </row>
    <row r="3382" spans="1:6" x14ac:dyDescent="0.3">
      <c r="A3382" s="1">
        <v>45412</v>
      </c>
      <c r="B3382" t="s">
        <v>15</v>
      </c>
      <c r="C3382" t="s">
        <v>18</v>
      </c>
      <c r="D3382" s="2">
        <v>165976.34707684</v>
      </c>
      <c r="E3382" s="2">
        <v>0</v>
      </c>
      <c r="F3382" s="2">
        <v>165976.34707684</v>
      </c>
    </row>
    <row r="3383" spans="1:6" x14ac:dyDescent="0.3">
      <c r="A3383" s="1">
        <v>45412</v>
      </c>
      <c r="B3383" t="s">
        <v>15</v>
      </c>
      <c r="C3383" t="s">
        <v>19</v>
      </c>
      <c r="D3383" s="2">
        <v>300599.74976862001</v>
      </c>
      <c r="E3383" s="2">
        <v>7116527.1569156498</v>
      </c>
      <c r="F3383" s="2">
        <v>7417126.9066842701</v>
      </c>
    </row>
    <row r="3384" spans="1:6" x14ac:dyDescent="0.3">
      <c r="A3384" s="1">
        <v>45412</v>
      </c>
      <c r="B3384" t="s">
        <v>15</v>
      </c>
      <c r="C3384" t="s">
        <v>20</v>
      </c>
      <c r="D3384" s="2">
        <v>4323.4611201400003</v>
      </c>
      <c r="E3384" s="2">
        <v>0</v>
      </c>
      <c r="F3384" s="2">
        <v>4323.4611201400003</v>
      </c>
    </row>
    <row r="3385" spans="1:6" x14ac:dyDescent="0.3">
      <c r="A3385" s="1">
        <v>45412</v>
      </c>
      <c r="B3385" t="s">
        <v>21</v>
      </c>
      <c r="C3385" t="s">
        <v>14</v>
      </c>
      <c r="D3385" s="2">
        <v>582102.65158913995</v>
      </c>
      <c r="E3385" s="2">
        <v>7116527.1569156498</v>
      </c>
      <c r="F3385" s="2">
        <v>7698627.8085047901</v>
      </c>
    </row>
    <row r="3386" spans="1:6" x14ac:dyDescent="0.3">
      <c r="A3386" s="1">
        <v>45412</v>
      </c>
      <c r="B3386" t="s">
        <v>22</v>
      </c>
      <c r="C3386" t="s">
        <v>14</v>
      </c>
      <c r="D3386" s="2">
        <v>27480960.204128101</v>
      </c>
      <c r="E3386" s="2">
        <v>7136034.1701968201</v>
      </c>
      <c r="F3386" s="2">
        <v>34616994.374324903</v>
      </c>
    </row>
    <row r="3387" spans="1:6" x14ac:dyDescent="0.3">
      <c r="A3387" s="1">
        <v>45443</v>
      </c>
      <c r="B3387" t="s">
        <v>6</v>
      </c>
      <c r="C3387" t="s">
        <v>7</v>
      </c>
      <c r="D3387" s="2">
        <v>5865792.9095999999</v>
      </c>
      <c r="E3387" s="2">
        <v>987.46609999999998</v>
      </c>
      <c r="F3387" s="2">
        <v>5866780.3756999997</v>
      </c>
    </row>
    <row r="3388" spans="1:6" x14ac:dyDescent="0.3">
      <c r="A3388" s="1">
        <v>45443</v>
      </c>
      <c r="B3388" t="s">
        <v>6</v>
      </c>
      <c r="C3388" t="s">
        <v>8</v>
      </c>
      <c r="D3388" s="2">
        <v>14008399.653999999</v>
      </c>
      <c r="E3388" s="2">
        <v>5372.5484999999999</v>
      </c>
      <c r="F3388" s="2">
        <v>14013772.202500001</v>
      </c>
    </row>
    <row r="3389" spans="1:6" x14ac:dyDescent="0.3">
      <c r="A3389" s="1">
        <v>45443</v>
      </c>
      <c r="B3389" t="s">
        <v>6</v>
      </c>
      <c r="C3389" t="s">
        <v>9</v>
      </c>
      <c r="D3389" s="2">
        <v>4553640.8243000004</v>
      </c>
      <c r="E3389" s="2">
        <v>6717.1112000000003</v>
      </c>
      <c r="F3389" s="2">
        <v>4560357.9354999997</v>
      </c>
    </row>
    <row r="3390" spans="1:6" x14ac:dyDescent="0.3">
      <c r="A3390" s="1">
        <v>45443</v>
      </c>
      <c r="B3390" t="s">
        <v>6</v>
      </c>
      <c r="C3390" t="s">
        <v>10</v>
      </c>
      <c r="D3390" s="2">
        <v>2025207.58844589</v>
      </c>
      <c r="E3390" s="2">
        <v>544.01098792000005</v>
      </c>
      <c r="F3390" s="2">
        <v>2025751.59943381</v>
      </c>
    </row>
    <row r="3391" spans="1:6" x14ac:dyDescent="0.3">
      <c r="A3391" s="1">
        <v>45443</v>
      </c>
      <c r="B3391" t="s">
        <v>6</v>
      </c>
      <c r="C3391" t="s">
        <v>11</v>
      </c>
      <c r="D3391" s="2">
        <v>569976.97519999999</v>
      </c>
      <c r="E3391" s="2">
        <v>34.89</v>
      </c>
      <c r="F3391" s="2">
        <v>570011.8652</v>
      </c>
    </row>
    <row r="3392" spans="1:6" x14ac:dyDescent="0.3">
      <c r="A3392" s="1">
        <v>45443</v>
      </c>
      <c r="B3392" t="s">
        <v>6</v>
      </c>
      <c r="C3392" t="s">
        <v>12</v>
      </c>
      <c r="D3392" s="2">
        <v>0</v>
      </c>
      <c r="E3392" s="2">
        <v>5492.2060000000001</v>
      </c>
      <c r="F3392" s="2">
        <v>5492.2060000000001</v>
      </c>
    </row>
    <row r="3393" spans="1:6" x14ac:dyDescent="0.3">
      <c r="A3393" s="1">
        <v>45443</v>
      </c>
      <c r="B3393" t="s">
        <v>13</v>
      </c>
      <c r="C3393" t="s">
        <v>14</v>
      </c>
      <c r="D3393" s="2">
        <v>27023017.951545902</v>
      </c>
      <c r="E3393" s="2">
        <v>19148.232787919998</v>
      </c>
      <c r="F3393" s="2">
        <v>27042166.184333801</v>
      </c>
    </row>
    <row r="3394" spans="1:6" x14ac:dyDescent="0.3">
      <c r="A3394" s="1">
        <v>45443</v>
      </c>
      <c r="B3394" t="s">
        <v>15</v>
      </c>
      <c r="C3394" t="s">
        <v>16</v>
      </c>
      <c r="D3394" s="2">
        <v>15174.88076503</v>
      </c>
      <c r="E3394" s="2">
        <v>0</v>
      </c>
      <c r="F3394" s="2">
        <v>15174.88076503</v>
      </c>
    </row>
    <row r="3395" spans="1:6" x14ac:dyDescent="0.3">
      <c r="A3395" s="1">
        <v>45443</v>
      </c>
      <c r="B3395" t="s">
        <v>15</v>
      </c>
      <c r="C3395" t="s">
        <v>17</v>
      </c>
      <c r="D3395" s="2">
        <v>100059.00408059001</v>
      </c>
      <c r="E3395" s="2">
        <v>0</v>
      </c>
      <c r="F3395" s="2">
        <v>100059.00408059001</v>
      </c>
    </row>
    <row r="3396" spans="1:6" x14ac:dyDescent="0.3">
      <c r="A3396" s="1">
        <v>45443</v>
      </c>
      <c r="B3396" t="s">
        <v>15</v>
      </c>
      <c r="C3396" t="s">
        <v>18</v>
      </c>
      <c r="D3396" s="2">
        <v>164811.15207668001</v>
      </c>
      <c r="E3396" s="2">
        <v>0</v>
      </c>
      <c r="F3396" s="2">
        <v>164811.15207668001</v>
      </c>
    </row>
    <row r="3397" spans="1:6" x14ac:dyDescent="0.3">
      <c r="A3397" s="1">
        <v>45443</v>
      </c>
      <c r="B3397" t="s">
        <v>15</v>
      </c>
      <c r="C3397" t="s">
        <v>19</v>
      </c>
      <c r="D3397" s="2">
        <v>299368.40665492002</v>
      </c>
      <c r="E3397" s="2">
        <v>7041159.6222297298</v>
      </c>
      <c r="F3397" s="2">
        <v>7340529.0288846502</v>
      </c>
    </row>
    <row r="3398" spans="1:6" x14ac:dyDescent="0.3">
      <c r="A3398" s="1">
        <v>45443</v>
      </c>
      <c r="B3398" t="s">
        <v>15</v>
      </c>
      <c r="C3398" t="s">
        <v>20</v>
      </c>
      <c r="D3398" s="2">
        <v>4375.1882810899997</v>
      </c>
      <c r="E3398" s="2">
        <v>0</v>
      </c>
      <c r="F3398" s="2">
        <v>4375.1882810899997</v>
      </c>
    </row>
    <row r="3399" spans="1:6" x14ac:dyDescent="0.3">
      <c r="A3399" s="1">
        <v>45443</v>
      </c>
      <c r="B3399" t="s">
        <v>21</v>
      </c>
      <c r="C3399" t="s">
        <v>14</v>
      </c>
      <c r="D3399" s="2">
        <v>583788.63185830996</v>
      </c>
      <c r="E3399" s="2">
        <v>7041159.6222297298</v>
      </c>
      <c r="F3399" s="2">
        <v>7624950.2540880404</v>
      </c>
    </row>
    <row r="3400" spans="1:6" x14ac:dyDescent="0.3">
      <c r="A3400" s="1">
        <v>45443</v>
      </c>
      <c r="B3400" t="s">
        <v>22</v>
      </c>
      <c r="C3400" t="s">
        <v>14</v>
      </c>
      <c r="D3400" s="2">
        <v>27606806.583404198</v>
      </c>
      <c r="E3400" s="2">
        <v>7060308.8550176499</v>
      </c>
      <c r="F3400" s="2">
        <v>34667115.438421801</v>
      </c>
    </row>
    <row r="3401" spans="1:6" x14ac:dyDescent="0.3">
      <c r="A3401" s="1">
        <v>45473</v>
      </c>
      <c r="B3401" t="s">
        <v>6</v>
      </c>
      <c r="C3401" t="s">
        <v>7</v>
      </c>
      <c r="D3401" s="2">
        <v>5764901.5389</v>
      </c>
      <c r="E3401" s="2">
        <v>928.55100000000004</v>
      </c>
      <c r="F3401" s="2">
        <v>5765830.0899</v>
      </c>
    </row>
    <row r="3402" spans="1:6" x14ac:dyDescent="0.3">
      <c r="A3402" s="1">
        <v>45473</v>
      </c>
      <c r="B3402" t="s">
        <v>6</v>
      </c>
      <c r="C3402" t="s">
        <v>8</v>
      </c>
      <c r="D3402" s="2">
        <v>14041377.207</v>
      </c>
      <c r="E3402" s="2">
        <v>5330.1746999999996</v>
      </c>
      <c r="F3402" s="2">
        <v>14046707.3817</v>
      </c>
    </row>
    <row r="3403" spans="1:6" x14ac:dyDescent="0.3">
      <c r="A3403" s="1">
        <v>45473</v>
      </c>
      <c r="B3403" t="s">
        <v>6</v>
      </c>
      <c r="C3403" t="s">
        <v>9</v>
      </c>
      <c r="D3403" s="2">
        <v>4574270.4063999997</v>
      </c>
      <c r="E3403" s="2">
        <v>6794.4997000000003</v>
      </c>
      <c r="F3403" s="2">
        <v>4581064.9061000003</v>
      </c>
    </row>
    <row r="3404" spans="1:6" x14ac:dyDescent="0.3">
      <c r="A3404" s="1">
        <v>45473</v>
      </c>
      <c r="B3404" t="s">
        <v>6</v>
      </c>
      <c r="C3404" t="s">
        <v>10</v>
      </c>
      <c r="D3404" s="2">
        <v>2053276.6142955499</v>
      </c>
      <c r="E3404" s="2">
        <v>589.67303846000004</v>
      </c>
      <c r="F3404" s="2">
        <v>2053866.28733401</v>
      </c>
    </row>
    <row r="3405" spans="1:6" x14ac:dyDescent="0.3">
      <c r="A3405" s="1">
        <v>45473</v>
      </c>
      <c r="B3405" t="s">
        <v>6</v>
      </c>
      <c r="C3405" t="s">
        <v>11</v>
      </c>
      <c r="D3405" s="2">
        <v>597978.228</v>
      </c>
      <c r="E3405" s="2">
        <v>33.19</v>
      </c>
      <c r="F3405" s="2">
        <v>598011.41799999995</v>
      </c>
    </row>
    <row r="3406" spans="1:6" x14ac:dyDescent="0.3">
      <c r="A3406" s="1">
        <v>45473</v>
      </c>
      <c r="B3406" t="s">
        <v>6</v>
      </c>
      <c r="C3406" t="s">
        <v>12</v>
      </c>
      <c r="D3406" s="2">
        <v>0</v>
      </c>
      <c r="E3406" s="2">
        <v>4514.1241</v>
      </c>
      <c r="F3406" s="2">
        <v>4514.1241</v>
      </c>
    </row>
    <row r="3407" spans="1:6" x14ac:dyDescent="0.3">
      <c r="A3407" s="1">
        <v>45473</v>
      </c>
      <c r="B3407" t="s">
        <v>13</v>
      </c>
      <c r="C3407" t="s">
        <v>14</v>
      </c>
      <c r="D3407" s="2">
        <v>27031803.994595502</v>
      </c>
      <c r="E3407" s="2">
        <v>18190.21253846</v>
      </c>
      <c r="F3407" s="2">
        <v>27049994.207134001</v>
      </c>
    </row>
    <row r="3408" spans="1:6" x14ac:dyDescent="0.3">
      <c r="A3408" s="1">
        <v>45473</v>
      </c>
      <c r="B3408" t="s">
        <v>15</v>
      </c>
      <c r="C3408" t="s">
        <v>16</v>
      </c>
      <c r="D3408" s="2">
        <v>15189.54568454</v>
      </c>
      <c r="E3408" s="2">
        <v>0</v>
      </c>
      <c r="F3408" s="2">
        <v>15189.54568454</v>
      </c>
    </row>
    <row r="3409" spans="1:6" x14ac:dyDescent="0.3">
      <c r="A3409" s="1">
        <v>45473</v>
      </c>
      <c r="B3409" t="s">
        <v>15</v>
      </c>
      <c r="C3409" t="s">
        <v>17</v>
      </c>
      <c r="D3409" s="2">
        <v>98277.414065749996</v>
      </c>
      <c r="E3409" s="2">
        <v>0</v>
      </c>
      <c r="F3409" s="2">
        <v>98277.414065749996</v>
      </c>
    </row>
    <row r="3410" spans="1:6" x14ac:dyDescent="0.3">
      <c r="A3410" s="1">
        <v>45473</v>
      </c>
      <c r="B3410" t="s">
        <v>15</v>
      </c>
      <c r="C3410" t="s">
        <v>18</v>
      </c>
      <c r="D3410" s="2">
        <v>163909.77775730999</v>
      </c>
      <c r="E3410" s="2">
        <v>0</v>
      </c>
      <c r="F3410" s="2">
        <v>163909.77775730999</v>
      </c>
    </row>
    <row r="3411" spans="1:6" x14ac:dyDescent="0.3">
      <c r="A3411" s="1">
        <v>45473</v>
      </c>
      <c r="B3411" t="s">
        <v>15</v>
      </c>
      <c r="C3411" t="s">
        <v>19</v>
      </c>
      <c r="D3411" s="2">
        <v>299238.91269912</v>
      </c>
      <c r="E3411" s="2">
        <v>7200547.6346294396</v>
      </c>
      <c r="F3411" s="2">
        <v>7499786.5473285597</v>
      </c>
    </row>
    <row r="3412" spans="1:6" x14ac:dyDescent="0.3">
      <c r="A3412" s="1">
        <v>45473</v>
      </c>
      <c r="B3412" t="s">
        <v>15</v>
      </c>
      <c r="C3412" t="s">
        <v>20</v>
      </c>
      <c r="D3412" s="2">
        <v>4477.4938421699999</v>
      </c>
      <c r="E3412" s="2">
        <v>0</v>
      </c>
      <c r="F3412" s="2">
        <v>4477.4938421699999</v>
      </c>
    </row>
    <row r="3413" spans="1:6" x14ac:dyDescent="0.3">
      <c r="A3413" s="1">
        <v>45473</v>
      </c>
      <c r="B3413" t="s">
        <v>21</v>
      </c>
      <c r="C3413" t="s">
        <v>14</v>
      </c>
      <c r="D3413" s="2">
        <v>581093.14404888998</v>
      </c>
      <c r="E3413" s="2">
        <v>7200547.6346294396</v>
      </c>
      <c r="F3413" s="2">
        <v>7781639.7786783297</v>
      </c>
    </row>
    <row r="3414" spans="1:6" x14ac:dyDescent="0.3">
      <c r="A3414" s="1">
        <v>45473</v>
      </c>
      <c r="B3414" t="s">
        <v>22</v>
      </c>
      <c r="C3414" t="s">
        <v>14</v>
      </c>
      <c r="D3414" s="2">
        <v>27612897.138644401</v>
      </c>
      <c r="E3414" s="2">
        <v>7218737.8471678998</v>
      </c>
      <c r="F3414" s="2">
        <v>34831633.985812299</v>
      </c>
    </row>
    <row r="3415" spans="1:6" x14ac:dyDescent="0.3">
      <c r="A3415" s="1">
        <v>45504</v>
      </c>
      <c r="B3415" t="s">
        <v>6</v>
      </c>
      <c r="C3415" t="s">
        <v>7</v>
      </c>
      <c r="D3415" s="2">
        <v>5914851.6233999999</v>
      </c>
      <c r="E3415" s="2">
        <v>930.56029999999998</v>
      </c>
      <c r="F3415" s="2">
        <v>5915782.1836999999</v>
      </c>
    </row>
    <row r="3416" spans="1:6" x14ac:dyDescent="0.3">
      <c r="A3416" s="1">
        <v>45504</v>
      </c>
      <c r="B3416" t="s">
        <v>6</v>
      </c>
      <c r="C3416" t="s">
        <v>8</v>
      </c>
      <c r="D3416" s="2">
        <v>14221622.5474</v>
      </c>
      <c r="E3416" s="2">
        <v>5362.6751999999997</v>
      </c>
      <c r="F3416" s="2">
        <v>14226985.2226</v>
      </c>
    </row>
    <row r="3417" spans="1:6" x14ac:dyDescent="0.3">
      <c r="A3417" s="1">
        <v>45504</v>
      </c>
      <c r="B3417" t="s">
        <v>6</v>
      </c>
      <c r="C3417" t="s">
        <v>9</v>
      </c>
      <c r="D3417" s="2">
        <v>4625031.6880999999</v>
      </c>
      <c r="E3417" s="2">
        <v>6771.8607000000002</v>
      </c>
      <c r="F3417" s="2">
        <v>4631803.5488</v>
      </c>
    </row>
    <row r="3418" spans="1:6" x14ac:dyDescent="0.3">
      <c r="A3418" s="1">
        <v>45504</v>
      </c>
      <c r="B3418" t="s">
        <v>6</v>
      </c>
      <c r="C3418" t="s">
        <v>10</v>
      </c>
      <c r="D3418" s="2">
        <v>2023106.9795216001</v>
      </c>
      <c r="E3418" s="2">
        <v>605.65319447000002</v>
      </c>
      <c r="F3418" s="2">
        <v>2023712.6327160699</v>
      </c>
    </row>
    <row r="3419" spans="1:6" x14ac:dyDescent="0.3">
      <c r="A3419" s="1">
        <v>45504</v>
      </c>
      <c r="B3419" t="s">
        <v>6</v>
      </c>
      <c r="C3419" t="s">
        <v>11</v>
      </c>
      <c r="D3419" s="2">
        <v>559543.67339999997</v>
      </c>
      <c r="E3419" s="2">
        <v>35.71</v>
      </c>
      <c r="F3419" s="2">
        <v>559579.38340000005</v>
      </c>
    </row>
    <row r="3420" spans="1:6" x14ac:dyDescent="0.3">
      <c r="A3420" s="1">
        <v>45504</v>
      </c>
      <c r="B3420" t="s">
        <v>6</v>
      </c>
      <c r="C3420" t="s">
        <v>12</v>
      </c>
      <c r="D3420" s="2">
        <v>0</v>
      </c>
      <c r="E3420" s="2">
        <v>4514.1241</v>
      </c>
      <c r="F3420" s="2">
        <v>4514.1241</v>
      </c>
    </row>
    <row r="3421" spans="1:6" x14ac:dyDescent="0.3">
      <c r="A3421" s="1">
        <v>45504</v>
      </c>
      <c r="B3421" t="s">
        <v>13</v>
      </c>
      <c r="C3421" t="s">
        <v>14</v>
      </c>
      <c r="D3421" s="2">
        <v>27344156.511821602</v>
      </c>
      <c r="E3421" s="2">
        <v>18220.58349447</v>
      </c>
      <c r="F3421" s="2">
        <v>27362377.095316</v>
      </c>
    </row>
    <row r="3422" spans="1:6" x14ac:dyDescent="0.3">
      <c r="A3422" s="1">
        <v>45504</v>
      </c>
      <c r="B3422" t="s">
        <v>15</v>
      </c>
      <c r="C3422" t="s">
        <v>16</v>
      </c>
      <c r="D3422" s="2">
        <v>15155.677997930001</v>
      </c>
      <c r="E3422" s="2">
        <v>0</v>
      </c>
      <c r="F3422" s="2">
        <v>15155.677997930001</v>
      </c>
    </row>
    <row r="3423" spans="1:6" x14ac:dyDescent="0.3">
      <c r="A3423" s="1">
        <v>45504</v>
      </c>
      <c r="B3423" t="s">
        <v>15</v>
      </c>
      <c r="C3423" t="s">
        <v>17</v>
      </c>
      <c r="D3423" s="2">
        <v>104851.57043301</v>
      </c>
      <c r="E3423" s="2">
        <v>0</v>
      </c>
      <c r="F3423" s="2">
        <v>104851.57043301</v>
      </c>
    </row>
    <row r="3424" spans="1:6" x14ac:dyDescent="0.3">
      <c r="A3424" s="1">
        <v>45504</v>
      </c>
      <c r="B3424" t="s">
        <v>15</v>
      </c>
      <c r="C3424" t="s">
        <v>18</v>
      </c>
      <c r="D3424" s="2">
        <v>162842.40510588</v>
      </c>
      <c r="E3424" s="2">
        <v>0</v>
      </c>
      <c r="F3424" s="2">
        <v>162842.40510588</v>
      </c>
    </row>
    <row r="3425" spans="1:6" x14ac:dyDescent="0.3">
      <c r="A3425" s="1">
        <v>45504</v>
      </c>
      <c r="B3425" t="s">
        <v>15</v>
      </c>
      <c r="C3425" t="s">
        <v>19</v>
      </c>
      <c r="D3425" s="2">
        <v>299021.18077929999</v>
      </c>
      <c r="E3425" s="2">
        <v>7156038.5370127298</v>
      </c>
      <c r="F3425" s="2">
        <v>7455059.7177920304</v>
      </c>
    </row>
    <row r="3426" spans="1:6" x14ac:dyDescent="0.3">
      <c r="A3426" s="1">
        <v>45504</v>
      </c>
      <c r="B3426" t="s">
        <v>15</v>
      </c>
      <c r="C3426" t="s">
        <v>20</v>
      </c>
      <c r="D3426" s="2">
        <v>4484.1518834199996</v>
      </c>
      <c r="E3426" s="2">
        <v>0</v>
      </c>
      <c r="F3426" s="2">
        <v>4484.1518834199996</v>
      </c>
    </row>
    <row r="3427" spans="1:6" x14ac:dyDescent="0.3">
      <c r="A3427" s="1">
        <v>45504</v>
      </c>
      <c r="B3427" t="s">
        <v>21</v>
      </c>
      <c r="C3427" t="s">
        <v>14</v>
      </c>
      <c r="D3427" s="2">
        <v>586354.98619953997</v>
      </c>
      <c r="E3427" s="2">
        <v>7156038.5370127298</v>
      </c>
      <c r="F3427" s="2">
        <v>7742393.5232122699</v>
      </c>
    </row>
    <row r="3428" spans="1:6" x14ac:dyDescent="0.3">
      <c r="A3428" s="1">
        <v>45504</v>
      </c>
      <c r="B3428" t="s">
        <v>22</v>
      </c>
      <c r="C3428" t="s">
        <v>14</v>
      </c>
      <c r="D3428" s="2">
        <v>27930512.4980211</v>
      </c>
      <c r="E3428" s="2">
        <v>7174259.1205072002</v>
      </c>
      <c r="F3428" s="2">
        <v>35104770.618528299</v>
      </c>
    </row>
    <row r="3429" spans="1:6" x14ac:dyDescent="0.3">
      <c r="A3429" s="1">
        <v>45535</v>
      </c>
      <c r="B3429" t="s">
        <v>6</v>
      </c>
      <c r="C3429" t="s">
        <v>7</v>
      </c>
      <c r="D3429" s="2">
        <v>6120980.6653000005</v>
      </c>
      <c r="E3429" s="2">
        <v>821.18</v>
      </c>
      <c r="F3429" s="2">
        <v>6121801.8453000002</v>
      </c>
    </row>
    <row r="3430" spans="1:6" x14ac:dyDescent="0.3">
      <c r="A3430" s="1">
        <v>45535</v>
      </c>
      <c r="B3430" t="s">
        <v>6</v>
      </c>
      <c r="C3430" t="s">
        <v>8</v>
      </c>
      <c r="D3430" s="2">
        <v>14186936.103700001</v>
      </c>
      <c r="E3430" s="2">
        <v>5269.3621999999996</v>
      </c>
      <c r="F3430" s="2">
        <v>14192205.4659</v>
      </c>
    </row>
    <row r="3431" spans="1:6" x14ac:dyDescent="0.3">
      <c r="A3431" s="1">
        <v>45535</v>
      </c>
      <c r="B3431" t="s">
        <v>6</v>
      </c>
      <c r="C3431" t="s">
        <v>9</v>
      </c>
      <c r="D3431" s="2">
        <v>4650816.2982999999</v>
      </c>
      <c r="E3431" s="2">
        <v>6741.9093999999996</v>
      </c>
      <c r="F3431" s="2">
        <v>4657558.2077000001</v>
      </c>
    </row>
    <row r="3432" spans="1:6" x14ac:dyDescent="0.3">
      <c r="A3432" s="1">
        <v>45535</v>
      </c>
      <c r="B3432" t="s">
        <v>6</v>
      </c>
      <c r="C3432" t="s">
        <v>10</v>
      </c>
      <c r="D3432" s="2">
        <v>2031564.1665385601</v>
      </c>
      <c r="E3432" s="2">
        <v>633.36339248000002</v>
      </c>
      <c r="F3432" s="2">
        <v>2032197.52993104</v>
      </c>
    </row>
    <row r="3433" spans="1:6" x14ac:dyDescent="0.3">
      <c r="A3433" s="1">
        <v>45535</v>
      </c>
      <c r="B3433" t="s">
        <v>6</v>
      </c>
      <c r="C3433" t="s">
        <v>11</v>
      </c>
      <c r="D3433" s="2">
        <v>587537.09080000001</v>
      </c>
      <c r="E3433" s="2">
        <v>41.28</v>
      </c>
      <c r="F3433" s="2">
        <v>587578.37080000003</v>
      </c>
    </row>
    <row r="3434" spans="1:6" x14ac:dyDescent="0.3">
      <c r="A3434" s="1">
        <v>45535</v>
      </c>
      <c r="B3434" t="s">
        <v>6</v>
      </c>
      <c r="C3434" t="s">
        <v>12</v>
      </c>
      <c r="D3434" s="2">
        <v>0</v>
      </c>
      <c r="E3434" s="2">
        <v>4514.1241</v>
      </c>
      <c r="F3434" s="2">
        <v>4514.1241</v>
      </c>
    </row>
    <row r="3435" spans="1:6" x14ac:dyDescent="0.3">
      <c r="A3435" s="1">
        <v>45535</v>
      </c>
      <c r="B3435" t="s">
        <v>13</v>
      </c>
      <c r="C3435" t="s">
        <v>14</v>
      </c>
      <c r="D3435" s="2">
        <v>27577834.324638501</v>
      </c>
      <c r="E3435" s="2">
        <v>18021.219092480002</v>
      </c>
      <c r="F3435" s="2">
        <v>27595855.543731</v>
      </c>
    </row>
    <row r="3436" spans="1:6" x14ac:dyDescent="0.3">
      <c r="A3436" s="1">
        <v>45535</v>
      </c>
      <c r="B3436" t="s">
        <v>15</v>
      </c>
      <c r="C3436" t="s">
        <v>16</v>
      </c>
      <c r="D3436" s="2">
        <v>15170.80781097</v>
      </c>
      <c r="E3436" s="2">
        <v>0</v>
      </c>
      <c r="F3436" s="2">
        <v>15170.80781097</v>
      </c>
    </row>
    <row r="3437" spans="1:6" x14ac:dyDescent="0.3">
      <c r="A3437" s="1">
        <v>45535</v>
      </c>
      <c r="B3437" t="s">
        <v>15</v>
      </c>
      <c r="C3437" t="s">
        <v>17</v>
      </c>
      <c r="D3437" s="2">
        <v>106178.2609737</v>
      </c>
      <c r="E3437" s="2">
        <v>0</v>
      </c>
      <c r="F3437" s="2">
        <v>106178.2609737</v>
      </c>
    </row>
    <row r="3438" spans="1:6" x14ac:dyDescent="0.3">
      <c r="A3438" s="1">
        <v>45535</v>
      </c>
      <c r="B3438" t="s">
        <v>15</v>
      </c>
      <c r="C3438" t="s">
        <v>18</v>
      </c>
      <c r="D3438" s="2">
        <v>161844.8704751</v>
      </c>
      <c r="E3438" s="2">
        <v>0</v>
      </c>
      <c r="F3438" s="2">
        <v>161844.8704751</v>
      </c>
    </row>
    <row r="3439" spans="1:6" x14ac:dyDescent="0.3">
      <c r="A3439" s="1">
        <v>45535</v>
      </c>
      <c r="B3439" t="s">
        <v>15</v>
      </c>
      <c r="C3439" t="s">
        <v>19</v>
      </c>
      <c r="D3439" s="2">
        <v>302451.96582251001</v>
      </c>
      <c r="E3439" s="2">
        <v>7070031.2244134797</v>
      </c>
      <c r="F3439" s="2">
        <v>7372483.1902359901</v>
      </c>
    </row>
    <row r="3440" spans="1:6" x14ac:dyDescent="0.3">
      <c r="A3440" s="1">
        <v>45535</v>
      </c>
      <c r="B3440" t="s">
        <v>15</v>
      </c>
      <c r="C3440" t="s">
        <v>20</v>
      </c>
      <c r="D3440" s="2">
        <v>4524.9065777300002</v>
      </c>
      <c r="E3440" s="2">
        <v>0</v>
      </c>
      <c r="F3440" s="2">
        <v>4524.9065777300002</v>
      </c>
    </row>
    <row r="3441" spans="1:6" x14ac:dyDescent="0.3">
      <c r="A3441" s="1">
        <v>45535</v>
      </c>
      <c r="B3441" t="s">
        <v>21</v>
      </c>
      <c r="C3441" t="s">
        <v>14</v>
      </c>
      <c r="D3441" s="2">
        <v>590170.81166001002</v>
      </c>
      <c r="E3441" s="2">
        <v>7070031.2244134797</v>
      </c>
      <c r="F3441" s="2">
        <v>7660201.03607349</v>
      </c>
    </row>
    <row r="3442" spans="1:6" x14ac:dyDescent="0.3">
      <c r="A3442" s="1">
        <v>45535</v>
      </c>
      <c r="B3442" t="s">
        <v>22</v>
      </c>
      <c r="C3442" t="s">
        <v>14</v>
      </c>
      <c r="D3442" s="2">
        <v>28168005.136298601</v>
      </c>
      <c r="E3442" s="2">
        <v>7088052.4435059596</v>
      </c>
      <c r="F3442" s="2">
        <v>35256056.579804502</v>
      </c>
    </row>
    <row r="3443" spans="1:6" x14ac:dyDescent="0.3">
      <c r="A3443" s="1">
        <v>45565</v>
      </c>
      <c r="B3443" t="s">
        <v>6</v>
      </c>
      <c r="C3443" t="s">
        <v>10</v>
      </c>
      <c r="D3443" s="2">
        <v>2051110.1598155401</v>
      </c>
      <c r="E3443" s="2">
        <v>632.73094587000003</v>
      </c>
      <c r="F3443" s="2">
        <v>2051742.8907614099</v>
      </c>
    </row>
    <row r="3444" spans="1:6" x14ac:dyDescent="0.3">
      <c r="A3444" s="1">
        <v>45565</v>
      </c>
      <c r="B3444" t="s">
        <v>6</v>
      </c>
      <c r="C3444" t="s">
        <v>7</v>
      </c>
      <c r="D3444" s="2">
        <v>6004140.5427000001</v>
      </c>
      <c r="E3444" s="2">
        <v>620.13499999999999</v>
      </c>
      <c r="F3444" s="2">
        <v>6004760.6776999999</v>
      </c>
    </row>
    <row r="3445" spans="1:6" x14ac:dyDescent="0.3">
      <c r="A3445" s="1">
        <v>45565</v>
      </c>
      <c r="B3445" t="s">
        <v>6</v>
      </c>
      <c r="C3445" t="s">
        <v>8</v>
      </c>
      <c r="D3445" s="2">
        <v>14338034.9836</v>
      </c>
      <c r="E3445" s="2">
        <v>5398.8401999999996</v>
      </c>
      <c r="F3445" s="2">
        <v>14343433.823799999</v>
      </c>
    </row>
    <row r="3446" spans="1:6" x14ac:dyDescent="0.3">
      <c r="A3446" s="1">
        <v>45565</v>
      </c>
      <c r="B3446" t="s">
        <v>6</v>
      </c>
      <c r="C3446" t="s">
        <v>9</v>
      </c>
      <c r="D3446" s="2">
        <v>4701363.5225999998</v>
      </c>
      <c r="E3446" s="2">
        <v>6944.3054000000002</v>
      </c>
      <c r="F3446" s="2">
        <v>4708307.8279999997</v>
      </c>
    </row>
    <row r="3447" spans="1:6" x14ac:dyDescent="0.3">
      <c r="A3447" s="1">
        <v>45565</v>
      </c>
      <c r="B3447" t="s">
        <v>6</v>
      </c>
      <c r="C3447" t="s">
        <v>11</v>
      </c>
      <c r="D3447" s="2">
        <v>615530.08600000001</v>
      </c>
      <c r="E3447" s="2">
        <v>48.03</v>
      </c>
      <c r="F3447" s="2">
        <v>615578.11600000004</v>
      </c>
    </row>
    <row r="3448" spans="1:6" x14ac:dyDescent="0.3">
      <c r="A3448" s="1">
        <v>45565</v>
      </c>
      <c r="B3448" t="s">
        <v>6</v>
      </c>
      <c r="C3448" t="s">
        <v>12</v>
      </c>
      <c r="D3448" s="2">
        <v>0</v>
      </c>
      <c r="E3448" s="2">
        <v>4514.1241</v>
      </c>
      <c r="F3448" s="2">
        <v>4514.1241</v>
      </c>
    </row>
    <row r="3449" spans="1:6" x14ac:dyDescent="0.3">
      <c r="A3449" s="1">
        <v>45565</v>
      </c>
      <c r="B3449" t="s">
        <v>13</v>
      </c>
      <c r="C3449" t="s">
        <v>14</v>
      </c>
      <c r="D3449" s="2">
        <v>27710179.294715501</v>
      </c>
      <c r="E3449" s="2">
        <v>18158.165645870002</v>
      </c>
      <c r="F3449" s="2">
        <v>27728337.460361399</v>
      </c>
    </row>
    <row r="3450" spans="1:6" x14ac:dyDescent="0.3">
      <c r="A3450" s="1">
        <v>45565</v>
      </c>
      <c r="B3450" t="s">
        <v>15</v>
      </c>
      <c r="C3450" t="s">
        <v>16</v>
      </c>
      <c r="D3450" s="2">
        <v>15135.605671679999</v>
      </c>
      <c r="E3450" s="2">
        <v>0</v>
      </c>
      <c r="F3450" s="2">
        <v>15135.605671679999</v>
      </c>
    </row>
    <row r="3451" spans="1:6" x14ac:dyDescent="0.3">
      <c r="A3451" s="1">
        <v>45565</v>
      </c>
      <c r="B3451" t="s">
        <v>15</v>
      </c>
      <c r="C3451" t="s">
        <v>17</v>
      </c>
      <c r="D3451" s="2">
        <v>110927.95829584</v>
      </c>
      <c r="E3451" s="2">
        <v>0</v>
      </c>
      <c r="F3451" s="2">
        <v>110927.95829584</v>
      </c>
    </row>
    <row r="3452" spans="1:6" x14ac:dyDescent="0.3">
      <c r="A3452" s="1">
        <v>45565</v>
      </c>
      <c r="B3452" t="s">
        <v>15</v>
      </c>
      <c r="C3452" t="s">
        <v>18</v>
      </c>
      <c r="D3452" s="2">
        <v>161139.02106462</v>
      </c>
      <c r="E3452" s="2">
        <v>0</v>
      </c>
      <c r="F3452" s="2">
        <v>161139.02106462</v>
      </c>
    </row>
    <row r="3453" spans="1:6" x14ac:dyDescent="0.3">
      <c r="A3453" s="1">
        <v>45565</v>
      </c>
      <c r="B3453" t="s">
        <v>15</v>
      </c>
      <c r="C3453" t="s">
        <v>19</v>
      </c>
      <c r="D3453" s="2">
        <v>305312.29755948001</v>
      </c>
      <c r="E3453" s="2">
        <v>7139203.4848240605</v>
      </c>
      <c r="F3453" s="2">
        <v>7444515.7823835397</v>
      </c>
    </row>
    <row r="3454" spans="1:6" x14ac:dyDescent="0.3">
      <c r="A3454" s="1">
        <v>45565</v>
      </c>
      <c r="B3454" t="s">
        <v>15</v>
      </c>
      <c r="C3454" t="s">
        <v>20</v>
      </c>
      <c r="D3454" s="2">
        <v>4618.0897032499997</v>
      </c>
      <c r="E3454" s="2">
        <v>0</v>
      </c>
      <c r="F3454" s="2">
        <v>4618.0897032499997</v>
      </c>
    </row>
    <row r="3455" spans="1:6" x14ac:dyDescent="0.3">
      <c r="A3455" s="1">
        <v>45565</v>
      </c>
      <c r="B3455" t="s">
        <v>21</v>
      </c>
      <c r="C3455" t="s">
        <v>14</v>
      </c>
      <c r="D3455" s="2">
        <v>597132.97229486995</v>
      </c>
      <c r="E3455" s="2">
        <v>7139203.4848240605</v>
      </c>
      <c r="F3455" s="2">
        <v>7736336.4571189303</v>
      </c>
    </row>
    <row r="3456" spans="1:6" x14ac:dyDescent="0.3">
      <c r="A3456" s="1">
        <v>45565</v>
      </c>
      <c r="B3456" t="s">
        <v>22</v>
      </c>
      <c r="C3456" t="s">
        <v>14</v>
      </c>
      <c r="D3456" s="2">
        <v>28307312.267010398</v>
      </c>
      <c r="E3456" s="2">
        <v>7157361.6504699299</v>
      </c>
      <c r="F3456" s="2">
        <v>35464673.917480297</v>
      </c>
    </row>
    <row r="3457" spans="1:6" x14ac:dyDescent="0.3">
      <c r="A3457" s="1">
        <v>45596</v>
      </c>
      <c r="B3457" t="s">
        <v>6</v>
      </c>
      <c r="C3457" t="s">
        <v>7</v>
      </c>
      <c r="D3457" s="2">
        <v>6185973.1624999996</v>
      </c>
      <c r="E3457" s="2">
        <v>804.63</v>
      </c>
      <c r="F3457" s="2">
        <v>6186777.7925000004</v>
      </c>
    </row>
    <row r="3458" spans="1:6" x14ac:dyDescent="0.3">
      <c r="A3458" s="1">
        <v>45596</v>
      </c>
      <c r="B3458" t="s">
        <v>6</v>
      </c>
      <c r="C3458" t="s">
        <v>8</v>
      </c>
      <c r="D3458" s="2">
        <v>14438251.672700001</v>
      </c>
      <c r="E3458" s="2">
        <v>5380.9449000000004</v>
      </c>
      <c r="F3458" s="2">
        <v>14443632.6176</v>
      </c>
    </row>
    <row r="3459" spans="1:6" x14ac:dyDescent="0.3">
      <c r="A3459" s="1">
        <v>45596</v>
      </c>
      <c r="B3459" t="s">
        <v>6</v>
      </c>
      <c r="C3459" t="s">
        <v>9</v>
      </c>
      <c r="D3459" s="2">
        <v>4736834.7372000003</v>
      </c>
      <c r="E3459" s="2">
        <v>6993.5223999999998</v>
      </c>
      <c r="F3459" s="2">
        <v>4743828.2596000005</v>
      </c>
    </row>
    <row r="3460" spans="1:6" x14ac:dyDescent="0.3">
      <c r="A3460" s="1">
        <v>45596</v>
      </c>
      <c r="B3460" t="s">
        <v>6</v>
      </c>
      <c r="C3460" t="s">
        <v>10</v>
      </c>
      <c r="D3460" s="2">
        <v>2033272.0182089999</v>
      </c>
      <c r="E3460" s="2">
        <v>636.27381560000003</v>
      </c>
      <c r="F3460" s="2">
        <v>2033908.2920246001</v>
      </c>
    </row>
    <row r="3461" spans="1:6" x14ac:dyDescent="0.3">
      <c r="A3461" s="1">
        <v>45596</v>
      </c>
      <c r="B3461" t="s">
        <v>6</v>
      </c>
      <c r="C3461" t="s">
        <v>11</v>
      </c>
      <c r="D3461" s="2">
        <v>578040.02110000001</v>
      </c>
      <c r="E3461" s="2">
        <v>69.900000000000006</v>
      </c>
      <c r="F3461" s="2">
        <v>578109.92110000004</v>
      </c>
    </row>
    <row r="3462" spans="1:6" x14ac:dyDescent="0.3">
      <c r="A3462" s="1">
        <v>45596</v>
      </c>
      <c r="B3462" t="s">
        <v>6</v>
      </c>
      <c r="C3462" t="s">
        <v>12</v>
      </c>
      <c r="D3462" s="2">
        <v>0</v>
      </c>
      <c r="E3462" s="2">
        <v>4514.1241</v>
      </c>
      <c r="F3462" s="2">
        <v>4514.1241</v>
      </c>
    </row>
    <row r="3463" spans="1:6" x14ac:dyDescent="0.3">
      <c r="A3463" s="1">
        <v>45596</v>
      </c>
      <c r="B3463" t="s">
        <v>13</v>
      </c>
      <c r="C3463" t="s">
        <v>14</v>
      </c>
      <c r="D3463" s="2">
        <v>27972371.611708999</v>
      </c>
      <c r="E3463" s="2">
        <v>18399.395215600001</v>
      </c>
      <c r="F3463" s="2">
        <v>27990771.006924599</v>
      </c>
    </row>
    <row r="3464" spans="1:6" x14ac:dyDescent="0.3">
      <c r="A3464" s="1">
        <v>45596</v>
      </c>
      <c r="B3464" t="s">
        <v>15</v>
      </c>
      <c r="C3464" t="s">
        <v>16</v>
      </c>
      <c r="D3464" s="2">
        <v>15027.210055469999</v>
      </c>
      <c r="E3464" s="2">
        <v>0</v>
      </c>
      <c r="F3464" s="2">
        <v>15027.210055469999</v>
      </c>
    </row>
    <row r="3465" spans="1:6" x14ac:dyDescent="0.3">
      <c r="A3465" s="1">
        <v>45596</v>
      </c>
      <c r="B3465" t="s">
        <v>15</v>
      </c>
      <c r="C3465" t="s">
        <v>17</v>
      </c>
      <c r="D3465" s="2">
        <v>114336.30294401001</v>
      </c>
      <c r="E3465" s="2">
        <v>0</v>
      </c>
      <c r="F3465" s="2">
        <v>114336.30294401001</v>
      </c>
    </row>
    <row r="3466" spans="1:6" x14ac:dyDescent="0.3">
      <c r="A3466" s="1">
        <v>45596</v>
      </c>
      <c r="B3466" t="s">
        <v>15</v>
      </c>
      <c r="C3466" t="s">
        <v>18</v>
      </c>
      <c r="D3466" s="2">
        <v>160495.95209044</v>
      </c>
      <c r="E3466" s="2">
        <v>0</v>
      </c>
      <c r="F3466" s="2">
        <v>160495.95209044</v>
      </c>
    </row>
    <row r="3467" spans="1:6" x14ac:dyDescent="0.3">
      <c r="A3467" s="1">
        <v>45596</v>
      </c>
      <c r="B3467" t="s">
        <v>15</v>
      </c>
      <c r="C3467" t="s">
        <v>19</v>
      </c>
      <c r="D3467" s="2">
        <v>305115.97026366001</v>
      </c>
      <c r="E3467" s="2">
        <v>7361052.7523774002</v>
      </c>
      <c r="F3467" s="2">
        <v>7666168.7226410601</v>
      </c>
    </row>
    <row r="3468" spans="1:6" x14ac:dyDescent="0.3">
      <c r="A3468" s="1">
        <v>45596</v>
      </c>
      <c r="B3468" t="s">
        <v>15</v>
      </c>
      <c r="C3468" t="s">
        <v>20</v>
      </c>
      <c r="D3468" s="2">
        <v>4801.9930858899997</v>
      </c>
      <c r="E3468" s="2">
        <v>0</v>
      </c>
      <c r="F3468" s="2">
        <v>4801.9930858899997</v>
      </c>
    </row>
    <row r="3469" spans="1:6" x14ac:dyDescent="0.3">
      <c r="A3469" s="1">
        <v>45596</v>
      </c>
      <c r="B3469" t="s">
        <v>21</v>
      </c>
      <c r="C3469" t="s">
        <v>14</v>
      </c>
      <c r="D3469" s="2">
        <v>599777.42843947001</v>
      </c>
      <c r="E3469" s="2">
        <v>7361052.7523774002</v>
      </c>
      <c r="F3469" s="2">
        <v>7960830.1808168702</v>
      </c>
    </row>
    <row r="3470" spans="1:6" x14ac:dyDescent="0.3">
      <c r="A3470" s="1">
        <v>45596</v>
      </c>
      <c r="B3470" t="s">
        <v>22</v>
      </c>
      <c r="C3470" t="s">
        <v>14</v>
      </c>
      <c r="D3470" s="2">
        <v>28572149.0401484</v>
      </c>
      <c r="E3470" s="2">
        <v>7379452.147593</v>
      </c>
      <c r="F3470" s="2">
        <v>35951601.187741503</v>
      </c>
    </row>
    <row r="3471" spans="1:6" x14ac:dyDescent="0.3">
      <c r="A3471" s="1">
        <v>45626</v>
      </c>
      <c r="B3471" t="s">
        <v>6</v>
      </c>
      <c r="C3471" t="s">
        <v>7</v>
      </c>
      <c r="D3471" s="2">
        <v>6388881.0668000001</v>
      </c>
      <c r="E3471" s="2">
        <v>882.16520000000003</v>
      </c>
      <c r="F3471" s="2">
        <v>6389763.2319999998</v>
      </c>
    </row>
    <row r="3472" spans="1:6" x14ac:dyDescent="0.3">
      <c r="A3472" s="1">
        <v>45626</v>
      </c>
      <c r="B3472" t="s">
        <v>6</v>
      </c>
      <c r="C3472" t="s">
        <v>8</v>
      </c>
      <c r="D3472" s="2">
        <v>14404203.5668</v>
      </c>
      <c r="E3472" s="2">
        <v>5297.3558000000003</v>
      </c>
      <c r="F3472" s="2">
        <v>14409501.922599999</v>
      </c>
    </row>
    <row r="3473" spans="1:6" x14ac:dyDescent="0.3">
      <c r="A3473" s="1">
        <v>45626</v>
      </c>
      <c r="B3473" t="s">
        <v>6</v>
      </c>
      <c r="C3473" t="s">
        <v>9</v>
      </c>
      <c r="D3473" s="2">
        <v>4751418.2521000002</v>
      </c>
      <c r="E3473" s="2">
        <v>7877.8733000000002</v>
      </c>
      <c r="F3473" s="2">
        <v>4759296.1254000003</v>
      </c>
    </row>
    <row r="3474" spans="1:6" x14ac:dyDescent="0.3">
      <c r="A3474" s="1">
        <v>45626</v>
      </c>
      <c r="B3474" t="s">
        <v>6</v>
      </c>
      <c r="C3474" t="s">
        <v>10</v>
      </c>
      <c r="D3474" s="2">
        <v>2053248.0973369</v>
      </c>
      <c r="E3474" s="2">
        <v>626.42717476999997</v>
      </c>
      <c r="F3474" s="2">
        <v>2053874.52451167</v>
      </c>
    </row>
    <row r="3475" spans="1:6" x14ac:dyDescent="0.3">
      <c r="A3475" s="1">
        <v>45626</v>
      </c>
      <c r="B3475" t="s">
        <v>6</v>
      </c>
      <c r="C3475" t="s">
        <v>11</v>
      </c>
      <c r="D3475" s="2">
        <v>606036.32270000002</v>
      </c>
      <c r="E3475" s="2">
        <v>73.42</v>
      </c>
      <c r="F3475" s="2">
        <v>606109.74269999994</v>
      </c>
    </row>
    <row r="3476" spans="1:6" x14ac:dyDescent="0.3">
      <c r="A3476" s="1">
        <v>45626</v>
      </c>
      <c r="B3476" t="s">
        <v>6</v>
      </c>
      <c r="C3476" t="s">
        <v>12</v>
      </c>
      <c r="D3476" s="2">
        <v>0</v>
      </c>
      <c r="E3476" s="2">
        <v>4514.1241</v>
      </c>
      <c r="F3476" s="2">
        <v>4514.1241</v>
      </c>
    </row>
    <row r="3477" spans="1:6" x14ac:dyDescent="0.3">
      <c r="A3477" s="1">
        <v>45626</v>
      </c>
      <c r="B3477" t="s">
        <v>13</v>
      </c>
      <c r="C3477" t="s">
        <v>14</v>
      </c>
      <c r="D3477" s="2">
        <v>28203788.305736899</v>
      </c>
      <c r="E3477" s="2">
        <v>19271.36557477</v>
      </c>
      <c r="F3477" s="2">
        <v>28223059.671311598</v>
      </c>
    </row>
    <row r="3478" spans="1:6" x14ac:dyDescent="0.3">
      <c r="A3478" s="1">
        <v>45626</v>
      </c>
      <c r="B3478" t="s">
        <v>15</v>
      </c>
      <c r="C3478" t="s">
        <v>16</v>
      </c>
      <c r="D3478" s="2">
        <v>13755.76418136</v>
      </c>
      <c r="E3478" s="2">
        <v>0</v>
      </c>
      <c r="F3478" s="2">
        <v>13755.76418136</v>
      </c>
    </row>
    <row r="3479" spans="1:6" x14ac:dyDescent="0.3">
      <c r="A3479" s="1">
        <v>45626</v>
      </c>
      <c r="B3479" t="s">
        <v>15</v>
      </c>
      <c r="C3479" t="s">
        <v>17</v>
      </c>
      <c r="D3479" s="2">
        <v>106903.57112276999</v>
      </c>
      <c r="E3479" s="2">
        <v>0</v>
      </c>
      <c r="F3479" s="2">
        <v>106903.57112276999</v>
      </c>
    </row>
    <row r="3480" spans="1:6" x14ac:dyDescent="0.3">
      <c r="A3480" s="1">
        <v>45626</v>
      </c>
      <c r="B3480" t="s">
        <v>15</v>
      </c>
      <c r="C3480" t="s">
        <v>18</v>
      </c>
      <c r="D3480" s="2">
        <v>159599.95802788</v>
      </c>
      <c r="E3480" s="2">
        <v>0</v>
      </c>
      <c r="F3480" s="2">
        <v>159599.95802788</v>
      </c>
    </row>
    <row r="3481" spans="1:6" x14ac:dyDescent="0.3">
      <c r="A3481" s="1">
        <v>45626</v>
      </c>
      <c r="B3481" t="s">
        <v>15</v>
      </c>
      <c r="C3481" t="s">
        <v>19</v>
      </c>
      <c r="D3481" s="2">
        <v>302382.40871346998</v>
      </c>
      <c r="E3481" s="2">
        <v>7276883.8585960297</v>
      </c>
      <c r="F3481" s="2">
        <v>7579266.2673094999</v>
      </c>
    </row>
    <row r="3482" spans="1:6" x14ac:dyDescent="0.3">
      <c r="A3482" s="1">
        <v>45626</v>
      </c>
      <c r="B3482" t="s">
        <v>15</v>
      </c>
      <c r="C3482" t="s">
        <v>20</v>
      </c>
      <c r="D3482" s="2">
        <v>4778.1202112299998</v>
      </c>
      <c r="E3482" s="2">
        <v>0</v>
      </c>
      <c r="F3482" s="2">
        <v>4778.1202112299998</v>
      </c>
    </row>
    <row r="3483" spans="1:6" x14ac:dyDescent="0.3">
      <c r="A3483" s="1">
        <v>45626</v>
      </c>
      <c r="B3483" t="s">
        <v>21</v>
      </c>
      <c r="C3483" t="s">
        <v>14</v>
      </c>
      <c r="D3483" s="2">
        <v>587419.82225671003</v>
      </c>
      <c r="E3483" s="2">
        <v>7276883.8585960297</v>
      </c>
      <c r="F3483" s="2">
        <v>7864302.6808527401</v>
      </c>
    </row>
    <row r="3484" spans="1:6" x14ac:dyDescent="0.3">
      <c r="A3484" s="1">
        <v>45626</v>
      </c>
      <c r="B3484" t="s">
        <v>22</v>
      </c>
      <c r="C3484" t="s">
        <v>14</v>
      </c>
      <c r="D3484" s="2">
        <v>28791208.127993599</v>
      </c>
      <c r="E3484" s="2">
        <v>7296155.2241708003</v>
      </c>
      <c r="F3484" s="2">
        <v>36087363.352164403</v>
      </c>
    </row>
    <row r="3485" spans="1:6" x14ac:dyDescent="0.3">
      <c r="A3485" s="1">
        <v>45657</v>
      </c>
      <c r="B3485" t="s">
        <v>6</v>
      </c>
      <c r="C3485" t="s">
        <v>7</v>
      </c>
      <c r="D3485" s="2">
        <v>6186184.9605</v>
      </c>
      <c r="E3485" s="2">
        <v>697.11019999999996</v>
      </c>
      <c r="F3485" s="2">
        <v>6186882.0707</v>
      </c>
    </row>
    <row r="3486" spans="1:6" x14ac:dyDescent="0.3">
      <c r="A3486" s="1">
        <v>45657</v>
      </c>
      <c r="B3486" t="s">
        <v>6</v>
      </c>
      <c r="C3486" t="s">
        <v>8</v>
      </c>
      <c r="D3486" s="2">
        <v>14559748.866900001</v>
      </c>
      <c r="E3486" s="2">
        <v>5682.1962000000003</v>
      </c>
      <c r="F3486" s="2">
        <v>14565431.063100001</v>
      </c>
    </row>
    <row r="3487" spans="1:6" x14ac:dyDescent="0.3">
      <c r="A3487" s="1">
        <v>45657</v>
      </c>
      <c r="B3487" t="s">
        <v>6</v>
      </c>
      <c r="C3487" t="s">
        <v>9</v>
      </c>
      <c r="D3487" s="2">
        <v>4803942.5175999999</v>
      </c>
      <c r="E3487" s="2">
        <v>7725.1885000000002</v>
      </c>
      <c r="F3487" s="2">
        <v>4811667.7061000001</v>
      </c>
    </row>
    <row r="3488" spans="1:6" x14ac:dyDescent="0.3">
      <c r="A3488" s="1">
        <v>45657</v>
      </c>
      <c r="B3488" t="s">
        <v>6</v>
      </c>
      <c r="C3488" t="s">
        <v>10</v>
      </c>
      <c r="D3488" s="2">
        <v>2077442.1286432601</v>
      </c>
      <c r="E3488" s="2">
        <v>623.59253132000003</v>
      </c>
      <c r="F3488" s="2">
        <v>2078065.72117458</v>
      </c>
    </row>
    <row r="3489" spans="1:6" x14ac:dyDescent="0.3">
      <c r="A3489" s="1">
        <v>45657</v>
      </c>
      <c r="B3489" t="s">
        <v>6</v>
      </c>
      <c r="C3489" t="s">
        <v>11</v>
      </c>
      <c r="D3489" s="2">
        <v>634040.48239999998</v>
      </c>
      <c r="E3489" s="2">
        <v>67.489999999999995</v>
      </c>
      <c r="F3489" s="2">
        <v>634107.97239999997</v>
      </c>
    </row>
    <row r="3490" spans="1:6" x14ac:dyDescent="0.3">
      <c r="A3490" s="1">
        <v>45657</v>
      </c>
      <c r="B3490" t="s">
        <v>6</v>
      </c>
      <c r="C3490" t="s">
        <v>12</v>
      </c>
      <c r="D3490" s="2">
        <v>0</v>
      </c>
      <c r="E3490" s="2">
        <v>4514.1241</v>
      </c>
      <c r="F3490" s="2">
        <v>4514.1241</v>
      </c>
    </row>
    <row r="3491" spans="1:6" x14ac:dyDescent="0.3">
      <c r="A3491" s="1">
        <v>45657</v>
      </c>
      <c r="B3491" t="s">
        <v>13</v>
      </c>
      <c r="C3491" t="s">
        <v>14</v>
      </c>
      <c r="D3491" s="2">
        <v>28261358.956043199</v>
      </c>
      <c r="E3491" s="2">
        <v>19309.701531319999</v>
      </c>
      <c r="F3491" s="2">
        <v>28280668.657574601</v>
      </c>
    </row>
    <row r="3492" spans="1:6" x14ac:dyDescent="0.3">
      <c r="A3492" s="1">
        <v>45657</v>
      </c>
      <c r="B3492" t="s">
        <v>15</v>
      </c>
      <c r="C3492" t="s">
        <v>16</v>
      </c>
      <c r="D3492" s="2">
        <v>13765.33092636</v>
      </c>
      <c r="E3492" s="2">
        <v>0</v>
      </c>
      <c r="F3492" s="2">
        <v>13765.33092636</v>
      </c>
    </row>
    <row r="3493" spans="1:6" x14ac:dyDescent="0.3">
      <c r="A3493" s="1">
        <v>45657</v>
      </c>
      <c r="B3493" t="s">
        <v>15</v>
      </c>
      <c r="C3493" t="s">
        <v>17</v>
      </c>
      <c r="D3493" s="2">
        <v>98605.71970319</v>
      </c>
      <c r="E3493" s="2">
        <v>0</v>
      </c>
      <c r="F3493" s="2">
        <v>98605.71970319</v>
      </c>
    </row>
    <row r="3494" spans="1:6" x14ac:dyDescent="0.3">
      <c r="A3494" s="1">
        <v>45657</v>
      </c>
      <c r="B3494" t="s">
        <v>15</v>
      </c>
      <c r="C3494" t="s">
        <v>18</v>
      </c>
      <c r="D3494" s="2">
        <v>158707.69555331001</v>
      </c>
      <c r="E3494" s="2">
        <v>0</v>
      </c>
      <c r="F3494" s="2">
        <v>158707.69555331001</v>
      </c>
    </row>
    <row r="3495" spans="1:6" x14ac:dyDescent="0.3">
      <c r="A3495" s="1">
        <v>45657</v>
      </c>
      <c r="B3495" t="s">
        <v>15</v>
      </c>
      <c r="C3495" t="s">
        <v>19</v>
      </c>
      <c r="D3495" s="2">
        <v>299664.91035227</v>
      </c>
      <c r="E3495" s="2">
        <v>7362298.51774316</v>
      </c>
      <c r="F3495" s="2">
        <v>7661964.4280954301</v>
      </c>
    </row>
    <row r="3496" spans="1:6" x14ac:dyDescent="0.3">
      <c r="A3496" s="1">
        <v>45657</v>
      </c>
      <c r="B3496" t="s">
        <v>15</v>
      </c>
      <c r="C3496" t="s">
        <v>20</v>
      </c>
      <c r="D3496" s="2">
        <v>4893.47052755</v>
      </c>
      <c r="E3496" s="2">
        <v>0</v>
      </c>
      <c r="F3496" s="2">
        <v>4893.47052755</v>
      </c>
    </row>
    <row r="3497" spans="1:6" x14ac:dyDescent="0.3">
      <c r="A3497" s="1">
        <v>45657</v>
      </c>
      <c r="B3497" t="s">
        <v>21</v>
      </c>
      <c r="C3497" t="s">
        <v>14</v>
      </c>
      <c r="D3497" s="2">
        <v>575637.12706267997</v>
      </c>
      <c r="E3497" s="2">
        <v>7362298.51774316</v>
      </c>
      <c r="F3497" s="2">
        <v>7937936.6448058402</v>
      </c>
    </row>
    <row r="3498" spans="1:6" x14ac:dyDescent="0.3">
      <c r="A3498" s="1">
        <v>45657</v>
      </c>
      <c r="B3498" t="s">
        <v>22</v>
      </c>
      <c r="C3498" t="s">
        <v>14</v>
      </c>
      <c r="D3498" s="2">
        <v>28836996.083105899</v>
      </c>
      <c r="E3498" s="2">
        <v>7381609.2192744799</v>
      </c>
      <c r="F3498" s="2">
        <v>36218605.302380398</v>
      </c>
    </row>
    <row r="3499" spans="1:6" x14ac:dyDescent="0.3">
      <c r="A3499" s="1">
        <v>45688</v>
      </c>
      <c r="B3499" t="s">
        <v>6</v>
      </c>
      <c r="C3499" t="s">
        <v>7</v>
      </c>
      <c r="D3499" s="2">
        <v>6378989.3049999997</v>
      </c>
      <c r="E3499" s="2">
        <v>935.65520000000004</v>
      </c>
      <c r="F3499" s="2">
        <v>6379924.9601999996</v>
      </c>
    </row>
    <row r="3500" spans="1:6" x14ac:dyDescent="0.3">
      <c r="A3500" s="1">
        <v>45688</v>
      </c>
      <c r="B3500" t="s">
        <v>6</v>
      </c>
      <c r="C3500" t="s">
        <v>8</v>
      </c>
      <c r="D3500" s="2">
        <v>14685344.9409</v>
      </c>
      <c r="E3500" s="2">
        <v>5685.4359000000004</v>
      </c>
      <c r="F3500" s="2">
        <v>14691030.376800001</v>
      </c>
    </row>
    <row r="3501" spans="1:6" x14ac:dyDescent="0.3">
      <c r="A3501" s="1">
        <v>45688</v>
      </c>
      <c r="B3501" t="s">
        <v>6</v>
      </c>
      <c r="C3501" t="s">
        <v>9</v>
      </c>
      <c r="D3501" s="2">
        <v>4842155.5257000001</v>
      </c>
      <c r="E3501" s="2">
        <v>8052.7415000000001</v>
      </c>
      <c r="F3501" s="2">
        <v>4850208.2671999997</v>
      </c>
    </row>
    <row r="3502" spans="1:6" x14ac:dyDescent="0.3">
      <c r="A3502" s="1">
        <v>45688</v>
      </c>
      <c r="B3502" t="s">
        <v>6</v>
      </c>
      <c r="C3502" t="s">
        <v>10</v>
      </c>
      <c r="D3502" s="2">
        <v>1994682.40105576</v>
      </c>
      <c r="E3502" s="2">
        <v>707.18309631</v>
      </c>
      <c r="F3502" s="2">
        <v>1995389.5841520701</v>
      </c>
    </row>
    <row r="3503" spans="1:6" x14ac:dyDescent="0.3">
      <c r="A3503" s="1">
        <v>45688</v>
      </c>
      <c r="B3503" t="s">
        <v>6</v>
      </c>
      <c r="C3503" t="s">
        <v>11</v>
      </c>
      <c r="D3503" s="2">
        <v>597736.09880000004</v>
      </c>
      <c r="E3503" s="2">
        <v>49.66</v>
      </c>
      <c r="F3503" s="2">
        <v>597785.75879999995</v>
      </c>
    </row>
    <row r="3504" spans="1:6" x14ac:dyDescent="0.3">
      <c r="A3504" s="1">
        <v>45688</v>
      </c>
      <c r="B3504" t="s">
        <v>6</v>
      </c>
      <c r="C3504" t="s">
        <v>12</v>
      </c>
      <c r="D3504" s="2">
        <v>0</v>
      </c>
      <c r="E3504" s="2">
        <v>4514.1241</v>
      </c>
      <c r="F3504" s="2">
        <v>4514.1241</v>
      </c>
    </row>
    <row r="3505" spans="1:6" x14ac:dyDescent="0.3">
      <c r="A3505" s="1">
        <v>45688</v>
      </c>
      <c r="B3505" t="s">
        <v>13</v>
      </c>
      <c r="C3505" t="s">
        <v>14</v>
      </c>
      <c r="D3505" s="2">
        <v>28498908.271455701</v>
      </c>
      <c r="E3505" s="2">
        <v>19944.799796309999</v>
      </c>
      <c r="F3505" s="2">
        <v>28518853.0712521</v>
      </c>
    </row>
    <row r="3506" spans="1:6" x14ac:dyDescent="0.3">
      <c r="A3506" s="1">
        <v>45688</v>
      </c>
      <c r="B3506" t="s">
        <v>15</v>
      </c>
      <c r="C3506" t="s">
        <v>16</v>
      </c>
      <c r="D3506" s="2">
        <v>13714.32228509</v>
      </c>
      <c r="E3506" s="2">
        <v>0</v>
      </c>
      <c r="F3506" s="2">
        <v>13714.32228509</v>
      </c>
    </row>
    <row r="3507" spans="1:6" x14ac:dyDescent="0.3">
      <c r="A3507" s="1">
        <v>45688</v>
      </c>
      <c r="B3507" t="s">
        <v>15</v>
      </c>
      <c r="C3507" t="s">
        <v>17</v>
      </c>
      <c r="D3507" s="2">
        <v>85351.826292330006</v>
      </c>
      <c r="E3507" s="2">
        <v>0</v>
      </c>
      <c r="F3507" s="2">
        <v>85351.826292330006</v>
      </c>
    </row>
    <row r="3508" spans="1:6" x14ac:dyDescent="0.3">
      <c r="A3508" s="1">
        <v>45688</v>
      </c>
      <c r="B3508" t="s">
        <v>15</v>
      </c>
      <c r="C3508" t="s">
        <v>18</v>
      </c>
      <c r="D3508" s="2">
        <v>157148.28905605999</v>
      </c>
      <c r="E3508" s="2">
        <v>0</v>
      </c>
      <c r="F3508" s="2">
        <v>157148.28905605999</v>
      </c>
    </row>
    <row r="3509" spans="1:6" x14ac:dyDescent="0.3">
      <c r="A3509" s="1">
        <v>45688</v>
      </c>
      <c r="B3509" t="s">
        <v>15</v>
      </c>
      <c r="C3509" t="s">
        <v>19</v>
      </c>
      <c r="D3509" s="2">
        <v>151593.76399154001</v>
      </c>
      <c r="E3509" s="2">
        <v>7288753.2795585599</v>
      </c>
      <c r="F3509" s="2">
        <v>7440347.0435501002</v>
      </c>
    </row>
    <row r="3510" spans="1:6" x14ac:dyDescent="0.3">
      <c r="A3510" s="1">
        <v>45688</v>
      </c>
      <c r="B3510" t="s">
        <v>15</v>
      </c>
      <c r="C3510" t="s">
        <v>20</v>
      </c>
      <c r="D3510" s="2">
        <v>4792.1557005300001</v>
      </c>
      <c r="E3510" s="2">
        <v>0</v>
      </c>
      <c r="F3510" s="2">
        <v>4792.1557005300001</v>
      </c>
    </row>
    <row r="3511" spans="1:6" x14ac:dyDescent="0.3">
      <c r="A3511" s="1">
        <v>45688</v>
      </c>
      <c r="B3511" t="s">
        <v>21</v>
      </c>
      <c r="C3511" t="s">
        <v>14</v>
      </c>
      <c r="D3511" s="2">
        <v>412600.35732554999</v>
      </c>
      <c r="E3511" s="2">
        <v>7288753.2795585599</v>
      </c>
      <c r="F3511" s="2">
        <v>7701353.63688411</v>
      </c>
    </row>
    <row r="3512" spans="1:6" x14ac:dyDescent="0.3">
      <c r="A3512" s="1">
        <v>45688</v>
      </c>
      <c r="B3512" t="s">
        <v>22</v>
      </c>
      <c r="C3512" t="s">
        <v>14</v>
      </c>
      <c r="D3512" s="2">
        <v>28911508.6287813</v>
      </c>
      <c r="E3512" s="2">
        <v>7308698.0793548701</v>
      </c>
      <c r="F3512" s="2">
        <v>36220206.708136201</v>
      </c>
    </row>
    <row r="3513" spans="1:6" x14ac:dyDescent="0.3">
      <c r="A3513" s="1">
        <v>45716</v>
      </c>
      <c r="B3513" t="s">
        <v>6</v>
      </c>
      <c r="C3513" t="s">
        <v>7</v>
      </c>
      <c r="D3513" s="2">
        <v>6367075.3892999999</v>
      </c>
      <c r="E3513" s="2">
        <v>876.32</v>
      </c>
      <c r="F3513" s="2">
        <v>6367951.7093000002</v>
      </c>
    </row>
    <row r="3514" spans="1:6" x14ac:dyDescent="0.3">
      <c r="A3514" s="1">
        <v>45716</v>
      </c>
      <c r="B3514" t="s">
        <v>6</v>
      </c>
      <c r="C3514" t="s">
        <v>8</v>
      </c>
      <c r="D3514" s="2">
        <v>14730527.629699999</v>
      </c>
      <c r="E3514" s="2">
        <v>5485.9556000000002</v>
      </c>
      <c r="F3514" s="2">
        <v>14736013.5853</v>
      </c>
    </row>
    <row r="3515" spans="1:6" x14ac:dyDescent="0.3">
      <c r="A3515" s="1">
        <v>45716</v>
      </c>
      <c r="B3515" t="s">
        <v>6</v>
      </c>
      <c r="C3515" t="s">
        <v>9</v>
      </c>
      <c r="D3515" s="2">
        <v>4877983.4674000004</v>
      </c>
      <c r="E3515" s="2">
        <v>8192.4073000000008</v>
      </c>
      <c r="F3515" s="2">
        <v>4886175.8746999996</v>
      </c>
    </row>
    <row r="3516" spans="1:6" x14ac:dyDescent="0.3">
      <c r="A3516" s="1">
        <v>45716</v>
      </c>
      <c r="B3516" t="s">
        <v>6</v>
      </c>
      <c r="C3516" t="s">
        <v>10</v>
      </c>
      <c r="D3516" s="2">
        <v>2004601.98244679</v>
      </c>
      <c r="E3516" s="2">
        <v>686.50311871999997</v>
      </c>
      <c r="F3516" s="2">
        <v>2005288.4855655101</v>
      </c>
    </row>
    <row r="3517" spans="1:6" x14ac:dyDescent="0.3">
      <c r="A3517" s="1">
        <v>45716</v>
      </c>
      <c r="B3517" t="s">
        <v>6</v>
      </c>
      <c r="C3517" t="s">
        <v>11</v>
      </c>
      <c r="D3517" s="2">
        <v>628555.98800000001</v>
      </c>
      <c r="E3517" s="2">
        <v>51.38</v>
      </c>
      <c r="F3517" s="2">
        <v>628607.36800000002</v>
      </c>
    </row>
    <row r="3518" spans="1:6" x14ac:dyDescent="0.3">
      <c r="A3518" s="1">
        <v>45716</v>
      </c>
      <c r="B3518" t="s">
        <v>6</v>
      </c>
      <c r="C3518" t="s">
        <v>12</v>
      </c>
      <c r="D3518" s="2">
        <v>0</v>
      </c>
      <c r="E3518" s="2">
        <v>4514.1241</v>
      </c>
      <c r="F3518" s="2">
        <v>4514.1241</v>
      </c>
    </row>
    <row r="3519" spans="1:6" x14ac:dyDescent="0.3">
      <c r="A3519" s="1">
        <v>45716</v>
      </c>
      <c r="B3519" t="s">
        <v>13</v>
      </c>
      <c r="C3519" t="s">
        <v>14</v>
      </c>
      <c r="D3519" s="2">
        <v>28608744.4568468</v>
      </c>
      <c r="E3519" s="2">
        <v>19806.690118719998</v>
      </c>
      <c r="F3519" s="2">
        <v>28628551.1469655</v>
      </c>
    </row>
    <row r="3520" spans="1:6" x14ac:dyDescent="0.3">
      <c r="A3520" s="1">
        <v>45716</v>
      </c>
      <c r="B3520" t="s">
        <v>15</v>
      </c>
      <c r="C3520" t="s">
        <v>16</v>
      </c>
      <c r="D3520" s="2">
        <v>13722.389466840001</v>
      </c>
      <c r="E3520" s="2">
        <v>0</v>
      </c>
      <c r="F3520" s="2">
        <v>13722.389466840001</v>
      </c>
    </row>
    <row r="3521" spans="1:6" x14ac:dyDescent="0.3">
      <c r="A3521" s="1">
        <v>45716</v>
      </c>
      <c r="B3521" t="s">
        <v>15</v>
      </c>
      <c r="C3521" t="s">
        <v>17</v>
      </c>
      <c r="D3521" s="2">
        <v>84258.386729050006</v>
      </c>
      <c r="E3521" s="2">
        <v>0</v>
      </c>
      <c r="F3521" s="2">
        <v>84258.386729050006</v>
      </c>
    </row>
    <row r="3522" spans="1:6" x14ac:dyDescent="0.3">
      <c r="A3522" s="1">
        <v>45716</v>
      </c>
      <c r="B3522" t="s">
        <v>15</v>
      </c>
      <c r="C3522" t="s">
        <v>18</v>
      </c>
      <c r="D3522" s="2">
        <v>156060.05033165001</v>
      </c>
      <c r="E3522" s="2">
        <v>0</v>
      </c>
      <c r="F3522" s="2">
        <v>156060.05033165001</v>
      </c>
    </row>
    <row r="3523" spans="1:6" x14ac:dyDescent="0.3">
      <c r="A3523" s="1">
        <v>45716</v>
      </c>
      <c r="B3523" t="s">
        <v>15</v>
      </c>
      <c r="C3523" t="s">
        <v>19</v>
      </c>
      <c r="D3523" s="2">
        <v>46866.8829597</v>
      </c>
      <c r="E3523" s="2">
        <v>7284706.0914310403</v>
      </c>
      <c r="F3523" s="2">
        <v>7331572.9743907396</v>
      </c>
    </row>
    <row r="3524" spans="1:6" x14ac:dyDescent="0.3">
      <c r="A3524" s="1">
        <v>45716</v>
      </c>
      <c r="B3524" t="s">
        <v>15</v>
      </c>
      <c r="C3524" t="s">
        <v>20</v>
      </c>
      <c r="D3524" s="2">
        <v>4758.3670256799996</v>
      </c>
      <c r="E3524" s="2">
        <v>0</v>
      </c>
      <c r="F3524" s="2">
        <v>4758.3670256799996</v>
      </c>
    </row>
    <row r="3525" spans="1:6" x14ac:dyDescent="0.3">
      <c r="A3525" s="1">
        <v>45716</v>
      </c>
      <c r="B3525" t="s">
        <v>21</v>
      </c>
      <c r="C3525" t="s">
        <v>14</v>
      </c>
      <c r="D3525" s="2">
        <v>305666.07651291997</v>
      </c>
      <c r="E3525" s="2">
        <v>7284706.0914310403</v>
      </c>
      <c r="F3525" s="2">
        <v>7590372.1679439601</v>
      </c>
    </row>
    <row r="3526" spans="1:6" x14ac:dyDescent="0.3">
      <c r="A3526" s="1">
        <v>45716</v>
      </c>
      <c r="B3526" t="s">
        <v>22</v>
      </c>
      <c r="C3526" t="s">
        <v>14</v>
      </c>
      <c r="D3526" s="2">
        <v>28914410.533359699</v>
      </c>
      <c r="E3526" s="2">
        <v>7304512.7815497601</v>
      </c>
      <c r="F3526" s="2">
        <v>36218923.314909503</v>
      </c>
    </row>
    <row r="3527" spans="1:6" x14ac:dyDescent="0.3">
      <c r="A3527" s="1">
        <v>45747</v>
      </c>
      <c r="B3527" t="s">
        <v>6</v>
      </c>
      <c r="C3527" t="s">
        <v>7</v>
      </c>
      <c r="D3527" s="2">
        <v>6155073.4895000001</v>
      </c>
      <c r="E3527" s="2">
        <v>876.95</v>
      </c>
      <c r="F3527" s="2">
        <v>6155950.4395000003</v>
      </c>
    </row>
    <row r="3528" spans="1:6" x14ac:dyDescent="0.3">
      <c r="A3528" s="1">
        <v>45747</v>
      </c>
      <c r="B3528" t="s">
        <v>6</v>
      </c>
      <c r="C3528" t="s">
        <v>8</v>
      </c>
      <c r="D3528" s="2">
        <v>14808507.5019</v>
      </c>
      <c r="E3528" s="2">
        <v>5379.0151999999998</v>
      </c>
      <c r="F3528" s="2">
        <v>14813886.517100001</v>
      </c>
    </row>
    <row r="3529" spans="1:6" x14ac:dyDescent="0.3">
      <c r="A3529" s="1">
        <v>45747</v>
      </c>
      <c r="B3529" t="s">
        <v>6</v>
      </c>
      <c r="C3529" t="s">
        <v>9</v>
      </c>
      <c r="D3529" s="2">
        <v>4911265.892</v>
      </c>
      <c r="E3529" s="2">
        <v>8646.9253000000008</v>
      </c>
      <c r="F3529" s="2">
        <v>4919912.8173000002</v>
      </c>
    </row>
    <row r="3530" spans="1:6" x14ac:dyDescent="0.3">
      <c r="A3530" s="1">
        <v>45747</v>
      </c>
      <c r="B3530" t="s">
        <v>6</v>
      </c>
      <c r="C3530" t="s">
        <v>10</v>
      </c>
      <c r="D3530" s="2">
        <v>2035487.8337639601</v>
      </c>
      <c r="E3530" s="2">
        <v>692.86746607999999</v>
      </c>
      <c r="F3530" s="2">
        <v>2036180.7012300401</v>
      </c>
    </row>
    <row r="3531" spans="1:6" x14ac:dyDescent="0.3">
      <c r="A3531" s="1">
        <v>45747</v>
      </c>
      <c r="B3531" t="s">
        <v>6</v>
      </c>
      <c r="C3531" t="s">
        <v>11</v>
      </c>
      <c r="D3531" s="2">
        <v>656546.80189999996</v>
      </c>
      <c r="E3531" s="2">
        <v>59.07</v>
      </c>
      <c r="F3531" s="2">
        <v>656605.87190000003</v>
      </c>
    </row>
    <row r="3532" spans="1:6" x14ac:dyDescent="0.3">
      <c r="A3532" s="1">
        <v>45747</v>
      </c>
      <c r="B3532" t="s">
        <v>6</v>
      </c>
      <c r="C3532" t="s">
        <v>12</v>
      </c>
      <c r="D3532" s="2">
        <v>0</v>
      </c>
      <c r="E3532" s="2">
        <v>4514.1241</v>
      </c>
      <c r="F3532" s="2">
        <v>4514.1241</v>
      </c>
    </row>
    <row r="3533" spans="1:6" x14ac:dyDescent="0.3">
      <c r="A3533" s="1">
        <v>45747</v>
      </c>
      <c r="B3533" t="s">
        <v>13</v>
      </c>
      <c r="C3533" t="s">
        <v>14</v>
      </c>
      <c r="D3533" s="2">
        <v>28566881.519063901</v>
      </c>
      <c r="E3533" s="2">
        <v>20168.952066080001</v>
      </c>
      <c r="F3533" s="2">
        <v>28587050.471129999</v>
      </c>
    </row>
    <row r="3534" spans="1:6" x14ac:dyDescent="0.3">
      <c r="A3534" s="1">
        <v>45747</v>
      </c>
      <c r="B3534" t="s">
        <v>15</v>
      </c>
      <c r="C3534" t="s">
        <v>16</v>
      </c>
      <c r="D3534" s="2">
        <v>13731.31680409</v>
      </c>
      <c r="E3534" s="2">
        <v>0</v>
      </c>
      <c r="F3534" s="2">
        <v>13731.31680409</v>
      </c>
    </row>
    <row r="3535" spans="1:6" x14ac:dyDescent="0.3">
      <c r="A3535" s="1">
        <v>45747</v>
      </c>
      <c r="B3535" t="s">
        <v>15</v>
      </c>
      <c r="C3535" t="s">
        <v>17</v>
      </c>
      <c r="D3535" s="2">
        <v>86465.152227450002</v>
      </c>
      <c r="E3535" s="2">
        <v>0</v>
      </c>
      <c r="F3535" s="2">
        <v>86465.152227450002</v>
      </c>
    </row>
    <row r="3536" spans="1:6" x14ac:dyDescent="0.3">
      <c r="A3536" s="1">
        <v>45747</v>
      </c>
      <c r="B3536" t="s">
        <v>15</v>
      </c>
      <c r="C3536" t="s">
        <v>18</v>
      </c>
      <c r="D3536" s="2">
        <v>155086.33237513999</v>
      </c>
      <c r="E3536" s="2">
        <v>0</v>
      </c>
      <c r="F3536" s="2">
        <v>155086.33237513999</v>
      </c>
    </row>
    <row r="3537" spans="1:6" x14ac:dyDescent="0.3">
      <c r="A3537" s="1">
        <v>45747</v>
      </c>
      <c r="B3537" t="s">
        <v>15</v>
      </c>
      <c r="C3537" t="s">
        <v>19</v>
      </c>
      <c r="D3537" s="2">
        <v>82583.326784229997</v>
      </c>
      <c r="E3537" s="2">
        <v>7284632.6178324698</v>
      </c>
      <c r="F3537" s="2">
        <v>7367215.9446166996</v>
      </c>
    </row>
    <row r="3538" spans="1:6" x14ac:dyDescent="0.3">
      <c r="A3538" s="1">
        <v>45747</v>
      </c>
      <c r="B3538" t="s">
        <v>15</v>
      </c>
      <c r="C3538" t="s">
        <v>20</v>
      </c>
      <c r="D3538" s="2">
        <v>4761.1890241399997</v>
      </c>
      <c r="E3538" s="2">
        <v>0</v>
      </c>
      <c r="F3538" s="2">
        <v>4761.1890241399997</v>
      </c>
    </row>
    <row r="3539" spans="1:6" x14ac:dyDescent="0.3">
      <c r="A3539" s="1">
        <v>45747</v>
      </c>
      <c r="B3539" t="s">
        <v>21</v>
      </c>
      <c r="C3539" t="s">
        <v>14</v>
      </c>
      <c r="D3539" s="2">
        <v>342627.31721504999</v>
      </c>
      <c r="E3539" s="2">
        <v>7284632.6178324698</v>
      </c>
      <c r="F3539" s="2">
        <v>7627259.9350475203</v>
      </c>
    </row>
    <row r="3540" spans="1:6" x14ac:dyDescent="0.3">
      <c r="A3540" s="1">
        <v>45747</v>
      </c>
      <c r="B3540" t="s">
        <v>22</v>
      </c>
      <c r="C3540" t="s">
        <v>14</v>
      </c>
      <c r="D3540" s="2">
        <v>28909508.836279001</v>
      </c>
      <c r="E3540" s="2">
        <v>7304801.5698985504</v>
      </c>
      <c r="F3540" s="2">
        <v>36214310.406177498</v>
      </c>
    </row>
    <row r="3541" spans="1:6" x14ac:dyDescent="0.3">
      <c r="A3541" s="1">
        <v>45777</v>
      </c>
      <c r="B3541" t="s">
        <v>6</v>
      </c>
      <c r="C3541" t="s">
        <v>7</v>
      </c>
      <c r="D3541" s="2">
        <v>6059334.9155000001</v>
      </c>
      <c r="E3541" s="2">
        <v>683.745</v>
      </c>
      <c r="F3541" s="2">
        <v>6060018.6605000002</v>
      </c>
    </row>
    <row r="3542" spans="1:6" x14ac:dyDescent="0.3">
      <c r="A3542" s="1">
        <v>45777</v>
      </c>
      <c r="B3542" t="s">
        <v>6</v>
      </c>
      <c r="C3542" t="s">
        <v>8</v>
      </c>
      <c r="D3542" s="2">
        <v>14902681.071799999</v>
      </c>
      <c r="E3542" s="2">
        <v>5072.1260000000002</v>
      </c>
      <c r="F3542" s="2">
        <v>14907753.197799999</v>
      </c>
    </row>
    <row r="3543" spans="1:6" x14ac:dyDescent="0.3">
      <c r="A3543" s="1">
        <v>45777</v>
      </c>
      <c r="B3543" t="s">
        <v>6</v>
      </c>
      <c r="C3543" t="s">
        <v>9</v>
      </c>
      <c r="D3543" s="2">
        <v>4948640.3110999996</v>
      </c>
      <c r="E3543" s="2">
        <v>8824.2096000000001</v>
      </c>
      <c r="F3543" s="2">
        <v>4957464.5207000002</v>
      </c>
    </row>
    <row r="3544" spans="1:6" x14ac:dyDescent="0.3">
      <c r="A3544" s="1">
        <v>45777</v>
      </c>
      <c r="B3544" t="s">
        <v>6</v>
      </c>
      <c r="C3544" t="s">
        <v>10</v>
      </c>
      <c r="D3544" s="2">
        <v>2026965.62584608</v>
      </c>
      <c r="E3544" s="2">
        <v>682.18716503999997</v>
      </c>
      <c r="F3544" s="2">
        <v>2027647.8130111201</v>
      </c>
    </row>
    <row r="3545" spans="1:6" x14ac:dyDescent="0.3">
      <c r="A3545" s="1">
        <v>45777</v>
      </c>
      <c r="B3545" t="s">
        <v>6</v>
      </c>
      <c r="C3545" t="s">
        <v>11</v>
      </c>
      <c r="D3545" s="2">
        <v>618319.62210000004</v>
      </c>
      <c r="E3545" s="2">
        <v>40.200000000000003</v>
      </c>
      <c r="F3545" s="2">
        <v>618359.82209999999</v>
      </c>
    </row>
    <row r="3546" spans="1:6" x14ac:dyDescent="0.3">
      <c r="A3546" s="1">
        <v>45777</v>
      </c>
      <c r="B3546" t="s">
        <v>6</v>
      </c>
      <c r="C3546" t="s">
        <v>12</v>
      </c>
      <c r="D3546" s="2">
        <v>0</v>
      </c>
      <c r="E3546" s="2">
        <v>4514.1241</v>
      </c>
      <c r="F3546" s="2">
        <v>4514.1241</v>
      </c>
    </row>
    <row r="3547" spans="1:6" x14ac:dyDescent="0.3">
      <c r="A3547" s="1">
        <v>45777</v>
      </c>
      <c r="B3547" t="s">
        <v>13</v>
      </c>
      <c r="C3547" t="s">
        <v>14</v>
      </c>
      <c r="D3547" s="2">
        <v>28555941.546346098</v>
      </c>
      <c r="E3547" s="2">
        <v>19816.591865040002</v>
      </c>
      <c r="F3547" s="2">
        <v>28575758.138211101</v>
      </c>
    </row>
    <row r="3548" spans="1:6" x14ac:dyDescent="0.3">
      <c r="A3548" s="1">
        <v>45777</v>
      </c>
      <c r="B3548" t="s">
        <v>15</v>
      </c>
      <c r="C3548" t="s">
        <v>16</v>
      </c>
      <c r="D3548" s="2">
        <v>13739.986149730001</v>
      </c>
      <c r="E3548" s="2">
        <v>0</v>
      </c>
      <c r="F3548" s="2">
        <v>13739.986149730001</v>
      </c>
    </row>
    <row r="3549" spans="1:6" x14ac:dyDescent="0.3">
      <c r="A3549" s="1">
        <v>45777</v>
      </c>
      <c r="B3549" t="s">
        <v>15</v>
      </c>
      <c r="C3549" t="s">
        <v>17</v>
      </c>
      <c r="D3549" s="2">
        <v>90449.494260649997</v>
      </c>
      <c r="E3549" s="2">
        <v>0</v>
      </c>
      <c r="F3549" s="2">
        <v>90449.494260649997</v>
      </c>
    </row>
    <row r="3550" spans="1:6" x14ac:dyDescent="0.3">
      <c r="A3550" s="1">
        <v>45777</v>
      </c>
      <c r="B3550" t="s">
        <v>15</v>
      </c>
      <c r="C3550" t="s">
        <v>18</v>
      </c>
      <c r="D3550" s="2">
        <v>154106.11702375</v>
      </c>
      <c r="E3550" s="2">
        <v>0</v>
      </c>
      <c r="F3550" s="2">
        <v>154106.11702375</v>
      </c>
    </row>
    <row r="3551" spans="1:6" x14ac:dyDescent="0.3">
      <c r="A3551" s="1">
        <v>45777</v>
      </c>
      <c r="B3551" t="s">
        <v>15</v>
      </c>
      <c r="C3551" t="s">
        <v>19</v>
      </c>
      <c r="D3551" s="2">
        <v>33661.110846019998</v>
      </c>
      <c r="E3551" s="2">
        <v>7341079.6546264002</v>
      </c>
      <c r="F3551" s="2">
        <v>7374740.7654724196</v>
      </c>
    </row>
    <row r="3552" spans="1:6" x14ac:dyDescent="0.3">
      <c r="A3552" s="1">
        <v>45777</v>
      </c>
      <c r="B3552" t="s">
        <v>15</v>
      </c>
      <c r="C3552" t="s">
        <v>20</v>
      </c>
      <c r="D3552" s="2">
        <v>4762.6770127399996</v>
      </c>
      <c r="E3552" s="2">
        <v>0</v>
      </c>
      <c r="F3552" s="2">
        <v>4762.6770127399996</v>
      </c>
    </row>
    <row r="3553" spans="1:6" x14ac:dyDescent="0.3">
      <c r="A3553" s="1">
        <v>45777</v>
      </c>
      <c r="B3553" t="s">
        <v>21</v>
      </c>
      <c r="C3553" t="s">
        <v>14</v>
      </c>
      <c r="D3553" s="2">
        <v>296719.38529289002</v>
      </c>
      <c r="E3553" s="2">
        <v>7341079.6546264002</v>
      </c>
      <c r="F3553" s="2">
        <v>7637799.0399192898</v>
      </c>
    </row>
    <row r="3554" spans="1:6" x14ac:dyDescent="0.3">
      <c r="A3554" s="1">
        <v>45777</v>
      </c>
      <c r="B3554" t="s">
        <v>22</v>
      </c>
      <c r="C3554" t="s">
        <v>14</v>
      </c>
      <c r="D3554" s="2">
        <v>28852660.931639001</v>
      </c>
      <c r="E3554" s="2">
        <v>7360896.2464914396</v>
      </c>
      <c r="F3554" s="2">
        <v>36213557.178130403</v>
      </c>
    </row>
    <row r="3555" spans="1:6" x14ac:dyDescent="0.3">
      <c r="A3555" s="1">
        <v>45808</v>
      </c>
      <c r="B3555" t="s">
        <v>6</v>
      </c>
      <c r="C3555" t="s">
        <v>7</v>
      </c>
      <c r="D3555" s="2">
        <v>6002406.3165999996</v>
      </c>
      <c r="E3555" s="2">
        <v>617.92499999999995</v>
      </c>
      <c r="F3555" s="2">
        <v>6003024.2416000003</v>
      </c>
    </row>
    <row r="3556" spans="1:6" x14ac:dyDescent="0.3">
      <c r="A3556" s="1">
        <v>45808</v>
      </c>
      <c r="B3556" t="s">
        <v>6</v>
      </c>
      <c r="C3556" t="s">
        <v>8</v>
      </c>
      <c r="D3556" s="2">
        <v>14893011.657099999</v>
      </c>
      <c r="E3556" s="2">
        <v>4634.9861000000001</v>
      </c>
      <c r="F3556" s="2">
        <v>14897646.643200001</v>
      </c>
    </row>
    <row r="3557" spans="1:6" x14ac:dyDescent="0.3">
      <c r="A3557" s="1">
        <v>45808</v>
      </c>
      <c r="B3557" t="s">
        <v>6</v>
      </c>
      <c r="C3557" t="s">
        <v>9</v>
      </c>
      <c r="D3557" s="2">
        <v>4978520.9740000004</v>
      </c>
      <c r="E3557" s="2">
        <v>8748.0164000000004</v>
      </c>
      <c r="F3557" s="2">
        <v>4987268.9903999995</v>
      </c>
    </row>
    <row r="3558" spans="1:6" x14ac:dyDescent="0.3">
      <c r="A3558" s="1">
        <v>45808</v>
      </c>
      <c r="B3558" t="s">
        <v>6</v>
      </c>
      <c r="C3558" t="s">
        <v>10</v>
      </c>
      <c r="D3558" s="2">
        <v>2049008.5487633799</v>
      </c>
      <c r="E3558" s="2">
        <v>659.06548040999996</v>
      </c>
      <c r="F3558" s="2">
        <v>2049667.61424379</v>
      </c>
    </row>
    <row r="3559" spans="1:6" x14ac:dyDescent="0.3">
      <c r="A3559" s="1">
        <v>45808</v>
      </c>
      <c r="B3559" t="s">
        <v>6</v>
      </c>
      <c r="C3559" t="s">
        <v>11</v>
      </c>
      <c r="D3559" s="2">
        <v>646329.65009999997</v>
      </c>
      <c r="E3559" s="2">
        <v>20.03</v>
      </c>
      <c r="F3559" s="2">
        <v>646349.6801</v>
      </c>
    </row>
    <row r="3560" spans="1:6" x14ac:dyDescent="0.3">
      <c r="A3560" s="1">
        <v>45808</v>
      </c>
      <c r="B3560" t="s">
        <v>6</v>
      </c>
      <c r="C3560" t="s">
        <v>12</v>
      </c>
      <c r="D3560" s="2">
        <v>0</v>
      </c>
      <c r="E3560" s="2">
        <v>4514.1241</v>
      </c>
      <c r="F3560" s="2">
        <v>4514.1241</v>
      </c>
    </row>
    <row r="3561" spans="1:6" x14ac:dyDescent="0.3">
      <c r="A3561" s="1">
        <v>45808</v>
      </c>
      <c r="B3561" t="s">
        <v>13</v>
      </c>
      <c r="C3561" t="s">
        <v>14</v>
      </c>
      <c r="D3561" s="2">
        <v>28569277.1465634</v>
      </c>
      <c r="E3561" s="2">
        <v>19194.147080409999</v>
      </c>
      <c r="F3561" s="2">
        <v>28588471.293643799</v>
      </c>
    </row>
    <row r="3562" spans="1:6" x14ac:dyDescent="0.3">
      <c r="A3562" s="1">
        <v>45808</v>
      </c>
      <c r="B3562" t="s">
        <v>15</v>
      </c>
      <c r="C3562" t="s">
        <v>16</v>
      </c>
      <c r="D3562" s="2">
        <v>12579.850282789999</v>
      </c>
      <c r="E3562" s="2">
        <v>0</v>
      </c>
      <c r="F3562" s="2">
        <v>12579.850282789999</v>
      </c>
    </row>
    <row r="3563" spans="1:6" x14ac:dyDescent="0.3">
      <c r="A3563" s="1">
        <v>45808</v>
      </c>
      <c r="B3563" t="s">
        <v>15</v>
      </c>
      <c r="C3563" t="s">
        <v>17</v>
      </c>
      <c r="D3563" s="2">
        <v>90790.148767820006</v>
      </c>
      <c r="E3563" s="2">
        <v>0</v>
      </c>
      <c r="F3563" s="2">
        <v>90790.148767820006</v>
      </c>
    </row>
    <row r="3564" spans="1:6" x14ac:dyDescent="0.3">
      <c r="A3564" s="1">
        <v>45808</v>
      </c>
      <c r="B3564" t="s">
        <v>15</v>
      </c>
      <c r="C3564" t="s">
        <v>18</v>
      </c>
      <c r="D3564" s="2">
        <v>153375.7061176</v>
      </c>
      <c r="E3564" s="2">
        <v>0</v>
      </c>
      <c r="F3564" s="2">
        <v>153375.7061176</v>
      </c>
    </row>
    <row r="3565" spans="1:6" x14ac:dyDescent="0.3">
      <c r="A3565" s="1">
        <v>45808</v>
      </c>
      <c r="B3565" t="s">
        <v>15</v>
      </c>
      <c r="C3565" t="s">
        <v>19</v>
      </c>
      <c r="D3565" s="2">
        <v>121693.05805789</v>
      </c>
      <c r="E3565" s="2">
        <v>7244163.0890391497</v>
      </c>
      <c r="F3565" s="2">
        <v>7365856.14709704</v>
      </c>
    </row>
    <row r="3566" spans="1:6" x14ac:dyDescent="0.3">
      <c r="A3566" s="1">
        <v>45808</v>
      </c>
      <c r="B3566" t="s">
        <v>15</v>
      </c>
      <c r="C3566" t="s">
        <v>20</v>
      </c>
      <c r="D3566" s="2">
        <v>4745.2277118100001</v>
      </c>
      <c r="E3566" s="2">
        <v>0</v>
      </c>
      <c r="F3566" s="2">
        <v>4745.2277118100001</v>
      </c>
    </row>
    <row r="3567" spans="1:6" x14ac:dyDescent="0.3">
      <c r="A3567" s="1">
        <v>45808</v>
      </c>
      <c r="B3567" t="s">
        <v>21</v>
      </c>
      <c r="C3567" t="s">
        <v>14</v>
      </c>
      <c r="D3567" s="2">
        <v>383183.99093790998</v>
      </c>
      <c r="E3567" s="2">
        <v>7244163.0890391497</v>
      </c>
      <c r="F3567" s="2">
        <v>7627347.0799770597</v>
      </c>
    </row>
    <row r="3568" spans="1:6" x14ac:dyDescent="0.3">
      <c r="A3568" s="1">
        <v>45808</v>
      </c>
      <c r="B3568" t="s">
        <v>22</v>
      </c>
      <c r="C3568" t="s">
        <v>14</v>
      </c>
      <c r="D3568" s="2">
        <v>28952461.137501299</v>
      </c>
      <c r="E3568" s="2">
        <v>7263357.23611956</v>
      </c>
      <c r="F3568" s="2">
        <v>36215818.373620801</v>
      </c>
    </row>
    <row r="3569" spans="1:6" x14ac:dyDescent="0.3">
      <c r="A3569" s="1">
        <v>45838</v>
      </c>
      <c r="B3569" t="s">
        <v>6</v>
      </c>
      <c r="C3569" t="s">
        <v>7</v>
      </c>
      <c r="D3569" s="2">
        <v>5783517.7668000003</v>
      </c>
      <c r="E3569" s="2">
        <v>543.28499999999997</v>
      </c>
      <c r="F3569" s="2">
        <v>5784061.0517999995</v>
      </c>
    </row>
    <row r="3570" spans="1:6" x14ac:dyDescent="0.3">
      <c r="A3570" s="1">
        <v>45838</v>
      </c>
      <c r="B3570" t="s">
        <v>6</v>
      </c>
      <c r="C3570" t="s">
        <v>8</v>
      </c>
      <c r="D3570" s="2">
        <v>15068800.661956999</v>
      </c>
      <c r="E3570" s="2">
        <v>4796.0424430000003</v>
      </c>
      <c r="F3570" s="2">
        <v>15073596.704399999</v>
      </c>
    </row>
    <row r="3571" spans="1:6" x14ac:dyDescent="0.3">
      <c r="A3571" s="1">
        <v>45838</v>
      </c>
      <c r="B3571" t="s">
        <v>6</v>
      </c>
      <c r="C3571" t="s">
        <v>9</v>
      </c>
      <c r="D3571" s="2">
        <v>5030995.2174000004</v>
      </c>
      <c r="E3571" s="2">
        <v>9151.2620000000006</v>
      </c>
      <c r="F3571" s="2">
        <v>5040146.4793999996</v>
      </c>
    </row>
    <row r="3572" spans="1:6" x14ac:dyDescent="0.3">
      <c r="A3572" s="1">
        <v>45838</v>
      </c>
      <c r="B3572" t="s">
        <v>6</v>
      </c>
      <c r="C3572" t="s">
        <v>10</v>
      </c>
      <c r="D3572" s="2">
        <v>2080375.1905731601</v>
      </c>
      <c r="E3572" s="2">
        <v>666.33811558000002</v>
      </c>
      <c r="F3572" s="2">
        <v>2081041.52868874</v>
      </c>
    </row>
    <row r="3573" spans="1:6" x14ac:dyDescent="0.3">
      <c r="A3573" s="1">
        <v>45838</v>
      </c>
      <c r="B3573" t="s">
        <v>6</v>
      </c>
      <c r="C3573" t="s">
        <v>11</v>
      </c>
      <c r="D3573" s="2">
        <v>674332.4412</v>
      </c>
      <c r="E3573" s="2">
        <v>17.100000000000001</v>
      </c>
      <c r="F3573" s="2">
        <v>674349.54119999998</v>
      </c>
    </row>
    <row r="3574" spans="1:6" x14ac:dyDescent="0.3">
      <c r="A3574" s="1">
        <v>45838</v>
      </c>
      <c r="B3574" t="s">
        <v>6</v>
      </c>
      <c r="C3574" t="s">
        <v>12</v>
      </c>
      <c r="D3574" s="2">
        <v>0</v>
      </c>
      <c r="E3574" s="2">
        <v>4092.6752999999999</v>
      </c>
      <c r="F3574" s="2">
        <v>4092.6752999999999</v>
      </c>
    </row>
    <row r="3575" spans="1:6" x14ac:dyDescent="0.3">
      <c r="A3575" s="1">
        <v>45838</v>
      </c>
      <c r="B3575" t="s">
        <v>13</v>
      </c>
      <c r="C3575" t="s">
        <v>14</v>
      </c>
      <c r="D3575" s="2">
        <v>28638021.2779301</v>
      </c>
      <c r="E3575" s="2">
        <v>19266.70285858</v>
      </c>
      <c r="F3575" s="2">
        <v>28657287.9807887</v>
      </c>
    </row>
    <row r="3576" spans="1:6" x14ac:dyDescent="0.3">
      <c r="A3576" s="1">
        <v>45838</v>
      </c>
      <c r="B3576" t="s">
        <v>15</v>
      </c>
      <c r="C3576" t="s">
        <v>16</v>
      </c>
      <c r="D3576" s="2">
        <v>12562.62356649</v>
      </c>
      <c r="E3576" s="2">
        <v>0</v>
      </c>
      <c r="F3576" s="2">
        <v>12562.62356649</v>
      </c>
    </row>
    <row r="3577" spans="1:6" x14ac:dyDescent="0.3">
      <c r="A3577" s="1">
        <v>45838</v>
      </c>
      <c r="B3577" t="s">
        <v>15</v>
      </c>
      <c r="C3577" t="s">
        <v>17</v>
      </c>
      <c r="D3577" s="2">
        <v>88694.951938380007</v>
      </c>
      <c r="E3577" s="2">
        <v>0</v>
      </c>
      <c r="F3577" s="2">
        <v>88694.951938380007</v>
      </c>
    </row>
    <row r="3578" spans="1:6" x14ac:dyDescent="0.3">
      <c r="A3578" s="1">
        <v>45838</v>
      </c>
      <c r="B3578" t="s">
        <v>15</v>
      </c>
      <c r="C3578" t="s">
        <v>18</v>
      </c>
      <c r="D3578" s="2">
        <v>152744.46860009999</v>
      </c>
      <c r="E3578" s="2">
        <v>0</v>
      </c>
      <c r="F3578" s="2">
        <v>152744.46860009999</v>
      </c>
    </row>
    <row r="3579" spans="1:6" x14ac:dyDescent="0.3">
      <c r="A3579" s="1">
        <v>45838</v>
      </c>
      <c r="B3579" t="s">
        <v>15</v>
      </c>
      <c r="C3579" t="s">
        <v>19</v>
      </c>
      <c r="D3579" s="2">
        <v>56557.80440434</v>
      </c>
      <c r="E3579" s="2">
        <v>7238706.14361919</v>
      </c>
      <c r="F3579" s="2">
        <v>7295263.9480235297</v>
      </c>
    </row>
    <row r="3580" spans="1:6" x14ac:dyDescent="0.3">
      <c r="A3580" s="1">
        <v>45838</v>
      </c>
      <c r="B3580" t="s">
        <v>15</v>
      </c>
      <c r="C3580" t="s">
        <v>20</v>
      </c>
      <c r="D3580" s="2">
        <v>4915.3479032100004</v>
      </c>
      <c r="E3580" s="2">
        <v>0</v>
      </c>
      <c r="F3580" s="2">
        <v>4915.3479032100004</v>
      </c>
    </row>
    <row r="3581" spans="1:6" x14ac:dyDescent="0.3">
      <c r="A3581" s="1">
        <v>45838</v>
      </c>
      <c r="B3581" t="s">
        <v>21</v>
      </c>
      <c r="C3581" t="s">
        <v>14</v>
      </c>
      <c r="D3581" s="2">
        <v>315475.19641252002</v>
      </c>
      <c r="E3581" s="2">
        <v>7238706.14361919</v>
      </c>
      <c r="F3581" s="2">
        <v>7554181.3400317105</v>
      </c>
    </row>
    <row r="3582" spans="1:6" x14ac:dyDescent="0.3">
      <c r="A3582" s="1">
        <v>45838</v>
      </c>
      <c r="B3582" t="s">
        <v>22</v>
      </c>
      <c r="C3582" t="s">
        <v>14</v>
      </c>
      <c r="D3582" s="2">
        <v>28953497.4743427</v>
      </c>
      <c r="E3582" s="2">
        <v>7257972.8464777702</v>
      </c>
      <c r="F3582" s="2">
        <v>36211469.320820399</v>
      </c>
    </row>
    <row r="3583" spans="1:6" x14ac:dyDescent="0.3">
      <c r="A3583" s="1">
        <v>45869</v>
      </c>
      <c r="B3583" t="s">
        <v>6</v>
      </c>
      <c r="C3583" t="s">
        <v>7</v>
      </c>
      <c r="D3583" s="2">
        <v>5995422.6239</v>
      </c>
      <c r="E3583" s="2">
        <v>487.65499999999997</v>
      </c>
      <c r="F3583" s="2">
        <v>5995910.2789000003</v>
      </c>
    </row>
    <row r="3584" spans="1:6" x14ac:dyDescent="0.3">
      <c r="A3584" s="1">
        <v>45869</v>
      </c>
      <c r="B3584" t="s">
        <v>6</v>
      </c>
      <c r="C3584" t="s">
        <v>8</v>
      </c>
      <c r="D3584" s="2">
        <v>15201928.2744</v>
      </c>
      <c r="E3584" s="2">
        <v>5062.0940000000001</v>
      </c>
      <c r="F3584" s="2">
        <v>15206990.3684</v>
      </c>
    </row>
    <row r="3585" spans="1:6" x14ac:dyDescent="0.3">
      <c r="A3585" s="1">
        <v>45869</v>
      </c>
      <c r="B3585" t="s">
        <v>6</v>
      </c>
      <c r="C3585" t="s">
        <v>9</v>
      </c>
      <c r="D3585" s="2">
        <v>5067450.4870999996</v>
      </c>
      <c r="E3585" s="2">
        <v>9182.0939999999991</v>
      </c>
      <c r="F3585" s="2">
        <v>5076632.5811000001</v>
      </c>
    </row>
    <row r="3586" spans="1:6" x14ac:dyDescent="0.3">
      <c r="A3586" s="1">
        <v>45869</v>
      </c>
      <c r="B3586" t="s">
        <v>6</v>
      </c>
      <c r="C3586" t="s">
        <v>10</v>
      </c>
      <c r="D3586" s="2">
        <v>2051163.1612875799</v>
      </c>
      <c r="E3586" s="2">
        <v>661.88200039000003</v>
      </c>
      <c r="F3586" s="2">
        <v>2051825.0432879699</v>
      </c>
    </row>
    <row r="3587" spans="1:6" x14ac:dyDescent="0.3">
      <c r="A3587" s="1">
        <v>45869</v>
      </c>
      <c r="B3587" t="s">
        <v>6</v>
      </c>
      <c r="C3587" t="s">
        <v>11</v>
      </c>
      <c r="D3587" s="2">
        <v>634495.5514</v>
      </c>
      <c r="E3587" s="2">
        <v>18.04</v>
      </c>
      <c r="F3587" s="2">
        <v>634513.59140000003</v>
      </c>
    </row>
    <row r="3588" spans="1:6" x14ac:dyDescent="0.3">
      <c r="A3588" s="1">
        <v>45869</v>
      </c>
      <c r="B3588" t="s">
        <v>6</v>
      </c>
      <c r="C3588" t="s">
        <v>12</v>
      </c>
      <c r="D3588" s="2">
        <v>0</v>
      </c>
      <c r="E3588" s="2">
        <v>4092.6752999999999</v>
      </c>
      <c r="F3588" s="2">
        <v>4092.6752999999999</v>
      </c>
    </row>
    <row r="3589" spans="1:6" x14ac:dyDescent="0.3">
      <c r="A3589" s="1">
        <v>45869</v>
      </c>
      <c r="B3589" t="s">
        <v>13</v>
      </c>
      <c r="C3589" t="s">
        <v>14</v>
      </c>
      <c r="D3589" s="2">
        <v>28950460.098087601</v>
      </c>
      <c r="E3589" s="2">
        <v>19504.440300390001</v>
      </c>
      <c r="F3589" s="2">
        <v>28969964.538387999</v>
      </c>
    </row>
    <row r="3590" spans="1:6" x14ac:dyDescent="0.3">
      <c r="A3590" s="1">
        <v>45869</v>
      </c>
      <c r="B3590" t="s">
        <v>15</v>
      </c>
      <c r="C3590" t="s">
        <v>16</v>
      </c>
      <c r="D3590" s="2">
        <v>12310.996859209999</v>
      </c>
      <c r="E3590" s="2">
        <v>0</v>
      </c>
      <c r="F3590" s="2">
        <v>12310.996859209999</v>
      </c>
    </row>
    <row r="3591" spans="1:6" x14ac:dyDescent="0.3">
      <c r="A3591" s="1">
        <v>45869</v>
      </c>
      <c r="B3591" t="s">
        <v>15</v>
      </c>
      <c r="C3591" t="s">
        <v>17</v>
      </c>
      <c r="D3591" s="2">
        <v>89033.466664969994</v>
      </c>
      <c r="E3591" s="2">
        <v>0</v>
      </c>
      <c r="F3591" s="2">
        <v>89033.466664969994</v>
      </c>
    </row>
    <row r="3592" spans="1:6" x14ac:dyDescent="0.3">
      <c r="A3592" s="1">
        <v>45869</v>
      </c>
      <c r="B3592" t="s">
        <v>15</v>
      </c>
      <c r="C3592" t="s">
        <v>18</v>
      </c>
      <c r="D3592" s="2">
        <v>152018.10509175001</v>
      </c>
      <c r="E3592" s="2">
        <v>0</v>
      </c>
      <c r="F3592" s="2">
        <v>152018.10509175001</v>
      </c>
    </row>
    <row r="3593" spans="1:6" x14ac:dyDescent="0.3">
      <c r="A3593" s="1">
        <v>45869</v>
      </c>
      <c r="B3593" t="s">
        <v>15</v>
      </c>
      <c r="C3593" t="s">
        <v>19</v>
      </c>
      <c r="D3593" s="2">
        <v>322562.12509008998</v>
      </c>
      <c r="E3593" s="2">
        <v>7366141.7241014997</v>
      </c>
      <c r="F3593" s="2">
        <v>7688703.8491915902</v>
      </c>
    </row>
    <row r="3594" spans="1:6" x14ac:dyDescent="0.3">
      <c r="A3594" s="1">
        <v>45869</v>
      </c>
      <c r="B3594" t="s">
        <v>15</v>
      </c>
      <c r="C3594" t="s">
        <v>20</v>
      </c>
      <c r="D3594" s="2">
        <v>4955.8936855700003</v>
      </c>
      <c r="E3594" s="2">
        <v>0</v>
      </c>
      <c r="F3594" s="2">
        <v>4955.8936855700003</v>
      </c>
    </row>
    <row r="3595" spans="1:6" x14ac:dyDescent="0.3">
      <c r="A3595" s="1">
        <v>45869</v>
      </c>
      <c r="B3595" t="s">
        <v>21</v>
      </c>
      <c r="C3595" t="s">
        <v>14</v>
      </c>
      <c r="D3595" s="2">
        <v>580880.58739159</v>
      </c>
      <c r="E3595" s="2">
        <v>7366141.7241014997</v>
      </c>
      <c r="F3595" s="2">
        <v>7947023.3114930904</v>
      </c>
    </row>
    <row r="3596" spans="1:6" x14ac:dyDescent="0.3">
      <c r="A3596" s="1">
        <v>45869</v>
      </c>
      <c r="B3596" t="s">
        <v>22</v>
      </c>
      <c r="C3596" t="s">
        <v>14</v>
      </c>
      <c r="D3596" s="2">
        <v>29531340.685479201</v>
      </c>
      <c r="E3596" s="2">
        <v>7385647.1644018898</v>
      </c>
      <c r="F3596" s="2">
        <v>36916986.849881098</v>
      </c>
    </row>
    <row r="3597" spans="1:6" x14ac:dyDescent="0.3">
      <c r="A3597" s="1">
        <v>45900</v>
      </c>
      <c r="B3597" t="s">
        <v>6</v>
      </c>
      <c r="C3597" t="s">
        <v>7</v>
      </c>
      <c r="D3597" s="2">
        <v>6368505.4390000002</v>
      </c>
      <c r="E3597" s="2">
        <v>501.2</v>
      </c>
      <c r="F3597" s="2">
        <v>6369006.6390000004</v>
      </c>
    </row>
    <row r="3598" spans="1:6" x14ac:dyDescent="0.3">
      <c r="A3598" s="1">
        <v>45900</v>
      </c>
      <c r="B3598" t="s">
        <v>6</v>
      </c>
      <c r="C3598" t="s">
        <v>8</v>
      </c>
      <c r="D3598" s="2">
        <v>15206686.467800001</v>
      </c>
      <c r="E3598" s="2">
        <v>4615.5159999999996</v>
      </c>
      <c r="F3598" s="2">
        <v>15211301.9838</v>
      </c>
    </row>
    <row r="3599" spans="1:6" x14ac:dyDescent="0.3">
      <c r="A3599" s="1">
        <v>45900</v>
      </c>
      <c r="B3599" t="s">
        <v>6</v>
      </c>
      <c r="C3599" t="s">
        <v>9</v>
      </c>
      <c r="D3599" s="2">
        <v>5085902.9474999998</v>
      </c>
      <c r="E3599" s="2">
        <v>9024.9765000000007</v>
      </c>
      <c r="F3599" s="2">
        <v>5094927.9239999996</v>
      </c>
    </row>
    <row r="3600" spans="1:6" x14ac:dyDescent="0.3">
      <c r="A3600" s="1">
        <v>45900</v>
      </c>
      <c r="B3600" t="s">
        <v>6</v>
      </c>
      <c r="C3600" t="s">
        <v>10</v>
      </c>
      <c r="D3600" s="2">
        <v>2064363.7587026099</v>
      </c>
      <c r="E3600" s="2">
        <v>638.50147168000001</v>
      </c>
      <c r="F3600" s="2">
        <v>2065002.26017429</v>
      </c>
    </row>
    <row r="3601" spans="1:6" x14ac:dyDescent="0.3">
      <c r="A3601" s="1">
        <v>45900</v>
      </c>
      <c r="B3601" t="s">
        <v>6</v>
      </c>
      <c r="C3601" t="s">
        <v>11</v>
      </c>
      <c r="D3601" s="2">
        <v>662495.52910000004</v>
      </c>
      <c r="E3601" s="2">
        <v>18.04</v>
      </c>
      <c r="F3601" s="2">
        <v>662513.56909999996</v>
      </c>
    </row>
    <row r="3602" spans="1:6" x14ac:dyDescent="0.3">
      <c r="A3602" s="1">
        <v>45900</v>
      </c>
      <c r="B3602" t="s">
        <v>6</v>
      </c>
      <c r="C3602" t="s">
        <v>12</v>
      </c>
      <c r="D3602" s="2">
        <v>0</v>
      </c>
      <c r="E3602" s="2">
        <v>4092.6752999999999</v>
      </c>
      <c r="F3602" s="2">
        <v>4092.6752999999999</v>
      </c>
    </row>
    <row r="3603" spans="1:6" x14ac:dyDescent="0.3">
      <c r="A3603" s="1">
        <v>45900</v>
      </c>
      <c r="B3603" t="s">
        <v>13</v>
      </c>
      <c r="C3603" t="s">
        <v>14</v>
      </c>
      <c r="D3603" s="2">
        <v>29387954.142102599</v>
      </c>
      <c r="E3603" s="2">
        <v>18890.909271680001</v>
      </c>
      <c r="F3603" s="2">
        <v>29406845.051374301</v>
      </c>
    </row>
    <row r="3604" spans="1:6" x14ac:dyDescent="0.3">
      <c r="A3604" s="1">
        <v>45900</v>
      </c>
      <c r="B3604" t="s">
        <v>15</v>
      </c>
      <c r="C3604" t="s">
        <v>16</v>
      </c>
      <c r="D3604" s="2">
        <v>12315.63854939</v>
      </c>
      <c r="E3604" s="2">
        <v>0</v>
      </c>
      <c r="F3604" s="2">
        <v>12315.63854939</v>
      </c>
    </row>
    <row r="3605" spans="1:6" x14ac:dyDescent="0.3">
      <c r="A3605" s="1">
        <v>45900</v>
      </c>
      <c r="B3605" t="s">
        <v>15</v>
      </c>
      <c r="C3605" t="s">
        <v>17</v>
      </c>
      <c r="D3605" s="2">
        <v>86800.906336779997</v>
      </c>
      <c r="E3605" s="2">
        <v>0</v>
      </c>
      <c r="F3605" s="2">
        <v>86800.906336779997</v>
      </c>
    </row>
    <row r="3606" spans="1:6" x14ac:dyDescent="0.3">
      <c r="A3606" s="1">
        <v>45900</v>
      </c>
      <c r="B3606" t="s">
        <v>15</v>
      </c>
      <c r="C3606" t="s">
        <v>18</v>
      </c>
      <c r="D3606" s="2">
        <v>151485.55334257</v>
      </c>
      <c r="E3606" s="2">
        <v>0</v>
      </c>
      <c r="F3606" s="2">
        <v>151485.55334257</v>
      </c>
    </row>
    <row r="3607" spans="1:6" x14ac:dyDescent="0.3">
      <c r="A3607" s="1">
        <v>45900</v>
      </c>
      <c r="B3607" t="s">
        <v>15</v>
      </c>
      <c r="C3607" t="s">
        <v>19</v>
      </c>
      <c r="D3607" s="2">
        <v>324930.32705866999</v>
      </c>
      <c r="E3607" s="2">
        <v>7286843.7631911002</v>
      </c>
      <c r="F3607" s="2">
        <v>7611774.0902497703</v>
      </c>
    </row>
    <row r="3608" spans="1:6" x14ac:dyDescent="0.3">
      <c r="A3608" s="1">
        <v>45900</v>
      </c>
      <c r="B3608" t="s">
        <v>15</v>
      </c>
      <c r="C3608" t="s">
        <v>20</v>
      </c>
      <c r="D3608" s="2">
        <v>5044.7090792700001</v>
      </c>
      <c r="E3608" s="2">
        <v>0</v>
      </c>
      <c r="F3608" s="2">
        <v>5044.7090792700001</v>
      </c>
    </row>
    <row r="3609" spans="1:6" x14ac:dyDescent="0.3">
      <c r="A3609" s="1">
        <v>45900</v>
      </c>
      <c r="B3609" t="s">
        <v>21</v>
      </c>
      <c r="C3609" t="s">
        <v>14</v>
      </c>
      <c r="D3609" s="2">
        <v>580577.13436668005</v>
      </c>
      <c r="E3609" s="2">
        <v>7286843.7631911002</v>
      </c>
      <c r="F3609" s="2">
        <v>7867420.8975577801</v>
      </c>
    </row>
    <row r="3610" spans="1:6" x14ac:dyDescent="0.3">
      <c r="A3610" s="1">
        <v>45900</v>
      </c>
      <c r="B3610" t="s">
        <v>22</v>
      </c>
      <c r="C3610" t="s">
        <v>14</v>
      </c>
      <c r="D3610" s="2">
        <v>29968531.276469301</v>
      </c>
      <c r="E3610" s="2">
        <v>7305734.67246278</v>
      </c>
      <c r="F3610" s="2">
        <v>37274265.948932096</v>
      </c>
    </row>
    <row r="3611" spans="1:6" x14ac:dyDescent="0.3">
      <c r="A3611" s="1">
        <v>45930</v>
      </c>
      <c r="B3611" t="s">
        <v>6</v>
      </c>
      <c r="C3611" t="s">
        <v>7</v>
      </c>
      <c r="D3611" s="2">
        <v>6396631.5500999996</v>
      </c>
      <c r="E3611" s="2">
        <v>413.5</v>
      </c>
      <c r="F3611" s="2">
        <v>6397045.0500999996</v>
      </c>
    </row>
    <row r="3612" spans="1:6" x14ac:dyDescent="0.3">
      <c r="A3612" s="1">
        <v>45930</v>
      </c>
      <c r="B3612" t="s">
        <v>6</v>
      </c>
      <c r="C3612" t="s">
        <v>8</v>
      </c>
      <c r="D3612" s="2">
        <v>15387391.2908</v>
      </c>
      <c r="E3612" s="2">
        <v>5087.5904</v>
      </c>
      <c r="F3612" s="2">
        <v>15392478.881200001</v>
      </c>
    </row>
    <row r="3613" spans="1:6" x14ac:dyDescent="0.3">
      <c r="A3613" s="1">
        <v>45930</v>
      </c>
      <c r="B3613" t="s">
        <v>6</v>
      </c>
      <c r="C3613" t="s">
        <v>9</v>
      </c>
      <c r="D3613" s="2">
        <v>5133118.2028000001</v>
      </c>
      <c r="E3613" s="2">
        <v>9442.3734000000004</v>
      </c>
      <c r="F3613" s="2">
        <v>5142560.5762</v>
      </c>
    </row>
    <row r="3614" spans="1:6" x14ac:dyDescent="0.3">
      <c r="A3614" s="1">
        <v>45930</v>
      </c>
      <c r="B3614" t="s">
        <v>6</v>
      </c>
      <c r="C3614" t="s">
        <v>10</v>
      </c>
      <c r="D3614" s="2">
        <v>2087361.54916816</v>
      </c>
      <c r="E3614" s="2">
        <v>662.89617741999996</v>
      </c>
      <c r="F3614" s="2">
        <v>2088024.4453455801</v>
      </c>
    </row>
    <row r="3615" spans="1:6" x14ac:dyDescent="0.3">
      <c r="A3615" s="1">
        <v>45930</v>
      </c>
      <c r="B3615" t="s">
        <v>6</v>
      </c>
      <c r="C3615" t="s">
        <v>11</v>
      </c>
      <c r="D3615" s="2">
        <v>690499.79040000006</v>
      </c>
      <c r="E3615" s="2">
        <v>11.9</v>
      </c>
      <c r="F3615" s="2">
        <v>690511.69039999996</v>
      </c>
    </row>
    <row r="3616" spans="1:6" x14ac:dyDescent="0.3">
      <c r="A3616" s="1">
        <v>45930</v>
      </c>
      <c r="B3616" t="s">
        <v>6</v>
      </c>
      <c r="C3616" t="s">
        <v>12</v>
      </c>
      <c r="D3616" s="2">
        <v>0</v>
      </c>
      <c r="E3616" s="2">
        <v>4092.6752999999999</v>
      </c>
      <c r="F3616" s="2">
        <v>4092.6752999999999</v>
      </c>
    </row>
    <row r="3617" spans="1:6" x14ac:dyDescent="0.3">
      <c r="A3617" s="1">
        <v>45930</v>
      </c>
      <c r="B3617" t="s">
        <v>13</v>
      </c>
      <c r="C3617" t="s">
        <v>14</v>
      </c>
      <c r="D3617" s="2">
        <v>29695002.383268099</v>
      </c>
      <c r="E3617" s="2">
        <v>19710.935277420002</v>
      </c>
      <c r="F3617" s="2">
        <v>29714713.318545599</v>
      </c>
    </row>
    <row r="3618" spans="1:6" x14ac:dyDescent="0.3">
      <c r="A3618" s="1">
        <v>45930</v>
      </c>
      <c r="B3618" t="s">
        <v>15</v>
      </c>
      <c r="C3618" t="s">
        <v>16</v>
      </c>
      <c r="D3618" s="2">
        <v>12299.491518029999</v>
      </c>
      <c r="E3618" s="2">
        <v>0</v>
      </c>
      <c r="F3618" s="2">
        <v>12299.491518029999</v>
      </c>
    </row>
    <row r="3619" spans="1:6" x14ac:dyDescent="0.3">
      <c r="A3619" s="1">
        <v>45930</v>
      </c>
      <c r="B3619" t="s">
        <v>15</v>
      </c>
      <c r="C3619" t="s">
        <v>17</v>
      </c>
      <c r="D3619" s="2">
        <v>87955.967045469995</v>
      </c>
      <c r="E3619" s="2">
        <v>0</v>
      </c>
      <c r="F3619" s="2">
        <v>87955.967045469995</v>
      </c>
    </row>
    <row r="3620" spans="1:6" x14ac:dyDescent="0.3">
      <c r="A3620" s="1">
        <v>45930</v>
      </c>
      <c r="B3620" t="s">
        <v>15</v>
      </c>
      <c r="C3620" t="s">
        <v>18</v>
      </c>
      <c r="D3620" s="2">
        <v>150989.26666848999</v>
      </c>
      <c r="E3620" s="2">
        <v>0</v>
      </c>
      <c r="F3620" s="2">
        <v>150989.26666848999</v>
      </c>
    </row>
    <row r="3621" spans="1:6" x14ac:dyDescent="0.3">
      <c r="A3621" s="1">
        <v>45930</v>
      </c>
      <c r="B3621" t="s">
        <v>15</v>
      </c>
      <c r="C3621" t="s">
        <v>19</v>
      </c>
      <c r="D3621" s="2">
        <v>326397.48370021</v>
      </c>
      <c r="E3621" s="2">
        <v>7340076.1714740004</v>
      </c>
      <c r="F3621" s="2">
        <v>7666473.6551742097</v>
      </c>
    </row>
    <row r="3622" spans="1:6" x14ac:dyDescent="0.3">
      <c r="A3622" s="1">
        <v>45930</v>
      </c>
      <c r="B3622" t="s">
        <v>15</v>
      </c>
      <c r="C3622" t="s">
        <v>20</v>
      </c>
      <c r="D3622" s="2">
        <v>5121.8280624500003</v>
      </c>
      <c r="E3622" s="2">
        <v>0</v>
      </c>
      <c r="F3622" s="2">
        <v>5121.8280624500003</v>
      </c>
    </row>
    <row r="3623" spans="1:6" x14ac:dyDescent="0.3">
      <c r="A3623" s="1">
        <v>45930</v>
      </c>
      <c r="B3623" t="s">
        <v>21</v>
      </c>
      <c r="C3623" t="s">
        <v>14</v>
      </c>
      <c r="D3623" s="2">
        <v>582764.03699465003</v>
      </c>
      <c r="E3623" s="2">
        <v>7340076.1714740004</v>
      </c>
      <c r="F3623" s="2">
        <v>7922840.2084686495</v>
      </c>
    </row>
    <row r="3624" spans="1:6" x14ac:dyDescent="0.3">
      <c r="A3624" s="1">
        <v>45930</v>
      </c>
      <c r="B3624" t="s">
        <v>22</v>
      </c>
      <c r="C3624" t="s">
        <v>14</v>
      </c>
      <c r="D3624" s="2">
        <v>30277766.420262799</v>
      </c>
      <c r="E3624" s="2">
        <v>7359787.1067514196</v>
      </c>
      <c r="F3624" s="2">
        <v>37637552.527014203</v>
      </c>
    </row>
    <row r="3625" spans="1:6" x14ac:dyDescent="0.3">
      <c r="A3625" s="1">
        <v>45961</v>
      </c>
      <c r="B3625" t="s">
        <v>6</v>
      </c>
      <c r="C3625" t="s">
        <v>7</v>
      </c>
      <c r="D3625" s="2">
        <v>6592806.3954999996</v>
      </c>
      <c r="E3625" s="2">
        <v>387.79</v>
      </c>
      <c r="F3625" s="2">
        <v>6593194.1854999997</v>
      </c>
    </row>
    <row r="3626" spans="1:6" x14ac:dyDescent="0.3">
      <c r="A3626" s="1">
        <v>45961</v>
      </c>
      <c r="B3626" t="s">
        <v>6</v>
      </c>
      <c r="C3626" t="s">
        <v>8</v>
      </c>
      <c r="D3626" s="2">
        <v>15500647.4726</v>
      </c>
      <c r="E3626" s="2">
        <v>5034.1108999999997</v>
      </c>
      <c r="F3626" s="2">
        <v>15505681.5835</v>
      </c>
    </row>
    <row r="3627" spans="1:6" x14ac:dyDescent="0.3">
      <c r="A3627" s="1">
        <v>45961</v>
      </c>
      <c r="B3627" t="s">
        <v>6</v>
      </c>
      <c r="C3627" t="s">
        <v>9</v>
      </c>
      <c r="D3627" s="2">
        <v>5162834.7156999996</v>
      </c>
      <c r="E3627" s="2">
        <v>9864.5440999999992</v>
      </c>
      <c r="F3627" s="2">
        <v>5172699.2598000001</v>
      </c>
    </row>
    <row r="3628" spans="1:6" x14ac:dyDescent="0.3">
      <c r="A3628" s="1">
        <v>45961</v>
      </c>
      <c r="B3628" t="s">
        <v>6</v>
      </c>
      <c r="C3628" t="s">
        <v>10</v>
      </c>
      <c r="D3628" s="2">
        <v>2077994.58303287</v>
      </c>
      <c r="E3628" s="2">
        <v>667.7412266</v>
      </c>
      <c r="F3628" s="2">
        <v>2078662.32425947</v>
      </c>
    </row>
    <row r="3629" spans="1:6" x14ac:dyDescent="0.3">
      <c r="A3629" s="1">
        <v>45961</v>
      </c>
      <c r="B3629" t="s">
        <v>6</v>
      </c>
      <c r="C3629" t="s">
        <v>11</v>
      </c>
      <c r="D3629" s="2">
        <v>644103.6727</v>
      </c>
      <c r="E3629" s="2">
        <v>130.16</v>
      </c>
      <c r="F3629" s="2">
        <v>644233.83270000003</v>
      </c>
    </row>
    <row r="3630" spans="1:6" x14ac:dyDescent="0.3">
      <c r="A3630" s="1">
        <v>45961</v>
      </c>
      <c r="B3630" t="s">
        <v>6</v>
      </c>
      <c r="C3630" t="s">
        <v>12</v>
      </c>
      <c r="D3630" s="2">
        <v>0</v>
      </c>
      <c r="E3630" s="2">
        <v>4092.6752999999999</v>
      </c>
      <c r="F3630" s="2">
        <v>4092.6752999999999</v>
      </c>
    </row>
    <row r="3631" spans="1:6" x14ac:dyDescent="0.3">
      <c r="A3631" s="1">
        <v>45961</v>
      </c>
      <c r="B3631" t="s">
        <v>13</v>
      </c>
      <c r="C3631" t="s">
        <v>14</v>
      </c>
      <c r="D3631" s="2">
        <v>29978386.839532901</v>
      </c>
      <c r="E3631" s="2">
        <v>20177.021526600001</v>
      </c>
      <c r="F3631" s="2">
        <v>29998563.861059502</v>
      </c>
    </row>
    <row r="3632" spans="1:6" x14ac:dyDescent="0.3">
      <c r="A3632" s="1">
        <v>45961</v>
      </c>
      <c r="B3632" t="s">
        <v>15</v>
      </c>
      <c r="C3632" t="s">
        <v>16</v>
      </c>
      <c r="D3632" s="2">
        <v>12279.996834879999</v>
      </c>
      <c r="E3632" s="2">
        <v>0</v>
      </c>
      <c r="F3632" s="2">
        <v>12279.996834879999</v>
      </c>
    </row>
    <row r="3633" spans="1:6" x14ac:dyDescent="0.3">
      <c r="A3633" s="1">
        <v>45961</v>
      </c>
      <c r="B3633" t="s">
        <v>15</v>
      </c>
      <c r="C3633" t="s">
        <v>17</v>
      </c>
      <c r="D3633" s="2">
        <v>85099.378538229998</v>
      </c>
      <c r="E3633" s="2">
        <v>0</v>
      </c>
      <c r="F3633" s="2">
        <v>85099.378538229998</v>
      </c>
    </row>
    <row r="3634" spans="1:6" x14ac:dyDescent="0.3">
      <c r="A3634" s="1">
        <v>45961</v>
      </c>
      <c r="B3634" t="s">
        <v>15</v>
      </c>
      <c r="C3634" t="s">
        <v>18</v>
      </c>
      <c r="D3634" s="2">
        <v>150648.85008703999</v>
      </c>
      <c r="E3634" s="2">
        <v>0</v>
      </c>
      <c r="F3634" s="2">
        <v>150648.85008703999</v>
      </c>
    </row>
    <row r="3635" spans="1:6" x14ac:dyDescent="0.3">
      <c r="A3635" s="1">
        <v>45961</v>
      </c>
      <c r="B3635" t="s">
        <v>15</v>
      </c>
      <c r="C3635" t="s">
        <v>19</v>
      </c>
      <c r="D3635" s="2">
        <v>339156.88577017002</v>
      </c>
      <c r="E3635" s="2">
        <v>7449208.3345716903</v>
      </c>
      <c r="F3635" s="2">
        <v>7788365.2203418603</v>
      </c>
    </row>
    <row r="3636" spans="1:6" x14ac:dyDescent="0.3">
      <c r="A3636" s="1">
        <v>45961</v>
      </c>
      <c r="B3636" t="s">
        <v>15</v>
      </c>
      <c r="C3636" t="s">
        <v>20</v>
      </c>
      <c r="D3636" s="2">
        <v>5137.4987764199996</v>
      </c>
      <c r="E3636" s="2">
        <v>0</v>
      </c>
      <c r="F3636" s="2">
        <v>5137.4987764199996</v>
      </c>
    </row>
    <row r="3637" spans="1:6" x14ac:dyDescent="0.3">
      <c r="A3637" s="1">
        <v>45961</v>
      </c>
      <c r="B3637" t="s">
        <v>21</v>
      </c>
      <c r="C3637" t="s">
        <v>14</v>
      </c>
      <c r="D3637" s="2">
        <v>592321.61000673997</v>
      </c>
      <c r="E3637" s="2">
        <v>7449208.3345716903</v>
      </c>
      <c r="F3637" s="2">
        <v>8041529.9445784297</v>
      </c>
    </row>
    <row r="3638" spans="1:6" x14ac:dyDescent="0.3">
      <c r="A3638" s="1">
        <v>45961</v>
      </c>
      <c r="B3638" t="s">
        <v>22</v>
      </c>
      <c r="C3638" t="s">
        <v>14</v>
      </c>
      <c r="D3638" s="2">
        <v>30570708.449539602</v>
      </c>
      <c r="E3638" s="2">
        <v>7469385.3560982896</v>
      </c>
      <c r="F3638" s="2">
        <v>38040093.805637904</v>
      </c>
    </row>
  </sheetData>
  <autoFilter ref="A1:F3638" xr:uid="{F47C40A1-1CD8-4237-A2A6-F20ABB105727}">
    <sortState xmlns:xlrd2="http://schemas.microsoft.com/office/spreadsheetml/2017/richdata2" ref="A2:F3638">
      <sortCondition ref="A1:A36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2685-6472-4967-9946-3FEB384B5191}">
  <dimension ref="A1:L244"/>
  <sheetViews>
    <sheetView zoomScaleNormal="100" workbookViewId="0">
      <pane ySplit="1" topLeftCell="A2" activePane="bottomLeft" state="frozen"/>
      <selection pane="bottomLeft" activeCell="A2" sqref="A2:A242"/>
    </sheetView>
  </sheetViews>
  <sheetFormatPr defaultRowHeight="14.4" x14ac:dyDescent="0.3"/>
  <cols>
    <col min="1" max="1" width="10.33203125" bestFit="1" customWidth="1"/>
    <col min="2" max="2" width="12.6640625" bestFit="1" customWidth="1"/>
    <col min="3" max="3" width="13.77734375" bestFit="1" customWidth="1"/>
    <col min="4" max="4" width="12.6640625" bestFit="1" customWidth="1"/>
    <col min="5" max="5" width="15" bestFit="1" customWidth="1"/>
    <col min="6" max="6" width="17.88671875" bestFit="1" customWidth="1"/>
    <col min="7" max="7" width="23.109375" bestFit="1" customWidth="1"/>
    <col min="8" max="8" width="24" bestFit="1" customWidth="1"/>
    <col min="9" max="9" width="26.5546875" bestFit="1" customWidth="1"/>
    <col min="11" max="12" width="13.77734375" bestFit="1" customWidth="1"/>
  </cols>
  <sheetData>
    <row r="1" spans="1:12" x14ac:dyDescent="0.3">
      <c r="A1" t="s">
        <v>30</v>
      </c>
      <c r="B1" t="s">
        <v>7</v>
      </c>
      <c r="C1" t="s">
        <v>8</v>
      </c>
      <c r="D1" t="s">
        <v>9</v>
      </c>
      <c r="E1" t="s">
        <v>26</v>
      </c>
      <c r="F1" t="s">
        <v>21</v>
      </c>
      <c r="G1" t="s">
        <v>28</v>
      </c>
      <c r="H1" t="s">
        <v>29</v>
      </c>
      <c r="I1" t="s">
        <v>27</v>
      </c>
    </row>
    <row r="2" spans="1:12" x14ac:dyDescent="0.3">
      <c r="A2" s="1" cm="1">
        <f t="array" ref="A2:A242">_xlfn.UNIQUE(rawdata!A2:A3638)</f>
        <v>38656</v>
      </c>
      <c r="B2" s="2" cm="1">
        <f t="array" ref="B2">_xlfn._xlws.FILTER(rawdata!$F$2:$F$3638,(rawdata!$A$2:$A$3638=transformed_data!$A2)*(rawdata!$C$2:$C$3638=transformed_data!B$1))</f>
        <v>936595.96400000004</v>
      </c>
      <c r="C2" s="2" cm="1">
        <f t="array" ref="C2">_xlfn._xlws.FILTER(rawdata!$F$2:$F$3638,(rawdata!$A$2:$A$3638=transformed_data!$A2)*(rawdata!$C$2:$C$3638=transformed_data!C$1))</f>
        <v>2335971.6069999998</v>
      </c>
      <c r="D2" s="2" cm="1">
        <f t="array" ref="D2">_xlfn._xlws.FILTER(rawdata!$F$2:$F$3638,(rawdata!$A$2:$A$3638=transformed_data!$A2)*(rawdata!$C$2:$C$3638=transformed_data!D$1))</f>
        <v>520701.76270000002</v>
      </c>
      <c r="E2" s="2" cm="1">
        <f t="array" ref="E2">SUM(-B2:D2,_xlfn._xlws.FILTER(rawdata!$F$2:$F$3638,(rawdata!$A$2:$A$3638=transformed_data!$A2)*(rawdata!$B$2:$B$3638="Total Marketable")))</f>
        <v>338026.46400000015</v>
      </c>
      <c r="F2" s="2" cm="1">
        <f t="array" ref="F2">_xlfn._xlws.FILTER(rawdata!$F$2:$F$3638,(rawdata!$A$2:$A$3638=transformed_data!$A2)*(rawdata!$B$2:$B$3638="Total Nonmarketable"))</f>
        <v>3895828.15186565</v>
      </c>
      <c r="G2" s="2" cm="1">
        <f t="array" ref="G2">_xlfn._xlws.FILTER(rawdata!$D$2:$D$3638,(rawdata!$A$2:$A$3638=transformed_data!$A2)*(rawdata!$B$2:$B$3638="Total Public Debt Outstanding"))</f>
        <v>4650515.77659046</v>
      </c>
      <c r="H2" s="2" cm="1">
        <f t="array" ref="H2">_xlfn._xlws.FILTER(rawdata!$E$2:$E$3638,(rawdata!$A$2:$A$3638=transformed_data!$A2)*(rawdata!$B$2:$B$3638="Total Public Debt Outstanding"))</f>
        <v>3376607.0589751899</v>
      </c>
      <c r="I2" s="2" cm="1">
        <f t="array" ref="I2">_xlfn._xlws.FILTER(rawdata!$F$2:$F$3638,(rawdata!$A$2:$A$3638=transformed_data!$A2)*(rawdata!$B$2:$B$3638="Total Public Debt Outstanding"))</f>
        <v>8027122.94956565</v>
      </c>
      <c r="K2" s="2"/>
      <c r="L2" s="2"/>
    </row>
    <row r="3" spans="1:12" x14ac:dyDescent="0.3">
      <c r="A3" s="1">
        <v>38686</v>
      </c>
      <c r="B3" s="2" cm="1">
        <f t="array" ref="B3">_xlfn._xlws.FILTER(rawdata!$F$2:$F$3638,(rawdata!$A$2:$A$3638=transformed_data!$A3)*(rawdata!$C$2:$C$3638=transformed_data!B$1))</f>
        <v>986934.11899999995</v>
      </c>
      <c r="C3" s="2" cm="1">
        <f t="array" ref="C3">_xlfn._xlws.FILTER(rawdata!$F$2:$F$3638,(rawdata!$A$2:$A$3638=transformed_data!$A3)*(rawdata!$C$2:$C$3638=transformed_data!C$1))</f>
        <v>2339795.0246000001</v>
      </c>
      <c r="D3" s="2" cm="1">
        <f t="array" ref="D3">_xlfn._xlws.FILTER(rawdata!$F$2:$F$3638,(rawdata!$A$2:$A$3638=transformed_data!$A3)*(rawdata!$C$2:$C$3638=transformed_data!D$1))</f>
        <v>516627.00099999999</v>
      </c>
      <c r="E3" s="2" cm="1">
        <f t="array" ref="E3">SUM(-B3:D3,_xlfn._xlws.FILTER(rawdata!$F$2:$F$3638,(rawdata!$A$2:$A$3638=transformed_data!$A3)*(rawdata!$B$2:$B$3638="Total Marketable")))</f>
        <v>341907.33899999969</v>
      </c>
      <c r="F3" s="2" cm="1">
        <f t="array" ref="F3">_xlfn._xlws.FILTER(rawdata!$F$2:$F$3638,(rawdata!$A$2:$A$3638=transformed_data!$A3)*(rawdata!$B$2:$B$3638="Total Nonmarketable"))</f>
        <v>3907058.0631664102</v>
      </c>
      <c r="G3" s="2" cm="1">
        <f t="array" ref="G3">_xlfn._xlws.FILTER(rawdata!$D$2:$D$3638,(rawdata!$A$2:$A$3638=transformed_data!$A3)*(rawdata!$B$2:$B$3638="Total Public Debt Outstanding"))</f>
        <v>4709402.9856719403</v>
      </c>
      <c r="H3" s="2" cm="1">
        <f t="array" ref="H3">_xlfn._xlws.FILTER(rawdata!$E$2:$E$3638,(rawdata!$A$2:$A$3638=transformed_data!$A3)*(rawdata!$B$2:$B$3638="Total Public Debt Outstanding"))</f>
        <v>3382919.4470944698</v>
      </c>
      <c r="I3" s="2" cm="1">
        <f t="array" ref="I3">_xlfn._xlws.FILTER(rawdata!$F$2:$F$3638,(rawdata!$A$2:$A$3638=transformed_data!$A3)*(rawdata!$B$2:$B$3638="Total Public Debt Outstanding"))</f>
        <v>8092321.5467664097</v>
      </c>
      <c r="K3" s="2"/>
      <c r="L3" s="2"/>
    </row>
    <row r="4" spans="1:12" x14ac:dyDescent="0.3">
      <c r="A4" s="1">
        <v>38717</v>
      </c>
      <c r="B4" s="2" cm="1">
        <f t="array" ref="B4">_xlfn._xlws.FILTER(rawdata!$F$2:$F$3638,(rawdata!$A$2:$A$3638=transformed_data!$A4)*(rawdata!$C$2:$C$3638=transformed_data!B$1))</f>
        <v>963866.81499999994</v>
      </c>
      <c r="C4" s="2" cm="1">
        <f t="array" ref="C4">_xlfn._xlws.FILTER(rawdata!$F$2:$F$3638,(rawdata!$A$2:$A$3638=transformed_data!$A4)*(rawdata!$C$2:$C$3638=transformed_data!C$1))</f>
        <v>2360793.4706000001</v>
      </c>
      <c r="D4" s="2" cm="1">
        <f t="array" ref="D4">_xlfn._xlws.FILTER(rawdata!$F$2:$F$3638,(rawdata!$A$2:$A$3638=transformed_data!$A4)*(rawdata!$C$2:$C$3638=transformed_data!D$1))</f>
        <v>516620.9987</v>
      </c>
      <c r="E4" s="2" cm="1">
        <f t="array" ref="E4">SUM(-B4:D4,_xlfn._xlws.FILTER(rawdata!$F$2:$F$3638,(rawdata!$A$2:$A$3638=transformed_data!$A4)*(rawdata!$B$2:$B$3638="Total Marketable")))</f>
        <v>342677.79070000025</v>
      </c>
      <c r="F4" s="2" cm="1">
        <f t="array" ref="F4">_xlfn._xlws.FILTER(rawdata!$F$2:$F$3638,(rawdata!$A$2:$A$3638=transformed_data!$A4)*(rawdata!$B$2:$B$3638="Total Nonmarketable"))</f>
        <v>3986454.25738631</v>
      </c>
      <c r="G4" s="2" cm="1">
        <f t="array" ref="G4">_xlfn._xlws.FILTER(rawdata!$D$2:$D$3638,(rawdata!$A$2:$A$3638=transformed_data!$A4)*(rawdata!$B$2:$B$3638="Total Public Debt Outstanding"))</f>
        <v>4714820.5965044498</v>
      </c>
      <c r="H4" s="2" cm="1">
        <f t="array" ref="H4">_xlfn._xlws.FILTER(rawdata!$E$2:$E$3638,(rawdata!$A$2:$A$3638=transformed_data!$A4)*(rawdata!$B$2:$B$3638="Total Public Debt Outstanding"))</f>
        <v>3455592.4458818599</v>
      </c>
      <c r="I4" s="2" cm="1">
        <f t="array" ref="I4">_xlfn._xlws.FILTER(rawdata!$F$2:$F$3638,(rawdata!$A$2:$A$3638=transformed_data!$A4)*(rawdata!$B$2:$B$3638="Total Public Debt Outstanding"))</f>
        <v>8170414.3323863102</v>
      </c>
      <c r="K4" s="2"/>
      <c r="L4" s="2"/>
    </row>
    <row r="5" spans="1:12" x14ac:dyDescent="0.3">
      <c r="A5" s="1">
        <v>38748</v>
      </c>
      <c r="B5" s="2" cm="1">
        <f t="array" ref="B5">_xlfn._xlws.FILTER(rawdata!$F$2:$F$3638,(rawdata!$A$2:$A$3638=transformed_data!$A5)*(rawdata!$C$2:$C$3638=transformed_data!B$1))</f>
        <v>956249.82200000004</v>
      </c>
      <c r="C5" s="2" cm="1">
        <f t="array" ref="C5">_xlfn._xlws.FILTER(rawdata!$F$2:$F$3638,(rawdata!$A$2:$A$3638=transformed_data!$A5)*(rawdata!$C$2:$C$3638=transformed_data!C$1))</f>
        <v>2361102.4306000001</v>
      </c>
      <c r="D5" s="2" cm="1">
        <f t="array" ref="D5">_xlfn._xlws.FILTER(rawdata!$F$2:$F$3638,(rawdata!$A$2:$A$3638=transformed_data!$A5)*(rawdata!$C$2:$C$3638=transformed_data!D$1))</f>
        <v>516618.80420000001</v>
      </c>
      <c r="E5" s="2" cm="1">
        <f t="array" ref="E5">SUM(-B5:D5,_xlfn._xlws.FILTER(rawdata!$F$2:$F$3638,(rawdata!$A$2:$A$3638=transformed_data!$A5)*(rawdata!$B$2:$B$3638="Total Marketable")))</f>
        <v>360860.58532860968</v>
      </c>
      <c r="F5" s="2" cm="1">
        <f t="array" ref="F5">_xlfn._xlws.FILTER(rawdata!$F$2:$F$3638,(rawdata!$A$2:$A$3638=transformed_data!$A5)*(rawdata!$B$2:$B$3638="Total Nonmarketable"))</f>
        <v>4001239.15595889</v>
      </c>
      <c r="G5" s="2" cm="1">
        <f t="array" ref="G5">_xlfn._xlws.FILTER(rawdata!$D$2:$D$3638,(rawdata!$A$2:$A$3638=transformed_data!$A5)*(rawdata!$B$2:$B$3638="Total Public Debt Outstanding"))</f>
        <v>4724636.9475845397</v>
      </c>
      <c r="H5" s="2" cm="1">
        <f t="array" ref="H5">_xlfn._xlws.FILTER(rawdata!$E$2:$E$3638,(rawdata!$A$2:$A$3638=transformed_data!$A5)*(rawdata!$B$2:$B$3638="Total Public Debt Outstanding"))</f>
        <v>3471432.7995029599</v>
      </c>
      <c r="I5" s="2" cm="1">
        <f t="array" ref="I5">_xlfn._xlws.FILTER(rawdata!$F$2:$F$3638,(rawdata!$A$2:$A$3638=transformed_data!$A5)*(rawdata!$B$2:$B$3638="Total Public Debt Outstanding"))</f>
        <v>8196069.7980875</v>
      </c>
      <c r="K5" s="2"/>
      <c r="L5" s="2"/>
    </row>
    <row r="6" spans="1:12" x14ac:dyDescent="0.3">
      <c r="A6" s="1">
        <v>38776</v>
      </c>
      <c r="B6" s="2" cm="1">
        <f t="array" ref="B6">_xlfn._xlws.FILTER(rawdata!$F$2:$F$3638,(rawdata!$A$2:$A$3638=transformed_data!$A6)*(rawdata!$C$2:$C$3638=transformed_data!B$1))</f>
        <v>999561.12800000003</v>
      </c>
      <c r="C6" s="2" cm="1">
        <f t="array" ref="C6">_xlfn._xlws.FILTER(rawdata!$F$2:$F$3638,(rawdata!$A$2:$A$3638=transformed_data!$A6)*(rawdata!$C$2:$C$3638=transformed_data!C$1))</f>
        <v>2391741.9826000002</v>
      </c>
      <c r="D6" s="2" cm="1">
        <f t="array" ref="D6">_xlfn._xlws.FILTER(rawdata!$F$2:$F$3638,(rawdata!$A$2:$A$3638=transformed_data!$A6)*(rawdata!$C$2:$C$3638=transformed_data!D$1))</f>
        <v>526716.48270000005</v>
      </c>
      <c r="E6" s="2" cm="1">
        <f t="array" ref="E6">SUM(-B6:D6,_xlfn._xlws.FILTER(rawdata!$F$2:$F$3638,(rawdata!$A$2:$A$3638=transformed_data!$A6)*(rawdata!$B$2:$B$3638="Total Marketable")))</f>
        <v>359550.73706338974</v>
      </c>
      <c r="F6" s="2" cm="1">
        <f t="array" ref="F6">_xlfn._xlws.FILTER(rawdata!$F$2:$F$3638,(rawdata!$A$2:$A$3638=transformed_data!$A6)*(rawdata!$B$2:$B$3638="Total Nonmarketable"))</f>
        <v>3992315.0098907999</v>
      </c>
      <c r="G6" s="2" cm="1">
        <f t="array" ref="G6">_xlfn._xlws.FILTER(rawdata!$D$2:$D$3638,(rawdata!$A$2:$A$3638=transformed_data!$A6)*(rawdata!$B$2:$B$3638="Total Public Debt Outstanding"))</f>
        <v>4771117.3411884103</v>
      </c>
      <c r="H6" s="2" cm="1">
        <f t="array" ref="H6">_xlfn._xlws.FILTER(rawdata!$E$2:$E$3638,(rawdata!$A$2:$A$3638=transformed_data!$A6)*(rawdata!$B$2:$B$3638="Total Public Debt Outstanding"))</f>
        <v>3498768.9480657801</v>
      </c>
      <c r="I6" s="2" cm="1">
        <f t="array" ref="I6">_xlfn._xlws.FILTER(rawdata!$F$2:$F$3638,(rawdata!$A$2:$A$3638=transformed_data!$A6)*(rawdata!$B$2:$B$3638="Total Public Debt Outstanding"))</f>
        <v>8269886.3402541904</v>
      </c>
      <c r="K6" s="2"/>
      <c r="L6" s="2"/>
    </row>
    <row r="7" spans="1:12" x14ac:dyDescent="0.3">
      <c r="A7" s="1">
        <v>38807</v>
      </c>
      <c r="B7" s="2" cm="1">
        <f t="array" ref="B7">_xlfn._xlws.FILTER(rawdata!$F$2:$F$3638,(rawdata!$A$2:$A$3638=transformed_data!$A7)*(rawdata!$C$2:$C$3638=transformed_data!B$1))</f>
        <v>1042049.982</v>
      </c>
      <c r="C7" s="2" cm="1">
        <f t="array" ref="C7">_xlfn._xlws.FILTER(rawdata!$F$2:$F$3638,(rawdata!$A$2:$A$3638=transformed_data!$A7)*(rawdata!$C$2:$C$3638=transformed_data!C$1))</f>
        <v>2409746.8045999999</v>
      </c>
      <c r="D7" s="2" cm="1">
        <f t="array" ref="D7">_xlfn._xlws.FILTER(rawdata!$F$2:$F$3638,(rawdata!$A$2:$A$3638=transformed_data!$A7)*(rawdata!$C$2:$C$3638=transformed_data!D$1))</f>
        <v>526703.65960000001</v>
      </c>
      <c r="E7" s="2" cm="1">
        <f t="array" ref="E7">SUM(-B7:D7,_xlfn._xlws.FILTER(rawdata!$F$2:$F$3638,(rawdata!$A$2:$A$3638=transformed_data!$A7)*(rawdata!$B$2:$B$3638="Total Marketable")))</f>
        <v>361899.1578234206</v>
      </c>
      <c r="F7" s="2" cm="1">
        <f t="array" ref="F7">_xlfn._xlws.FILTER(rawdata!$F$2:$F$3638,(rawdata!$A$2:$A$3638=transformed_data!$A7)*(rawdata!$B$2:$B$3638="Total Nonmarketable"))</f>
        <v>4030757.0622228002</v>
      </c>
      <c r="G7" s="2" cm="1">
        <f t="array" ref="G7">_xlfn._xlws.FILTER(rawdata!$D$2:$D$3638,(rawdata!$A$2:$A$3638=transformed_data!$A7)*(rawdata!$B$2:$B$3638="Total Public Debt Outstanding"))</f>
        <v>4872484.6170945503</v>
      </c>
      <c r="H7" s="2" cm="1">
        <f t="array" ref="H7">_xlfn._xlws.FILTER(rawdata!$E$2:$E$3638,(rawdata!$A$2:$A$3638=transformed_data!$A7)*(rawdata!$B$2:$B$3638="Total Public Debt Outstanding"))</f>
        <v>3498671.9981516702</v>
      </c>
      <c r="I7" s="2" cm="1">
        <f t="array" ref="I7">_xlfn._xlws.FILTER(rawdata!$F$2:$F$3638,(rawdata!$A$2:$A$3638=transformed_data!$A7)*(rawdata!$B$2:$B$3638="Total Public Debt Outstanding"))</f>
        <v>8371155.6662462195</v>
      </c>
      <c r="K7" s="2"/>
      <c r="L7" s="2"/>
    </row>
    <row r="8" spans="1:12" x14ac:dyDescent="0.3">
      <c r="A8" s="1">
        <v>38837</v>
      </c>
      <c r="B8" s="2" cm="1">
        <f t="array" ref="B8">_xlfn._xlws.FILTER(rawdata!$F$2:$F$3638,(rawdata!$A$2:$A$3638=transformed_data!$A8)*(rawdata!$C$2:$C$3638=transformed_data!B$1))</f>
        <v>965107.24800000002</v>
      </c>
      <c r="C8" s="2" cm="1">
        <f t="array" ref="C8">_xlfn._xlws.FILTER(rawdata!$F$2:$F$3638,(rawdata!$A$2:$A$3638=transformed_data!$A8)*(rawdata!$C$2:$C$3638=transformed_data!C$1))</f>
        <v>2409739.8585999999</v>
      </c>
      <c r="D8" s="2" cm="1">
        <f t="array" ref="D8">_xlfn._xlws.FILTER(rawdata!$F$2:$F$3638,(rawdata!$A$2:$A$3638=transformed_data!$A8)*(rawdata!$C$2:$C$3638=transformed_data!D$1))</f>
        <v>526701.75639999995</v>
      </c>
      <c r="E8" s="2" cm="1">
        <f t="array" ref="E8">SUM(-B8:D8,_xlfn._xlws.FILTER(rawdata!$F$2:$F$3638,(rawdata!$A$2:$A$3638=transformed_data!$A8)*(rawdata!$B$2:$B$3638="Total Marketable")))</f>
        <v>381656.38283179048</v>
      </c>
      <c r="F8" s="2" cm="1">
        <f t="array" ref="F8">_xlfn._xlws.FILTER(rawdata!$F$2:$F$3638,(rawdata!$A$2:$A$3638=transformed_data!$A8)*(rawdata!$B$2:$B$3638="Total Nonmarketable"))</f>
        <v>4072512.62290254</v>
      </c>
      <c r="G8" s="2" cm="1">
        <f t="array" ref="G8">_xlfn._xlws.FILTER(rawdata!$D$2:$D$3638,(rawdata!$A$2:$A$3638=transformed_data!$A8)*(rawdata!$B$2:$B$3638="Total Public Debt Outstanding"))</f>
        <v>4819948.5970564997</v>
      </c>
      <c r="H8" s="2" cm="1">
        <f t="array" ref="H8">_xlfn._xlws.FILTER(rawdata!$E$2:$E$3638,(rawdata!$A$2:$A$3638=transformed_data!$A8)*(rawdata!$B$2:$B$3638="Total Public Debt Outstanding"))</f>
        <v>3535769.2206778298</v>
      </c>
      <c r="I8" s="2" cm="1">
        <f t="array" ref="I8">_xlfn._xlws.FILTER(rawdata!$F$2:$F$3638,(rawdata!$A$2:$A$3638=transformed_data!$A8)*(rawdata!$B$2:$B$3638="Total Public Debt Outstanding"))</f>
        <v>8355717.8687343299</v>
      </c>
      <c r="K8" s="2"/>
      <c r="L8" s="2"/>
    </row>
    <row r="9" spans="1:12" x14ac:dyDescent="0.3">
      <c r="A9" s="1">
        <v>38868</v>
      </c>
      <c r="B9" s="2" cm="1">
        <f t="array" ref="B9">_xlfn._xlws.FILTER(rawdata!$F$2:$F$3638,(rawdata!$A$2:$A$3638=transformed_data!$A9)*(rawdata!$C$2:$C$3638=transformed_data!B$1))</f>
        <v>954441.12199999997</v>
      </c>
      <c r="C9" s="2" cm="1">
        <f t="array" ref="C9">_xlfn._xlws.FILTER(rawdata!$F$2:$F$3638,(rawdata!$A$2:$A$3638=transformed_data!$A9)*(rawdata!$C$2:$C$3638=transformed_data!C$1))</f>
        <v>2407985.5965999998</v>
      </c>
      <c r="D9" s="2" cm="1">
        <f t="array" ref="D9">_xlfn._xlws.FILTER(rawdata!$F$2:$F$3638,(rawdata!$A$2:$A$3638=transformed_data!$A9)*(rawdata!$C$2:$C$3638=transformed_data!D$1))</f>
        <v>523165.9094</v>
      </c>
      <c r="E9" s="2" cm="1">
        <f t="array" ref="E9">SUM(-B9:D9,_xlfn._xlws.FILTER(rawdata!$F$2:$F$3638,(rawdata!$A$2:$A$3638=transformed_data!$A9)*(rawdata!$B$2:$B$3638="Total Marketable")))</f>
        <v>383650.94695005007</v>
      </c>
      <c r="F9" s="2" cm="1">
        <f t="array" ref="F9">_xlfn._xlws.FILTER(rawdata!$F$2:$F$3638,(rawdata!$A$2:$A$3638=transformed_data!$A9)*(rawdata!$B$2:$B$3638="Total Nonmarketable"))</f>
        <v>4087533.3995320601</v>
      </c>
      <c r="G9" s="2" cm="1">
        <f t="array" ref="G9">_xlfn._xlws.FILTER(rawdata!$D$2:$D$3638,(rawdata!$A$2:$A$3638=transformed_data!$A9)*(rawdata!$B$2:$B$3638="Total Public Debt Outstanding"))</f>
        <v>4807517.26333817</v>
      </c>
      <c r="H9" s="2" cm="1">
        <f t="array" ref="H9">_xlfn._xlws.FILTER(rawdata!$E$2:$E$3638,(rawdata!$A$2:$A$3638=transformed_data!$A9)*(rawdata!$B$2:$B$3638="Total Public Debt Outstanding"))</f>
        <v>3549259.6921439399</v>
      </c>
      <c r="I9" s="2" cm="1">
        <f t="array" ref="I9">_xlfn._xlws.FILTER(rawdata!$F$2:$F$3638,(rawdata!$A$2:$A$3638=transformed_data!$A9)*(rawdata!$B$2:$B$3638="Total Public Debt Outstanding"))</f>
        <v>8356776.9744821098</v>
      </c>
      <c r="K9" s="2"/>
      <c r="L9" s="2"/>
    </row>
    <row r="10" spans="1:12" x14ac:dyDescent="0.3">
      <c r="A10" s="1">
        <v>38898</v>
      </c>
      <c r="B10" s="2" cm="1">
        <f t="array" ref="B10">_xlfn._xlws.FILTER(rawdata!$F$2:$F$3638,(rawdata!$A$2:$A$3638=transformed_data!$A10)*(rawdata!$C$2:$C$3638=transformed_data!B$1))</f>
        <v>916706.52300000004</v>
      </c>
      <c r="C10" s="2" cm="1">
        <f t="array" ref="C10">_xlfn._xlws.FILTER(rawdata!$F$2:$F$3638,(rawdata!$A$2:$A$3638=transformed_data!$A10)*(rawdata!$C$2:$C$3638=transformed_data!C$1))</f>
        <v>2427397.2486</v>
      </c>
      <c r="D10" s="2" cm="1">
        <f t="array" ref="D10">_xlfn._xlws.FILTER(rawdata!$F$2:$F$3638,(rawdata!$A$2:$A$3638=transformed_data!$A10)*(rawdata!$C$2:$C$3638=transformed_data!D$1))</f>
        <v>523157.03240000003</v>
      </c>
      <c r="E10" s="2" cm="1">
        <f t="array" ref="E10">SUM(-B10:D10,_xlfn._xlws.FILTER(rawdata!$F$2:$F$3638,(rawdata!$A$2:$A$3638=transformed_data!$A10)*(rawdata!$B$2:$B$3638="Total Marketable")))</f>
        <v>386756.67997948965</v>
      </c>
      <c r="F10" s="2" cm="1">
        <f t="array" ref="F10">_xlfn._xlws.FILTER(rawdata!$F$2:$F$3638,(rawdata!$A$2:$A$3638=transformed_data!$A10)*(rawdata!$B$2:$B$3638="Total Nonmarketable"))</f>
        <v>4166024.0449238298</v>
      </c>
      <c r="G10" s="2" cm="1">
        <f t="array" ref="G10">_xlfn._xlws.FILTER(rawdata!$D$2:$D$3638,(rawdata!$A$2:$A$3638=transformed_data!$A10)*(rawdata!$B$2:$B$3638="Total Public Debt Outstanding"))</f>
        <v>4797204.2941392995</v>
      </c>
      <c r="H10" s="2" cm="1">
        <f t="array" ref="H10">_xlfn._xlws.FILTER(rawdata!$E$2:$E$3638,(rawdata!$A$2:$A$3638=transformed_data!$A10)*(rawdata!$B$2:$B$3638="Total Public Debt Outstanding"))</f>
        <v>3622838.2157640201</v>
      </c>
      <c r="I10" s="2" cm="1">
        <f t="array" ref="I10">_xlfn._xlws.FILTER(rawdata!$F$2:$F$3638,(rawdata!$A$2:$A$3638=transformed_data!$A10)*(rawdata!$B$2:$B$3638="Total Public Debt Outstanding"))</f>
        <v>8420041.5289033204</v>
      </c>
      <c r="K10" s="2"/>
      <c r="L10" s="2"/>
    </row>
    <row r="11" spans="1:12" x14ac:dyDescent="0.3">
      <c r="A11" s="1">
        <v>38929</v>
      </c>
      <c r="B11" s="2" cm="1">
        <f t="array" ref="B11">_xlfn._xlws.FILTER(rawdata!$F$2:$F$3638,(rawdata!$A$2:$A$3638=transformed_data!$A11)*(rawdata!$C$2:$C$3638=transformed_data!B$1))</f>
        <v>932693.75199999998</v>
      </c>
      <c r="C11" s="2" cm="1">
        <f t="array" ref="C11">_xlfn._xlws.FILTER(rawdata!$F$2:$F$3638,(rawdata!$A$2:$A$3638=transformed_data!$A11)*(rawdata!$C$2:$C$3638=transformed_data!C$1))</f>
        <v>2416903.3846</v>
      </c>
      <c r="D11" s="2" cm="1">
        <f t="array" ref="D11">_xlfn._xlws.FILTER(rawdata!$F$2:$F$3638,(rawdata!$A$2:$A$3638=transformed_data!$A11)*(rawdata!$C$2:$C$3638=transformed_data!D$1))</f>
        <v>523155.63589999999</v>
      </c>
      <c r="E11" s="2" cm="1">
        <f t="array" ref="E11">SUM(-B11:D11,_xlfn._xlws.FILTER(rawdata!$F$2:$F$3638,(rawdata!$A$2:$A$3638=transformed_data!$A11)*(rawdata!$B$2:$B$3638="Total Marketable")))</f>
        <v>407657.47142999992</v>
      </c>
      <c r="F11" s="2" cm="1">
        <f t="array" ref="F11">_xlfn._xlws.FILTER(rawdata!$F$2:$F$3638,(rawdata!$A$2:$A$3638=transformed_data!$A11)*(rawdata!$B$2:$B$3638="Total Nonmarketable"))</f>
        <v>4163936.5155442199</v>
      </c>
      <c r="G11" s="2" cm="1">
        <f t="array" ref="G11">_xlfn._xlws.FILTER(rawdata!$D$2:$D$3638,(rawdata!$A$2:$A$3638=transformed_data!$A11)*(rawdata!$B$2:$B$3638="Total Public Debt Outstanding"))</f>
        <v>4819732.1498851096</v>
      </c>
      <c r="H11" s="2" cm="1">
        <f t="array" ref="H11">_xlfn._xlws.FILTER(rawdata!$E$2:$E$3638,(rawdata!$A$2:$A$3638=transformed_data!$A11)*(rawdata!$B$2:$B$3638="Total Public Debt Outstanding"))</f>
        <v>3624614.4565891102</v>
      </c>
      <c r="I11" s="2" cm="1">
        <f t="array" ref="I11">_xlfn._xlws.FILTER(rawdata!$F$2:$F$3638,(rawdata!$A$2:$A$3638=transformed_data!$A11)*(rawdata!$B$2:$B$3638="Total Public Debt Outstanding"))</f>
        <v>8444346.7594742198</v>
      </c>
      <c r="K11" s="2"/>
      <c r="L11" s="2"/>
    </row>
    <row r="12" spans="1:12" x14ac:dyDescent="0.3">
      <c r="A12" s="1">
        <v>38960</v>
      </c>
      <c r="B12" s="2" cm="1">
        <f t="array" ref="B12">_xlfn._xlws.FILTER(rawdata!$F$2:$F$3638,(rawdata!$A$2:$A$3638=transformed_data!$A12)*(rawdata!$C$2:$C$3638=transformed_data!B$1))</f>
        <v>962312.91799999995</v>
      </c>
      <c r="C12" s="2" cm="1">
        <f t="array" ref="C12">_xlfn._xlws.FILTER(rawdata!$F$2:$F$3638,(rawdata!$A$2:$A$3638=transformed_data!$A12)*(rawdata!$C$2:$C$3638=transformed_data!C$1))</f>
        <v>2439162.7886000001</v>
      </c>
      <c r="D12" s="2" cm="1">
        <f t="array" ref="D12">_xlfn._xlws.FILTER(rawdata!$F$2:$F$3638,(rawdata!$A$2:$A$3638=transformed_data!$A12)*(rawdata!$C$2:$C$3638=transformed_data!D$1))</f>
        <v>534710.78579999995</v>
      </c>
      <c r="E12" s="2" cm="1">
        <f t="array" ref="E12">SUM(-B12:D12,_xlfn._xlws.FILTER(rawdata!$F$2:$F$3638,(rawdata!$A$2:$A$3638=transformed_data!$A12)*(rawdata!$B$2:$B$3638="Total Marketable")))</f>
        <v>408485.37026336044</v>
      </c>
      <c r="F12" s="2" cm="1">
        <f t="array" ref="F12">_xlfn._xlws.FILTER(rawdata!$F$2:$F$3638,(rawdata!$A$2:$A$3638=transformed_data!$A12)*(rawdata!$B$2:$B$3638="Total Nonmarketable"))</f>
        <v>4170361.90943219</v>
      </c>
      <c r="G12" s="2" cm="1">
        <f t="array" ref="G12">_xlfn._xlws.FILTER(rawdata!$D$2:$D$3638,(rawdata!$A$2:$A$3638=transformed_data!$A12)*(rawdata!$B$2:$B$3638="Total Public Debt Outstanding"))</f>
        <v>4884685.1830192199</v>
      </c>
      <c r="H12" s="2" cm="1">
        <f t="array" ref="H12">_xlfn._xlws.FILTER(rawdata!$E$2:$E$3638,(rawdata!$A$2:$A$3638=transformed_data!$A12)*(rawdata!$B$2:$B$3638="Total Public Debt Outstanding"))</f>
        <v>3630348.4540763302</v>
      </c>
      <c r="I12" s="2" cm="1">
        <f t="array" ref="I12">_xlfn._xlws.FILTER(rawdata!$F$2:$F$3638,(rawdata!$A$2:$A$3638=transformed_data!$A12)*(rawdata!$B$2:$B$3638="Total Public Debt Outstanding"))</f>
        <v>8515033.7720955499</v>
      </c>
      <c r="K12" s="2"/>
      <c r="L12" s="2"/>
    </row>
    <row r="13" spans="1:12" x14ac:dyDescent="0.3">
      <c r="A13" s="1">
        <v>38990</v>
      </c>
      <c r="B13" s="2" cm="1">
        <f t="array" ref="B13">_xlfn._xlws.FILTER(rawdata!$F$2:$F$3638,(rawdata!$A$2:$A$3638=transformed_data!$A13)*(rawdata!$C$2:$C$3638=transformed_data!B$1))</f>
        <v>911530.57299999997</v>
      </c>
      <c r="C13" s="2" cm="1">
        <f t="array" ref="C13">_xlfn._xlws.FILTER(rawdata!$F$2:$F$3638,(rawdata!$A$2:$A$3638=transformed_data!$A13)*(rawdata!$C$2:$C$3638=transformed_data!C$1))</f>
        <v>2447160.1606000001</v>
      </c>
      <c r="D13" s="2" cm="1">
        <f t="array" ref="D13">_xlfn._xlws.FILTER(rawdata!$F$2:$F$3638,(rawdata!$A$2:$A$3638=transformed_data!$A13)*(rawdata!$C$2:$C$3638=transformed_data!D$1))</f>
        <v>534709.88430000003</v>
      </c>
      <c r="E13" s="2" cm="1">
        <f t="array" ref="E13">SUM(-B13:D13,_xlfn._xlws.FILTER(rawdata!$F$2:$F$3638,(rawdata!$A$2:$A$3638=transformed_data!$A13)*(rawdata!$B$2:$B$3638="Total Marketable")))</f>
        <v>409638.28115015011</v>
      </c>
      <c r="F13" s="2" cm="1">
        <f t="array" ref="F13">_xlfn._xlws.FILTER(rawdata!$F$2:$F$3638,(rawdata!$A$2:$A$3638=transformed_data!$A13)*(rawdata!$B$2:$B$3638="Total Nonmarketable"))</f>
        <v>4203935.2701813597</v>
      </c>
      <c r="G13" s="2" cm="1">
        <f t="array" ref="G13">_xlfn._xlws.FILTER(rawdata!$D$2:$D$3638,(rawdata!$A$2:$A$3638=transformed_data!$A13)*(rawdata!$B$2:$B$3638="Total Public Debt Outstanding"))</f>
        <v>4843120.5941919796</v>
      </c>
      <c r="H13" s="2" cm="1">
        <f t="array" ref="H13">_xlfn._xlws.FILTER(rawdata!$E$2:$E$3638,(rawdata!$A$2:$A$3638=transformed_data!$A13)*(rawdata!$B$2:$B$3638="Total Public Debt Outstanding"))</f>
        <v>3663853.3430395299</v>
      </c>
      <c r="I13" s="2" cm="1">
        <f t="array" ref="I13">_xlfn._xlws.FILTER(rawdata!$F$2:$F$3638,(rawdata!$A$2:$A$3638=transformed_data!$A13)*(rawdata!$B$2:$B$3638="Total Public Debt Outstanding"))</f>
        <v>8506974.1692315098</v>
      </c>
      <c r="K13" s="2"/>
      <c r="L13" s="2"/>
    </row>
    <row r="14" spans="1:12" x14ac:dyDescent="0.3">
      <c r="A14" s="1">
        <v>39021</v>
      </c>
      <c r="B14" s="2" cm="1">
        <f t="array" ref="B14">_xlfn._xlws.FILTER(rawdata!$F$2:$F$3638,(rawdata!$A$2:$A$3638=transformed_data!$A14)*(rawdata!$C$2:$C$3638=transformed_data!B$1))</f>
        <v>929516.57</v>
      </c>
      <c r="C14" s="2" cm="1">
        <f t="array" ref="C14">_xlfn._xlws.FILTER(rawdata!$F$2:$F$3638,(rawdata!$A$2:$A$3638=transformed_data!$A14)*(rawdata!$C$2:$C$3638=transformed_data!C$1))</f>
        <v>2444385.1066000001</v>
      </c>
      <c r="D14" s="2" cm="1">
        <f t="array" ref="D14">_xlfn._xlws.FILTER(rawdata!$F$2:$F$3638,(rawdata!$A$2:$A$3638=transformed_data!$A14)*(rawdata!$C$2:$C$3638=transformed_data!D$1))</f>
        <v>534709.11124999996</v>
      </c>
      <c r="E14" s="2" cm="1">
        <f t="array" ref="E14">SUM(-B14:D14,_xlfn._xlws.FILTER(rawdata!$F$2:$F$3638,(rawdata!$A$2:$A$3638=transformed_data!$A14)*(rawdata!$B$2:$B$3638="Total Marketable")))</f>
        <v>429358.70933387987</v>
      </c>
      <c r="F14" s="2" cm="1">
        <f t="array" ref="F14">_xlfn._xlws.FILTER(rawdata!$F$2:$F$3638,(rawdata!$A$2:$A$3638=transformed_data!$A14)*(rawdata!$B$2:$B$3638="Total Nonmarketable"))</f>
        <v>4246359.96289811</v>
      </c>
      <c r="G14" s="2" cm="1">
        <f t="array" ref="G14">_xlfn._xlws.FILTER(rawdata!$D$2:$D$3638,(rawdata!$A$2:$A$3638=transformed_data!$A14)*(rawdata!$B$2:$B$3638="Total Public Debt Outstanding"))</f>
        <v>4880611.2871827697</v>
      </c>
      <c r="H14" s="2" cm="1">
        <f t="array" ref="H14">_xlfn._xlws.FILTER(rawdata!$E$2:$E$3638,(rawdata!$A$2:$A$3638=transformed_data!$A14)*(rawdata!$B$2:$B$3638="Total Public Debt Outstanding"))</f>
        <v>3703718.1728992201</v>
      </c>
      <c r="I14" s="2" cm="1">
        <f t="array" ref="I14">_xlfn._xlws.FILTER(rawdata!$F$2:$F$3638,(rawdata!$A$2:$A$3638=transformed_data!$A14)*(rawdata!$B$2:$B$3638="Total Public Debt Outstanding"))</f>
        <v>8584329.4600819908</v>
      </c>
      <c r="K14" s="2"/>
      <c r="L14" s="2"/>
    </row>
    <row r="15" spans="1:12" x14ac:dyDescent="0.3">
      <c r="A15" s="1">
        <v>39051</v>
      </c>
      <c r="B15" s="2" cm="1">
        <f t="array" ref="B15">_xlfn._xlws.FILTER(rawdata!$F$2:$F$3638,(rawdata!$A$2:$A$3638=transformed_data!$A15)*(rawdata!$C$2:$C$3638=transformed_data!B$1))</f>
        <v>989036.22199999995</v>
      </c>
      <c r="C15" s="2" cm="1">
        <f t="array" ref="C15">_xlfn._xlws.FILTER(rawdata!$F$2:$F$3638,(rawdata!$A$2:$A$3638=transformed_data!$A15)*(rawdata!$C$2:$C$3638=transformed_data!C$1))</f>
        <v>2433862.1746</v>
      </c>
      <c r="D15" s="2" cm="1">
        <f t="array" ref="D15">_xlfn._xlws.FILTER(rawdata!$F$2:$F$3638,(rawdata!$A$2:$A$3638=transformed_data!$A15)*(rawdata!$C$2:$C$3638=transformed_data!D$1))</f>
        <v>530694.37014999997</v>
      </c>
      <c r="E15" s="2" cm="1">
        <f t="array" ref="E15">SUM(-B15:D15,_xlfn._xlws.FILTER(rawdata!$F$2:$F$3638,(rawdata!$A$2:$A$3638=transformed_data!$A15)*(rawdata!$B$2:$B$3638="Total Marketable")))</f>
        <v>427418.35000252025</v>
      </c>
      <c r="F15" s="2" cm="1">
        <f t="array" ref="F15">_xlfn._xlws.FILTER(rawdata!$F$2:$F$3638,(rawdata!$A$2:$A$3638=transformed_data!$A15)*(rawdata!$B$2:$B$3638="Total Nonmarketable"))</f>
        <v>4252234.3786084997</v>
      </c>
      <c r="G15" s="2" cm="1">
        <f t="array" ref="G15">_xlfn._xlws.FILTER(rawdata!$D$2:$D$3638,(rawdata!$A$2:$A$3638=transformed_data!$A15)*(rawdata!$B$2:$B$3638="Total Public Debt Outstanding"))</f>
        <v>4929567.0380306002</v>
      </c>
      <c r="H15" s="2" cm="1">
        <f t="array" ref="H15">_xlfn._xlws.FILTER(rawdata!$E$2:$E$3638,(rawdata!$A$2:$A$3638=transformed_data!$A15)*(rawdata!$B$2:$B$3638="Total Public Debt Outstanding"))</f>
        <v>3703678.4573304201</v>
      </c>
      <c r="I15" s="2" cm="1">
        <f t="array" ref="I15">_xlfn._xlws.FILTER(rawdata!$F$2:$F$3638,(rawdata!$A$2:$A$3638=transformed_data!$A15)*(rawdata!$B$2:$B$3638="Total Public Debt Outstanding"))</f>
        <v>8633246.4953610208</v>
      </c>
      <c r="K15" s="2"/>
      <c r="L15" s="2"/>
    </row>
    <row r="16" spans="1:12" x14ac:dyDescent="0.3">
      <c r="A16" s="1">
        <v>39082</v>
      </c>
      <c r="B16" s="2" cm="1">
        <f t="array" ref="B16">_xlfn._xlws.FILTER(rawdata!$F$2:$F$3638,(rawdata!$A$2:$A$3638=transformed_data!$A16)*(rawdata!$C$2:$C$3638=transformed_data!B$1))</f>
        <v>944223.52899999998</v>
      </c>
      <c r="C16" s="2" cm="1">
        <f t="array" ref="C16">_xlfn._xlws.FILTER(rawdata!$F$2:$F$3638,(rawdata!$A$2:$A$3638=transformed_data!$A16)*(rawdata!$C$2:$C$3638=transformed_data!C$1))</f>
        <v>2441859.9775999999</v>
      </c>
      <c r="D16" s="2" cm="1">
        <f t="array" ref="D16">_xlfn._xlws.FILTER(rawdata!$F$2:$F$3638,(rawdata!$A$2:$A$3638=transformed_data!$A16)*(rawdata!$C$2:$C$3638=transformed_data!D$1))</f>
        <v>530682.03315000003</v>
      </c>
      <c r="E16" s="2" cm="1">
        <f t="array" ref="E16">SUM(-B16:D16,_xlfn._xlws.FILTER(rawdata!$F$2:$F$3638,(rawdata!$A$2:$A$3638=transformed_data!$A16)*(rawdata!$B$2:$B$3638="Total Marketable")))</f>
        <v>425192.86220112024</v>
      </c>
      <c r="F16" s="2" cm="1">
        <f t="array" ref="F16">_xlfn._xlws.FILTER(rawdata!$F$2:$F$3638,(rawdata!$A$2:$A$3638=transformed_data!$A16)*(rawdata!$B$2:$B$3638="Total Nonmarketable"))</f>
        <v>4338266.4661517097</v>
      </c>
      <c r="G16" s="2" cm="1">
        <f t="array" ref="G16">_xlfn._xlws.FILTER(rawdata!$D$2:$D$3638,(rawdata!$A$2:$A$3638=transformed_data!$A16)*(rawdata!$B$2:$B$3638="Total Public Debt Outstanding"))</f>
        <v>4901047.3731822604</v>
      </c>
      <c r="H16" s="2" cm="1">
        <f t="array" ref="H16">_xlfn._xlws.FILTER(rawdata!$E$2:$E$3638,(rawdata!$A$2:$A$3638=transformed_data!$A16)*(rawdata!$B$2:$B$3638="Total Public Debt Outstanding"))</f>
        <v>3779178.4949205699</v>
      </c>
      <c r="I16" s="2" cm="1">
        <f t="array" ref="I16">_xlfn._xlws.FILTER(rawdata!$F$2:$F$3638,(rawdata!$A$2:$A$3638=transformed_data!$A16)*(rawdata!$B$2:$B$3638="Total Public Debt Outstanding"))</f>
        <v>8680223.8681028299</v>
      </c>
      <c r="K16" s="2"/>
      <c r="L16" s="2"/>
    </row>
    <row r="17" spans="1:12" x14ac:dyDescent="0.3">
      <c r="A17" s="1">
        <v>39113</v>
      </c>
      <c r="B17" s="2" cm="1">
        <f t="array" ref="B17">_xlfn._xlws.FILTER(rawdata!$F$2:$F$3638,(rawdata!$A$2:$A$3638=transformed_data!$A17)*(rawdata!$C$2:$C$3638=transformed_data!B$1))</f>
        <v>932075.37</v>
      </c>
      <c r="C17" s="2" cm="1">
        <f t="array" ref="C17">_xlfn._xlws.FILTER(rawdata!$F$2:$F$3638,(rawdata!$A$2:$A$3638=transformed_data!$A17)*(rawdata!$C$2:$C$3638=transformed_data!C$1))</f>
        <v>2459740.0855999999</v>
      </c>
      <c r="D17" s="2" cm="1">
        <f t="array" ref="D17">_xlfn._xlws.FILTER(rawdata!$F$2:$F$3638,(rawdata!$A$2:$A$3638=transformed_data!$A17)*(rawdata!$C$2:$C$3638=transformed_data!D$1))</f>
        <v>530675.82065000001</v>
      </c>
      <c r="E17" s="2" cm="1">
        <f t="array" ref="E17">SUM(-B17:D17,_xlfn._xlws.FILTER(rawdata!$F$2:$F$3638,(rawdata!$A$2:$A$3638=transformed_data!$A17)*(rawdata!$B$2:$B$3638="Total Marketable")))</f>
        <v>424950.62615166977</v>
      </c>
      <c r="F17" s="2" cm="1">
        <f t="array" ref="F17">_xlfn._xlws.FILTER(rawdata!$F$2:$F$3638,(rawdata!$A$2:$A$3638=transformed_data!$A17)*(rawdata!$B$2:$B$3638="Total Nonmarketable"))</f>
        <v>4360119.3141484</v>
      </c>
      <c r="G17" s="2" cm="1">
        <f t="array" ref="G17">_xlfn._xlws.FILTER(rawdata!$D$2:$D$3638,(rawdata!$A$2:$A$3638=transformed_data!$A17)*(rawdata!$B$2:$B$3638="Total Public Debt Outstanding"))</f>
        <v>4913960.9017721396</v>
      </c>
      <c r="H17" s="2" cm="1">
        <f t="array" ref="H17">_xlfn._xlws.FILTER(rawdata!$E$2:$E$3638,(rawdata!$A$2:$A$3638=transformed_data!$A17)*(rawdata!$B$2:$B$3638="Total Public Debt Outstanding"))</f>
        <v>3793600.3147779298</v>
      </c>
      <c r="I17" s="2" cm="1">
        <f t="array" ref="I17">_xlfn._xlws.FILTER(rawdata!$F$2:$F$3638,(rawdata!$A$2:$A$3638=transformed_data!$A17)*(rawdata!$B$2:$B$3638="Total Public Debt Outstanding"))</f>
        <v>8707561.2165500708</v>
      </c>
      <c r="K17" s="2"/>
      <c r="L17" s="2"/>
    </row>
    <row r="18" spans="1:12" x14ac:dyDescent="0.3">
      <c r="A18" s="1">
        <v>39141</v>
      </c>
      <c r="B18" s="2" cm="1">
        <f t="array" ref="B18">_xlfn._xlws.FILTER(rawdata!$F$2:$F$3638,(rawdata!$A$2:$A$3638=transformed_data!$A18)*(rawdata!$C$2:$C$3638=transformed_data!B$1))</f>
        <v>982088.78899999999</v>
      </c>
      <c r="C18" s="2" cm="1">
        <f t="array" ref="C18">_xlfn._xlws.FILTER(rawdata!$F$2:$F$3638,(rawdata!$A$2:$A$3638=transformed_data!$A18)*(rawdata!$C$2:$C$3638=transformed_data!C$1))</f>
        <v>2460490.7436000002</v>
      </c>
      <c r="D18" s="2" cm="1">
        <f t="array" ref="D18">_xlfn._xlws.FILTER(rawdata!$F$2:$F$3638,(rawdata!$A$2:$A$3638=transformed_data!$A18)*(rawdata!$C$2:$C$3638=transformed_data!D$1))</f>
        <v>540496.94915</v>
      </c>
      <c r="E18" s="2" cm="1">
        <f t="array" ref="E18">SUM(-B18:D18,_xlfn._xlws.FILTER(rawdata!$F$2:$F$3638,(rawdata!$A$2:$A$3638=transformed_data!$A18)*(rawdata!$B$2:$B$3638="Total Marketable")))</f>
        <v>425484.83966595959</v>
      </c>
      <c r="F18" s="2" cm="1">
        <f t="array" ref="F18">_xlfn._xlws.FILTER(rawdata!$F$2:$F$3638,(rawdata!$A$2:$A$3638=transformed_data!$A18)*(rawdata!$B$2:$B$3638="Total Nonmarketable"))</f>
        <v>4369549.5861992603</v>
      </c>
      <c r="G18" s="2" cm="1">
        <f t="array" ref="G18">_xlfn._xlws.FILTER(rawdata!$D$2:$D$3638,(rawdata!$A$2:$A$3638=transformed_data!$A18)*(rawdata!$B$2:$B$3638="Total Public Debt Outstanding"))</f>
        <v>4979111.3323745504</v>
      </c>
      <c r="H18" s="2" cm="1">
        <f t="array" ref="H18">_xlfn._xlws.FILTER(rawdata!$E$2:$E$3638,(rawdata!$A$2:$A$3638=transformed_data!$A18)*(rawdata!$B$2:$B$3638="Total Public Debt Outstanding"))</f>
        <v>3798999.5752406698</v>
      </c>
      <c r="I18" s="2" cm="1">
        <f t="array" ref="I18">_xlfn._xlws.FILTER(rawdata!$F$2:$F$3638,(rawdata!$A$2:$A$3638=transformed_data!$A18)*(rawdata!$B$2:$B$3638="Total Public Debt Outstanding"))</f>
        <v>8778110.9076152202</v>
      </c>
      <c r="K18" s="2"/>
      <c r="L18" s="2"/>
    </row>
    <row r="19" spans="1:12" x14ac:dyDescent="0.3">
      <c r="A19" s="1">
        <v>39172</v>
      </c>
      <c r="B19" s="2" cm="1">
        <f t="array" ref="B19">_xlfn._xlws.FILTER(rawdata!$F$2:$F$3638,(rawdata!$A$2:$A$3638=transformed_data!$A19)*(rawdata!$C$2:$C$3638=transformed_data!B$1))</f>
        <v>1033096.039</v>
      </c>
      <c r="C19" s="2" cm="1">
        <f t="array" ref="C19">_xlfn._xlws.FILTER(rawdata!$F$2:$F$3638,(rawdata!$A$2:$A$3638=transformed_data!$A19)*(rawdata!$C$2:$C$3638=transformed_data!C$1))</f>
        <v>2468490.1815999998</v>
      </c>
      <c r="D19" s="2" cm="1">
        <f t="array" ref="D19">_xlfn._xlws.FILTER(rawdata!$F$2:$F$3638,(rawdata!$A$2:$A$3638=transformed_data!$A19)*(rawdata!$C$2:$C$3638=transformed_data!D$1))</f>
        <v>540495.05715000001</v>
      </c>
      <c r="E19" s="2" cm="1">
        <f t="array" ref="E19">SUM(-B19:D19,_xlfn._xlws.FILTER(rawdata!$F$2:$F$3638,(rawdata!$A$2:$A$3638=transformed_data!$A19)*(rawdata!$B$2:$B$3638="Total Marketable")))</f>
        <v>426705.53380875103</v>
      </c>
      <c r="F19" s="2" cm="1">
        <f t="array" ref="F19">_xlfn._xlws.FILTER(rawdata!$F$2:$F$3638,(rawdata!$A$2:$A$3638=transformed_data!$A19)*(rawdata!$B$2:$B$3638="Total Nonmarketable"))</f>
        <v>4380878.4355531996</v>
      </c>
      <c r="G19" s="2" cm="1">
        <f t="array" ref="G19">_xlfn._xlws.FILTER(rawdata!$D$2:$D$3638,(rawdata!$A$2:$A$3638=transformed_data!$A19)*(rawdata!$B$2:$B$3638="Total Public Debt Outstanding"))</f>
        <v>5053939.8912334796</v>
      </c>
      <c r="H19" s="2" cm="1">
        <f t="array" ref="H19">_xlfn._xlws.FILTER(rawdata!$E$2:$E$3638,(rawdata!$A$2:$A$3638=transformed_data!$A19)*(rawdata!$B$2:$B$3638="Total Public Debt Outstanding"))</f>
        <v>3795725.3278784701</v>
      </c>
      <c r="I19" s="2" cm="1">
        <f t="array" ref="I19">_xlfn._xlws.FILTER(rawdata!$F$2:$F$3638,(rawdata!$A$2:$A$3638=transformed_data!$A19)*(rawdata!$B$2:$B$3638="Total Public Debt Outstanding"))</f>
        <v>8849665.2471119501</v>
      </c>
      <c r="K19" s="2"/>
      <c r="L19" s="2"/>
    </row>
    <row r="20" spans="1:12" x14ac:dyDescent="0.3">
      <c r="A20" s="1">
        <v>39202</v>
      </c>
      <c r="B20" s="2" cm="1">
        <f t="array" ref="B20">_xlfn._xlws.FILTER(rawdata!$F$2:$F$3638,(rawdata!$A$2:$A$3638=transformed_data!$A20)*(rawdata!$C$2:$C$3638=transformed_data!B$1))</f>
        <v>944086.87</v>
      </c>
      <c r="C20" s="2" cm="1">
        <f t="array" ref="C20">_xlfn._xlws.FILTER(rawdata!$F$2:$F$3638,(rawdata!$A$2:$A$3638=transformed_data!$A20)*(rawdata!$C$2:$C$3638=transformed_data!C$1))</f>
        <v>2482719.8646</v>
      </c>
      <c r="D20" s="2" cm="1">
        <f t="array" ref="D20">_xlfn._xlws.FILTER(rawdata!$F$2:$F$3638,(rawdata!$A$2:$A$3638=transformed_data!$A20)*(rawdata!$C$2:$C$3638=transformed_data!D$1))</f>
        <v>540494.14714999998</v>
      </c>
      <c r="E20" s="2" cm="1">
        <f t="array" ref="E20">SUM(-B20:D20,_xlfn._xlws.FILTER(rawdata!$F$2:$F$3638,(rawdata!$A$2:$A$3638=transformed_data!$A20)*(rawdata!$B$2:$B$3638="Total Marketable")))</f>
        <v>445084.53793015936</v>
      </c>
      <c r="F20" s="2" cm="1">
        <f t="array" ref="F20">_xlfn._xlws.FILTER(rawdata!$F$2:$F$3638,(rawdata!$A$2:$A$3638=transformed_data!$A20)*(rawdata!$B$2:$B$3638="Total Nonmarketable"))</f>
        <v>4427783.3571466804</v>
      </c>
      <c r="G20" s="2" cm="1">
        <f t="array" ref="G20">_xlfn._xlws.FILTER(rawdata!$D$2:$D$3638,(rawdata!$A$2:$A$3638=transformed_data!$A20)*(rawdata!$B$2:$B$3638="Total Public Debt Outstanding"))</f>
        <v>5007058.1823659204</v>
      </c>
      <c r="H20" s="2" cm="1">
        <f t="array" ref="H20">_xlfn._xlws.FILTER(rawdata!$E$2:$E$3638,(rawdata!$A$2:$A$3638=transformed_data!$A20)*(rawdata!$B$2:$B$3638="Total Public Debt Outstanding"))</f>
        <v>3833109.59446092</v>
      </c>
      <c r="I20" s="2" cm="1">
        <f t="array" ref="I20">_xlfn._xlws.FILTER(rawdata!$F$2:$F$3638,(rawdata!$A$2:$A$3638=transformed_data!$A20)*(rawdata!$B$2:$B$3638="Total Public Debt Outstanding"))</f>
        <v>8840167.7768268399</v>
      </c>
      <c r="K20" s="2"/>
      <c r="L20" s="2"/>
    </row>
    <row r="21" spans="1:12" x14ac:dyDescent="0.3">
      <c r="A21" s="1">
        <v>39233</v>
      </c>
      <c r="B21" s="2" cm="1">
        <f t="array" ref="B21">_xlfn._xlws.FILTER(rawdata!$F$2:$F$3638,(rawdata!$A$2:$A$3638=transformed_data!$A21)*(rawdata!$C$2:$C$3638=transformed_data!B$1))</f>
        <v>919078.94200000004</v>
      </c>
      <c r="C21" s="2" cm="1">
        <f t="array" ref="C21">_xlfn._xlws.FILTER(rawdata!$F$2:$F$3638,(rawdata!$A$2:$A$3638=transformed_data!$A21)*(rawdata!$C$2:$C$3638=transformed_data!C$1))</f>
        <v>2462977.4005999998</v>
      </c>
      <c r="D21" s="2" cm="1">
        <f t="array" ref="D21">_xlfn._xlws.FILTER(rawdata!$F$2:$F$3638,(rawdata!$A$2:$A$3638=transformed_data!$A21)*(rawdata!$C$2:$C$3638=transformed_data!D$1))</f>
        <v>547256.62505000003</v>
      </c>
      <c r="E21" s="2" cm="1">
        <f t="array" ref="E21">SUM(-B21:D21,_xlfn._xlws.FILTER(rawdata!$F$2:$F$3638,(rawdata!$A$2:$A$3638=transformed_data!$A21)*(rawdata!$B$2:$B$3638="Total Marketable")))</f>
        <v>448959.98074163031</v>
      </c>
      <c r="F21" s="2" cm="1">
        <f t="array" ref="F21">_xlfn._xlws.FILTER(rawdata!$F$2:$F$3638,(rawdata!$A$2:$A$3638=transformed_data!$A21)*(rawdata!$B$2:$B$3638="Total Nonmarketable"))</f>
        <v>4450719.57148646</v>
      </c>
      <c r="G21" s="2" cm="1">
        <f t="array" ref="G21">_xlfn._xlws.FILTER(rawdata!$D$2:$D$3638,(rawdata!$A$2:$A$3638=transformed_data!$A21)*(rawdata!$B$2:$B$3638="Total Public Debt Outstanding"))</f>
        <v>4980871.1580024501</v>
      </c>
      <c r="H21" s="2" cm="1">
        <f t="array" ref="H21">_xlfn._xlws.FILTER(rawdata!$E$2:$E$3638,(rawdata!$A$2:$A$3638=transformed_data!$A21)*(rawdata!$B$2:$B$3638="Total Public Debt Outstanding"))</f>
        <v>3848121.2718756399</v>
      </c>
      <c r="I21" s="2" cm="1">
        <f t="array" ref="I21">_xlfn._xlws.FILTER(rawdata!$F$2:$F$3638,(rawdata!$A$2:$A$3638=transformed_data!$A21)*(rawdata!$B$2:$B$3638="Total Public Debt Outstanding"))</f>
        <v>8828991.5198780894</v>
      </c>
      <c r="K21" s="2"/>
      <c r="L21" s="2"/>
    </row>
    <row r="22" spans="1:12" x14ac:dyDescent="0.3">
      <c r="A22" s="1">
        <v>39263</v>
      </c>
      <c r="B22" s="2" cm="1">
        <f t="array" ref="B22">_xlfn._xlws.FILTER(rawdata!$F$2:$F$3638,(rawdata!$A$2:$A$3638=transformed_data!$A22)*(rawdata!$C$2:$C$3638=transformed_data!B$1))</f>
        <v>869051.6</v>
      </c>
      <c r="C22" s="2" cm="1">
        <f t="array" ref="C22">_xlfn._xlws.FILTER(rawdata!$F$2:$F$3638,(rawdata!$A$2:$A$3638=transformed_data!$A22)*(rawdata!$C$2:$C$3638=transformed_data!C$1))</f>
        <v>2470975.7566</v>
      </c>
      <c r="D22" s="2" cm="1">
        <f t="array" ref="D22">_xlfn._xlws.FILTER(rawdata!$F$2:$F$3638,(rawdata!$A$2:$A$3638=transformed_data!$A22)*(rawdata!$C$2:$C$3638=transformed_data!D$1))</f>
        <v>547255.26194999996</v>
      </c>
      <c r="E22" s="2" cm="1">
        <f t="array" ref="E22">SUM(-B22:D22,_xlfn._xlws.FILTER(rawdata!$F$2:$F$3638,(rawdata!$A$2:$A$3638=transformed_data!$A22)*(rawdata!$B$2:$B$3638="Total Marketable")))</f>
        <v>451818.59389758017</v>
      </c>
      <c r="F22" s="2" cm="1">
        <f t="array" ref="F22">_xlfn._xlws.FILTER(rawdata!$F$2:$F$3638,(rawdata!$A$2:$A$3638=transformed_data!$A22)*(rawdata!$B$2:$B$3638="Total Nonmarketable"))</f>
        <v>4528573.9923210898</v>
      </c>
      <c r="G22" s="2" cm="1">
        <f t="array" ref="G22">_xlfn._xlws.FILTER(rawdata!$D$2:$D$3638,(rawdata!$A$2:$A$3638=transformed_data!$A22)*(rawdata!$B$2:$B$3638="Total Public Debt Outstanding"))</f>
        <v>4943090.4103004001</v>
      </c>
      <c r="H22" s="2" cm="1">
        <f t="array" ref="H22">_xlfn._xlws.FILTER(rawdata!$E$2:$E$3638,(rawdata!$A$2:$A$3638=transformed_data!$A22)*(rawdata!$B$2:$B$3638="Total Public Debt Outstanding"))</f>
        <v>3924584.7044682698</v>
      </c>
      <c r="I22" s="2" cm="1">
        <f t="array" ref="I22">_xlfn._xlws.FILTER(rawdata!$F$2:$F$3638,(rawdata!$A$2:$A$3638=transformed_data!$A22)*(rawdata!$B$2:$B$3638="Total Public Debt Outstanding"))</f>
        <v>8867675.2047686707</v>
      </c>
      <c r="K22" s="2"/>
      <c r="L22" s="2"/>
    </row>
    <row r="23" spans="1:12" x14ac:dyDescent="0.3">
      <c r="A23" s="1">
        <v>39294</v>
      </c>
      <c r="B23" s="2" cm="1">
        <f t="array" ref="B23">_xlfn._xlws.FILTER(rawdata!$F$2:$F$3638,(rawdata!$A$2:$A$3638=transformed_data!$A23)*(rawdata!$C$2:$C$3638=transformed_data!B$1))</f>
        <v>892068.28500000003</v>
      </c>
      <c r="C23" s="2" cm="1">
        <f t="array" ref="C23">_xlfn._xlws.FILTER(rawdata!$F$2:$F$3638,(rawdata!$A$2:$A$3638=transformed_data!$A23)*(rawdata!$C$2:$C$3638=transformed_data!C$1))</f>
        <v>2494059.5735999998</v>
      </c>
      <c r="D23" s="2" cm="1">
        <f t="array" ref="D23">_xlfn._xlws.FILTER(rawdata!$F$2:$F$3638,(rawdata!$A$2:$A$3638=transformed_data!$A23)*(rawdata!$C$2:$C$3638=transformed_data!D$1))</f>
        <v>547253.57695000002</v>
      </c>
      <c r="E23" s="2" cm="1">
        <f t="array" ref="E23">SUM(-B23:D23,_xlfn._xlws.FILTER(rawdata!$F$2:$F$3638,(rawdata!$A$2:$A$3638=transformed_data!$A23)*(rawdata!$B$2:$B$3638="Total Marketable")))</f>
        <v>470039.86967754038</v>
      </c>
      <c r="F23" s="2" cm="1">
        <f t="array" ref="F23">_xlfn._xlws.FILTER(rawdata!$F$2:$F$3638,(rawdata!$A$2:$A$3638=transformed_data!$A23)*(rawdata!$B$2:$B$3638="Total Nonmarketable"))</f>
        <v>4529016.8767877296</v>
      </c>
      <c r="G23" s="2" cm="1">
        <f t="array" ref="G23">_xlfn._xlws.FILTER(rawdata!$D$2:$D$3638,(rawdata!$A$2:$A$3638=transformed_data!$A23)*(rawdata!$B$2:$B$3638="Total Public Debt Outstanding"))</f>
        <v>5003717.2801474603</v>
      </c>
      <c r="H23" s="2" cm="1">
        <f t="array" ref="H23">_xlfn._xlws.FILTER(rawdata!$E$2:$E$3638,(rawdata!$A$2:$A$3638=transformed_data!$A23)*(rawdata!$B$2:$B$3638="Total Public Debt Outstanding"))</f>
        <v>3928721.8118678099</v>
      </c>
      <c r="I23" s="2" cm="1">
        <f t="array" ref="I23">_xlfn._xlws.FILTER(rawdata!$F$2:$F$3638,(rawdata!$A$2:$A$3638=transformed_data!$A23)*(rawdata!$B$2:$B$3638="Total Public Debt Outstanding"))</f>
        <v>8932438.18201527</v>
      </c>
      <c r="K23" s="2"/>
      <c r="L23" s="2"/>
    </row>
    <row r="24" spans="1:12" x14ac:dyDescent="0.3">
      <c r="A24" s="1">
        <v>39325</v>
      </c>
      <c r="B24" s="2" cm="1">
        <f t="array" ref="B24">_xlfn._xlws.FILTER(rawdata!$F$2:$F$3638,(rawdata!$A$2:$A$3638=transformed_data!$A24)*(rawdata!$C$2:$C$3638=transformed_data!B$1))</f>
        <v>1014066.795</v>
      </c>
      <c r="C24" s="2" cm="1">
        <f t="array" ref="C24">_xlfn._xlws.FILTER(rawdata!$F$2:$F$3638,(rawdata!$A$2:$A$3638=transformed_data!$A24)*(rawdata!$C$2:$C$3638=transformed_data!C$1))</f>
        <v>2450041.1675999998</v>
      </c>
      <c r="D24" s="2" cm="1">
        <f t="array" ref="D24">_xlfn._xlws.FILTER(rawdata!$F$2:$F$3638,(rawdata!$A$2:$A$3638=transformed_data!$A24)*(rawdata!$C$2:$C$3638=transformed_data!D$1))</f>
        <v>561098.65745000006</v>
      </c>
      <c r="E24" s="2" cm="1">
        <f t="array" ref="E24">SUM(-B24:D24,_xlfn._xlws.FILTER(rawdata!$F$2:$F$3638,(rawdata!$A$2:$A$3638=transformed_data!$A24)*(rawdata!$B$2:$B$3638="Total Marketable")))</f>
        <v>470992.6090398496</v>
      </c>
      <c r="F24" s="2" cm="1">
        <f t="array" ref="F24">_xlfn._xlws.FILTER(rawdata!$F$2:$F$3638,(rawdata!$A$2:$A$3638=transformed_data!$A24)*(rawdata!$B$2:$B$3638="Total Nonmarketable"))</f>
        <v>4509449.4111885</v>
      </c>
      <c r="G24" s="2" cm="1">
        <f t="array" ref="G24">_xlfn._xlws.FILTER(rawdata!$D$2:$D$3638,(rawdata!$A$2:$A$3638=transformed_data!$A24)*(rawdata!$B$2:$B$3638="Total Public Debt Outstanding"))</f>
        <v>5096937.6984995203</v>
      </c>
      <c r="H24" s="2" cm="1">
        <f t="array" ref="H24">_xlfn._xlws.FILTER(rawdata!$E$2:$E$3638,(rawdata!$A$2:$A$3638=transformed_data!$A24)*(rawdata!$B$2:$B$3638="Total Public Debt Outstanding"))</f>
        <v>3908709.8517788299</v>
      </c>
      <c r="I24" s="2" cm="1">
        <f t="array" ref="I24">_xlfn._xlws.FILTER(rawdata!$F$2:$F$3638,(rawdata!$A$2:$A$3638=transformed_data!$A24)*(rawdata!$B$2:$B$3638="Total Public Debt Outstanding"))</f>
        <v>9005648.6402783506</v>
      </c>
      <c r="K24" s="2"/>
      <c r="L24" s="2"/>
    </row>
    <row r="25" spans="1:12" x14ac:dyDescent="0.3">
      <c r="A25" s="1">
        <v>39355</v>
      </c>
      <c r="B25" s="2" cm="1">
        <f t="array" ref="B25">_xlfn._xlws.FILTER(rawdata!$F$2:$F$3638,(rawdata!$A$2:$A$3638=transformed_data!$A25)*(rawdata!$C$2:$C$3638=transformed_data!B$1))</f>
        <v>958081.26699999999</v>
      </c>
      <c r="C25" s="2" cm="1">
        <f t="array" ref="C25">_xlfn._xlws.FILTER(rawdata!$F$2:$F$3638,(rawdata!$A$2:$A$3638=transformed_data!$A25)*(rawdata!$C$2:$C$3638=transformed_data!C$1))</f>
        <v>2458038.6505999998</v>
      </c>
      <c r="D25" s="2" cm="1">
        <f t="array" ref="D25">_xlfn._xlws.FILTER(rawdata!$F$2:$F$3638,(rawdata!$A$2:$A$3638=transformed_data!$A25)*(rawdata!$C$2:$C$3638=transformed_data!D$1))</f>
        <v>561098.15044999996</v>
      </c>
      <c r="E25" s="2" cm="1">
        <f t="array" ref="E25">SUM(-B25:D25,_xlfn._xlws.FILTER(rawdata!$F$2:$F$3638,(rawdata!$A$2:$A$3638=transformed_data!$A25)*(rawdata!$B$2:$B$3638="Total Marketable")))</f>
        <v>470915.88023622055</v>
      </c>
      <c r="F25" s="2" cm="1">
        <f t="array" ref="F25">_xlfn._xlws.FILTER(rawdata!$F$2:$F$3638,(rawdata!$A$2:$A$3638=transformed_data!$A25)*(rawdata!$B$2:$B$3638="Total Nonmarketable"))</f>
        <v>4559519.4679534202</v>
      </c>
      <c r="G25" s="2" cm="1">
        <f t="array" ref="G25">_xlfn._xlws.FILTER(rawdata!$D$2:$D$3638,(rawdata!$A$2:$A$3638=transformed_data!$A25)*(rawdata!$B$2:$B$3638="Total Public Debt Outstanding"))</f>
        <v>5049305.6609260701</v>
      </c>
      <c r="H25" s="2" cm="1">
        <f t="array" ref="H25">_xlfn._xlws.FILTER(rawdata!$E$2:$E$3638,(rawdata!$A$2:$A$3638=transformed_data!$A25)*(rawdata!$B$2:$B$3638="Total Public Debt Outstanding"))</f>
        <v>3958347.6653135698</v>
      </c>
      <c r="I25" s="2" cm="1">
        <f t="array" ref="I25">_xlfn._xlws.FILTER(rawdata!$F$2:$F$3638,(rawdata!$A$2:$A$3638=transformed_data!$A25)*(rawdata!$B$2:$B$3638="Total Public Debt Outstanding"))</f>
        <v>9007653.4162396397</v>
      </c>
      <c r="K25" s="2"/>
      <c r="L25" s="2"/>
    </row>
    <row r="26" spans="1:12" x14ac:dyDescent="0.3">
      <c r="A26" s="1">
        <v>39386</v>
      </c>
      <c r="B26" s="2" cm="1">
        <f t="array" ref="B26">_xlfn._xlws.FILTER(rawdata!$F$2:$F$3638,(rawdata!$A$2:$A$3638=transformed_data!$A26)*(rawdata!$C$2:$C$3638=transformed_data!B$1))</f>
        <v>938072.72199999995</v>
      </c>
      <c r="C26" s="2" cm="1">
        <f t="array" ref="C26">_xlfn._xlws.FILTER(rawdata!$F$2:$F$3638,(rawdata!$A$2:$A$3638=transformed_data!$A26)*(rawdata!$C$2:$C$3638=transformed_data!C$1))</f>
        <v>2482113.8316000002</v>
      </c>
      <c r="D26" s="2" cm="1">
        <f t="array" ref="D26">_xlfn._xlws.FILTER(rawdata!$F$2:$F$3638,(rawdata!$A$2:$A$3638=transformed_data!$A26)*(rawdata!$C$2:$C$3638=transformed_data!D$1))</f>
        <v>561097.60294999997</v>
      </c>
      <c r="E26" s="2" cm="1">
        <f t="array" ref="E26">SUM(-B26:D26,_xlfn._xlws.FILTER(rawdata!$F$2:$F$3638,(rawdata!$A$2:$A$3638=transformed_data!$A26)*(rawdata!$B$2:$B$3638="Total Marketable")))</f>
        <v>483446.26496251952</v>
      </c>
      <c r="F26" s="2" cm="1">
        <f t="array" ref="F26">_xlfn._xlws.FILTER(rawdata!$F$2:$F$3638,(rawdata!$A$2:$A$3638=transformed_data!$A26)*(rawdata!$B$2:$B$3638="Total Nonmarketable"))</f>
        <v>4614355.8843697403</v>
      </c>
      <c r="G26" s="2" cm="1">
        <f t="array" ref="G26">_xlfn._xlws.FILTER(rawdata!$D$2:$D$3638,(rawdata!$A$2:$A$3638=transformed_data!$A26)*(rawdata!$B$2:$B$3638="Total Public Debt Outstanding"))</f>
        <v>5067079.1066169497</v>
      </c>
      <c r="H26" s="2" cm="1">
        <f t="array" ref="H26">_xlfn._xlws.FILTER(rawdata!$E$2:$E$3638,(rawdata!$A$2:$A$3638=transformed_data!$A26)*(rawdata!$B$2:$B$3638="Total Public Debt Outstanding"))</f>
        <v>4012008.1092653102</v>
      </c>
      <c r="I26" s="2" cm="1">
        <f t="array" ref="I26">_xlfn._xlws.FILTER(rawdata!$F$2:$F$3638,(rawdata!$A$2:$A$3638=transformed_data!$A26)*(rawdata!$B$2:$B$3638="Total Public Debt Outstanding"))</f>
        <v>9079086.3058822602</v>
      </c>
      <c r="K26" s="2"/>
      <c r="L26" s="2"/>
    </row>
    <row r="27" spans="1:12" x14ac:dyDescent="0.3">
      <c r="A27" s="1">
        <v>39416</v>
      </c>
      <c r="B27" s="2" cm="1">
        <f t="array" ref="B27">_xlfn._xlws.FILTER(rawdata!$F$2:$F$3638,(rawdata!$A$2:$A$3638=transformed_data!$A27)*(rawdata!$C$2:$C$3638=transformed_data!B$1))</f>
        <v>1035049.336</v>
      </c>
      <c r="C27" s="2" cm="1">
        <f t="array" ref="C27">_xlfn._xlws.FILTER(rawdata!$F$2:$F$3638,(rawdata!$A$2:$A$3638=transformed_data!$A27)*(rawdata!$C$2:$C$3638=transformed_data!C$1))</f>
        <v>2465000.1705999998</v>
      </c>
      <c r="D27" s="2" cm="1">
        <f t="array" ref="D27">_xlfn._xlws.FILTER(rawdata!$F$2:$F$3638,(rawdata!$A$2:$A$3638=transformed_data!$A27)*(rawdata!$C$2:$C$3638=transformed_data!D$1))</f>
        <v>558541.72290000005</v>
      </c>
      <c r="E27" s="2" cm="1">
        <f t="array" ref="E27">SUM(-B27:D27,_xlfn._xlws.FILTER(rawdata!$F$2:$F$3638,(rawdata!$A$2:$A$3638=transformed_data!$A27)*(rawdata!$B$2:$B$3638="Total Marketable")))</f>
        <v>484668.56701584021</v>
      </c>
      <c r="F27" s="2" cm="1">
        <f t="array" ref="F27">_xlfn._xlws.FILTER(rawdata!$F$2:$F$3638,(rawdata!$A$2:$A$3638=transformed_data!$A27)*(rawdata!$B$2:$B$3638="Total Nonmarketable"))</f>
        <v>4606082.06617771</v>
      </c>
      <c r="G27" s="2" cm="1">
        <f t="array" ref="G27">_xlfn._xlws.FILTER(rawdata!$D$2:$D$3638,(rawdata!$A$2:$A$3638=transformed_data!$A27)*(rawdata!$B$2:$B$3638="Total Public Debt Outstanding"))</f>
        <v>5146578.9649664704</v>
      </c>
      <c r="H27" s="2" cm="1">
        <f t="array" ref="H27">_xlfn._xlws.FILTER(rawdata!$E$2:$E$3638,(rawdata!$A$2:$A$3638=transformed_data!$A27)*(rawdata!$B$2:$B$3638="Total Public Debt Outstanding"))</f>
        <v>4002761.7937270799</v>
      </c>
      <c r="I27" s="2" cm="1">
        <f t="array" ref="I27">_xlfn._xlws.FILTER(rawdata!$F$2:$F$3638,(rawdata!$A$2:$A$3638=transformed_data!$A27)*(rawdata!$B$2:$B$3638="Total Public Debt Outstanding"))</f>
        <v>9149340.8626935594</v>
      </c>
      <c r="K27" s="2"/>
      <c r="L27" s="2"/>
    </row>
    <row r="28" spans="1:12" x14ac:dyDescent="0.3">
      <c r="A28" s="1">
        <v>39447</v>
      </c>
      <c r="B28" s="2" cm="1">
        <f t="array" ref="B28">_xlfn._xlws.FILTER(rawdata!$F$2:$F$3638,(rawdata!$A$2:$A$3638=transformed_data!$A28)*(rawdata!$C$2:$C$3638=transformed_data!B$1))</f>
        <v>1003874.672</v>
      </c>
      <c r="C28" s="2" cm="1">
        <f t="array" ref="C28">_xlfn._xlws.FILTER(rawdata!$F$2:$F$3638,(rawdata!$A$2:$A$3638=transformed_data!$A28)*(rawdata!$C$2:$C$3638=transformed_data!C$1))</f>
        <v>2488486.6705999998</v>
      </c>
      <c r="D28" s="2" cm="1">
        <f t="array" ref="D28">_xlfn._xlws.FILTER(rawdata!$F$2:$F$3638,(rawdata!$A$2:$A$3638=transformed_data!$A28)*(rawdata!$C$2:$C$3638=transformed_data!D$1))</f>
        <v>558537.83490000002</v>
      </c>
      <c r="E28" s="2" cm="1">
        <f t="array" ref="E28">SUM(-B28:D28,_xlfn._xlws.FILTER(rawdata!$F$2:$F$3638,(rawdata!$A$2:$A$3638=transformed_data!$A28)*(rawdata!$B$2:$B$3638="Total Marketable")))</f>
        <v>485686.1228396995</v>
      </c>
      <c r="F28" s="2" cm="1">
        <f t="array" ref="F28">_xlfn._xlws.FILTER(rawdata!$F$2:$F$3638,(rawdata!$A$2:$A$3638=transformed_data!$A28)*(rawdata!$B$2:$B$3638="Total Nonmarketable"))</f>
        <v>4692586.5089913597</v>
      </c>
      <c r="G28" s="2" cm="1">
        <f t="array" ref="G28">_xlfn._xlws.FILTER(rawdata!$D$2:$D$3638,(rawdata!$A$2:$A$3638=transformed_data!$A28)*(rawdata!$B$2:$B$3638="Total Public Debt Outstanding"))</f>
        <v>5136303.2800723398</v>
      </c>
      <c r="H28" s="2" cm="1">
        <f t="array" ref="H28">_xlfn._xlws.FILTER(rawdata!$E$2:$E$3638,(rawdata!$A$2:$A$3638=transformed_data!$A28)*(rawdata!$B$2:$B$3638="Total Public Debt Outstanding"))</f>
        <v>4092870.3522587102</v>
      </c>
      <c r="I28" s="2" cm="1">
        <f t="array" ref="I28">_xlfn._xlws.FILTER(rawdata!$F$2:$F$3638,(rawdata!$A$2:$A$3638=transformed_data!$A28)*(rawdata!$B$2:$B$3638="Total Public Debt Outstanding"))</f>
        <v>9229172.8093310595</v>
      </c>
      <c r="K28" s="2"/>
      <c r="L28" s="2"/>
    </row>
    <row r="29" spans="1:12" x14ac:dyDescent="0.3">
      <c r="A29" s="1">
        <v>39478</v>
      </c>
      <c r="B29" s="2" cm="1">
        <f t="array" ref="B29">_xlfn._xlws.FILTER(rawdata!$F$2:$F$3638,(rawdata!$A$2:$A$3638=transformed_data!$A29)*(rawdata!$C$2:$C$3638=transformed_data!B$1))</f>
        <v>984387.57499999995</v>
      </c>
      <c r="C29" s="2" cm="1">
        <f t="array" ref="C29">_xlfn._xlws.FILTER(rawdata!$F$2:$F$3638,(rawdata!$A$2:$A$3638=transformed_data!$A29)*(rawdata!$C$2:$C$3638=transformed_data!C$1))</f>
        <v>2503949.1076000002</v>
      </c>
      <c r="D29" s="2" cm="1">
        <f t="array" ref="D29">_xlfn._xlws.FILTER(rawdata!$F$2:$F$3638,(rawdata!$A$2:$A$3638=transformed_data!$A29)*(rawdata!$C$2:$C$3638=transformed_data!D$1))</f>
        <v>558536.77839999995</v>
      </c>
      <c r="E29" s="2" cm="1">
        <f t="array" ref="E29">SUM(-B29:D29,_xlfn._xlws.FILTER(rawdata!$F$2:$F$3638,(rawdata!$A$2:$A$3638=transformed_data!$A29)*(rawdata!$B$2:$B$3638="Total Marketable")))</f>
        <v>486012.59408169985</v>
      </c>
      <c r="F29" s="2" cm="1">
        <f t="array" ref="F29">_xlfn._xlws.FILTER(rawdata!$F$2:$F$3638,(rawdata!$A$2:$A$3638=transformed_data!$A29)*(rawdata!$B$2:$B$3638="Total Nonmarketable"))</f>
        <v>4705121.5953261703</v>
      </c>
      <c r="G29" s="2" cm="1">
        <f t="array" ref="G29">_xlfn._xlws.FILTER(rawdata!$D$2:$D$3638,(rawdata!$A$2:$A$3638=transformed_data!$A29)*(rawdata!$B$2:$B$3638="Total Public Debt Outstanding"))</f>
        <v>5132264.5939321499</v>
      </c>
      <c r="H29" s="2" cm="1">
        <f t="array" ref="H29">_xlfn._xlws.FILTER(rawdata!$E$2:$E$3638,(rawdata!$A$2:$A$3638=transformed_data!$A29)*(rawdata!$B$2:$B$3638="Total Public Debt Outstanding"))</f>
        <v>4105742.6974757202</v>
      </c>
      <c r="I29" s="2" cm="1">
        <f t="array" ref="I29">_xlfn._xlws.FILTER(rawdata!$F$2:$F$3638,(rawdata!$A$2:$A$3638=transformed_data!$A29)*(rawdata!$B$2:$B$3638="Total Public Debt Outstanding"))</f>
        <v>9238007.6504078694</v>
      </c>
      <c r="K29" s="2"/>
      <c r="L29" s="2"/>
    </row>
    <row r="30" spans="1:12" x14ac:dyDescent="0.3">
      <c r="A30" s="1">
        <v>39507</v>
      </c>
      <c r="B30" s="2" cm="1">
        <f t="array" ref="B30">_xlfn._xlws.FILTER(rawdata!$F$2:$F$3638,(rawdata!$A$2:$A$3638=transformed_data!$A30)*(rawdata!$C$2:$C$3638=transformed_data!B$1))</f>
        <v>1125392.7830000001</v>
      </c>
      <c r="C30" s="2" cm="1">
        <f t="array" ref="C30">_xlfn._xlws.FILTER(rawdata!$F$2:$F$3638,(rawdata!$A$2:$A$3638=transformed_data!$A30)*(rawdata!$C$2:$C$3638=transformed_data!C$1))</f>
        <v>2478366.7365999999</v>
      </c>
      <c r="D30" s="2" cm="1">
        <f t="array" ref="D30">_xlfn._xlws.FILTER(rawdata!$F$2:$F$3638,(rawdata!$A$2:$A$3638=transformed_data!$A30)*(rawdata!$C$2:$C$3638=transformed_data!D$1))</f>
        <v>571830.40040000004</v>
      </c>
      <c r="E30" s="2" cm="1">
        <f t="array" ref="E30">SUM(-B30:D30,_xlfn._xlws.FILTER(rawdata!$F$2:$F$3638,(rawdata!$A$2:$A$3638=transformed_data!$A30)*(rawdata!$B$2:$B$3638="Total Marketable")))</f>
        <v>485797.34870722005</v>
      </c>
      <c r="F30" s="2" cm="1">
        <f t="array" ref="F30">_xlfn._xlws.FILTER(rawdata!$F$2:$F$3638,(rawdata!$A$2:$A$3638=transformed_data!$A30)*(rawdata!$B$2:$B$3638="Total Nonmarketable"))</f>
        <v>4696663.6500300001</v>
      </c>
      <c r="G30" s="2" cm="1">
        <f t="array" ref="G30">_xlfn._xlws.FILTER(rawdata!$D$2:$D$3638,(rawdata!$A$2:$A$3638=transformed_data!$A30)*(rawdata!$B$2:$B$3638="Total Public Debt Outstanding"))</f>
        <v>5259803.9237152003</v>
      </c>
      <c r="H30" s="2" cm="1">
        <f t="array" ref="H30">_xlfn._xlws.FILTER(rawdata!$E$2:$E$3638,(rawdata!$A$2:$A$3638=transformed_data!$A30)*(rawdata!$B$2:$B$3638="Total Public Debt Outstanding"))</f>
        <v>4098246.53302202</v>
      </c>
      <c r="I30" s="2" cm="1">
        <f t="array" ref="I30">_xlfn._xlws.FILTER(rawdata!$F$2:$F$3638,(rawdata!$A$2:$A$3638=transformed_data!$A30)*(rawdata!$B$2:$B$3638="Total Public Debt Outstanding"))</f>
        <v>9358050.9187372196</v>
      </c>
      <c r="K30" s="2"/>
      <c r="L30" s="2"/>
    </row>
    <row r="31" spans="1:12" x14ac:dyDescent="0.3">
      <c r="A31" s="1">
        <v>39538</v>
      </c>
      <c r="B31" s="2" cm="1">
        <f t="array" ref="B31">_xlfn._xlws.FILTER(rawdata!$F$2:$F$3638,(rawdata!$A$2:$A$3638=transformed_data!$A31)*(rawdata!$C$2:$C$3638=transformed_data!B$1))</f>
        <v>1158388.0460000001</v>
      </c>
      <c r="C31" s="2" cm="1">
        <f t="array" ref="C31">_xlfn._xlws.FILTER(rawdata!$F$2:$F$3638,(rawdata!$A$2:$A$3638=transformed_data!$A31)*(rawdata!$C$2:$C$3638=transformed_data!C$1))</f>
        <v>2514087.0995999998</v>
      </c>
      <c r="D31" s="2" cm="1">
        <f t="array" ref="D31">_xlfn._xlws.FILTER(rawdata!$F$2:$F$3638,(rawdata!$A$2:$A$3638=transformed_data!$A31)*(rawdata!$C$2:$C$3638=transformed_data!D$1))</f>
        <v>571829.59939999995</v>
      </c>
      <c r="E31" s="2" cm="1">
        <f t="array" ref="E31">SUM(-B31:D31,_xlfn._xlws.FILTER(rawdata!$F$2:$F$3638,(rawdata!$A$2:$A$3638=transformed_data!$A31)*(rawdata!$B$2:$B$3638="Total Marketable")))</f>
        <v>488056.29611476976</v>
      </c>
      <c r="F31" s="2" cm="1">
        <f t="array" ref="F31">_xlfn._xlws.FILTER(rawdata!$F$2:$F$3638,(rawdata!$A$2:$A$3638=transformed_data!$A31)*(rawdata!$B$2:$B$3638="Total Nonmarketable"))</f>
        <v>4705232.6174085299</v>
      </c>
      <c r="G31" s="2" cm="1">
        <f t="array" ref="G31">_xlfn._xlws.FILTER(rawdata!$D$2:$D$3638,(rawdata!$A$2:$A$3638=transformed_data!$A31)*(rawdata!$B$2:$B$3638="Total Public Debt Outstanding"))</f>
        <v>5334116.1327438196</v>
      </c>
      <c r="H31" s="2" cm="1">
        <f t="array" ref="H31">_xlfn._xlws.FILTER(rawdata!$E$2:$E$3638,(rawdata!$A$2:$A$3638=transformed_data!$A31)*(rawdata!$B$2:$B$3638="Total Public Debt Outstanding"))</f>
        <v>4103479.4347794801</v>
      </c>
      <c r="I31" s="2" cm="1">
        <f t="array" ref="I31">_xlfn._xlws.FILTER(rawdata!$F$2:$F$3638,(rawdata!$A$2:$A$3638=transformed_data!$A31)*(rawdata!$B$2:$B$3638="Total Public Debt Outstanding"))</f>
        <v>9437593.6585233007</v>
      </c>
      <c r="K31" s="2"/>
      <c r="L31" s="2"/>
    </row>
    <row r="32" spans="1:12" x14ac:dyDescent="0.3">
      <c r="A32" s="1">
        <v>39568</v>
      </c>
      <c r="B32" s="2" cm="1">
        <f t="array" ref="B32">_xlfn._xlws.FILTER(rawdata!$F$2:$F$3638,(rawdata!$A$2:$A$3638=transformed_data!$A32)*(rawdata!$C$2:$C$3638=transformed_data!B$1))</f>
        <v>1025716.2554</v>
      </c>
      <c r="C32" s="2" cm="1">
        <f t="array" ref="C32">_xlfn._xlws.FILTER(rawdata!$F$2:$F$3638,(rawdata!$A$2:$A$3638=transformed_data!$A32)*(rawdata!$C$2:$C$3638=transformed_data!C$1))</f>
        <v>2540745.1899000001</v>
      </c>
      <c r="D32" s="2" cm="1">
        <f t="array" ref="D32">_xlfn._xlws.FILTER(rawdata!$F$2:$F$3638,(rawdata!$A$2:$A$3638=transformed_data!$A32)*(rawdata!$C$2:$C$3638=transformed_data!D$1))</f>
        <v>571828.92189999996</v>
      </c>
      <c r="E32" s="2" cm="1">
        <f t="array" ref="E32">SUM(-B32:D32,_xlfn._xlws.FILTER(rawdata!$F$2:$F$3638,(rawdata!$A$2:$A$3638=transformed_data!$A32)*(rawdata!$B$2:$B$3638="Total Marketable")))</f>
        <v>504271.56012772024</v>
      </c>
      <c r="F32" s="2" cm="1">
        <f t="array" ref="F32">_xlfn._xlws.FILTER(rawdata!$F$2:$F$3638,(rawdata!$A$2:$A$3638=transformed_data!$A32)*(rawdata!$B$2:$B$3638="Total Nonmarketable"))</f>
        <v>4734994.8939915802</v>
      </c>
      <c r="G32" s="2" cm="1">
        <f t="array" ref="G32">_xlfn._xlws.FILTER(rawdata!$D$2:$D$3638,(rawdata!$A$2:$A$3638=transformed_data!$A32)*(rawdata!$B$2:$B$3638="Total Public Debt Outstanding"))</f>
        <v>5244195.2198333396</v>
      </c>
      <c r="H32" s="2" cm="1">
        <f t="array" ref="H32">_xlfn._xlws.FILTER(rawdata!$E$2:$E$3638,(rawdata!$A$2:$A$3638=transformed_data!$A32)*(rawdata!$B$2:$B$3638="Total Public Debt Outstanding"))</f>
        <v>4133362.5104859602</v>
      </c>
      <c r="I32" s="2" cm="1">
        <f t="array" ref="I32">_xlfn._xlws.FILTER(rawdata!$F$2:$F$3638,(rawdata!$A$2:$A$3638=transformed_data!$A32)*(rawdata!$B$2:$B$3638="Total Public Debt Outstanding"))</f>
        <v>9377556.8213193007</v>
      </c>
      <c r="K32" s="2"/>
      <c r="L32" s="2"/>
    </row>
    <row r="33" spans="1:12" x14ac:dyDescent="0.3">
      <c r="A33" s="1">
        <v>39599</v>
      </c>
      <c r="B33" s="2" cm="1">
        <f t="array" ref="B33">_xlfn._xlws.FILTER(rawdata!$F$2:$F$3638,(rawdata!$A$2:$A$3638=transformed_data!$A33)*(rawdata!$C$2:$C$3638=transformed_data!B$1))</f>
        <v>1119245.4436000001</v>
      </c>
      <c r="C33" s="2" cm="1">
        <f t="array" ref="C33">_xlfn._xlws.FILTER(rawdata!$F$2:$F$3638,(rawdata!$A$2:$A$3638=transformed_data!$A33)*(rawdata!$C$2:$C$3638=transformed_data!C$1))</f>
        <v>2476584.4306999999</v>
      </c>
      <c r="D33" s="2" cm="1">
        <f t="array" ref="D33">_xlfn._xlws.FILTER(rawdata!$F$2:$F$3638,(rawdata!$A$2:$A$3638=transformed_data!$A33)*(rawdata!$C$2:$C$3638=transformed_data!D$1))</f>
        <v>581059.20559999999</v>
      </c>
      <c r="E33" s="2" cm="1">
        <f t="array" ref="E33">SUM(-B33:D33,_xlfn._xlws.FILTER(rawdata!$F$2:$F$3638,(rawdata!$A$2:$A$3638=transformed_data!$A33)*(rawdata!$B$2:$B$3638="Total Marketable")))</f>
        <v>508294.5365906395</v>
      </c>
      <c r="F33" s="2" cm="1">
        <f t="array" ref="F33">_xlfn._xlws.FILTER(rawdata!$F$2:$F$3638,(rawdata!$A$2:$A$3638=transformed_data!$A33)*(rawdata!$B$2:$B$3638="Total Nonmarketable"))</f>
        <v>4703615.2948973197</v>
      </c>
      <c r="G33" s="2" cm="1">
        <f t="array" ref="G33">_xlfn._xlws.FILTER(rawdata!$D$2:$D$3638,(rawdata!$A$2:$A$3638=transformed_data!$A33)*(rawdata!$B$2:$B$3638="Total Public Debt Outstanding"))</f>
        <v>5278699.2290051198</v>
      </c>
      <c r="H33" s="2" cm="1">
        <f t="array" ref="H33">_xlfn._xlws.FILTER(rawdata!$E$2:$E$3638,(rawdata!$A$2:$A$3638=transformed_data!$A33)*(rawdata!$B$2:$B$3638="Total Public Debt Outstanding"))</f>
        <v>4110099.5913828402</v>
      </c>
      <c r="I33" s="2" cm="1">
        <f t="array" ref="I33">_xlfn._xlws.FILTER(rawdata!$F$2:$F$3638,(rawdata!$A$2:$A$3638=transformed_data!$A33)*(rawdata!$B$2:$B$3638="Total Public Debt Outstanding"))</f>
        <v>9388798.9113879595</v>
      </c>
      <c r="K33" s="2"/>
      <c r="L33" s="2"/>
    </row>
    <row r="34" spans="1:12" x14ac:dyDescent="0.3">
      <c r="A34" s="1">
        <v>39629</v>
      </c>
      <c r="B34" s="2" cm="1">
        <f t="array" ref="B34">_xlfn._xlws.FILTER(rawdata!$F$2:$F$3638,(rawdata!$A$2:$A$3638=transformed_data!$A34)*(rawdata!$C$2:$C$3638=transformed_data!B$1))</f>
        <v>1060456.8025</v>
      </c>
      <c r="C34" s="2" cm="1">
        <f t="array" ref="C34">_xlfn._xlws.FILTER(rawdata!$F$2:$F$3638,(rawdata!$A$2:$A$3638=transformed_data!$A34)*(rawdata!$C$2:$C$3638=transformed_data!C$1))</f>
        <v>2543441.5795999998</v>
      </c>
      <c r="D34" s="2" cm="1">
        <f t="array" ref="D34">_xlfn._xlws.FILTER(rawdata!$F$2:$F$3638,(rawdata!$A$2:$A$3638=transformed_data!$A34)*(rawdata!$C$2:$C$3638=transformed_data!D$1))</f>
        <v>581058.87159999995</v>
      </c>
      <c r="E34" s="2" cm="1">
        <f t="array" ref="E34">SUM(-B34:D34,_xlfn._xlws.FILTER(rawdata!$F$2:$F$3638,(rawdata!$A$2:$A$3638=transformed_data!$A34)*(rawdata!$B$2:$B$3638="Total Marketable")))</f>
        <v>511468.34475107957</v>
      </c>
      <c r="F34" s="2" cm="1">
        <f t="array" ref="F34">_xlfn._xlws.FILTER(rawdata!$F$2:$F$3638,(rawdata!$A$2:$A$3638=transformed_data!$A34)*(rawdata!$B$2:$B$3638="Total Nonmarketable"))</f>
        <v>4795581.0738244597</v>
      </c>
      <c r="G34" s="2" cm="1">
        <f t="array" ref="G34">_xlfn._xlws.FILTER(rawdata!$D$2:$D$3638,(rawdata!$A$2:$A$3638=transformed_data!$A34)*(rawdata!$B$2:$B$3638="Total Public Debt Outstanding"))</f>
        <v>5285064.4316632496</v>
      </c>
      <c r="H34" s="2" cm="1">
        <f t="array" ref="H34">_xlfn._xlws.FILTER(rawdata!$E$2:$E$3638,(rawdata!$A$2:$A$3638=transformed_data!$A34)*(rawdata!$B$2:$B$3638="Total Public Debt Outstanding"))</f>
        <v>4206942.1296122903</v>
      </c>
      <c r="I34" s="2" cm="1">
        <f t="array" ref="I34">_xlfn._xlws.FILTER(rawdata!$F$2:$F$3638,(rawdata!$A$2:$A$3638=transformed_data!$A34)*(rawdata!$B$2:$B$3638="Total Public Debt Outstanding"))</f>
        <v>9492005.6722755395</v>
      </c>
      <c r="K34" s="2"/>
      <c r="L34" s="2"/>
    </row>
    <row r="35" spans="1:12" x14ac:dyDescent="0.3">
      <c r="A35" s="1">
        <v>39660</v>
      </c>
      <c r="B35" s="2" cm="1">
        <f t="array" ref="B35">_xlfn._xlws.FILTER(rawdata!$F$2:$F$3638,(rawdata!$A$2:$A$3638=transformed_data!$A35)*(rawdata!$C$2:$C$3638=transformed_data!B$1))</f>
        <v>1135785.9504</v>
      </c>
      <c r="C35" s="2" cm="1">
        <f t="array" ref="C35">_xlfn._xlws.FILTER(rawdata!$F$2:$F$3638,(rawdata!$A$2:$A$3638=transformed_data!$A35)*(rawdata!$C$2:$C$3638=transformed_data!C$1))</f>
        <v>2574753.0783000002</v>
      </c>
      <c r="D35" s="2" cm="1">
        <f t="array" ref="D35">_xlfn._xlws.FILTER(rawdata!$F$2:$F$3638,(rawdata!$A$2:$A$3638=transformed_data!$A35)*(rawdata!$C$2:$C$3638=transformed_data!D$1))</f>
        <v>581057.76809999999</v>
      </c>
      <c r="E35" s="2" cm="1">
        <f t="array" ref="E35">SUM(-B35:D35,_xlfn._xlws.FILTER(rawdata!$F$2:$F$3638,(rawdata!$A$2:$A$3638=transformed_data!$A35)*(rawdata!$B$2:$B$3638="Total Marketable")))</f>
        <v>530526.52026147954</v>
      </c>
      <c r="F35" s="2" cm="1">
        <f t="array" ref="F35">_xlfn._xlws.FILTER(rawdata!$F$2:$F$3638,(rawdata!$A$2:$A$3638=transformed_data!$A35)*(rawdata!$B$2:$B$3638="Total Nonmarketable"))</f>
        <v>4763356.0504604401</v>
      </c>
      <c r="G35" s="2" cm="1">
        <f t="array" ref="G35">_xlfn._xlws.FILTER(rawdata!$D$2:$D$3638,(rawdata!$A$2:$A$3638=transformed_data!$A35)*(rawdata!$B$2:$B$3638="Total Public Debt Outstanding"))</f>
        <v>5403381.6067758203</v>
      </c>
      <c r="H35" s="2" cm="1">
        <f t="array" ref="H35">_xlfn._xlws.FILTER(rawdata!$E$2:$E$3638,(rawdata!$A$2:$A$3638=transformed_data!$A35)*(rawdata!$B$2:$B$3638="Total Public Debt Outstanding"))</f>
        <v>4182098.4527460998</v>
      </c>
      <c r="I35" s="2" cm="1">
        <f t="array" ref="I35">_xlfn._xlws.FILTER(rawdata!$F$2:$F$3638,(rawdata!$A$2:$A$3638=transformed_data!$A35)*(rawdata!$B$2:$B$3638="Total Public Debt Outstanding"))</f>
        <v>9585480.3675219193</v>
      </c>
      <c r="K35" s="2"/>
      <c r="L35" s="2"/>
    </row>
    <row r="36" spans="1:12" x14ac:dyDescent="0.3">
      <c r="A36" s="1">
        <v>39691</v>
      </c>
      <c r="B36" s="2" cm="1">
        <f t="array" ref="B36">_xlfn._xlws.FILTER(rawdata!$F$2:$F$3638,(rawdata!$A$2:$A$3638=transformed_data!$A36)*(rawdata!$C$2:$C$3638=transformed_data!B$1))</f>
        <v>1227192.348</v>
      </c>
      <c r="C36" s="2" cm="1">
        <f t="array" ref="C36">_xlfn._xlws.FILTER(rawdata!$F$2:$F$3638,(rawdata!$A$2:$A$3638=transformed_data!$A36)*(rawdata!$C$2:$C$3638=transformed_data!C$1))</f>
        <v>2556438.4783000001</v>
      </c>
      <c r="D36" s="2" cm="1">
        <f t="array" ref="D36">_xlfn._xlws.FILTER(rawdata!$F$2:$F$3638,(rawdata!$A$2:$A$3638=transformed_data!$A36)*(rawdata!$C$2:$C$3638=transformed_data!D$1))</f>
        <v>582874.13450000004</v>
      </c>
      <c r="E36" s="2" cm="1">
        <f t="array" ref="E36">SUM(-B36:D36,_xlfn._xlws.FILTER(rawdata!$F$2:$F$3638,(rawdata!$A$2:$A$3638=transformed_data!$A36)*(rawdata!$B$2:$B$3638="Total Marketable")))</f>
        <v>535385.02518525068</v>
      </c>
      <c r="F36" s="2" cm="1">
        <f t="array" ref="F36">_xlfn._xlws.FILTER(rawdata!$F$2:$F$3638,(rawdata!$A$2:$A$3638=transformed_data!$A36)*(rawdata!$B$2:$B$3638="Total Nonmarketable"))</f>
        <v>4743865.3936137697</v>
      </c>
      <c r="G36" s="2" cm="1">
        <f t="array" ref="G36">_xlfn._xlws.FILTER(rawdata!$D$2:$D$3638,(rawdata!$A$2:$A$3638=transformed_data!$A36)*(rawdata!$B$2:$B$3638="Total Public Debt Outstanding"))</f>
        <v>5479099.8386794003</v>
      </c>
      <c r="H36" s="2" cm="1">
        <f t="array" ref="H36">_xlfn._xlws.FILTER(rawdata!$E$2:$E$3638,(rawdata!$A$2:$A$3638=transformed_data!$A36)*(rawdata!$B$2:$B$3638="Total Public Debt Outstanding"))</f>
        <v>4166655.0867748498</v>
      </c>
      <c r="I36" s="2" cm="1">
        <f t="array" ref="I36">_xlfn._xlws.FILTER(rawdata!$F$2:$F$3638,(rawdata!$A$2:$A$3638=transformed_data!$A36)*(rawdata!$B$2:$B$3638="Total Public Debt Outstanding"))</f>
        <v>9645755.3795990199</v>
      </c>
      <c r="K36" s="2"/>
      <c r="L36" s="2"/>
    </row>
    <row r="37" spans="1:12" x14ac:dyDescent="0.3">
      <c r="A37" s="1">
        <v>39721</v>
      </c>
      <c r="B37" s="2" cm="1">
        <f t="array" ref="B37">_xlfn._xlws.FILTER(rawdata!$F$2:$F$3638,(rawdata!$A$2:$A$3638=transformed_data!$A37)*(rawdata!$C$2:$C$3638=transformed_data!B$1))</f>
        <v>1489808.2461999999</v>
      </c>
      <c r="C37" s="2" cm="1">
        <f t="array" ref="C37">_xlfn._xlws.FILTER(rawdata!$F$2:$F$3638,(rawdata!$A$2:$A$3638=transformed_data!$A37)*(rawdata!$C$2:$C$3638=transformed_data!C$1))</f>
        <v>2624759.0767000001</v>
      </c>
      <c r="D37" s="2" cm="1">
        <f t="array" ref="D37">_xlfn._xlws.FILTER(rawdata!$F$2:$F$3638,(rawdata!$A$2:$A$3638=transformed_data!$A37)*(rawdata!$C$2:$C$3638=transformed_data!D$1))</f>
        <v>582871.53630000004</v>
      </c>
      <c r="E37" s="2" cm="1">
        <f t="array" ref="E37">SUM(-B37:D37,_xlfn._xlws.FILTER(rawdata!$F$2:$F$3638,(rawdata!$A$2:$A$3638=transformed_data!$A37)*(rawdata!$B$2:$B$3638="Total Marketable")))</f>
        <v>538537.32193636987</v>
      </c>
      <c r="F37" s="2" cm="1">
        <f t="array" ref="F37">_xlfn._xlws.FILTER(rawdata!$F$2:$F$3638,(rawdata!$A$2:$A$3638=transformed_data!$A37)*(rawdata!$B$2:$B$3638="Total Nonmarketable"))</f>
        <v>4788749.1020698799</v>
      </c>
      <c r="G37" s="2" cm="1">
        <f t="array" ref="G37">_xlfn._xlws.FILTER(rawdata!$D$2:$D$3638,(rawdata!$A$2:$A$3638=transformed_data!$A37)*(rawdata!$B$2:$B$3638="Total Public Debt Outstanding"))</f>
        <v>5808692.2033556299</v>
      </c>
      <c r="H37" s="2" cm="1">
        <f t="array" ref="H37">_xlfn._xlws.FILTER(rawdata!$E$2:$E$3638,(rawdata!$A$2:$A$3638=transformed_data!$A37)*(rawdata!$B$2:$B$3638="Total Public Debt Outstanding"))</f>
        <v>4216032.9888506196</v>
      </c>
      <c r="I37" s="2" cm="1">
        <f t="array" ref="I37">_xlfn._xlws.FILTER(rawdata!$F$2:$F$3638,(rawdata!$A$2:$A$3638=transformed_data!$A37)*(rawdata!$B$2:$B$3638="Total Public Debt Outstanding"))</f>
        <v>10024725.283206301</v>
      </c>
      <c r="K37" s="2"/>
      <c r="L37" s="2"/>
    </row>
    <row r="38" spans="1:12" x14ac:dyDescent="0.3">
      <c r="A38" s="1">
        <v>39752</v>
      </c>
      <c r="B38" s="2" cm="1">
        <f t="array" ref="B38">_xlfn._xlws.FILTER(rawdata!$F$2:$F$3638,(rawdata!$A$2:$A$3638=transformed_data!$A38)*(rawdata!$C$2:$C$3638=transformed_data!B$1))</f>
        <v>1909735.6562999999</v>
      </c>
      <c r="C38" s="2" cm="1">
        <f t="array" ref="C38">_xlfn._xlws.FILTER(rawdata!$F$2:$F$3638,(rawdata!$A$2:$A$3638=transformed_data!$A38)*(rawdata!$C$2:$C$3638=transformed_data!C$1))</f>
        <v>2686604.3240999999</v>
      </c>
      <c r="D38" s="2" cm="1">
        <f t="array" ref="D38">_xlfn._xlws.FILTER(rawdata!$F$2:$F$3638,(rawdata!$A$2:$A$3638=transformed_data!$A38)*(rawdata!$C$2:$C$3638=transformed_data!D$1))</f>
        <v>582870.37329999998</v>
      </c>
      <c r="E38" s="2" cm="1">
        <f t="array" ref="E38">SUM(-B38:D38,_xlfn._xlws.FILTER(rawdata!$F$2:$F$3638,(rawdata!$A$2:$A$3638=transformed_data!$A38)*(rawdata!$B$2:$B$3638="Total Marketable")))</f>
        <v>550150.04009872023</v>
      </c>
      <c r="F38" s="2" cm="1">
        <f t="array" ref="F38">_xlfn._xlws.FILTER(rawdata!$F$2:$F$3638,(rawdata!$A$2:$A$3638=transformed_data!$A38)*(rawdata!$B$2:$B$3638="Total Nonmarketable"))</f>
        <v>4844733.99501622</v>
      </c>
      <c r="G38" s="2" cm="1">
        <f t="array" ref="G38">_xlfn._xlws.FILTER(rawdata!$D$2:$D$3638,(rawdata!$A$2:$A$3638=transformed_data!$A38)*(rawdata!$B$2:$B$3638="Total Public Debt Outstanding"))</f>
        <v>6302793.6305648005</v>
      </c>
      <c r="H38" s="2" cm="1">
        <f t="array" ref="H38">_xlfn._xlws.FILTER(rawdata!$E$2:$E$3638,(rawdata!$A$2:$A$3638=transformed_data!$A38)*(rawdata!$B$2:$B$3638="Total Public Debt Outstanding"))</f>
        <v>4271301.3600078402</v>
      </c>
      <c r="I38" s="2" cm="1">
        <f t="array" ref="I38">_xlfn._xlws.FILTER(rawdata!$F$2:$F$3638,(rawdata!$A$2:$A$3638=transformed_data!$A38)*(rawdata!$B$2:$B$3638="Total Public Debt Outstanding"))</f>
        <v>10574094.3888149</v>
      </c>
      <c r="K38" s="2"/>
      <c r="L38" s="2"/>
    </row>
    <row r="39" spans="1:12" x14ac:dyDescent="0.3">
      <c r="A39" s="1">
        <v>39782</v>
      </c>
      <c r="B39" s="2" cm="1">
        <f t="array" ref="B39">_xlfn._xlws.FILTER(rawdata!$F$2:$F$3638,(rawdata!$A$2:$A$3638=transformed_data!$A39)*(rawdata!$C$2:$C$3638=transformed_data!B$1))</f>
        <v>2003705.9193</v>
      </c>
      <c r="C39" s="2" cm="1">
        <f t="array" ref="C39">_xlfn._xlws.FILTER(rawdata!$F$2:$F$3638,(rawdata!$A$2:$A$3638=transformed_data!$A39)*(rawdata!$C$2:$C$3638=transformed_data!C$1))</f>
        <v>2674880.3122999999</v>
      </c>
      <c r="D39" s="2" cm="1">
        <f t="array" ref="D39">_xlfn._xlws.FILTER(rawdata!$F$2:$F$3638,(rawdata!$A$2:$A$3638=transformed_data!$A39)*(rawdata!$C$2:$C$3638=transformed_data!D$1))</f>
        <v>594641.67709999997</v>
      </c>
      <c r="E39" s="2" cm="1">
        <f t="array" ref="E39">SUM(-B39:D39,_xlfn._xlws.FILTER(rawdata!$F$2:$F$3638,(rawdata!$A$2:$A$3638=transformed_data!$A39)*(rawdata!$B$2:$B$3638="Total Marketable")))</f>
        <v>549437.33437531069</v>
      </c>
      <c r="F39" s="2" cm="1">
        <f t="array" ref="F39">_xlfn._xlws.FILTER(rawdata!$F$2:$F$3638,(rawdata!$A$2:$A$3638=transformed_data!$A39)*(rawdata!$B$2:$B$3638="Total Nonmarketable"))</f>
        <v>4838510.0517740399</v>
      </c>
      <c r="G39" s="2" cm="1">
        <f t="array" ref="G39">_xlfn._xlws.FILTER(rawdata!$D$2:$D$3638,(rawdata!$A$2:$A$3638=transformed_data!$A39)*(rawdata!$B$2:$B$3638="Total Public Debt Outstanding"))</f>
        <v>6396590.9863985097</v>
      </c>
      <c r="H39" s="2" cm="1">
        <f t="array" ref="H39">_xlfn._xlws.FILTER(rawdata!$E$2:$E$3638,(rawdata!$A$2:$A$3638=transformed_data!$A39)*(rawdata!$B$2:$B$3638="Total Public Debt Outstanding"))</f>
        <v>4264584.1272085402</v>
      </c>
      <c r="I39" s="2" cm="1">
        <f t="array" ref="I39">_xlfn._xlws.FILTER(rawdata!$F$2:$F$3638,(rawdata!$A$2:$A$3638=transformed_data!$A39)*(rawdata!$B$2:$B$3638="Total Public Debt Outstanding"))</f>
        <v>10661175.294849301</v>
      </c>
      <c r="K39" s="2"/>
      <c r="L39" s="2"/>
    </row>
    <row r="40" spans="1:12" x14ac:dyDescent="0.3">
      <c r="A40" s="1">
        <v>39813</v>
      </c>
      <c r="B40" s="2" cm="1">
        <f t="array" ref="B40">_xlfn._xlws.FILTER(rawdata!$F$2:$F$3638,(rawdata!$A$2:$A$3638=transformed_data!$A40)*(rawdata!$C$2:$C$3638=transformed_data!B$1))</f>
        <v>1866666.324</v>
      </c>
      <c r="C40" s="2" cm="1">
        <f t="array" ref="C40">_xlfn._xlws.FILTER(rawdata!$F$2:$F$3638,(rawdata!$A$2:$A$3638=transformed_data!$A40)*(rawdata!$C$2:$C$3638=transformed_data!C$1))</f>
        <v>2792206.3319999999</v>
      </c>
      <c r="D40" s="2" cm="1">
        <f t="array" ref="D40">_xlfn._xlws.FILTER(rawdata!$F$2:$F$3638,(rawdata!$A$2:$A$3638=transformed_data!$A40)*(rawdata!$C$2:$C$3638=transformed_data!D$1))</f>
        <v>594641.14300000004</v>
      </c>
      <c r="E40" s="2" cm="1">
        <f t="array" ref="E40">SUM(-B40:D40,_xlfn._xlws.FILTER(rawdata!$F$2:$F$3638,(rawdata!$A$2:$A$3638=transformed_data!$A40)*(rawdata!$B$2:$B$3638="Total Marketable")))</f>
        <v>544130.12644388061</v>
      </c>
      <c r="F40" s="2" cm="1">
        <f t="array" ref="F40">_xlfn._xlws.FILTER(rawdata!$F$2:$F$3638,(rawdata!$A$2:$A$3638=transformed_data!$A40)*(rawdata!$B$2:$B$3638="Total Nonmarketable"))</f>
        <v>4902160.9253017502</v>
      </c>
      <c r="G40" s="2" cm="1">
        <f t="array" ref="G40">_xlfn._xlws.FILTER(rawdata!$D$2:$D$3638,(rawdata!$A$2:$A$3638=transformed_data!$A40)*(rawdata!$B$2:$B$3638="Total Public Debt Outstanding"))</f>
        <v>6369318.5303354096</v>
      </c>
      <c r="H40" s="2" cm="1">
        <f t="array" ref="H40">_xlfn._xlws.FILTER(rawdata!$E$2:$E$3638,(rawdata!$A$2:$A$3638=transformed_data!$A40)*(rawdata!$B$2:$B$3638="Total Public Debt Outstanding"))</f>
        <v>4330486.32041022</v>
      </c>
      <c r="I40" s="2" cm="1">
        <f t="array" ref="I40">_xlfn._xlws.FILTER(rawdata!$F$2:$F$3638,(rawdata!$A$2:$A$3638=transformed_data!$A40)*(rawdata!$B$2:$B$3638="Total Public Debt Outstanding"))</f>
        <v>10699804.8507456</v>
      </c>
      <c r="K40" s="2"/>
      <c r="L40" s="2"/>
    </row>
    <row r="41" spans="1:12" x14ac:dyDescent="0.3">
      <c r="A41" s="1">
        <v>39844</v>
      </c>
      <c r="B41" s="2" cm="1">
        <f t="array" ref="B41">_xlfn._xlws.FILTER(rawdata!$F$2:$F$3638,(rawdata!$A$2:$A$3638=transformed_data!$A41)*(rawdata!$C$2:$C$3638=transformed_data!B$1))</f>
        <v>1798562.7548</v>
      </c>
      <c r="C41" s="2" cm="1">
        <f t="array" ref="C41">_xlfn._xlws.FILTER(rawdata!$F$2:$F$3638,(rawdata!$A$2:$A$3638=transformed_data!$A41)*(rawdata!$C$2:$C$3638=transformed_data!C$1))</f>
        <v>2826009.3365000002</v>
      </c>
      <c r="D41" s="2" cm="1">
        <f t="array" ref="D41">_xlfn._xlws.FILTER(rawdata!$F$2:$F$3638,(rawdata!$A$2:$A$3638=transformed_data!$A41)*(rawdata!$C$2:$C$3638=transformed_data!D$1))</f>
        <v>594640.86199999996</v>
      </c>
      <c r="E41" s="2" cm="1">
        <f t="array" ref="E41">SUM(-B41:D41,_xlfn._xlws.FILTER(rawdata!$F$2:$F$3638,(rawdata!$A$2:$A$3638=transformed_data!$A41)*(rawdata!$B$2:$B$3638="Total Marketable")))</f>
        <v>530703.22703893017</v>
      </c>
      <c r="F41" s="2" cm="1">
        <f t="array" ref="F41">_xlfn._xlws.FILTER(rawdata!$F$2:$F$3638,(rawdata!$A$2:$A$3638=transformed_data!$A41)*(rawdata!$B$2:$B$3638="Total Nonmarketable"))</f>
        <v>4882163.7240236197</v>
      </c>
      <c r="G41" s="2" cm="1">
        <f t="array" ref="G41">_xlfn._xlws.FILTER(rawdata!$D$2:$D$3638,(rawdata!$A$2:$A$3638=transformed_data!$A41)*(rawdata!$B$2:$B$3638="Total Public Debt Outstanding"))</f>
        <v>6317298.5150272697</v>
      </c>
      <c r="H41" s="2" cm="1">
        <f t="array" ref="H41">_xlfn._xlws.FILTER(rawdata!$E$2:$E$3638,(rawdata!$A$2:$A$3638=transformed_data!$A41)*(rawdata!$B$2:$B$3638="Total Public Debt Outstanding"))</f>
        <v>4314781.3893352803</v>
      </c>
      <c r="I41" s="2" cm="1">
        <f t="array" ref="I41">_xlfn._xlws.FILTER(rawdata!$F$2:$F$3638,(rawdata!$A$2:$A$3638=transformed_data!$A41)*(rawdata!$B$2:$B$3638="Total Public Debt Outstanding"))</f>
        <v>10632079.9043626</v>
      </c>
      <c r="K41" s="2"/>
      <c r="L41" s="2"/>
    </row>
    <row r="42" spans="1:12" x14ac:dyDescent="0.3">
      <c r="A42" s="1">
        <v>39872</v>
      </c>
      <c r="B42" s="2" cm="1">
        <f t="array" ref="B42">_xlfn._xlws.FILTER(rawdata!$F$2:$F$3638,(rawdata!$A$2:$A$3638=transformed_data!$A42)*(rawdata!$C$2:$C$3638=transformed_data!B$1))</f>
        <v>1985567.0541999999</v>
      </c>
      <c r="C42" s="2" cm="1">
        <f t="array" ref="C42">_xlfn._xlws.FILTER(rawdata!$F$2:$F$3638,(rawdata!$A$2:$A$3638=transformed_data!$A42)*(rawdata!$C$2:$C$3638=transformed_data!C$1))</f>
        <v>2891961.1990999999</v>
      </c>
      <c r="D42" s="2" cm="1">
        <f t="array" ref="D42">_xlfn._xlws.FILTER(rawdata!$F$2:$F$3638,(rawdata!$A$2:$A$3638=transformed_data!$A42)*(rawdata!$C$2:$C$3638=transformed_data!D$1))</f>
        <v>609353.17200000002</v>
      </c>
      <c r="E42" s="2" cm="1">
        <f t="array" ref="E42">SUM(-B42:D42,_xlfn._xlws.FILTER(rawdata!$F$2:$F$3638,(rawdata!$A$2:$A$3638=transformed_data!$A42)*(rawdata!$B$2:$B$3638="Total Marketable")))</f>
        <v>525510.25153806992</v>
      </c>
      <c r="F42" s="2" cm="1">
        <f t="array" ref="F42">_xlfn._xlws.FILTER(rawdata!$F$2:$F$3638,(rawdata!$A$2:$A$3638=transformed_data!$A42)*(rawdata!$B$2:$B$3638="Total Nonmarketable"))</f>
        <v>4864753.4993168097</v>
      </c>
      <c r="G42" s="2" cm="1">
        <f t="array" ref="G42">_xlfn._xlws.FILTER(rawdata!$D$2:$D$3638,(rawdata!$A$2:$A$3638=transformed_data!$A42)*(rawdata!$B$2:$B$3638="Total Public Debt Outstanding"))</f>
        <v>6579162.7508982597</v>
      </c>
      <c r="H42" s="2" cm="1">
        <f t="array" ref="H42">_xlfn._xlws.FILTER(rawdata!$E$2:$E$3638,(rawdata!$A$2:$A$3638=transformed_data!$A42)*(rawdata!$B$2:$B$3638="Total Public Debt Outstanding"))</f>
        <v>4297982.4252566202</v>
      </c>
      <c r="I42" s="2" cm="1">
        <f t="array" ref="I42">_xlfn._xlws.FILTER(rawdata!$F$2:$F$3638,(rawdata!$A$2:$A$3638=transformed_data!$A42)*(rawdata!$B$2:$B$3638="Total Public Debt Outstanding"))</f>
        <v>10877145.1761549</v>
      </c>
      <c r="K42" s="2"/>
      <c r="L42" s="2"/>
    </row>
    <row r="43" spans="1:12" x14ac:dyDescent="0.3">
      <c r="A43" s="1">
        <v>39903</v>
      </c>
      <c r="B43" s="2" cm="1">
        <f t="array" ref="B43">_xlfn._xlws.FILTER(rawdata!$F$2:$F$3638,(rawdata!$A$2:$A$3638=transformed_data!$A43)*(rawdata!$C$2:$C$3638=transformed_data!B$1))</f>
        <v>2033565.5160000001</v>
      </c>
      <c r="C43" s="2" cm="1">
        <f t="array" ref="C43">_xlfn._xlws.FILTER(rawdata!$F$2:$F$3638,(rawdata!$A$2:$A$3638=transformed_data!$A43)*(rawdata!$C$2:$C$3638=transformed_data!C$1))</f>
        <v>3084887.1900999998</v>
      </c>
      <c r="D43" s="2" cm="1">
        <f t="array" ref="D43">_xlfn._xlws.FILTER(rawdata!$F$2:$F$3638,(rawdata!$A$2:$A$3638=transformed_data!$A43)*(rawdata!$C$2:$C$3638=transformed_data!D$1))</f>
        <v>620548.43629999994</v>
      </c>
      <c r="E43" s="2" cm="1">
        <f t="array" ref="E43">SUM(-B43:D43,_xlfn._xlws.FILTER(rawdata!$F$2:$F$3638,(rawdata!$A$2:$A$3638=transformed_data!$A43)*(rawdata!$B$2:$B$3638="Total Marketable")))</f>
        <v>527119.66067568958</v>
      </c>
      <c r="F43" s="2" cm="1">
        <f t="array" ref="F43">_xlfn._xlws.FILTER(rawdata!$F$2:$F$3638,(rawdata!$A$2:$A$3638=transformed_data!$A43)*(rawdata!$B$2:$B$3638="Total Nonmarketable"))</f>
        <v>4860821.3623205097</v>
      </c>
      <c r="G43" s="2" cm="1">
        <f t="array" ref="G43">_xlfn._xlws.FILTER(rawdata!$D$2:$D$3638,(rawdata!$A$2:$A$3638=transformed_data!$A43)*(rawdata!$B$2:$B$3638="Total Public Debt Outstanding"))</f>
        <v>6833543.4448632998</v>
      </c>
      <c r="H43" s="2" cm="1">
        <f t="array" ref="H43">_xlfn._xlws.FILTER(rawdata!$E$2:$E$3638,(rawdata!$A$2:$A$3638=transformed_data!$A43)*(rawdata!$B$2:$B$3638="Total Public Debt Outstanding"))</f>
        <v>4293397.7205328997</v>
      </c>
      <c r="I43" s="2" cm="1">
        <f t="array" ref="I43">_xlfn._xlws.FILTER(rawdata!$F$2:$F$3638,(rawdata!$A$2:$A$3638=transformed_data!$A43)*(rawdata!$B$2:$B$3638="Total Public Debt Outstanding"))</f>
        <v>11126941.1653962</v>
      </c>
      <c r="K43" s="2"/>
      <c r="L43" s="2"/>
    </row>
    <row r="44" spans="1:12" x14ac:dyDescent="0.3">
      <c r="A44" s="1">
        <v>39933</v>
      </c>
      <c r="B44" s="2" cm="1">
        <f t="array" ref="B44">_xlfn._xlws.FILTER(rawdata!$F$2:$F$3638,(rawdata!$A$2:$A$3638=transformed_data!$A44)*(rawdata!$C$2:$C$3638=transformed_data!B$1))</f>
        <v>1994533.33</v>
      </c>
      <c r="C44" s="2" cm="1">
        <f t="array" ref="C44">_xlfn._xlws.FILTER(rawdata!$F$2:$F$3638,(rawdata!$A$2:$A$3638=transformed_data!$A44)*(rawdata!$C$2:$C$3638=transformed_data!C$1))</f>
        <v>3204451.5904000001</v>
      </c>
      <c r="D44" s="2" cm="1">
        <f t="array" ref="D44">_xlfn._xlws.FILTER(rawdata!$F$2:$F$3638,(rawdata!$A$2:$A$3638=transformed_data!$A44)*(rawdata!$C$2:$C$3638=transformed_data!D$1))</f>
        <v>620548.26710000006</v>
      </c>
      <c r="E44" s="2" cm="1">
        <f t="array" ref="E44">SUM(-B44:D44,_xlfn._xlws.FILTER(rawdata!$F$2:$F$3638,(rawdata!$A$2:$A$3638=transformed_data!$A44)*(rawdata!$B$2:$B$3638="Total Marketable")))</f>
        <v>543857.8385228999</v>
      </c>
      <c r="F44" s="2" cm="1">
        <f t="array" ref="F44">_xlfn._xlws.FILTER(rawdata!$F$2:$F$3638,(rawdata!$A$2:$A$3638=transformed_data!$A44)*(rawdata!$B$2:$B$3638="Total Nonmarketable"))</f>
        <v>4875200.8069690503</v>
      </c>
      <c r="G44" s="2" cm="1">
        <f t="array" ref="G44">_xlfn._xlws.FILTER(rawdata!$D$2:$D$3638,(rawdata!$A$2:$A$3638=transformed_data!$A44)*(rawdata!$B$2:$B$3638="Total Public Debt Outstanding"))</f>
        <v>6930824.9434764497</v>
      </c>
      <c r="H44" s="2" cm="1">
        <f t="array" ref="H44">_xlfn._xlws.FILTER(rawdata!$E$2:$E$3638,(rawdata!$A$2:$A$3638=transformed_data!$A44)*(rawdata!$B$2:$B$3638="Total Public Debt Outstanding"))</f>
        <v>4307766.8895154996</v>
      </c>
      <c r="I44" s="2" cm="1">
        <f t="array" ref="I44">_xlfn._xlws.FILTER(rawdata!$F$2:$F$3638,(rawdata!$A$2:$A$3638=transformed_data!$A44)*(rawdata!$B$2:$B$3638="Total Public Debt Outstanding"))</f>
        <v>11238591.832992001</v>
      </c>
      <c r="K44" s="2"/>
      <c r="L44" s="2"/>
    </row>
    <row r="45" spans="1:12" x14ac:dyDescent="0.3">
      <c r="A45" s="1">
        <v>39964</v>
      </c>
      <c r="B45" s="2" cm="1">
        <f t="array" ref="B45">_xlfn._xlws.FILTER(rawdata!$F$2:$F$3638,(rawdata!$A$2:$A$3638=transformed_data!$A45)*(rawdata!$C$2:$C$3638=transformed_data!B$1))</f>
        <v>2065401.3322999999</v>
      </c>
      <c r="C45" s="2" cm="1">
        <f t="array" ref="C45">_xlfn._xlws.FILTER(rawdata!$F$2:$F$3638,(rawdata!$A$2:$A$3638=transformed_data!$A45)*(rawdata!$C$2:$C$3638=transformed_data!C$1))</f>
        <v>3211302.9045000002</v>
      </c>
      <c r="D45" s="2" cm="1">
        <f t="array" ref="D45">_xlfn._xlws.FILTER(rawdata!$F$2:$F$3638,(rawdata!$A$2:$A$3638=transformed_data!$A45)*(rawdata!$C$2:$C$3638=transformed_data!D$1))</f>
        <v>632545.93370000005</v>
      </c>
      <c r="E45" s="2" cm="1">
        <f t="array" ref="E45">SUM(-B45:D45,_xlfn._xlws.FILTER(rawdata!$F$2:$F$3638,(rawdata!$A$2:$A$3638=transformed_data!$A45)*(rawdata!$B$2:$B$3638="Total Marketable")))</f>
        <v>545019.41836071014</v>
      </c>
      <c r="F45" s="2" cm="1">
        <f t="array" ref="F45">_xlfn._xlws.FILTER(rawdata!$F$2:$F$3638,(rawdata!$A$2:$A$3638=transformed_data!$A45)*(rawdata!$B$2:$B$3638="Total Nonmarketable"))</f>
        <v>4867330.37622602</v>
      </c>
      <c r="G45" s="2" cm="1">
        <f t="array" ref="G45">_xlfn._xlws.FILTER(rawdata!$D$2:$D$3638,(rawdata!$A$2:$A$3638=transformed_data!$A45)*(rawdata!$B$2:$B$3638="Total Public Debt Outstanding"))</f>
        <v>7019321.5541748703</v>
      </c>
      <c r="H45" s="2" cm="1">
        <f t="array" ref="H45">_xlfn._xlws.FILTER(rawdata!$E$2:$E$3638,(rawdata!$A$2:$A$3638=transformed_data!$A45)*(rawdata!$B$2:$B$3638="Total Public Debt Outstanding"))</f>
        <v>4302278.4109118599</v>
      </c>
      <c r="I45" s="2" cm="1">
        <f t="array" ref="I45">_xlfn._xlws.FILTER(rawdata!$F$2:$F$3638,(rawdata!$A$2:$A$3638=transformed_data!$A45)*(rawdata!$B$2:$B$3638="Total Public Debt Outstanding"))</f>
        <v>11321599.9650867</v>
      </c>
      <c r="K45" s="2"/>
      <c r="L45" s="2"/>
    </row>
    <row r="46" spans="1:12" x14ac:dyDescent="0.3">
      <c r="A46" s="1">
        <v>39994</v>
      </c>
      <c r="B46" s="2" cm="1">
        <f t="array" ref="B46">_xlfn._xlws.FILTER(rawdata!$F$2:$F$3638,(rawdata!$A$2:$A$3638=transformed_data!$A46)*(rawdata!$C$2:$C$3638=transformed_data!B$1))</f>
        <v>2006462.8655999999</v>
      </c>
      <c r="C46" s="2" cm="1">
        <f t="array" ref="C46">_xlfn._xlws.FILTER(rawdata!$F$2:$F$3638,(rawdata!$A$2:$A$3638=transformed_data!$A46)*(rawdata!$C$2:$C$3638=transformed_data!C$1))</f>
        <v>3417740.1154999998</v>
      </c>
      <c r="D46" s="2" cm="1">
        <f t="array" ref="D46">_xlfn._xlws.FILTER(rawdata!$F$2:$F$3638,(rawdata!$A$2:$A$3638=transformed_data!$A46)*(rawdata!$C$2:$C$3638=transformed_data!D$1))</f>
        <v>643660.31259999995</v>
      </c>
      <c r="E46" s="2" cm="1">
        <f t="array" ref="E46">SUM(-B46:D46,_xlfn._xlws.FILTER(rawdata!$F$2:$F$3638,(rawdata!$A$2:$A$3638=transformed_data!$A46)*(rawdata!$B$2:$B$3638="Total Marketable")))</f>
        <v>544246.69977652095</v>
      </c>
      <c r="F46" s="2" cm="1">
        <f t="array" ref="F46">_xlfn._xlws.FILTER(rawdata!$F$2:$F$3638,(rawdata!$A$2:$A$3638=transformed_data!$A46)*(rawdata!$B$2:$B$3638="Total Nonmarketable"))</f>
        <v>4933164.8487427803</v>
      </c>
      <c r="G46" s="2" cm="1">
        <f t="array" ref="G46">_xlfn._xlws.FILTER(rawdata!$D$2:$D$3638,(rawdata!$A$2:$A$3638=transformed_data!$A46)*(rawdata!$B$2:$B$3638="Total Public Debt Outstanding"))</f>
        <v>7174911.9299287004</v>
      </c>
      <c r="H46" s="2" cm="1">
        <f t="array" ref="H46">_xlfn._xlws.FILTER(rawdata!$E$2:$E$3638,(rawdata!$A$2:$A$3638=transformed_data!$A46)*(rawdata!$B$2:$B$3638="Total Public Debt Outstanding"))</f>
        <v>4370362.9122906001</v>
      </c>
      <c r="I46" s="2" cm="1">
        <f t="array" ref="I46">_xlfn._xlws.FILTER(rawdata!$F$2:$F$3638,(rawdata!$A$2:$A$3638=transformed_data!$A46)*(rawdata!$B$2:$B$3638="Total Public Debt Outstanding"))</f>
        <v>11545274.842219301</v>
      </c>
      <c r="K46" s="2"/>
      <c r="L46" s="2"/>
    </row>
    <row r="47" spans="1:12" x14ac:dyDescent="0.3">
      <c r="A47" s="1">
        <v>40025</v>
      </c>
      <c r="B47" s="2" cm="1">
        <f t="array" ref="B47">_xlfn._xlws.FILTER(rawdata!$F$2:$F$3638,(rawdata!$A$2:$A$3638=transformed_data!$A47)*(rawdata!$C$2:$C$3638=transformed_data!B$1))</f>
        <v>2020483.8473</v>
      </c>
      <c r="C47" s="2" cm="1">
        <f t="array" ref="C47">_xlfn._xlws.FILTER(rawdata!$F$2:$F$3638,(rawdata!$A$2:$A$3638=transformed_data!$A47)*(rawdata!$C$2:$C$3638=transformed_data!C$1))</f>
        <v>3547482.3391</v>
      </c>
      <c r="D47" s="2" cm="1">
        <f t="array" ref="D47">_xlfn._xlws.FILTER(rawdata!$F$2:$F$3638,(rawdata!$A$2:$A$3638=transformed_data!$A47)*(rawdata!$C$2:$C$3638=transformed_data!D$1))</f>
        <v>654845.36340000003</v>
      </c>
      <c r="E47" s="2" cm="1">
        <f t="array" ref="E47">SUM(-B47:D47,_xlfn._xlws.FILTER(rawdata!$F$2:$F$3638,(rawdata!$A$2:$A$3638=transformed_data!$A47)*(rawdata!$B$2:$B$3638="Total Marketable")))</f>
        <v>559969.26616543997</v>
      </c>
      <c r="F47" s="2" cm="1">
        <f t="array" ref="F47">_xlfn._xlws.FILTER(rawdata!$F$2:$F$3638,(rawdata!$A$2:$A$3638=transformed_data!$A47)*(rawdata!$B$2:$B$3638="Total Nonmarketable"))</f>
        <v>4886494.9800577499</v>
      </c>
      <c r="G47" s="2" cm="1">
        <f t="array" ref="G47">_xlfn._xlws.FILTER(rawdata!$D$2:$D$3638,(rawdata!$A$2:$A$3638=transformed_data!$A47)*(rawdata!$B$2:$B$3638="Total Public Debt Outstanding"))</f>
        <v>7335598.1875499301</v>
      </c>
      <c r="H47" s="2" cm="1">
        <f t="array" ref="H47">_xlfn._xlws.FILTER(rawdata!$E$2:$E$3638,(rawdata!$A$2:$A$3638=transformed_data!$A47)*(rawdata!$B$2:$B$3638="Total Public Debt Outstanding"))</f>
        <v>4333677.60847326</v>
      </c>
      <c r="I47" s="2" cm="1">
        <f t="array" ref="I47">_xlfn._xlws.FILTER(rawdata!$F$2:$F$3638,(rawdata!$A$2:$A$3638=transformed_data!$A47)*(rawdata!$B$2:$B$3638="Total Public Debt Outstanding"))</f>
        <v>11669276.796023199</v>
      </c>
      <c r="K47" s="2"/>
      <c r="L47" s="2"/>
    </row>
    <row r="48" spans="1:12" x14ac:dyDescent="0.3">
      <c r="A48" s="1">
        <v>40056</v>
      </c>
      <c r="B48" s="2" cm="1">
        <f t="array" ref="B48">_xlfn._xlws.FILTER(rawdata!$F$2:$F$3638,(rawdata!$A$2:$A$3638=transformed_data!$A48)*(rawdata!$C$2:$C$3638=transformed_data!B$1))</f>
        <v>2068494.4820999999</v>
      </c>
      <c r="C48" s="2" cm="1">
        <f t="array" ref="C48">_xlfn._xlws.FILTER(rawdata!$F$2:$F$3638,(rawdata!$A$2:$A$3638=transformed_data!$A48)*(rawdata!$C$2:$C$3638=transformed_data!C$1))</f>
        <v>3638634.9734</v>
      </c>
      <c r="D48" s="2" cm="1">
        <f t="array" ref="D48">_xlfn._xlws.FILTER(rawdata!$F$2:$F$3638,(rawdata!$A$2:$A$3638=transformed_data!$A48)*(rawdata!$C$2:$C$3638=transformed_data!D$1))</f>
        <v>667776.20325000002</v>
      </c>
      <c r="E48" s="2" cm="1">
        <f t="array" ref="E48">SUM(-B48:D48,_xlfn._xlws.FILTER(rawdata!$F$2:$F$3638,(rawdata!$A$2:$A$3638=transformed_data!$A48)*(rawdata!$B$2:$B$3638="Total Marketable")))</f>
        <v>564333.57543807942</v>
      </c>
      <c r="F48" s="2" cm="1">
        <f t="array" ref="F48">_xlfn._xlws.FILTER(rawdata!$F$2:$F$3638,(rawdata!$A$2:$A$3638=transformed_data!$A48)*(rawdata!$B$2:$B$3638="Total Nonmarketable"))</f>
        <v>4873630.6916082399</v>
      </c>
      <c r="G48" s="2" cm="1">
        <f t="array" ref="G48">_xlfn._xlws.FILTER(rawdata!$D$2:$D$3638,(rawdata!$A$2:$A$3638=transformed_data!$A48)*(rawdata!$B$2:$B$3638="Total Public Debt Outstanding"))</f>
        <v>7484145.4752734601</v>
      </c>
      <c r="H48" s="2" cm="1">
        <f t="array" ref="H48">_xlfn._xlws.FILTER(rawdata!$E$2:$E$3638,(rawdata!$A$2:$A$3638=transformed_data!$A48)*(rawdata!$B$2:$B$3638="Total Public Debt Outstanding"))</f>
        <v>4328725.4505228596</v>
      </c>
      <c r="I48" s="2" cm="1">
        <f t="array" ref="I48">_xlfn._xlws.FILTER(rawdata!$F$2:$F$3638,(rawdata!$A$2:$A$3638=transformed_data!$A48)*(rawdata!$B$2:$B$3638="Total Public Debt Outstanding"))</f>
        <v>11812869.9257963</v>
      </c>
      <c r="K48" s="2"/>
      <c r="L48" s="2"/>
    </row>
    <row r="49" spans="1:12" x14ac:dyDescent="0.3">
      <c r="A49" s="1">
        <v>40086</v>
      </c>
      <c r="B49" s="2" cm="1">
        <f t="array" ref="B49">_xlfn._xlws.FILTER(rawdata!$F$2:$F$3638,(rawdata!$A$2:$A$3638=transformed_data!$A49)*(rawdata!$C$2:$C$3638=transformed_data!B$1))</f>
        <v>1992507.9058999999</v>
      </c>
      <c r="C49" s="2" cm="1">
        <f t="array" ref="C49">_xlfn._xlws.FILTER(rawdata!$F$2:$F$3638,(rawdata!$A$2:$A$3638=transformed_data!$A49)*(rawdata!$C$2:$C$3638=transformed_data!C$1))</f>
        <v>3773767.2078999998</v>
      </c>
      <c r="D49" s="2" cm="1">
        <f t="array" ref="D49">_xlfn._xlws.FILTER(rawdata!$F$2:$F$3638,(rawdata!$A$2:$A$3638=transformed_data!$A49)*(rawdata!$C$2:$C$3638=transformed_data!D$1))</f>
        <v>679800.03835000005</v>
      </c>
      <c r="E49" s="2" cm="1">
        <f t="array" ref="E49">SUM(-B49:D49,_xlfn._xlws.FILTER(rawdata!$F$2:$F$3638,(rawdata!$A$2:$A$3638=transformed_data!$A49)*(rawdata!$B$2:$B$3638="Total Marketable")))</f>
        <v>563658.23554118071</v>
      </c>
      <c r="F49" s="2" cm="1">
        <f t="array" ref="F49">_xlfn._xlws.FILTER(rawdata!$F$2:$F$3638,(rawdata!$A$2:$A$3638=transformed_data!$A49)*(rawdata!$B$2:$B$3638="Total Nonmarketable"))</f>
        <v>4900096.1912631998</v>
      </c>
      <c r="G49" s="2" cm="1">
        <f t="array" ref="G49">_xlfn._xlws.FILTER(rawdata!$D$2:$D$3638,(rawdata!$A$2:$A$3638=transformed_data!$A49)*(rawdata!$B$2:$B$3638="Total Public Debt Outstanding"))</f>
        <v>7551862.3351346403</v>
      </c>
      <c r="H49" s="2" cm="1">
        <f t="array" ref="H49">_xlfn._xlws.FILTER(rawdata!$E$2:$E$3638,(rawdata!$A$2:$A$3638=transformed_data!$A49)*(rawdata!$B$2:$B$3638="Total Public Debt Outstanding"))</f>
        <v>4357967.2438197397</v>
      </c>
      <c r="I49" s="2" cm="1">
        <f t="array" ref="I49">_xlfn._xlws.FILTER(rawdata!$F$2:$F$3638,(rawdata!$A$2:$A$3638=transformed_data!$A49)*(rawdata!$B$2:$B$3638="Total Public Debt Outstanding"))</f>
        <v>11909828.5789544</v>
      </c>
      <c r="K49" s="2"/>
      <c r="L49" s="2"/>
    </row>
    <row r="50" spans="1:12" x14ac:dyDescent="0.3">
      <c r="A50" s="1">
        <v>40117</v>
      </c>
      <c r="B50" s="2" cm="1">
        <f t="array" ref="B50">_xlfn._xlws.FILTER(rawdata!$F$2:$F$3638,(rawdata!$A$2:$A$3638=transformed_data!$A50)*(rawdata!$C$2:$C$3638=transformed_data!B$1))</f>
        <v>1858506.7152</v>
      </c>
      <c r="C50" s="2" cm="1">
        <f t="array" ref="C50">_xlfn._xlws.FILTER(rawdata!$F$2:$F$3638,(rawdata!$A$2:$A$3638=transformed_data!$A50)*(rawdata!$C$2:$C$3638=transformed_data!C$1))</f>
        <v>3818223.7376999999</v>
      </c>
      <c r="D50" s="2" cm="1">
        <f t="array" ref="D50">_xlfn._xlws.FILTER(rawdata!$F$2:$F$3638,(rawdata!$A$2:$A$3638=transformed_data!$A50)*(rawdata!$C$2:$C$3638=transformed_data!D$1))</f>
        <v>691887.65865</v>
      </c>
      <c r="E50" s="2" cm="1">
        <f t="array" ref="E50">SUM(-B50:D50,_xlfn._xlws.FILTER(rawdata!$F$2:$F$3638,(rawdata!$A$2:$A$3638=transformed_data!$A50)*(rawdata!$B$2:$B$3638="Total Marketable")))</f>
        <v>579014.69098413084</v>
      </c>
      <c r="F50" s="2" cm="1">
        <f t="array" ref="F50">_xlfn._xlws.FILTER(rawdata!$F$2:$F$3638,(rawdata!$A$2:$A$3638=transformed_data!$A50)*(rawdata!$B$2:$B$3638="Total Nonmarketable"))</f>
        <v>4945457.80664929</v>
      </c>
      <c r="G50" s="2" cm="1">
        <f t="array" ref="G50">_xlfn._xlws.FILTER(rawdata!$D$2:$D$3638,(rawdata!$A$2:$A$3638=transformed_data!$A50)*(rawdata!$B$2:$B$3638="Total Public Debt Outstanding"))</f>
        <v>7487887.0073504299</v>
      </c>
      <c r="H50" s="2" cm="1">
        <f t="array" ref="H50">_xlfn._xlws.FILTER(rawdata!$E$2:$E$3638,(rawdata!$A$2:$A$3638=transformed_data!$A50)*(rawdata!$B$2:$B$3638="Total Public Debt Outstanding"))</f>
        <v>4405203.6018329896</v>
      </c>
      <c r="I50" s="2" cm="1">
        <f t="array" ref="I50">_xlfn._xlws.FILTER(rawdata!$F$2:$F$3638,(rawdata!$A$2:$A$3638=transformed_data!$A50)*(rawdata!$B$2:$B$3638="Total Public Debt Outstanding"))</f>
        <v>11893090.609183401</v>
      </c>
      <c r="K50" s="2"/>
      <c r="L50" s="2"/>
    </row>
    <row r="51" spans="1:12" x14ac:dyDescent="0.3">
      <c r="A51" s="1">
        <v>40147</v>
      </c>
      <c r="B51" s="2" cm="1">
        <f t="array" ref="B51">_xlfn._xlws.FILTER(rawdata!$F$2:$F$3638,(rawdata!$A$2:$A$3638=transformed_data!$A51)*(rawdata!$C$2:$C$3638=transformed_data!B$1))</f>
        <v>1850499.4236999999</v>
      </c>
      <c r="C51" s="2" cm="1">
        <f t="array" ref="C51">_xlfn._xlws.FILTER(rawdata!$F$2:$F$3638,(rawdata!$A$2:$A$3638=transformed_data!$A51)*(rawdata!$C$2:$C$3638=transformed_data!C$1))</f>
        <v>4039775.8966999999</v>
      </c>
      <c r="D51" s="2" cm="1">
        <f t="array" ref="D51">_xlfn._xlws.FILTER(rawdata!$F$2:$F$3638,(rawdata!$A$2:$A$3638=transformed_data!$A51)*(rawdata!$C$2:$C$3638=transformed_data!D$1))</f>
        <v>704861.87175000005</v>
      </c>
      <c r="E51" s="2" cm="1">
        <f t="array" ref="E51">SUM(-B51:D51,_xlfn._xlws.FILTER(rawdata!$F$2:$F$3638,(rawdata!$A$2:$A$3638=transformed_data!$A51)*(rawdata!$B$2:$B$3638="Total Marketable")))</f>
        <v>579435.51612220053</v>
      </c>
      <c r="F51" s="2" cm="1">
        <f t="array" ref="F51">_xlfn._xlws.FILTER(rawdata!$F$2:$F$3638,(rawdata!$A$2:$A$3638=transformed_data!$A51)*(rawdata!$B$2:$B$3638="Total Nonmarketable"))</f>
        <v>4938475.0887269303</v>
      </c>
      <c r="G51" s="2" cm="1">
        <f t="array" ref="G51">_xlfn._xlws.FILTER(rawdata!$D$2:$D$3638,(rawdata!$A$2:$A$3638=transformed_data!$A51)*(rawdata!$B$2:$B$3638="Total Public Debt Outstanding"))</f>
        <v>7712386.9531086497</v>
      </c>
      <c r="H51" s="2" cm="1">
        <f t="array" ref="H51">_xlfn._xlws.FILTER(rawdata!$E$2:$E$3638,(rawdata!$A$2:$A$3638=transformed_data!$A51)*(rawdata!$B$2:$B$3638="Total Public Debt Outstanding"))</f>
        <v>4400659.8438904798</v>
      </c>
      <c r="I51" s="2" cm="1">
        <f t="array" ref="I51">_xlfn._xlws.FILTER(rawdata!$F$2:$F$3638,(rawdata!$A$2:$A$3638=transformed_data!$A51)*(rawdata!$B$2:$B$3638="Total Public Debt Outstanding"))</f>
        <v>12113047.796999101</v>
      </c>
      <c r="K51" s="2"/>
      <c r="L51" s="2"/>
    </row>
    <row r="52" spans="1:12" x14ac:dyDescent="0.3">
      <c r="A52" s="1">
        <v>40178</v>
      </c>
      <c r="B52" s="2" cm="1">
        <f t="array" ref="B52">_xlfn._xlws.FILTER(rawdata!$F$2:$F$3638,(rawdata!$A$2:$A$3638=transformed_data!$A52)*(rawdata!$C$2:$C$3638=transformed_data!B$1))</f>
        <v>1793480.4983000001</v>
      </c>
      <c r="C52" s="2" cm="1">
        <f t="array" ref="C52">_xlfn._xlws.FILTER(rawdata!$F$2:$F$3638,(rawdata!$A$2:$A$3638=transformed_data!$A52)*(rawdata!$C$2:$C$3638=transformed_data!C$1))</f>
        <v>4181107.9898999999</v>
      </c>
      <c r="D52" s="2" cm="1">
        <f t="array" ref="D52">_xlfn._xlws.FILTER(rawdata!$F$2:$F$3638,(rawdata!$A$2:$A$3638=transformed_data!$A52)*(rawdata!$C$2:$C$3638=transformed_data!D$1))</f>
        <v>717931.18024999998</v>
      </c>
      <c r="E52" s="2" cm="1">
        <f t="array" ref="E52">SUM(-B52:D52,_xlfn._xlws.FILTER(rawdata!$F$2:$F$3638,(rawdata!$A$2:$A$3638=transformed_data!$A52)*(rawdata!$B$2:$B$3638="Total Marketable")))</f>
        <v>579976.31506231055</v>
      </c>
      <c r="F52" s="2" cm="1">
        <f t="array" ref="F52">_xlfn._xlws.FILTER(rawdata!$F$2:$F$3638,(rawdata!$A$2:$A$3638=transformed_data!$A52)*(rawdata!$B$2:$B$3638="Total Nonmarketable"))</f>
        <v>5038852.7536032498</v>
      </c>
      <c r="G52" s="2" cm="1">
        <f t="array" ref="G52">_xlfn._xlws.FILTER(rawdata!$D$2:$D$3638,(rawdata!$A$2:$A$3638=transformed_data!$A52)*(rawdata!$B$2:$B$3638="Total Public Debt Outstanding"))</f>
        <v>7811008.9782701302</v>
      </c>
      <c r="H52" s="2" cm="1">
        <f t="array" ref="H52">_xlfn._xlws.FILTER(rawdata!$E$2:$E$3638,(rawdata!$A$2:$A$3638=transformed_data!$A52)*(rawdata!$B$2:$B$3638="Total Public Debt Outstanding"))</f>
        <v>4500340.7588454299</v>
      </c>
      <c r="I52" s="2" cm="1">
        <f t="array" ref="I52">_xlfn._xlws.FILTER(rawdata!$F$2:$F$3638,(rawdata!$A$2:$A$3638=transformed_data!$A52)*(rawdata!$B$2:$B$3638="Total Public Debt Outstanding"))</f>
        <v>12311349.737115599</v>
      </c>
      <c r="K52" s="2"/>
      <c r="L52" s="2"/>
    </row>
    <row r="53" spans="1:12" x14ac:dyDescent="0.3">
      <c r="A53" s="1">
        <v>40209</v>
      </c>
      <c r="B53" s="2" cm="1">
        <f t="array" ref="B53">_xlfn._xlws.FILTER(rawdata!$F$2:$F$3638,(rawdata!$A$2:$A$3638=transformed_data!$A53)*(rawdata!$C$2:$C$3638=transformed_data!B$1))</f>
        <v>1689452.68</v>
      </c>
      <c r="C53" s="2" cm="1">
        <f t="array" ref="C53">_xlfn._xlws.FILTER(rawdata!$F$2:$F$3638,(rawdata!$A$2:$A$3638=transformed_data!$A53)*(rawdata!$C$2:$C$3638=transformed_data!C$1))</f>
        <v>4229470.0553000001</v>
      </c>
      <c r="D53" s="2" cm="1">
        <f t="array" ref="D53">_xlfn._xlws.FILTER(rawdata!$F$2:$F$3638,(rawdata!$A$2:$A$3638=transformed_data!$A53)*(rawdata!$C$2:$C$3638=transformed_data!D$1))</f>
        <v>731435.74274999998</v>
      </c>
      <c r="E53" s="2" cm="1">
        <f t="array" ref="E53">SUM(-B53:D53,_xlfn._xlws.FILTER(rawdata!$F$2:$F$3638,(rawdata!$A$2:$A$3638=transformed_data!$A53)*(rawdata!$B$2:$B$3638="Total Marketable")))</f>
        <v>576192.59152153973</v>
      </c>
      <c r="F53" s="2" cm="1">
        <f t="array" ref="F53">_xlfn._xlws.FILTER(rawdata!$F$2:$F$3638,(rawdata!$A$2:$A$3638=transformed_data!$A53)*(rawdata!$B$2:$B$3638="Total Nonmarketable"))</f>
        <v>5052084.7133432999</v>
      </c>
      <c r="G53" s="2" cm="1">
        <f t="array" ref="G53">_xlfn._xlws.FILTER(rawdata!$D$2:$D$3638,(rawdata!$A$2:$A$3638=transformed_data!$A53)*(rawdata!$B$2:$B$3638="Total Public Debt Outstanding"))</f>
        <v>7759489.6597597897</v>
      </c>
      <c r="H53" s="2" cm="1">
        <f t="array" ref="H53">_xlfn._xlws.FILTER(rawdata!$E$2:$E$3638,(rawdata!$A$2:$A$3638=transformed_data!$A53)*(rawdata!$B$2:$B$3638="Total Public Debt Outstanding"))</f>
        <v>4519146.0231550504</v>
      </c>
      <c r="I53" s="2" cm="1">
        <f t="array" ref="I53">_xlfn._xlws.FILTER(rawdata!$F$2:$F$3638,(rawdata!$A$2:$A$3638=transformed_data!$A53)*(rawdata!$B$2:$B$3638="Total Public Debt Outstanding"))</f>
        <v>12278635.782914801</v>
      </c>
      <c r="K53" s="2"/>
      <c r="L53" s="2"/>
    </row>
    <row r="54" spans="1:12" x14ac:dyDescent="0.3">
      <c r="A54" s="1">
        <v>40237</v>
      </c>
      <c r="B54" s="2" cm="1">
        <f t="array" ref="B54">_xlfn._xlws.FILTER(rawdata!$F$2:$F$3638,(rawdata!$A$2:$A$3638=transformed_data!$A54)*(rawdata!$C$2:$C$3638=transformed_data!B$1))</f>
        <v>1736455.3439</v>
      </c>
      <c r="C54" s="2" cm="1">
        <f t="array" ref="C54">_xlfn._xlws.FILTER(rawdata!$F$2:$F$3638,(rawdata!$A$2:$A$3638=transformed_data!$A54)*(rawdata!$C$2:$C$3638=transformed_data!C$1))</f>
        <v>4337337.2712000003</v>
      </c>
      <c r="D54" s="2" cm="1">
        <f t="array" ref="D54">_xlfn._xlws.FILTER(rawdata!$F$2:$F$3638,(rawdata!$A$2:$A$3638=transformed_data!$A54)*(rawdata!$C$2:$C$3638=transformed_data!D$1))</f>
        <v>749232.29055000003</v>
      </c>
      <c r="E54" s="2" cm="1">
        <f t="array" ref="E54">SUM(-B54:D54,_xlfn._xlws.FILTER(rawdata!$F$2:$F$3638,(rawdata!$A$2:$A$3638=transformed_data!$A54)*(rawdata!$B$2:$B$3638="Total Marketable")))</f>
        <v>583356.20161822997</v>
      </c>
      <c r="F54" s="2" cm="1">
        <f t="array" ref="F54">_xlfn._xlws.FILTER(rawdata!$F$2:$F$3638,(rawdata!$A$2:$A$3638=transformed_data!$A54)*(rawdata!$B$2:$B$3638="Total Nonmarketable"))</f>
        <v>5033686.5220626201</v>
      </c>
      <c r="G54" s="2" cm="1">
        <f t="array" ref="G54">_xlfn._xlws.FILTER(rawdata!$D$2:$D$3638,(rawdata!$A$2:$A$3638=transformed_data!$A54)*(rawdata!$B$2:$B$3638="Total Public Debt Outstanding"))</f>
        <v>7936671.0065938998</v>
      </c>
      <c r="H54" s="2" cm="1">
        <f t="array" ref="H54">_xlfn._xlws.FILTER(rawdata!$E$2:$E$3638,(rawdata!$A$2:$A$3638=transformed_data!$A54)*(rawdata!$B$2:$B$3638="Total Public Debt Outstanding"))</f>
        <v>4503396.5227369498</v>
      </c>
      <c r="I54" s="2" cm="1">
        <f t="array" ref="I54">_xlfn._xlws.FILTER(rawdata!$F$2:$F$3638,(rawdata!$A$2:$A$3638=transformed_data!$A54)*(rawdata!$B$2:$B$3638="Total Public Debt Outstanding"))</f>
        <v>12440067.6293309</v>
      </c>
      <c r="K54" s="2"/>
      <c r="L54" s="2"/>
    </row>
    <row r="55" spans="1:12" x14ac:dyDescent="0.3">
      <c r="A55" s="1">
        <v>40268</v>
      </c>
      <c r="B55" s="2" cm="1">
        <f t="array" ref="B55">_xlfn._xlws.FILTER(rawdata!$F$2:$F$3638,(rawdata!$A$2:$A$3638=transformed_data!$A55)*(rawdata!$C$2:$C$3638=transformed_data!B$1))</f>
        <v>1843478.1791000001</v>
      </c>
      <c r="C55" s="2" cm="1">
        <f t="array" ref="C55">_xlfn._xlws.FILTER(rawdata!$F$2:$F$3638,(rawdata!$A$2:$A$3638=transformed_data!$A55)*(rawdata!$C$2:$C$3638=transformed_data!C$1))</f>
        <v>4566056.8075000001</v>
      </c>
      <c r="D55" s="2" cm="1">
        <f t="array" ref="D55">_xlfn._xlws.FILTER(rawdata!$F$2:$F$3638,(rawdata!$A$2:$A$3638=transformed_data!$A55)*(rawdata!$C$2:$C$3638=transformed_data!D$1))</f>
        <v>762385.96814999997</v>
      </c>
      <c r="E55" s="2" cm="1">
        <f t="array" ref="E55">SUM(-B55:D55,_xlfn._xlws.FILTER(rawdata!$F$2:$F$3638,(rawdata!$A$2:$A$3638=transformed_data!$A55)*(rawdata!$B$2:$B$3638="Total Marketable")))</f>
        <v>585120.29892432969</v>
      </c>
      <c r="F55" s="2" cm="1">
        <f t="array" ref="F55">_xlfn._xlws.FILTER(rawdata!$F$2:$F$3638,(rawdata!$A$2:$A$3638=transformed_data!$A55)*(rawdata!$B$2:$B$3638="Total Nonmarketable"))</f>
        <v>5016081.8529656101</v>
      </c>
      <c r="G55" s="2" cm="1">
        <f t="array" ref="G55">_xlfn._xlws.FILTER(rawdata!$D$2:$D$3638,(rawdata!$A$2:$A$3638=transformed_data!$A55)*(rawdata!$B$2:$B$3638="Total Public Debt Outstanding"))</f>
        <v>8290068.8315470004</v>
      </c>
      <c r="H55" s="2" cm="1">
        <f t="array" ref="H55">_xlfn._xlws.FILTER(rawdata!$E$2:$E$3638,(rawdata!$A$2:$A$3638=transformed_data!$A55)*(rawdata!$B$2:$B$3638="Total Public Debt Outstanding"))</f>
        <v>4483054.2650929401</v>
      </c>
      <c r="I55" s="2" cm="1">
        <f t="array" ref="I55">_xlfn._xlws.FILTER(rawdata!$F$2:$F$3638,(rawdata!$A$2:$A$3638=transformed_data!$A55)*(rawdata!$B$2:$B$3638="Total Public Debt Outstanding"))</f>
        <v>12773123.106639899</v>
      </c>
      <c r="K55" s="2"/>
      <c r="L55" s="2"/>
    </row>
    <row r="56" spans="1:12" x14ac:dyDescent="0.3">
      <c r="A56" s="1">
        <v>40298</v>
      </c>
      <c r="B56" s="2" cm="1">
        <f t="array" ref="B56">_xlfn._xlws.FILTER(rawdata!$F$2:$F$3638,(rawdata!$A$2:$A$3638=transformed_data!$A56)*(rawdata!$C$2:$C$3638=transformed_data!B$1))</f>
        <v>1847529.9140000001</v>
      </c>
      <c r="C56" s="2" cm="1">
        <f t="array" ref="C56">_xlfn._xlws.FILTER(rawdata!$F$2:$F$3638,(rawdata!$A$2:$A$3638=transformed_data!$A56)*(rawdata!$C$2:$C$3638=transformed_data!C$1))</f>
        <v>4704282.5508000003</v>
      </c>
      <c r="D56" s="2" cm="1">
        <f t="array" ref="D56">_xlfn._xlws.FILTER(rawdata!$F$2:$F$3638,(rawdata!$A$2:$A$3638=transformed_data!$A56)*(rawdata!$C$2:$C$3638=transformed_data!D$1))</f>
        <v>776337.46554999996</v>
      </c>
      <c r="E56" s="2" cm="1">
        <f t="array" ref="E56">SUM(-B56:D56,_xlfn._xlws.FILTER(rawdata!$F$2:$F$3638,(rawdata!$A$2:$A$3638=transformed_data!$A56)*(rawdata!$B$2:$B$3638="Total Marketable")))</f>
        <v>573128.34445764963</v>
      </c>
      <c r="F56" s="2" cm="1">
        <f t="array" ref="F56">_xlfn._xlws.FILTER(rawdata!$F$2:$F$3638,(rawdata!$A$2:$A$3638=transformed_data!$A56)*(rawdata!$B$2:$B$3638="Total Nonmarketable"))</f>
        <v>5047460.60169229</v>
      </c>
      <c r="G56" s="2" cm="1">
        <f t="array" ref="G56">_xlfn._xlws.FILTER(rawdata!$D$2:$D$3638,(rawdata!$A$2:$A$3638=transformed_data!$A56)*(rawdata!$B$2:$B$3638="Total Public Debt Outstanding"))</f>
        <v>8434434.6381713208</v>
      </c>
      <c r="H56" s="2" cm="1">
        <f t="array" ref="H56">_xlfn._xlws.FILTER(rawdata!$E$2:$E$3638,(rawdata!$A$2:$A$3638=transformed_data!$A56)*(rawdata!$B$2:$B$3638="Total Public Debt Outstanding"))</f>
        <v>4514304.2283286201</v>
      </c>
      <c r="I56" s="2" cm="1">
        <f t="array" ref="I56">_xlfn._xlws.FILTER(rawdata!$F$2:$F$3638,(rawdata!$A$2:$A$3638=transformed_data!$A56)*(rawdata!$B$2:$B$3638="Total Public Debt Outstanding"))</f>
        <v>12948738.876499901</v>
      </c>
      <c r="K56" s="2"/>
      <c r="L56" s="2"/>
    </row>
    <row r="57" spans="1:12" x14ac:dyDescent="0.3">
      <c r="A57" s="1">
        <v>40329</v>
      </c>
      <c r="B57" s="2" cm="1">
        <f t="array" ref="B57">_xlfn._xlws.FILTER(rawdata!$F$2:$F$3638,(rawdata!$A$2:$A$3638=transformed_data!$A57)*(rawdata!$C$2:$C$3638=transformed_data!B$1))</f>
        <v>1855517.8015000001</v>
      </c>
      <c r="C57" s="2" cm="1">
        <f t="array" ref="C57">_xlfn._xlws.FILTER(rawdata!$F$2:$F$3638,(rawdata!$A$2:$A$3638=transformed_data!$A57)*(rawdata!$C$2:$C$3638=transformed_data!C$1))</f>
        <v>4734001.1391000003</v>
      </c>
      <c r="D57" s="2" cm="1">
        <f t="array" ref="D57">_xlfn._xlws.FILTER(rawdata!$F$2:$F$3638,(rawdata!$A$2:$A$3638=transformed_data!$A57)*(rawdata!$C$2:$C$3638=transformed_data!D$1))</f>
        <v>793731.41425000003</v>
      </c>
      <c r="E57" s="2" cm="1">
        <f t="array" ref="E57">SUM(-B57:D57,_xlfn._xlws.FILTER(rawdata!$F$2:$F$3638,(rawdata!$A$2:$A$3638=transformed_data!$A57)*(rawdata!$B$2:$B$3638="Total Marketable")))</f>
        <v>575139.12354542967</v>
      </c>
      <c r="F57" s="2" cm="1">
        <f t="array" ref="F57">_xlfn._xlws.FILTER(rawdata!$F$2:$F$3638,(rawdata!$A$2:$A$3638=transformed_data!$A57)*(rawdata!$B$2:$B$3638="Total Nonmarketable"))</f>
        <v>5034149.6132462602</v>
      </c>
      <c r="G57" s="2" cm="1">
        <f t="array" ref="G57">_xlfn._xlws.FILTER(rawdata!$D$2:$D$3638,(rawdata!$A$2:$A$3638=transformed_data!$A57)*(rawdata!$B$2:$B$3638="Total Public Debt Outstanding"))</f>
        <v>8494419.4451857507</v>
      </c>
      <c r="H57" s="2" cm="1">
        <f t="array" ref="H57">_xlfn._xlws.FILTER(rawdata!$E$2:$E$3638,(rawdata!$A$2:$A$3638=transformed_data!$A57)*(rawdata!$B$2:$B$3638="Total Public Debt Outstanding"))</f>
        <v>4498119.6364559401</v>
      </c>
      <c r="I57" s="2" cm="1">
        <f t="array" ref="I57">_xlfn._xlws.FILTER(rawdata!$F$2:$F$3638,(rawdata!$A$2:$A$3638=transformed_data!$A57)*(rawdata!$B$2:$B$3638="Total Public Debt Outstanding"))</f>
        <v>12992539.0916417</v>
      </c>
      <c r="K57" s="2"/>
      <c r="L57" s="2"/>
    </row>
    <row r="58" spans="1:12" x14ac:dyDescent="0.3">
      <c r="A58" s="1">
        <v>40359</v>
      </c>
      <c r="B58" s="2" cm="1">
        <f t="array" ref="B58">_xlfn._xlws.FILTER(rawdata!$F$2:$F$3638,(rawdata!$A$2:$A$3638=transformed_data!$A58)*(rawdata!$C$2:$C$3638=transformed_data!B$1))</f>
        <v>1782525.5611</v>
      </c>
      <c r="C58" s="2" cm="1">
        <f t="array" ref="C58">_xlfn._xlws.FILTER(rawdata!$F$2:$F$3638,(rawdata!$A$2:$A$3638=transformed_data!$A58)*(rawdata!$C$2:$C$3638=transformed_data!C$1))</f>
        <v>4938376.0173000004</v>
      </c>
      <c r="D58" s="2" cm="1">
        <f t="array" ref="D58">_xlfn._xlws.FILTER(rawdata!$F$2:$F$3638,(rawdata!$A$2:$A$3638=transformed_data!$A58)*(rawdata!$C$2:$C$3638=transformed_data!D$1))</f>
        <v>806805.73285000003</v>
      </c>
      <c r="E58" s="2" cm="1">
        <f t="array" ref="E58">SUM(-B58:D58,_xlfn._xlws.FILTER(rawdata!$F$2:$F$3638,(rawdata!$A$2:$A$3638=transformed_data!$A58)*(rawdata!$B$2:$B$3638="Total Marketable")))</f>
        <v>574700.90580156911</v>
      </c>
      <c r="F58" s="2" cm="1">
        <f t="array" ref="F58">_xlfn._xlws.FILTER(rawdata!$F$2:$F$3638,(rawdata!$A$2:$A$3638=transformed_data!$A58)*(rawdata!$B$2:$B$3638="Total Nonmarketable"))</f>
        <v>5099383.2891168799</v>
      </c>
      <c r="G58" s="2" cm="1">
        <f t="array" ref="G58">_xlfn._xlws.FILTER(rawdata!$D$2:$D$3638,(rawdata!$A$2:$A$3638=transformed_data!$A58)*(rawdata!$B$2:$B$3638="Total Public Debt Outstanding"))</f>
        <v>8633680.3952902798</v>
      </c>
      <c r="H58" s="2" cm="1">
        <f t="array" ref="H58">_xlfn._xlws.FILTER(rawdata!$E$2:$E$3638,(rawdata!$A$2:$A$3638=transformed_data!$A58)*(rawdata!$B$2:$B$3638="Total Public Debt Outstanding"))</f>
        <v>4568111.1108781695</v>
      </c>
      <c r="I58" s="2" cm="1">
        <f t="array" ref="I58">_xlfn._xlws.FILTER(rawdata!$F$2:$F$3638,(rawdata!$A$2:$A$3638=transformed_data!$A58)*(rawdata!$B$2:$B$3638="Total Public Debt Outstanding"))</f>
        <v>13201791.5061685</v>
      </c>
      <c r="K58" s="2"/>
      <c r="L58" s="2"/>
    </row>
    <row r="59" spans="1:12" x14ac:dyDescent="0.3">
      <c r="A59" s="1">
        <v>40390</v>
      </c>
      <c r="B59" s="2" cm="1">
        <f t="array" ref="B59">_xlfn._xlws.FILTER(rawdata!$F$2:$F$3638,(rawdata!$A$2:$A$3638=transformed_data!$A59)*(rawdata!$C$2:$C$3638=transformed_data!B$1))</f>
        <v>1790503.3211000001</v>
      </c>
      <c r="C59" s="2" cm="1">
        <f t="array" ref="C59">_xlfn._xlws.FILTER(rawdata!$F$2:$F$3638,(rawdata!$A$2:$A$3638=transformed_data!$A59)*(rawdata!$C$2:$C$3638=transformed_data!C$1))</f>
        <v>4981389.8132999996</v>
      </c>
      <c r="D59" s="2" cm="1">
        <f t="array" ref="D59">_xlfn._xlws.FILTER(rawdata!$F$2:$F$3638,(rawdata!$A$2:$A$3638=transformed_data!$A59)*(rawdata!$C$2:$C$3638=transformed_data!D$1))</f>
        <v>819809.23395000002</v>
      </c>
      <c r="E59" s="2" cm="1">
        <f t="array" ref="E59">SUM(-B59:D59,_xlfn._xlws.FILTER(rawdata!$F$2:$F$3638,(rawdata!$A$2:$A$3638=transformed_data!$A59)*(rawdata!$B$2:$B$3638="Total Marketable")))</f>
        <v>587150.09778700955</v>
      </c>
      <c r="F59" s="2" cm="1">
        <f t="array" ref="F59">_xlfn._xlws.FILTER(rawdata!$F$2:$F$3638,(rawdata!$A$2:$A$3638=transformed_data!$A59)*(rawdata!$B$2:$B$3638="Total Nonmarketable"))</f>
        <v>5058874.51701409</v>
      </c>
      <c r="G59" s="2" cm="1">
        <f t="array" ref="G59">_xlfn._xlws.FILTER(rawdata!$D$2:$D$3638,(rawdata!$A$2:$A$3638=transformed_data!$A59)*(rawdata!$B$2:$B$3638="Total Public Debt Outstanding"))</f>
        <v>8702457.6790062897</v>
      </c>
      <c r="H59" s="2" cm="1">
        <f t="array" ref="H59">_xlfn._xlws.FILTER(rawdata!$E$2:$E$3638,(rawdata!$A$2:$A$3638=transformed_data!$A59)*(rawdata!$B$2:$B$3638="Total Public Debt Outstanding"))</f>
        <v>4535269.2141448101</v>
      </c>
      <c r="I59" s="2" cm="1">
        <f t="array" ref="I59">_xlfn._xlws.FILTER(rawdata!$F$2:$F$3638,(rawdata!$A$2:$A$3638=transformed_data!$A59)*(rawdata!$B$2:$B$3638="Total Public Debt Outstanding"))</f>
        <v>13237726.983151101</v>
      </c>
      <c r="K59" s="2"/>
      <c r="L59" s="2"/>
    </row>
    <row r="60" spans="1:12" x14ac:dyDescent="0.3">
      <c r="A60" s="1">
        <v>40421</v>
      </c>
      <c r="B60" s="2" cm="1">
        <f t="array" ref="B60">_xlfn._xlws.FILTER(rawdata!$F$2:$F$3638,(rawdata!$A$2:$A$3638=transformed_data!$A60)*(rawdata!$C$2:$C$3638=transformed_data!B$1))</f>
        <v>1825518.2359</v>
      </c>
      <c r="C60" s="2" cm="1">
        <f t="array" ref="C60">_xlfn._xlws.FILTER(rawdata!$F$2:$F$3638,(rawdata!$A$2:$A$3638=transformed_data!$A60)*(rawdata!$C$2:$C$3638=transformed_data!C$1))</f>
        <v>5148300.1813000003</v>
      </c>
      <c r="D60" s="2" cm="1">
        <f t="array" ref="D60">_xlfn._xlws.FILTER(rawdata!$F$2:$F$3638,(rawdata!$A$2:$A$3638=transformed_data!$A60)*(rawdata!$C$2:$C$3638=transformed_data!D$1))</f>
        <v>836767.36829999997</v>
      </c>
      <c r="E60" s="2" cm="1">
        <f t="array" ref="E60">SUM(-B60:D60,_xlfn._xlws.FILTER(rawdata!$F$2:$F$3638,(rawdata!$A$2:$A$3638=transformed_data!$A60)*(rawdata!$B$2:$B$3638="Total Marketable")))</f>
        <v>593877.88687927928</v>
      </c>
      <c r="F60" s="2" cm="1">
        <f t="array" ref="F60">_xlfn._xlws.FILTER(rawdata!$F$2:$F$3638,(rawdata!$A$2:$A$3638=transformed_data!$A60)*(rawdata!$B$2:$B$3638="Total Nonmarketable"))</f>
        <v>5045189.0469558602</v>
      </c>
      <c r="G60" s="2" cm="1">
        <f t="array" ref="G60">_xlfn._xlws.FILTER(rawdata!$D$2:$D$3638,(rawdata!$A$2:$A$3638=transformed_data!$A60)*(rawdata!$B$2:$B$3638="Total Public Debt Outstanding"))</f>
        <v>8927061.4203605708</v>
      </c>
      <c r="H60" s="2" cm="1">
        <f t="array" ref="H60">_xlfn._xlws.FILTER(rawdata!$E$2:$E$3638,(rawdata!$A$2:$A$3638=transformed_data!$A60)*(rawdata!$B$2:$B$3638="Total Public Debt Outstanding"))</f>
        <v>4522591.2989745699</v>
      </c>
      <c r="I60" s="2" cm="1">
        <f t="array" ref="I60">_xlfn._xlws.FILTER(rawdata!$F$2:$F$3638,(rawdata!$A$2:$A$3638=transformed_data!$A60)*(rawdata!$B$2:$B$3638="Total Public Debt Outstanding"))</f>
        <v>13449652.7193351</v>
      </c>
      <c r="K60" s="2"/>
      <c r="L60" s="2"/>
    </row>
    <row r="61" spans="1:12" x14ac:dyDescent="0.3">
      <c r="A61" s="1">
        <v>40451</v>
      </c>
      <c r="B61" s="2" cm="1">
        <f t="array" ref="B61">_xlfn._xlws.FILTER(rawdata!$F$2:$F$3638,(rawdata!$A$2:$A$3638=transformed_data!$A61)*(rawdata!$C$2:$C$3638=transformed_data!B$1))</f>
        <v>1788452.9038</v>
      </c>
      <c r="C61" s="2" cm="1">
        <f t="array" ref="C61">_xlfn._xlws.FILTER(rawdata!$F$2:$F$3638,(rawdata!$A$2:$A$3638=transformed_data!$A61)*(rawdata!$C$2:$C$3638=transformed_data!C$1))</f>
        <v>5255885.6087999996</v>
      </c>
      <c r="D61" s="2" cm="1">
        <f t="array" ref="D61">_xlfn._xlws.FILTER(rawdata!$F$2:$F$3638,(rawdata!$A$2:$A$3638=transformed_data!$A61)*(rawdata!$C$2:$C$3638=transformed_data!D$1))</f>
        <v>849907.58724999998</v>
      </c>
      <c r="E61" s="2" cm="1">
        <f t="array" ref="E61">SUM(-B61:D61,_xlfn._xlws.FILTER(rawdata!$F$2:$F$3638,(rawdata!$A$2:$A$3638=transformed_data!$A61)*(rawdata!$B$2:$B$3638="Total Marketable")))</f>
        <v>604078.83084517159</v>
      </c>
      <c r="F61" s="2" cm="1">
        <f t="array" ref="F61">_xlfn._xlws.FILTER(rawdata!$F$2:$F$3638,(rawdata!$A$2:$A$3638=transformed_data!$A61)*(rawdata!$B$2:$B$3638="Total Nonmarketable"))</f>
        <v>5063297.6502251299</v>
      </c>
      <c r="G61" s="2" cm="1">
        <f t="array" ref="G61">_xlfn._xlws.FILTER(rawdata!$D$2:$D$3638,(rawdata!$A$2:$A$3638=transformed_data!$A61)*(rawdata!$B$2:$B$3638="Total Public Debt Outstanding"))</f>
        <v>9022807.6505567208</v>
      </c>
      <c r="H61" s="2" cm="1">
        <f t="array" ref="H61">_xlfn._xlws.FILTER(rawdata!$E$2:$E$3638,(rawdata!$A$2:$A$3638=transformed_data!$A61)*(rawdata!$B$2:$B$3638="Total Public Debt Outstanding"))</f>
        <v>4538814.9303635899</v>
      </c>
      <c r="I61" s="2" cm="1">
        <f t="array" ref="I61">_xlfn._xlws.FILTER(rawdata!$F$2:$F$3638,(rawdata!$A$2:$A$3638=transformed_data!$A61)*(rawdata!$B$2:$B$3638="Total Public Debt Outstanding"))</f>
        <v>13561622.5809203</v>
      </c>
      <c r="K61" s="2"/>
      <c r="L61" s="2"/>
    </row>
    <row r="62" spans="1:12" x14ac:dyDescent="0.3">
      <c r="A62" s="1">
        <v>40482</v>
      </c>
      <c r="B62" s="2" cm="1">
        <f t="array" ref="B62">_xlfn._xlws.FILTER(rawdata!$F$2:$F$3638,(rawdata!$A$2:$A$3638=transformed_data!$A62)*(rawdata!$C$2:$C$3638=transformed_data!B$1))</f>
        <v>1768460.2339000001</v>
      </c>
      <c r="C62" s="2" cm="1">
        <f t="array" ref="C62">_xlfn._xlws.FILTER(rawdata!$F$2:$F$3638,(rawdata!$A$2:$A$3638=transformed_data!$A62)*(rawdata!$C$2:$C$3638=transformed_data!C$1))</f>
        <v>5296344.6003999999</v>
      </c>
      <c r="D62" s="2" cm="1">
        <f t="array" ref="D62">_xlfn._xlws.FILTER(rawdata!$F$2:$F$3638,(rawdata!$A$2:$A$3638=transformed_data!$A62)*(rawdata!$C$2:$C$3638=transformed_data!D$1))</f>
        <v>863021.90755</v>
      </c>
      <c r="E62" s="2" cm="1">
        <f t="array" ref="E62">SUM(-B62:D62,_xlfn._xlws.FILTER(rawdata!$F$2:$F$3638,(rawdata!$A$2:$A$3638=transformed_data!$A62)*(rawdata!$B$2:$B$3638="Total Marketable")))</f>
        <v>614892.27539316937</v>
      </c>
      <c r="F62" s="2" cm="1">
        <f t="array" ref="F62">_xlfn._xlws.FILTER(rawdata!$F$2:$F$3638,(rawdata!$A$2:$A$3638=transformed_data!$A62)*(rawdata!$B$2:$B$3638="Total Nonmarketable"))</f>
        <v>5126106.4833983202</v>
      </c>
      <c r="G62" s="2" cm="1">
        <f t="array" ref="G62">_xlfn._xlws.FILTER(rawdata!$D$2:$D$3638,(rawdata!$A$2:$A$3638=transformed_data!$A62)*(rawdata!$B$2:$B$3638="Total Public Debt Outstanding"))</f>
        <v>9069879.0484036505</v>
      </c>
      <c r="H62" s="2" cm="1">
        <f t="array" ref="H62">_xlfn._xlws.FILTER(rawdata!$E$2:$E$3638,(rawdata!$A$2:$A$3638=transformed_data!$A62)*(rawdata!$B$2:$B$3638="Total Public Debt Outstanding"))</f>
        <v>4598946.4522378398</v>
      </c>
      <c r="I62" s="2" cm="1">
        <f t="array" ref="I62">_xlfn._xlws.FILTER(rawdata!$F$2:$F$3638,(rawdata!$A$2:$A$3638=transformed_data!$A62)*(rawdata!$B$2:$B$3638="Total Public Debt Outstanding"))</f>
        <v>13668824.500641501</v>
      </c>
      <c r="K62" s="2"/>
      <c r="L62" s="2"/>
    </row>
    <row r="63" spans="1:12" x14ac:dyDescent="0.3">
      <c r="A63" s="1">
        <v>40512</v>
      </c>
      <c r="B63" s="2" cm="1">
        <f t="array" ref="B63">_xlfn._xlws.FILTER(rawdata!$F$2:$F$3638,(rawdata!$A$2:$A$3638=transformed_data!$A63)*(rawdata!$C$2:$C$3638=transformed_data!B$1))</f>
        <v>1775456.0445000001</v>
      </c>
      <c r="C63" s="2" cm="1">
        <f t="array" ref="C63">_xlfn._xlws.FILTER(rawdata!$F$2:$F$3638,(rawdata!$A$2:$A$3638=transformed_data!$A63)*(rawdata!$C$2:$C$3638=transformed_data!C$1))</f>
        <v>5467787.9620000003</v>
      </c>
      <c r="D63" s="2" cm="1">
        <f t="array" ref="D63">_xlfn._xlws.FILTER(rawdata!$F$2:$F$3638,(rawdata!$A$2:$A$3638=transformed_data!$A63)*(rawdata!$C$2:$C$3638=transformed_data!D$1))</f>
        <v>879450.76910000003</v>
      </c>
      <c r="E63" s="2" cm="1">
        <f t="array" ref="E63">SUM(-B63:D63,_xlfn._xlws.FILTER(rawdata!$F$2:$F$3638,(rawdata!$A$2:$A$3638=transformed_data!$A63)*(rawdata!$B$2:$B$3638="Total Marketable")))</f>
        <v>625591.59945589025</v>
      </c>
      <c r="F63" s="2" cm="1">
        <f t="array" ref="F63">_xlfn._xlws.FILTER(rawdata!$F$2:$F$3638,(rawdata!$A$2:$A$3638=transformed_data!$A63)*(rawdata!$B$2:$B$3638="Total Nonmarketable"))</f>
        <v>5112487.3845636398</v>
      </c>
      <c r="G63" s="2" cm="1">
        <f t="array" ref="G63">_xlfn._xlws.FILTER(rawdata!$D$2:$D$3638,(rawdata!$A$2:$A$3638=transformed_data!$A63)*(rawdata!$B$2:$B$3638="Total Public Debt Outstanding"))</f>
        <v>9275024.69144498</v>
      </c>
      <c r="H63" s="2" cm="1">
        <f t="array" ref="H63">_xlfn._xlws.FILTER(rawdata!$E$2:$E$3638,(rawdata!$A$2:$A$3638=transformed_data!$A63)*(rawdata!$B$2:$B$3638="Total Public Debt Outstanding"))</f>
        <v>4585749.0681745503</v>
      </c>
      <c r="I63" s="2" cm="1">
        <f t="array" ref="I63">_xlfn._xlws.FILTER(rawdata!$F$2:$F$3638,(rawdata!$A$2:$A$3638=transformed_data!$A63)*(rawdata!$B$2:$B$3638="Total Public Debt Outstanding"))</f>
        <v>13860773.7596195</v>
      </c>
      <c r="K63" s="2"/>
      <c r="L63" s="2"/>
    </row>
    <row r="64" spans="1:12" x14ac:dyDescent="0.3">
      <c r="A64" s="1">
        <v>40543</v>
      </c>
      <c r="B64" s="2" cm="1">
        <f t="array" ref="B64">_xlfn._xlws.FILTER(rawdata!$F$2:$F$3638,(rawdata!$A$2:$A$3638=transformed_data!$A64)*(rawdata!$C$2:$C$3638=transformed_data!B$1))</f>
        <v>1772527.8811999999</v>
      </c>
      <c r="C64" s="2" cm="1">
        <f t="array" ref="C64">_xlfn._xlws.FILTER(rawdata!$F$2:$F$3638,(rawdata!$A$2:$A$3638=transformed_data!$A64)*(rawdata!$C$2:$C$3638=transformed_data!C$1))</f>
        <v>5571748.5499</v>
      </c>
      <c r="D64" s="2" cm="1">
        <f t="array" ref="D64">_xlfn._xlws.FILTER(rawdata!$F$2:$F$3638,(rawdata!$A$2:$A$3638=transformed_data!$A64)*(rawdata!$C$2:$C$3638=transformed_data!D$1))</f>
        <v>892639.63690000004</v>
      </c>
      <c r="E64" s="2" cm="1">
        <f t="array" ref="E64">SUM(-B64:D64,_xlfn._xlws.FILTER(rawdata!$F$2:$F$3638,(rawdata!$A$2:$A$3638=transformed_data!$A64)*(rawdata!$B$2:$B$3638="Total Marketable")))</f>
        <v>626344.52906599082</v>
      </c>
      <c r="F64" s="2" cm="1">
        <f t="array" ref="F64">_xlfn._xlws.FILTER(rawdata!$F$2:$F$3638,(rawdata!$A$2:$A$3638=transformed_data!$A64)*(rawdata!$B$2:$B$3638="Total Nonmarketable"))</f>
        <v>5161954.6242421204</v>
      </c>
      <c r="G64" s="2" cm="1">
        <f t="array" ref="G64">_xlfn._xlws.FILTER(rawdata!$D$2:$D$3638,(rawdata!$A$2:$A$3638=transformed_data!$A64)*(rawdata!$B$2:$B$3638="Total Public Debt Outstanding"))</f>
        <v>9390476.0906429291</v>
      </c>
      <c r="H64" s="2" cm="1">
        <f t="array" ref="H64">_xlfn._xlws.FILTER(rawdata!$E$2:$E$3638,(rawdata!$A$2:$A$3638=transformed_data!$A64)*(rawdata!$B$2:$B$3638="Total Public Debt Outstanding"))</f>
        <v>4634739.13066517</v>
      </c>
      <c r="I64" s="2" cm="1">
        <f t="array" ref="I64">_xlfn._xlws.FILTER(rawdata!$F$2:$F$3638,(rawdata!$A$2:$A$3638=transformed_data!$A64)*(rawdata!$B$2:$B$3638="Total Public Debt Outstanding"))</f>
        <v>14025215.221308099</v>
      </c>
      <c r="K64" s="2"/>
      <c r="L64" s="2"/>
    </row>
    <row r="65" spans="1:12" x14ac:dyDescent="0.3">
      <c r="A65" s="1">
        <v>40574</v>
      </c>
      <c r="B65" s="2" cm="1">
        <f t="array" ref="B65">_xlfn._xlws.FILTER(rawdata!$F$2:$F$3638,(rawdata!$A$2:$A$3638=transformed_data!$A65)*(rawdata!$C$2:$C$3638=transformed_data!B$1))</f>
        <v>1760544.1584000001</v>
      </c>
      <c r="C65" s="2" cm="1">
        <f t="array" ref="C65">_xlfn._xlws.FILTER(rawdata!$F$2:$F$3638,(rawdata!$A$2:$A$3638=transformed_data!$A65)*(rawdata!$C$2:$C$3638=transformed_data!C$1))</f>
        <v>5672183.7712000003</v>
      </c>
      <c r="D65" s="2" cm="1">
        <f t="array" ref="D65">_xlfn._xlws.FILTER(rawdata!$F$2:$F$3638,(rawdata!$A$2:$A$3638=transformed_data!$A65)*(rawdata!$C$2:$C$3638=transformed_data!D$1))</f>
        <v>905924.5037</v>
      </c>
      <c r="E65" s="2" cm="1">
        <f t="array" ref="E65">SUM(-B65:D65,_xlfn._xlws.FILTER(rawdata!$F$2:$F$3638,(rawdata!$A$2:$A$3638=transformed_data!$A65)*(rawdata!$B$2:$B$3638="Total Marketable")))</f>
        <v>626052.5696211895</v>
      </c>
      <c r="F65" s="2" cm="1">
        <f t="array" ref="F65">_xlfn._xlws.FILTER(rawdata!$F$2:$F$3638,(rawdata!$A$2:$A$3638=transformed_data!$A65)*(rawdata!$B$2:$B$3638="Total Nonmarketable"))</f>
        <v>5166346.3354069702</v>
      </c>
      <c r="G65" s="2" cm="1">
        <f t="array" ref="G65">_xlfn._xlws.FILTER(rawdata!$D$2:$D$3638,(rawdata!$A$2:$A$3638=transformed_data!$A65)*(rawdata!$B$2:$B$3638="Total Public Debt Outstanding"))</f>
        <v>9485417</v>
      </c>
      <c r="H65" s="2" cm="1">
        <f t="array" ref="H65">_xlfn._xlws.FILTER(rawdata!$E$2:$E$3638,(rawdata!$A$2:$A$3638=transformed_data!$A65)*(rawdata!$B$2:$B$3638="Total Public Debt Outstanding"))</f>
        <v>4645633.7037699996</v>
      </c>
      <c r="I65" s="2" cm="1">
        <f t="array" ref="I65">_xlfn._xlws.FILTER(rawdata!$F$2:$F$3638,(rawdata!$A$2:$A$3638=transformed_data!$A65)*(rawdata!$B$2:$B$3638="Total Public Debt Outstanding"))</f>
        <v>14131051.338328199</v>
      </c>
      <c r="K65" s="2"/>
      <c r="L65" s="2"/>
    </row>
    <row r="66" spans="1:12" x14ac:dyDescent="0.3">
      <c r="A66" s="1">
        <v>40602</v>
      </c>
      <c r="B66" s="2" cm="1">
        <f t="array" ref="B66">_xlfn._xlws.FILTER(rawdata!$F$2:$F$3638,(rawdata!$A$2:$A$3638=transformed_data!$A66)*(rawdata!$C$2:$C$3638=transformed_data!B$1))</f>
        <v>1738515.1597</v>
      </c>
      <c r="C66" s="2" cm="1">
        <f t="array" ref="C66">_xlfn._xlws.FILTER(rawdata!$F$2:$F$3638,(rawdata!$A$2:$A$3638=transformed_data!$A66)*(rawdata!$C$2:$C$3638=transformed_data!C$1))</f>
        <v>5750826.6413000003</v>
      </c>
      <c r="D66" s="2" cm="1">
        <f t="array" ref="D66">_xlfn._xlws.FILTER(rawdata!$F$2:$F$3638,(rawdata!$A$2:$A$3638=transformed_data!$A66)*(rawdata!$C$2:$C$3638=transformed_data!D$1))</f>
        <v>922290.5085</v>
      </c>
      <c r="E66" s="2" cm="1">
        <f t="array" ref="E66">SUM(-B66:D66,_xlfn._xlws.FILTER(rawdata!$F$2:$F$3638,(rawdata!$A$2:$A$3638=transformed_data!$A66)*(rawdata!$B$2:$B$3638="Total Marketable")))</f>
        <v>636582.42106958106</v>
      </c>
      <c r="F66" s="2" cm="1">
        <f t="array" ref="F66">_xlfn._xlws.FILTER(rawdata!$F$2:$F$3638,(rawdata!$A$2:$A$3638=transformed_data!$A66)*(rawdata!$B$2:$B$3638="Total Nonmarketable"))</f>
        <v>5146550.4242883604</v>
      </c>
      <c r="G66" s="2" cm="1">
        <f t="array" ref="G66">_xlfn._xlws.FILTER(rawdata!$D$2:$D$3638,(rawdata!$A$2:$A$3638=transformed_data!$A66)*(rawdata!$B$2:$B$3638="Total Public Debt Outstanding"))</f>
        <v>9565541.4324782006</v>
      </c>
      <c r="H66" s="2" cm="1">
        <f t="array" ref="H66">_xlfn._xlws.FILTER(rawdata!$E$2:$E$3638,(rawdata!$A$2:$A$3638=transformed_data!$A66)*(rawdata!$B$2:$B$3638="Total Public Debt Outstanding"))</f>
        <v>4629222.7223797403</v>
      </c>
      <c r="I66" s="2" cm="1">
        <f t="array" ref="I66">_xlfn._xlws.FILTER(rawdata!$F$2:$F$3638,(rawdata!$A$2:$A$3638=transformed_data!$A66)*(rawdata!$B$2:$B$3638="Total Public Debt Outstanding"))</f>
        <v>14194764.1548579</v>
      </c>
      <c r="K66" s="2"/>
      <c r="L66" s="2"/>
    </row>
    <row r="67" spans="1:12" x14ac:dyDescent="0.3">
      <c r="A67" s="1">
        <v>40633</v>
      </c>
      <c r="B67" s="2" cm="1">
        <f t="array" ref="B67">_xlfn._xlws.FILTER(rawdata!$F$2:$F$3638,(rawdata!$A$2:$A$3638=transformed_data!$A67)*(rawdata!$C$2:$C$3638=transformed_data!B$1))</f>
        <v>1698500.8334999999</v>
      </c>
      <c r="C67" s="2" cm="1">
        <f t="array" ref="C67">_xlfn._xlws.FILTER(rawdata!$F$2:$F$3638,(rawdata!$A$2:$A$3638=transformed_data!$A67)*(rawdata!$C$2:$C$3638=transformed_data!C$1))</f>
        <v>5847871.2418</v>
      </c>
      <c r="D67" s="2" cm="1">
        <f t="array" ref="D67">_xlfn._xlws.FILTER(rawdata!$F$2:$F$3638,(rawdata!$A$2:$A$3638=transformed_data!$A67)*(rawdata!$C$2:$C$3638=transformed_data!D$1))</f>
        <v>935289.17110000004</v>
      </c>
      <c r="E67" s="2" cm="1">
        <f t="array" ref="E67">SUM(-B67:D67,_xlfn._xlws.FILTER(rawdata!$F$2:$F$3638,(rawdata!$A$2:$A$3638=transformed_data!$A67)*(rawdata!$B$2:$B$3638="Total Marketable")))</f>
        <v>651078.79845703021</v>
      </c>
      <c r="F67" s="2" cm="1">
        <f t="array" ref="F67">_xlfn._xlws.FILTER(rawdata!$F$2:$F$3638,(rawdata!$A$2:$A$3638=transformed_data!$A67)*(rawdata!$B$2:$B$3638="Total Nonmarketable"))</f>
        <v>5137373.8457966503</v>
      </c>
      <c r="G67" s="2" cm="1">
        <f t="array" ref="G67">_xlfn._xlws.FILTER(rawdata!$D$2:$D$3638,(rawdata!$A$2:$A$3638=transformed_data!$A67)*(rawdata!$B$2:$B$3638="Total Public Debt Outstanding"))</f>
        <v>9651643.2500368897</v>
      </c>
      <c r="H67" s="2" cm="1">
        <f t="array" ref="H67">_xlfn._xlws.FILTER(rawdata!$E$2:$E$3638,(rawdata!$A$2:$A$3638=transformed_data!$A67)*(rawdata!$B$2:$B$3638="Total Public Debt Outstanding"))</f>
        <v>4618470.6406167904</v>
      </c>
      <c r="I67" s="2" cm="1">
        <f t="array" ref="I67">_xlfn._xlws.FILTER(rawdata!$F$2:$F$3638,(rawdata!$A$2:$A$3638=transformed_data!$A67)*(rawdata!$B$2:$B$3638="Total Public Debt Outstanding"))</f>
        <v>14270114.8906537</v>
      </c>
      <c r="K67" s="2"/>
      <c r="L67" s="2"/>
    </row>
    <row r="68" spans="1:12" x14ac:dyDescent="0.3">
      <c r="A68" s="1">
        <v>40663</v>
      </c>
      <c r="B68" s="2" cm="1">
        <f t="array" ref="B68">_xlfn._xlws.FILTER(rawdata!$F$2:$F$3638,(rawdata!$A$2:$A$3638=transformed_data!$A68)*(rawdata!$C$2:$C$3638=transformed_data!B$1))</f>
        <v>1638492.5634000001</v>
      </c>
      <c r="C68" s="2" cm="1">
        <f t="array" ref="C68">_xlfn._xlws.FILTER(rawdata!$F$2:$F$3638,(rawdata!$A$2:$A$3638=transformed_data!$A68)*(rawdata!$C$2:$C$3638=transformed_data!C$1))</f>
        <v>5903480.3480000002</v>
      </c>
      <c r="D68" s="2" cm="1">
        <f t="array" ref="D68">_xlfn._xlws.FILTER(rawdata!$F$2:$F$3638,(rawdata!$A$2:$A$3638=transformed_data!$A68)*(rawdata!$C$2:$C$3638=transformed_data!D$1))</f>
        <v>948928.9523</v>
      </c>
      <c r="E68" s="2" cm="1">
        <f t="array" ref="E68">SUM(-B68:D68,_xlfn._xlws.FILTER(rawdata!$F$2:$F$3638,(rawdata!$A$2:$A$3638=transformed_data!$A68)*(rawdata!$B$2:$B$3638="Total Marketable")))</f>
        <v>645668.31957495026</v>
      </c>
      <c r="F68" s="2" cm="1">
        <f t="array" ref="F68">_xlfn._xlws.FILTER(rawdata!$F$2:$F$3638,(rawdata!$A$2:$A$3638=transformed_data!$A68)*(rawdata!$B$2:$B$3638="Total Nonmarketable"))</f>
        <v>5151059.9376643403</v>
      </c>
      <c r="G68" s="2" cm="1">
        <f t="array" ref="G68">_xlfn._xlws.FILTER(rawdata!$D$2:$D$3638,(rawdata!$A$2:$A$3638=transformed_data!$A68)*(rawdata!$B$2:$B$3638="Total Public Debt Outstanding"))</f>
        <v>9654950.2812367901</v>
      </c>
      <c r="H68" s="2" cm="1">
        <f t="array" ref="H68">_xlfn._xlws.FILTER(rawdata!$E$2:$E$3638,(rawdata!$A$2:$A$3638=transformed_data!$A68)*(rawdata!$B$2:$B$3638="Total Public Debt Outstanding"))</f>
        <v>4632679.8397025</v>
      </c>
      <c r="I68" s="2" cm="1">
        <f t="array" ref="I68">_xlfn._xlws.FILTER(rawdata!$F$2:$F$3638,(rawdata!$A$2:$A$3638=transformed_data!$A68)*(rawdata!$B$2:$B$3638="Total Public Debt Outstanding"))</f>
        <v>14287630.120939299</v>
      </c>
      <c r="K68" s="2"/>
      <c r="L68" s="2"/>
    </row>
    <row r="69" spans="1:12" x14ac:dyDescent="0.3">
      <c r="A69" s="1">
        <v>40694</v>
      </c>
      <c r="B69" s="2" cm="1">
        <f t="array" ref="B69">_xlfn._xlws.FILTER(rawdata!$F$2:$F$3638,(rawdata!$A$2:$A$3638=transformed_data!$A69)*(rawdata!$C$2:$C$3638=transformed_data!B$1))</f>
        <v>1578504.8411999999</v>
      </c>
      <c r="C69" s="2" cm="1">
        <f t="array" ref="C69">_xlfn._xlws.FILTER(rawdata!$F$2:$F$3638,(rawdata!$A$2:$A$3638=transformed_data!$A69)*(rawdata!$C$2:$C$3638=transformed_data!C$1))</f>
        <v>6054739.7154000001</v>
      </c>
      <c r="D69" s="2" cm="1">
        <f t="array" ref="D69">_xlfn._xlws.FILTER(rawdata!$F$2:$F$3638,(rawdata!$A$2:$A$3638=transformed_data!$A69)*(rawdata!$C$2:$C$3638=transformed_data!D$1))</f>
        <v>964928.84719999996</v>
      </c>
      <c r="E69" s="2" cm="1">
        <f t="array" ref="E69">SUM(-B69:D69,_xlfn._xlws.FILTER(rawdata!$F$2:$F$3638,(rawdata!$A$2:$A$3638=transformed_data!$A69)*(rawdata!$B$2:$B$3638="Total Marketable")))</f>
        <v>664057.43899426982</v>
      </c>
      <c r="F69" s="2" cm="1">
        <f t="array" ref="F69">_xlfn._xlws.FILTER(rawdata!$F$2:$F$3638,(rawdata!$A$2:$A$3638=transformed_data!$A69)*(rawdata!$B$2:$B$3638="Total Nonmarketable"))</f>
        <v>5082436.8811269104</v>
      </c>
      <c r="G69" s="2" cm="1">
        <f t="array" ref="G69">_xlfn._xlws.FILTER(rawdata!$D$2:$D$3638,(rawdata!$A$2:$A$3638=transformed_data!$A69)*(rawdata!$B$2:$B$3638="Total Public Debt Outstanding"))</f>
        <v>9723455.5236192308</v>
      </c>
      <c r="H69" s="2" cm="1">
        <f t="array" ref="H69">_xlfn._xlws.FILTER(rawdata!$E$2:$E$3638,(rawdata!$A$2:$A$3638=transformed_data!$A69)*(rawdata!$B$2:$B$3638="Total Public Debt Outstanding"))</f>
        <v>4621212.2003019396</v>
      </c>
      <c r="I69" s="2" cm="1">
        <f t="array" ref="I69">_xlfn._xlws.FILTER(rawdata!$F$2:$F$3638,(rawdata!$A$2:$A$3638=transformed_data!$A69)*(rawdata!$B$2:$B$3638="Total Public Debt Outstanding"))</f>
        <v>14344667.7239212</v>
      </c>
      <c r="K69" s="2"/>
      <c r="L69" s="2"/>
    </row>
    <row r="70" spans="1:12" x14ac:dyDescent="0.3">
      <c r="A70" s="1">
        <v>40724</v>
      </c>
      <c r="B70" s="2" cm="1">
        <f t="array" ref="B70">_xlfn._xlws.FILTER(rawdata!$F$2:$F$3638,(rawdata!$A$2:$A$3638=transformed_data!$A70)*(rawdata!$C$2:$C$3638=transformed_data!B$1))</f>
        <v>1531494.871</v>
      </c>
      <c r="C70" s="2" cm="1">
        <f t="array" ref="C70">_xlfn._xlws.FILTER(rawdata!$F$2:$F$3638,(rawdata!$A$2:$A$3638=transformed_data!$A70)*(rawdata!$C$2:$C$3638=transformed_data!C$1))</f>
        <v>6151264.3032999998</v>
      </c>
      <c r="D70" s="2" cm="1">
        <f t="array" ref="D70">_xlfn._xlws.FILTER(rawdata!$F$2:$F$3638,(rawdata!$A$2:$A$3638=transformed_data!$A70)*(rawdata!$C$2:$C$3638=transformed_data!D$1))</f>
        <v>977924.24780000001</v>
      </c>
      <c r="E70" s="2" cm="1">
        <f t="array" ref="E70">SUM(-B70:D70,_xlfn._xlws.FILTER(rawdata!$F$2:$F$3638,(rawdata!$A$2:$A$3638=transformed_data!$A70)*(rawdata!$B$2:$B$3638="Total Marketable")))</f>
        <v>673964.93401844054</v>
      </c>
      <c r="F70" s="2" cm="1">
        <f t="array" ref="F70">_xlfn._xlws.FILTER(rawdata!$F$2:$F$3638,(rawdata!$A$2:$A$3638=transformed_data!$A70)*(rawdata!$B$2:$B$3638="Total Nonmarketable"))</f>
        <v>5008438.7657588404</v>
      </c>
      <c r="G70" s="2" cm="1">
        <f t="array" ref="G70">_xlfn._xlws.FILTER(rawdata!$D$2:$D$3638,(rawdata!$A$2:$A$3638=transformed_data!$A70)*(rawdata!$B$2:$B$3638="Total Public Debt Outstanding"))</f>
        <v>9742223.4834615402</v>
      </c>
      <c r="H70" s="2" cm="1">
        <f t="array" ref="H70">_xlfn._xlws.FILTER(rawdata!$E$2:$E$3638,(rawdata!$A$2:$A$3638=transformed_data!$A70)*(rawdata!$B$2:$B$3638="Total Public Debt Outstanding"))</f>
        <v>4600863.6384157296</v>
      </c>
      <c r="I70" s="2" cm="1">
        <f t="array" ref="I70">_xlfn._xlws.FILTER(rawdata!$F$2:$F$3638,(rawdata!$A$2:$A$3638=transformed_data!$A70)*(rawdata!$B$2:$B$3638="Total Public Debt Outstanding"))</f>
        <v>14343088.1218773</v>
      </c>
      <c r="K70" s="2"/>
      <c r="L70" s="2"/>
    </row>
    <row r="71" spans="1:12" x14ac:dyDescent="0.3">
      <c r="A71" s="1">
        <v>40755</v>
      </c>
      <c r="B71" s="2" cm="1">
        <f t="array" ref="B71">_xlfn._xlws.FILTER(rawdata!$F$2:$F$3638,(rawdata!$A$2:$A$3638=transformed_data!$A71)*(rawdata!$C$2:$C$3638=transformed_data!B$1))</f>
        <v>1492496.7899</v>
      </c>
      <c r="C71" s="2" cm="1">
        <f t="array" ref="C71">_xlfn._xlws.FILTER(rawdata!$F$2:$F$3638,(rawdata!$A$2:$A$3638=transformed_data!$A71)*(rawdata!$C$2:$C$3638=transformed_data!C$1))</f>
        <v>6204263.5055</v>
      </c>
      <c r="D71" s="2" cm="1">
        <f t="array" ref="D71">_xlfn._xlws.FILTER(rawdata!$F$2:$F$3638,(rawdata!$A$2:$A$3638=transformed_data!$A71)*(rawdata!$C$2:$C$3638=transformed_data!D$1))</f>
        <v>990924.14635000005</v>
      </c>
      <c r="E71" s="2" cm="1">
        <f t="array" ref="E71">SUM(-B71:D71,_xlfn._xlws.FILTER(rawdata!$F$2:$F$3638,(rawdata!$A$2:$A$3638=transformed_data!$A71)*(rawdata!$B$2:$B$3638="Total Marketable")))</f>
        <v>689945.95641501807</v>
      </c>
      <c r="F71" s="2" cm="1">
        <f t="array" ref="F71">_xlfn._xlws.FILTER(rawdata!$F$2:$F$3638,(rawdata!$A$2:$A$3638=transformed_data!$A71)*(rawdata!$B$2:$B$3638="Total Nonmarketable"))</f>
        <v>4964738.9590513101</v>
      </c>
      <c r="G71" s="2" cm="1">
        <f t="array" ref="G71">_xlfn._xlws.FILTER(rawdata!$D$2:$D$3638,(rawdata!$A$2:$A$3638=transformed_data!$A71)*(rawdata!$B$2:$B$3638="Total Public Debt Outstanding"))</f>
        <v>9755796.4007976092</v>
      </c>
      <c r="H71" s="2" cm="1">
        <f t="array" ref="H71">_xlfn._xlws.FILTER(rawdata!$E$2:$E$3638,(rawdata!$A$2:$A$3638=transformed_data!$A71)*(rawdata!$B$2:$B$3638="Total Public Debt Outstanding"))</f>
        <v>4586573.9564187303</v>
      </c>
      <c r="I71" s="2" cm="1">
        <f t="array" ref="I71">_xlfn._xlws.FILTER(rawdata!$F$2:$F$3638,(rawdata!$A$2:$A$3638=transformed_data!$A71)*(rawdata!$B$2:$B$3638="Total Public Debt Outstanding"))</f>
        <v>14342369.3572163</v>
      </c>
      <c r="K71" s="2"/>
      <c r="L71" s="2"/>
    </row>
    <row r="72" spans="1:12" x14ac:dyDescent="0.3">
      <c r="A72" s="1">
        <v>40786</v>
      </c>
      <c r="B72" s="2" cm="1">
        <f t="array" ref="B72">_xlfn._xlws.FILTER(rawdata!$F$2:$F$3638,(rawdata!$A$2:$A$3638=transformed_data!$A72)*(rawdata!$C$2:$C$3638=transformed_data!B$1))</f>
        <v>1493509.9842999999</v>
      </c>
      <c r="C72" s="2" cm="1">
        <f t="array" ref="C72">_xlfn._xlws.FILTER(rawdata!$F$2:$F$3638,(rawdata!$A$2:$A$3638=transformed_data!$A72)*(rawdata!$C$2:$C$3638=transformed_data!C$1))</f>
        <v>6318673.9828000003</v>
      </c>
      <c r="D72" s="2" cm="1">
        <f t="array" ref="D72">_xlfn._xlws.FILTER(rawdata!$F$2:$F$3638,(rawdata!$A$2:$A$3638=transformed_data!$A72)*(rawdata!$C$2:$C$3638=transformed_data!D$1))</f>
        <v>1007413.8952499999</v>
      </c>
      <c r="E72" s="2" cm="1">
        <f t="array" ref="E72">SUM(-B72:D72,_xlfn._xlws.FILTER(rawdata!$F$2:$F$3638,(rawdata!$A$2:$A$3638=transformed_data!$A72)*(rawdata!$B$2:$B$3638="Total Marketable")))</f>
        <v>702207.55245965905</v>
      </c>
      <c r="F72" s="2" cm="1">
        <f t="array" ref="F72">_xlfn._xlws.FILTER(rawdata!$F$2:$F$3638,(rawdata!$A$2:$A$3638=transformed_data!$A72)*(rawdata!$B$2:$B$3638="Total Nonmarketable"))</f>
        <v>5162488.2589399703</v>
      </c>
      <c r="G72" s="2" cm="1">
        <f t="array" ref="G72">_xlfn._xlws.FILTER(rawdata!$D$2:$D$3638,(rawdata!$A$2:$A$3638=transformed_data!$A72)*(rawdata!$B$2:$B$3638="Total Public Debt Outstanding"))</f>
        <v>10024253.104963999</v>
      </c>
      <c r="H72" s="2" cm="1">
        <f t="array" ref="H72">_xlfn._xlws.FILTER(rawdata!$E$2:$E$3638,(rawdata!$A$2:$A$3638=transformed_data!$A72)*(rawdata!$B$2:$B$3638="Total Public Debt Outstanding"))</f>
        <v>4660039.5687855799</v>
      </c>
      <c r="I72" s="2" cm="1">
        <f t="array" ref="I72">_xlfn._xlws.FILTER(rawdata!$F$2:$F$3638,(rawdata!$A$2:$A$3638=transformed_data!$A72)*(rawdata!$B$2:$B$3638="Total Public Debt Outstanding"))</f>
        <v>14684292.6737496</v>
      </c>
      <c r="K72" s="2"/>
      <c r="L72" s="2"/>
    </row>
    <row r="73" spans="1:12" x14ac:dyDescent="0.3">
      <c r="A73" s="1">
        <v>40816</v>
      </c>
      <c r="B73" s="2" cm="1">
        <f t="array" ref="B73">_xlfn._xlws.FILTER(rawdata!$F$2:$F$3638,(rawdata!$A$2:$A$3638=transformed_data!$A73)*(rawdata!$C$2:$C$3638=transformed_data!B$1))</f>
        <v>1477505.2662</v>
      </c>
      <c r="C73" s="2" cm="1">
        <f t="array" ref="C73">_xlfn._xlws.FILTER(rawdata!$F$2:$F$3638,(rawdata!$A$2:$A$3638=transformed_data!$A73)*(rawdata!$C$2:$C$3638=transformed_data!C$1))</f>
        <v>6412493.4748</v>
      </c>
      <c r="D73" s="2" cm="1">
        <f t="array" ref="D73">_xlfn._xlws.FILTER(rawdata!$F$2:$F$3638,(rawdata!$A$2:$A$3638=transformed_data!$A73)*(rawdata!$C$2:$C$3638=transformed_data!D$1))</f>
        <v>1020412.85405</v>
      </c>
      <c r="E73" s="2" cm="1">
        <f t="array" ref="E73">SUM(-B73:D73,_xlfn._xlws.FILTER(rawdata!$F$2:$F$3638,(rawdata!$A$2:$A$3638=transformed_data!$A73)*(rawdata!$B$2:$B$3638="Total Marketable")))</f>
        <v>714134.08135969006</v>
      </c>
      <c r="F73" s="2" cm="1">
        <f t="array" ref="F73">_xlfn._xlws.FILTER(rawdata!$F$2:$F$3638,(rawdata!$A$2:$A$3638=transformed_data!$A73)*(rawdata!$B$2:$B$3638="Total Nonmarketable"))</f>
        <v>5165794.7645700304</v>
      </c>
      <c r="G73" s="2" cm="1">
        <f t="array" ref="G73">_xlfn._xlws.FILTER(rawdata!$D$2:$D$3638,(rawdata!$A$2:$A$3638=transformed_data!$A73)*(rawdata!$B$2:$B$3638="Total Public Debt Outstanding"))</f>
        <v>10127031.1527157</v>
      </c>
      <c r="H73" s="2" cm="1">
        <f t="array" ref="H73">_xlfn._xlws.FILTER(rawdata!$E$2:$E$3638,(rawdata!$A$2:$A$3638=transformed_data!$A73)*(rawdata!$B$2:$B$3638="Total Public Debt Outstanding"))</f>
        <v>4663309.2882640604</v>
      </c>
      <c r="I73" s="2" cm="1">
        <f t="array" ref="I73">_xlfn._xlws.FILTER(rawdata!$F$2:$F$3638,(rawdata!$A$2:$A$3638=transformed_data!$A73)*(rawdata!$B$2:$B$3638="Total Public Debt Outstanding"))</f>
        <v>14790340.440979701</v>
      </c>
      <c r="K73" s="2"/>
      <c r="L73" s="2"/>
    </row>
    <row r="74" spans="1:12" x14ac:dyDescent="0.3">
      <c r="A74" s="1">
        <v>40847</v>
      </c>
      <c r="B74" s="2" cm="1">
        <f t="array" ref="B74">_xlfn._xlws.FILTER(rawdata!$F$2:$F$3638,(rawdata!$A$2:$A$3638=transformed_data!$A74)*(rawdata!$C$2:$C$3638=transformed_data!B$1))</f>
        <v>1482502.8165</v>
      </c>
      <c r="C74" s="2" cm="1">
        <f t="array" ref="C74">_xlfn._xlws.FILTER(rawdata!$F$2:$F$3638,(rawdata!$A$2:$A$3638=transformed_data!$A74)*(rawdata!$C$2:$C$3638=transformed_data!C$1))</f>
        <v>6506992.1827999996</v>
      </c>
      <c r="D74" s="2" cm="1">
        <f t="array" ref="D74">_xlfn._xlws.FILTER(rawdata!$F$2:$F$3638,(rawdata!$A$2:$A$3638=transformed_data!$A74)*(rawdata!$C$2:$C$3638=transformed_data!D$1))</f>
        <v>1033412.64595</v>
      </c>
      <c r="E74" s="2" cm="1">
        <f t="array" ref="E74">SUM(-B74:D74,_xlfn._xlws.FILTER(rawdata!$F$2:$F$3638,(rawdata!$A$2:$A$3638=transformed_data!$A74)*(rawdata!$B$2:$B$3638="Total Marketable")))</f>
        <v>723624.3936746791</v>
      </c>
      <c r="F74" s="2" cm="1">
        <f t="array" ref="F74">_xlfn._xlws.FILTER(rawdata!$F$2:$F$3638,(rawdata!$A$2:$A$3638=transformed_data!$A74)*(rawdata!$B$2:$B$3638="Total Nonmarketable"))</f>
        <v>5247177.0062179798</v>
      </c>
      <c r="G74" s="2" cm="1">
        <f t="array" ref="G74">_xlfn._xlws.FILTER(rawdata!$D$2:$D$3638,(rawdata!$A$2:$A$3638=transformed_data!$A74)*(rawdata!$B$2:$B$3638="Total Public Debt Outstanding"))</f>
        <v>10256015.432385299</v>
      </c>
      <c r="H74" s="2" cm="1">
        <f t="array" ref="H74">_xlfn._xlws.FILTER(rawdata!$E$2:$E$3638,(rawdata!$A$2:$A$3638=transformed_data!$A74)*(rawdata!$B$2:$B$3638="Total Public Debt Outstanding"))</f>
        <v>4737693.6127573196</v>
      </c>
      <c r="I74" s="2" cm="1">
        <f t="array" ref="I74">_xlfn._xlws.FILTER(rawdata!$F$2:$F$3638,(rawdata!$A$2:$A$3638=transformed_data!$A74)*(rawdata!$B$2:$B$3638="Total Public Debt Outstanding"))</f>
        <v>14993709.045142701</v>
      </c>
      <c r="K74" s="2"/>
      <c r="L74" s="2"/>
    </row>
    <row r="75" spans="1:12" x14ac:dyDescent="0.3">
      <c r="A75" s="1">
        <v>40877</v>
      </c>
      <c r="B75" s="2" cm="1">
        <f t="array" ref="B75">_xlfn._xlws.FILTER(rawdata!$F$2:$F$3638,(rawdata!$A$2:$A$3638=transformed_data!$A75)*(rawdata!$C$2:$C$3638=transformed_data!B$1))</f>
        <v>1512477.9716</v>
      </c>
      <c r="C75" s="2" cm="1">
        <f t="array" ref="C75">_xlfn._xlws.FILTER(rawdata!$F$2:$F$3638,(rawdata!$A$2:$A$3638=transformed_data!$A75)*(rawdata!$C$2:$C$3638=transformed_data!C$1))</f>
        <v>6578957.8158</v>
      </c>
      <c r="D75" s="2" cm="1">
        <f t="array" ref="D75">_xlfn._xlws.FILTER(rawdata!$F$2:$F$3638,(rawdata!$A$2:$A$3638=transformed_data!$A75)*(rawdata!$C$2:$C$3638=transformed_data!D$1))</f>
        <v>1050636.75495</v>
      </c>
      <c r="E75" s="2" cm="1">
        <f t="array" ref="E75">SUM(-B75:D75,_xlfn._xlws.FILTER(rawdata!$F$2:$F$3638,(rawdata!$A$2:$A$3638=transformed_data!$A75)*(rawdata!$B$2:$B$3638="Total Marketable")))</f>
        <v>736243.86241589114</v>
      </c>
      <c r="F75" s="2" cm="1">
        <f t="array" ref="F75">_xlfn._xlws.FILTER(rawdata!$F$2:$F$3638,(rawdata!$A$2:$A$3638=transformed_data!$A75)*(rawdata!$B$2:$B$3638="Total Nonmarketable"))</f>
        <v>5232182.1436503697</v>
      </c>
      <c r="G75" s="2" cm="1">
        <f t="array" ref="G75">_xlfn._xlws.FILTER(rawdata!$D$2:$D$3638,(rawdata!$A$2:$A$3638=transformed_data!$A75)*(rawdata!$B$2:$B$3638="Total Public Debt Outstanding"))</f>
        <v>10389957.7807415</v>
      </c>
      <c r="H75" s="2" cm="1">
        <f t="array" ref="H75">_xlfn._xlws.FILTER(rawdata!$E$2:$E$3638,(rawdata!$A$2:$A$3638=transformed_data!$A75)*(rawdata!$B$2:$B$3638="Total Public Debt Outstanding"))</f>
        <v>4720540.7676747199</v>
      </c>
      <c r="I75" s="2" cm="1">
        <f t="array" ref="I75">_xlfn._xlws.FILTER(rawdata!$F$2:$F$3638,(rawdata!$A$2:$A$3638=transformed_data!$A75)*(rawdata!$B$2:$B$3638="Total Public Debt Outstanding"))</f>
        <v>15110498.5484163</v>
      </c>
      <c r="K75" s="2"/>
      <c r="L75" s="2"/>
    </row>
    <row r="76" spans="1:12" x14ac:dyDescent="0.3">
      <c r="A76" s="1">
        <v>40908</v>
      </c>
      <c r="B76" s="2" cm="1">
        <f t="array" ref="B76">_xlfn._xlws.FILTER(rawdata!$F$2:$F$3638,(rawdata!$A$2:$A$3638=transformed_data!$A76)*(rawdata!$C$2:$C$3638=transformed_data!B$1))</f>
        <v>1520517.2592</v>
      </c>
      <c r="C76" s="2" cm="1">
        <f t="array" ref="C76">_xlfn._xlws.FILTER(rawdata!$F$2:$F$3638,(rawdata!$A$2:$A$3638=transformed_data!$A76)*(rawdata!$C$2:$C$3638=transformed_data!C$1))</f>
        <v>6605055.7670999998</v>
      </c>
      <c r="D76" s="2" cm="1">
        <f t="array" ref="D76">_xlfn._xlws.FILTER(rawdata!$F$2:$F$3638,(rawdata!$A$2:$A$3638=transformed_data!$A76)*(rawdata!$C$2:$C$3638=transformed_data!D$1))</f>
        <v>1064112.3280499999</v>
      </c>
      <c r="E76" s="2" cm="1">
        <f t="array" ref="E76">SUM(-B76:D76,_xlfn._xlws.FILTER(rawdata!$F$2:$F$3638,(rawdata!$A$2:$A$3638=transformed_data!$A76)*(rawdata!$B$2:$B$3638="Total Marketable")))</f>
        <v>747196.9080446586</v>
      </c>
      <c r="F76" s="2" cm="1">
        <f t="array" ref="F76">_xlfn._xlws.FILTER(rawdata!$F$2:$F$3638,(rawdata!$A$2:$A$3638=transformed_data!$A76)*(rawdata!$B$2:$B$3638="Total Nonmarketable"))</f>
        <v>5286057.9193323404</v>
      </c>
      <c r="G76" s="2" cm="1">
        <f t="array" ref="G76">_xlfn._xlws.FILTER(rawdata!$D$2:$D$3638,(rawdata!$A$2:$A$3638=transformed_data!$A76)*(rawdata!$B$2:$B$3638="Total Public Debt Outstanding"))</f>
        <v>10447662.9880831</v>
      </c>
      <c r="H76" s="2" cm="1">
        <f t="array" ref="H76">_xlfn._xlws.FILTER(rawdata!$E$2:$E$3638,(rawdata!$A$2:$A$3638=transformed_data!$A76)*(rawdata!$B$2:$B$3638="Total Public Debt Outstanding"))</f>
        <v>4775277.1936439397</v>
      </c>
      <c r="I76" s="2" cm="1">
        <f t="array" ref="I76">_xlfn._xlws.FILTER(rawdata!$F$2:$F$3638,(rawdata!$A$2:$A$3638=transformed_data!$A76)*(rawdata!$B$2:$B$3638="Total Public Debt Outstanding"))</f>
        <v>15222940.181727</v>
      </c>
      <c r="K76" s="2"/>
      <c r="L76" s="2"/>
    </row>
    <row r="77" spans="1:12" x14ac:dyDescent="0.3">
      <c r="A77" s="1">
        <v>40939</v>
      </c>
      <c r="B77" s="2" cm="1">
        <f t="array" ref="B77">_xlfn._xlws.FILTER(rawdata!$F$2:$F$3638,(rawdata!$A$2:$A$3638=transformed_data!$A77)*(rawdata!$C$2:$C$3638=transformed_data!B$1))</f>
        <v>1525445.6916</v>
      </c>
      <c r="C77" s="2" cm="1">
        <f t="array" ref="C77">_xlfn._xlws.FILTER(rawdata!$F$2:$F$3638,(rawdata!$A$2:$A$3638=transformed_data!$A77)*(rawdata!$C$2:$C$3638=transformed_data!C$1))</f>
        <v>6711316.2653000001</v>
      </c>
      <c r="D77" s="2" cm="1">
        <f t="array" ref="D77">_xlfn._xlws.FILTER(rawdata!$F$2:$F$3638,(rawdata!$A$2:$A$3638=transformed_data!$A77)*(rawdata!$C$2:$C$3638=transformed_data!D$1))</f>
        <v>1078034.59035</v>
      </c>
      <c r="E77" s="2" cm="1">
        <f t="array" ref="E77">SUM(-B77:D77,_xlfn._xlws.FILTER(rawdata!$F$2:$F$3638,(rawdata!$A$2:$A$3638=transformed_data!$A77)*(rawdata!$B$2:$B$3638="Total Marketable")))</f>
        <v>754113.01116509922</v>
      </c>
      <c r="F77" s="2" cm="1">
        <f t="array" ref="F77">_xlfn._xlws.FILTER(rawdata!$F$2:$F$3638,(rawdata!$A$2:$A$3638=transformed_data!$A77)*(rawdata!$B$2:$B$3638="Total Nonmarketable"))</f>
        <v>5287230.9356887499</v>
      </c>
      <c r="G77" s="2" cm="1">
        <f t="array" ref="G77">_xlfn._xlws.FILTER(rawdata!$D$2:$D$3638,(rawdata!$A$2:$A$3638=transformed_data!$A77)*(rawdata!$B$2:$B$3638="Total Public Debt Outstanding"))</f>
        <v>10572374.3881869</v>
      </c>
      <c r="H77" s="2" cm="1">
        <f t="array" ref="H77">_xlfn._xlws.FILTER(rawdata!$E$2:$E$3638,(rawdata!$A$2:$A$3638=transformed_data!$A77)*(rawdata!$B$2:$B$3638="Total Public Debt Outstanding"))</f>
        <v>4783766.1059170002</v>
      </c>
      <c r="I77" s="2" cm="1">
        <f t="array" ref="I77">_xlfn._xlws.FILTER(rawdata!$F$2:$F$3638,(rawdata!$A$2:$A$3638=transformed_data!$A77)*(rawdata!$B$2:$B$3638="Total Public Debt Outstanding"))</f>
        <v>15356140.494103899</v>
      </c>
      <c r="K77" s="2"/>
      <c r="L77" s="2"/>
    </row>
    <row r="78" spans="1:12" x14ac:dyDescent="0.3">
      <c r="A78" s="1">
        <v>40968</v>
      </c>
      <c r="B78" s="2" cm="1">
        <f t="array" ref="B78">_xlfn._xlws.FILTER(rawdata!$F$2:$F$3638,(rawdata!$A$2:$A$3638=transformed_data!$A78)*(rawdata!$C$2:$C$3638=transformed_data!B$1))</f>
        <v>1610416.1174999999</v>
      </c>
      <c r="C78" s="2" cm="1">
        <f t="array" ref="C78">_xlfn._xlws.FILTER(rawdata!$F$2:$F$3638,(rawdata!$A$2:$A$3638=transformed_data!$A78)*(rawdata!$C$2:$C$3638=transformed_data!C$1))</f>
        <v>6754414.9779000003</v>
      </c>
      <c r="D78" s="2" cm="1">
        <f t="array" ref="D78">_xlfn._xlws.FILTER(rawdata!$F$2:$F$3638,(rawdata!$A$2:$A$3638=transformed_data!$A78)*(rawdata!$C$2:$C$3638=transformed_data!D$1))</f>
        <v>1095985.37815</v>
      </c>
      <c r="E78" s="2" cm="1">
        <f t="array" ref="E78">SUM(-B78:D78,_xlfn._xlws.FILTER(rawdata!$F$2:$F$3638,(rawdata!$A$2:$A$3638=transformed_data!$A78)*(rawdata!$B$2:$B$3638="Total Marketable")))</f>
        <v>761480.8755661007</v>
      </c>
      <c r="F78" s="2" cm="1">
        <f t="array" ref="F78">_xlfn._xlws.FILTER(rawdata!$F$2:$F$3638,(rawdata!$A$2:$A$3638=transformed_data!$A78)*(rawdata!$B$2:$B$3638="Total Nonmarketable"))</f>
        <v>5266593.99551709</v>
      </c>
      <c r="G78" s="2" cm="1">
        <f t="array" ref="G78">_xlfn._xlws.FILTER(rawdata!$D$2:$D$3638,(rawdata!$A$2:$A$3638=transformed_data!$A78)*(rawdata!$B$2:$B$3638="Total Public Debt Outstanding"))</f>
        <v>10722996.347253401</v>
      </c>
      <c r="H78" s="2" cm="1">
        <f t="array" ref="H78">_xlfn._xlws.FILTER(rawdata!$E$2:$E$3638,(rawdata!$A$2:$A$3638=transformed_data!$A78)*(rawdata!$B$2:$B$3638="Total Public Debt Outstanding"))</f>
        <v>4765894.9973798003</v>
      </c>
      <c r="I78" s="2" cm="1">
        <f t="array" ref="I78">_xlfn._xlws.FILTER(rawdata!$F$2:$F$3638,(rawdata!$A$2:$A$3638=transformed_data!$A78)*(rawdata!$B$2:$B$3638="Total Public Debt Outstanding"))</f>
        <v>15488891.344633199</v>
      </c>
      <c r="K78" s="2"/>
      <c r="L78" s="2"/>
    </row>
    <row r="79" spans="1:12" x14ac:dyDescent="0.3">
      <c r="A79" s="1">
        <v>40999</v>
      </c>
      <c r="B79" s="2" cm="1">
        <f t="array" ref="B79">_xlfn._xlws.FILTER(rawdata!$F$2:$F$3638,(rawdata!$A$2:$A$3638=transformed_data!$A79)*(rawdata!$C$2:$C$3638=transformed_data!B$1))</f>
        <v>1674435.3526000001</v>
      </c>
      <c r="C79" s="2" cm="1">
        <f t="array" ref="C79">_xlfn._xlws.FILTER(rawdata!$F$2:$F$3638,(rawdata!$A$2:$A$3638=transformed_data!$A79)*(rawdata!$C$2:$C$3638=transformed_data!C$1))</f>
        <v>6776484.2499000002</v>
      </c>
      <c r="D79" s="2" cm="1">
        <f t="array" ref="D79">_xlfn._xlws.FILTER(rawdata!$F$2:$F$3638,(rawdata!$A$2:$A$3638=transformed_data!$A79)*(rawdata!$C$2:$C$3638=transformed_data!D$1))</f>
        <v>1109888.0362499999</v>
      </c>
      <c r="E79" s="2" cm="1">
        <f t="array" ref="E79">SUM(-B79:D79,_xlfn._xlws.FILTER(rawdata!$F$2:$F$3638,(rawdata!$A$2:$A$3638=transformed_data!$A79)*(rawdata!$B$2:$B$3638="Total Marketable")))</f>
        <v>777477.92526569776</v>
      </c>
      <c r="F79" s="2" cm="1">
        <f t="array" ref="F79">_xlfn._xlws.FILTER(rawdata!$F$2:$F$3638,(rawdata!$A$2:$A$3638=transformed_data!$A79)*(rawdata!$B$2:$B$3638="Total Nonmarketable"))</f>
        <v>5243793.2101537101</v>
      </c>
      <c r="G79" s="2" cm="1">
        <f t="array" ref="G79">_xlfn._xlws.FILTER(rawdata!$D$2:$D$3638,(rawdata!$A$2:$A$3638=transformed_data!$A79)*(rawdata!$B$2:$B$3638="Total Public Debt Outstanding"))</f>
        <v>10846824.6399239</v>
      </c>
      <c r="H79" s="2" cm="1">
        <f t="array" ref="H79">_xlfn._xlws.FILTER(rawdata!$E$2:$E$3638,(rawdata!$A$2:$A$3638=transformed_data!$A79)*(rawdata!$B$2:$B$3638="Total Public Debt Outstanding"))</f>
        <v>4735254.13424554</v>
      </c>
      <c r="I79" s="2" cm="1">
        <f t="array" ref="I79">_xlfn._xlws.FILTER(rawdata!$F$2:$F$3638,(rawdata!$A$2:$A$3638=transformed_data!$A79)*(rawdata!$B$2:$B$3638="Total Public Debt Outstanding"))</f>
        <v>15582078.7741694</v>
      </c>
      <c r="K79" s="2"/>
      <c r="L79" s="2"/>
    </row>
    <row r="80" spans="1:12" x14ac:dyDescent="0.3">
      <c r="A80" s="1">
        <v>41029</v>
      </c>
      <c r="B80" s="2" cm="1">
        <f t="array" ref="B80">_xlfn._xlws.FILTER(rawdata!$F$2:$F$3638,(rawdata!$A$2:$A$3638=transformed_data!$A80)*(rawdata!$C$2:$C$3638=transformed_data!B$1))</f>
        <v>1613425.568</v>
      </c>
      <c r="C80" s="2" cm="1">
        <f t="array" ref="C80">_xlfn._xlws.FILTER(rawdata!$F$2:$F$3638,(rawdata!$A$2:$A$3638=transformed_data!$A80)*(rawdata!$C$2:$C$3638=transformed_data!C$1))</f>
        <v>6883348.8925999999</v>
      </c>
      <c r="D80" s="2" cm="1">
        <f t="array" ref="D80">_xlfn._xlws.FILTER(rawdata!$F$2:$F$3638,(rawdata!$A$2:$A$3638=transformed_data!$A80)*(rawdata!$C$2:$C$3638=transformed_data!D$1))</f>
        <v>1125253.4725500001</v>
      </c>
      <c r="E80" s="2" cm="1">
        <f t="array" ref="E80">SUM(-B80:D80,_xlfn._xlws.FILTER(rawdata!$F$2:$F$3638,(rawdata!$A$2:$A$3638=transformed_data!$A80)*(rawdata!$B$2:$B$3638="Total Marketable")))</f>
        <v>778048.58066269942</v>
      </c>
      <c r="F80" s="2" cm="1">
        <f t="array" ref="F80">_xlfn._xlws.FILTER(rawdata!$F$2:$F$3638,(rawdata!$A$2:$A$3638=transformed_data!$A80)*(rawdata!$B$2:$B$3638="Total Nonmarketable"))</f>
        <v>5292291.3730610898</v>
      </c>
      <c r="G80" s="2" cm="1">
        <f t="array" ref="G80">_xlfn._xlws.FILTER(rawdata!$D$2:$D$3638,(rawdata!$A$2:$A$3638=transformed_data!$A80)*(rawdata!$B$2:$B$3638="Total Public Debt Outstanding"))</f>
        <v>10916070.9176712</v>
      </c>
      <c r="H80" s="2" cm="1">
        <f t="array" ref="H80">_xlfn._xlws.FILTER(rawdata!$E$2:$E$3638,(rawdata!$A$2:$A$3638=transformed_data!$A80)*(rawdata!$B$2:$B$3638="Total Public Debt Outstanding"))</f>
        <v>4776297.1692025503</v>
      </c>
      <c r="I80" s="2" cm="1">
        <f t="array" ref="I80">_xlfn._xlws.FILTER(rawdata!$F$2:$F$3638,(rawdata!$A$2:$A$3638=transformed_data!$A80)*(rawdata!$B$2:$B$3638="Total Public Debt Outstanding"))</f>
        <v>15692367.8868738</v>
      </c>
      <c r="K80" s="2"/>
      <c r="L80" s="2"/>
    </row>
    <row r="81" spans="1:12" x14ac:dyDescent="0.3">
      <c r="A81" s="1">
        <v>41060</v>
      </c>
      <c r="B81" s="2" cm="1">
        <f t="array" ref="B81">_xlfn._xlws.FILTER(rawdata!$F$2:$F$3638,(rawdata!$A$2:$A$3638=transformed_data!$A81)*(rawdata!$C$2:$C$3638=transformed_data!B$1))</f>
        <v>1605420.9405</v>
      </c>
      <c r="C81" s="2" cm="1">
        <f t="array" ref="C81">_xlfn._xlws.FILTER(rawdata!$F$2:$F$3638,(rawdata!$A$2:$A$3638=transformed_data!$A81)*(rawdata!$C$2:$C$3638=transformed_data!C$1))</f>
        <v>6941507.3612000002</v>
      </c>
      <c r="D81" s="2" cm="1">
        <f t="array" ref="D81">_xlfn._xlws.FILTER(rawdata!$F$2:$F$3638,(rawdata!$A$2:$A$3638=transformed_data!$A81)*(rawdata!$C$2:$C$3638=transformed_data!D$1))</f>
        <v>1142254.4681500001</v>
      </c>
      <c r="E81" s="2" cm="1">
        <f t="array" ref="E81">SUM(-B81:D81,_xlfn._xlws.FILTER(rawdata!$F$2:$F$3638,(rawdata!$A$2:$A$3638=transformed_data!$A81)*(rawdata!$B$2:$B$3638="Total Marketable")))</f>
        <v>796989.24270979874</v>
      </c>
      <c r="F81" s="2" cm="1">
        <f t="array" ref="F81">_xlfn._xlws.FILTER(rawdata!$F$2:$F$3638,(rawdata!$A$2:$A$3638=transformed_data!$A81)*(rawdata!$B$2:$B$3638="Total Nonmarketable"))</f>
        <v>5284513.4801597996</v>
      </c>
      <c r="G81" s="2" cm="1">
        <f t="array" ref="G81">_xlfn._xlws.FILTER(rawdata!$D$2:$D$3638,(rawdata!$A$2:$A$3638=transformed_data!$A81)*(rawdata!$B$2:$B$3638="Total Public Debt Outstanding"))</f>
        <v>11006251.446586199</v>
      </c>
      <c r="H81" s="2" cm="1">
        <f t="array" ref="H81">_xlfn._xlws.FILTER(rawdata!$E$2:$E$3638,(rawdata!$A$2:$A$3638=transformed_data!$A81)*(rawdata!$B$2:$B$3638="Total Public Debt Outstanding"))</f>
        <v>4764434.3361333404</v>
      </c>
      <c r="I81" s="2" cm="1">
        <f t="array" ref="I81">_xlfn._xlws.FILTER(rawdata!$F$2:$F$3638,(rawdata!$A$2:$A$3638=transformed_data!$A81)*(rawdata!$B$2:$B$3638="Total Public Debt Outstanding"))</f>
        <v>15770685.4927196</v>
      </c>
      <c r="K81" s="2"/>
      <c r="L81" s="2"/>
    </row>
    <row r="82" spans="1:12" x14ac:dyDescent="0.3">
      <c r="A82" s="1">
        <v>41090</v>
      </c>
      <c r="B82" s="2" cm="1">
        <f t="array" ref="B82">_xlfn._xlws.FILTER(rawdata!$F$2:$F$3638,(rawdata!$A$2:$A$3638=transformed_data!$A82)*(rawdata!$C$2:$C$3638=transformed_data!B$1))</f>
        <v>1596401.8578999999</v>
      </c>
      <c r="C82" s="2" cm="1">
        <f t="array" ref="C82">_xlfn._xlws.FILTER(rawdata!$F$2:$F$3638,(rawdata!$A$2:$A$3638=transformed_data!$A82)*(rawdata!$C$2:$C$3638=transformed_data!C$1))</f>
        <v>6962879.3243000004</v>
      </c>
      <c r="D82" s="2" cm="1">
        <f t="array" ref="D82">_xlfn._xlws.FILTER(rawdata!$F$2:$F$3638,(rawdata!$A$2:$A$3638=transformed_data!$A82)*(rawdata!$C$2:$C$3638=transformed_data!D$1))</f>
        <v>1156172.2095999999</v>
      </c>
      <c r="E82" s="2" cm="1">
        <f t="array" ref="E82">SUM(-B82:D82,_xlfn._xlws.FILTER(rawdata!$F$2:$F$3638,(rawdata!$A$2:$A$3638=transformed_data!$A82)*(rawdata!$B$2:$B$3638="Total Marketable")))</f>
        <v>805201.6082000006</v>
      </c>
      <c r="F82" s="2" cm="1">
        <f t="array" ref="F82">_xlfn._xlws.FILTER(rawdata!$F$2:$F$3638,(rawdata!$A$2:$A$3638=transformed_data!$A82)*(rawdata!$B$2:$B$3638="Total Nonmarketable"))</f>
        <v>5334383.2210909696</v>
      </c>
      <c r="G82" s="2" cm="1">
        <f t="array" ref="G82">_xlfn._xlws.FILTER(rawdata!$D$2:$D$3638,(rawdata!$A$2:$A$3638=transformed_data!$A82)*(rawdata!$B$2:$B$3638="Total Public Debt Outstanding"))</f>
        <v>11044184.8280896</v>
      </c>
      <c r="H82" s="2" cm="1">
        <f t="array" ref="H82">_xlfn._xlws.FILTER(rawdata!$E$2:$E$3638,(rawdata!$A$2:$A$3638=transformed_data!$A82)*(rawdata!$B$2:$B$3638="Total Public Debt Outstanding"))</f>
        <v>4810852</v>
      </c>
      <c r="I82" s="2" cm="1">
        <f t="array" ref="I82">_xlfn._xlws.FILTER(rawdata!$F$2:$F$3638,(rawdata!$A$2:$A$3638=transformed_data!$A82)*(rawdata!$B$2:$B$3638="Total Public Debt Outstanding"))</f>
        <v>15855037</v>
      </c>
      <c r="K82" s="2"/>
      <c r="L82" s="2"/>
    </row>
    <row r="83" spans="1:12" x14ac:dyDescent="0.3">
      <c r="A83" s="1">
        <v>41121</v>
      </c>
      <c r="B83" s="2" cm="1">
        <f t="array" ref="B83">_xlfn._xlws.FILTER(rawdata!$F$2:$F$3638,(rawdata!$A$2:$A$3638=transformed_data!$A83)*(rawdata!$C$2:$C$3638=transformed_data!B$1))</f>
        <v>1580992.2901000001</v>
      </c>
      <c r="C83" s="2" cm="1">
        <f t="array" ref="C83">_xlfn._xlws.FILTER(rawdata!$F$2:$F$3638,(rawdata!$A$2:$A$3638=transformed_data!$A83)*(rawdata!$C$2:$C$3638=transformed_data!C$1))</f>
        <v>7067150.6113999998</v>
      </c>
      <c r="D83" s="2" cm="1">
        <f t="array" ref="D83">_xlfn._xlws.FILTER(rawdata!$F$2:$F$3638,(rawdata!$A$2:$A$3638=transformed_data!$A83)*(rawdata!$C$2:$C$3638=transformed_data!D$1))</f>
        <v>1169171.9396500001</v>
      </c>
      <c r="E83" s="2" cm="1">
        <f t="array" ref="E83">SUM(-B83:D83,_xlfn._xlws.FILTER(rawdata!$F$2:$F$3638,(rawdata!$A$2:$A$3638=transformed_data!$A83)*(rawdata!$B$2:$B$3638="Total Marketable")))</f>
        <v>790032.31400140002</v>
      </c>
      <c r="F83" s="2" cm="1">
        <f t="array" ref="F83">_xlfn._xlws.FILTER(rawdata!$F$2:$F$3638,(rawdata!$A$2:$A$3638=transformed_data!$A83)*(rawdata!$B$2:$B$3638="Total Nonmarketable"))</f>
        <v>5325886.8601964796</v>
      </c>
      <c r="G83" s="2" cm="1">
        <f t="array" ref="G83">_xlfn._xlws.FILTER(rawdata!$D$2:$D$3638,(rawdata!$A$2:$A$3638=transformed_data!$A83)*(rawdata!$B$2:$B$3638="Total Public Debt Outstanding"))</f>
        <v>11122282.455023499</v>
      </c>
      <c r="H83" s="2" cm="1">
        <f t="array" ref="H83">_xlfn._xlws.FILTER(rawdata!$E$2:$E$3638,(rawdata!$A$2:$A$3638=transformed_data!$A83)*(rawdata!$B$2:$B$3638="Total Public Debt Outstanding"))</f>
        <v>4810952.56032445</v>
      </c>
      <c r="I83" s="2" cm="1">
        <f t="array" ref="I83">_xlfn._xlws.FILTER(rawdata!$F$2:$F$3638,(rawdata!$A$2:$A$3638=transformed_data!$A83)*(rawdata!$B$2:$B$3638="Total Public Debt Outstanding"))</f>
        <v>15933235.0153479</v>
      </c>
      <c r="K83" s="2"/>
      <c r="L83" s="2"/>
    </row>
    <row r="84" spans="1:12" x14ac:dyDescent="0.3">
      <c r="A84" s="1">
        <v>41152</v>
      </c>
      <c r="B84" s="2" cm="1">
        <f t="array" ref="B84">_xlfn._xlws.FILTER(rawdata!$F$2:$F$3638,(rawdata!$A$2:$A$3638=transformed_data!$A84)*(rawdata!$C$2:$C$3638=transformed_data!B$1))</f>
        <v>1663005.4136999999</v>
      </c>
      <c r="C84" s="2" cm="1">
        <f t="array" ref="C84">_xlfn._xlws.FILTER(rawdata!$F$2:$F$3638,(rawdata!$A$2:$A$3638=transformed_data!$A84)*(rawdata!$C$2:$C$3638=transformed_data!C$1))</f>
        <v>7105788.5439999998</v>
      </c>
      <c r="D84" s="2" cm="1">
        <f t="array" ref="D84">_xlfn._xlws.FILTER(rawdata!$F$2:$F$3638,(rawdata!$A$2:$A$3638=transformed_data!$A84)*(rawdata!$C$2:$C$3638=transformed_data!D$1))</f>
        <v>1185172.1172499999</v>
      </c>
      <c r="E84" s="2" cm="1">
        <f t="array" ref="E84">SUM(-B84:D84,_xlfn._xlws.FILTER(rawdata!$F$2:$F$3638,(rawdata!$A$2:$A$3638=transformed_data!$A84)*(rawdata!$B$2:$B$3638="Total Marketable")))</f>
        <v>803058.50421910174</v>
      </c>
      <c r="F84" s="2" cm="1">
        <f t="array" ref="F84">_xlfn._xlws.FILTER(rawdata!$F$2:$F$3638,(rawdata!$A$2:$A$3638=transformed_data!$A84)*(rawdata!$B$2:$B$3638="Total Nonmarketable"))</f>
        <v>5258745.2160957605</v>
      </c>
      <c r="G84" s="2" cm="1">
        <f t="array" ref="G84">_xlfn._xlws.FILTER(rawdata!$D$2:$D$3638,(rawdata!$A$2:$A$3638=transformed_data!$A84)*(rawdata!$B$2:$B$3638="Total Public Debt Outstanding"))</f>
        <v>11272625.5059075</v>
      </c>
      <c r="H84" s="2" cm="1">
        <f t="array" ref="H84">_xlfn._xlws.FILTER(rawdata!$E$2:$E$3638,(rawdata!$A$2:$A$3638=transformed_data!$A84)*(rawdata!$B$2:$B$3638="Total Public Debt Outstanding"))</f>
        <v>4743144.28935734</v>
      </c>
      <c r="I84" s="2" cm="1">
        <f t="array" ref="I84">_xlfn._xlws.FILTER(rawdata!$F$2:$F$3638,(rawdata!$A$2:$A$3638=transformed_data!$A84)*(rawdata!$B$2:$B$3638="Total Public Debt Outstanding"))</f>
        <v>16015769.795264799</v>
      </c>
      <c r="K84" s="2"/>
      <c r="L84" s="2"/>
    </row>
    <row r="85" spans="1:12" x14ac:dyDescent="0.3">
      <c r="A85" s="1">
        <v>41182</v>
      </c>
      <c r="B85" s="2" cm="1">
        <f t="array" ref="B85">_xlfn._xlws.FILTER(rawdata!$F$2:$F$3638,(rawdata!$A$2:$A$3638=transformed_data!$A85)*(rawdata!$C$2:$C$3638=transformed_data!B$1))</f>
        <v>1616008.8097999999</v>
      </c>
      <c r="C85" s="2" cm="1">
        <f t="array" ref="C85">_xlfn._xlws.FILTER(rawdata!$F$2:$F$3638,(rawdata!$A$2:$A$3638=transformed_data!$A85)*(rawdata!$C$2:$C$3638=transformed_data!C$1))</f>
        <v>7120705.1073000003</v>
      </c>
      <c r="D85" s="2" cm="1">
        <f t="array" ref="D85">_xlfn._xlws.FILTER(rawdata!$F$2:$F$3638,(rawdata!$A$2:$A$3638=transformed_data!$A85)*(rawdata!$C$2:$C$3638=transformed_data!D$1))</f>
        <v>1198167.2944499999</v>
      </c>
      <c r="E85" s="2" cm="1">
        <f t="array" ref="E85">SUM(-B85:D85,_xlfn._xlws.FILTER(rawdata!$F$2:$F$3638,(rawdata!$A$2:$A$3638=transformed_data!$A85)*(rawdata!$B$2:$B$3638="Total Marketable")))</f>
        <v>814876.39855269901</v>
      </c>
      <c r="F85" s="2" cm="1">
        <f t="array" ref="F85">_xlfn._xlws.FILTER(rawdata!$F$2:$F$3638,(rawdata!$A$2:$A$3638=transformed_data!$A85)*(rawdata!$B$2:$B$3638="Total Nonmarketable"))</f>
        <v>5316484.3098101597</v>
      </c>
      <c r="G85" s="2" cm="1">
        <f t="array" ref="G85">_xlfn._xlws.FILTER(rawdata!$D$2:$D$3638,(rawdata!$A$2:$A$3638=transformed_data!$A85)*(rawdata!$B$2:$B$3638="Total Public Debt Outstanding"))</f>
        <v>11269585.7125756</v>
      </c>
      <c r="H85" s="2" cm="1">
        <f t="array" ref="H85">_xlfn._xlws.FILTER(rawdata!$E$2:$E$3638,(rawdata!$A$2:$A$3638=transformed_data!$A85)*(rawdata!$B$2:$B$3638="Total Public Debt Outstanding"))</f>
        <v>4796656.2073373199</v>
      </c>
      <c r="I85" s="2" cm="1">
        <f t="array" ref="I85">_xlfn._xlws.FILTER(rawdata!$F$2:$F$3638,(rawdata!$A$2:$A$3638=transformed_data!$A85)*(rawdata!$B$2:$B$3638="Total Public Debt Outstanding"))</f>
        <v>16066240.919912901</v>
      </c>
      <c r="K85" s="2"/>
      <c r="L85" s="2"/>
    </row>
    <row r="86" spans="1:12" x14ac:dyDescent="0.3">
      <c r="A86" s="1">
        <v>41213</v>
      </c>
      <c r="B86" s="2" cm="1">
        <f t="array" ref="B86">_xlfn._xlws.FILTER(rawdata!$F$2:$F$3638,(rawdata!$A$2:$A$3638=transformed_data!$A86)*(rawdata!$C$2:$C$3638=transformed_data!B$1))</f>
        <v>1622004.6351000001</v>
      </c>
      <c r="C86" s="2" cm="1">
        <f t="array" ref="C86">_xlfn._xlws.FILTER(rawdata!$F$2:$F$3638,(rawdata!$A$2:$A$3638=transformed_data!$A86)*(rawdata!$C$2:$C$3638=transformed_data!C$1))</f>
        <v>7228168.5762999998</v>
      </c>
      <c r="D86" s="2" cm="1">
        <f t="array" ref="D86">_xlfn._xlws.FILTER(rawdata!$F$2:$F$3638,(rawdata!$A$2:$A$3638=transformed_data!$A86)*(rawdata!$C$2:$C$3638=transformed_data!D$1))</f>
        <v>1211167.20545</v>
      </c>
      <c r="E86" s="2" cm="1">
        <f t="array" ref="E86">SUM(-B86:D86,_xlfn._xlws.FILTER(rawdata!$F$2:$F$3638,(rawdata!$A$2:$A$3638=transformed_data!$A86)*(rawdata!$B$2:$B$3638="Total Marketable")))</f>
        <v>826127.6090535</v>
      </c>
      <c r="F86" s="2" cm="1">
        <f t="array" ref="F86">_xlfn._xlws.FILTER(rawdata!$F$2:$F$3638,(rawdata!$A$2:$A$3638=transformed_data!$A86)*(rawdata!$B$2:$B$3638="Total Nonmarketable"))</f>
        <v>5374001.7025707699</v>
      </c>
      <c r="G86" s="2" cm="1">
        <f t="array" ref="G86">_xlfn._xlws.FILTER(rawdata!$D$2:$D$3638,(rawdata!$A$2:$A$3638=transformed_data!$A86)*(rawdata!$B$2:$B$3638="Total Public Debt Outstanding"))</f>
        <v>11411597.878341099</v>
      </c>
      <c r="H86" s="2" cm="1">
        <f t="array" ref="H86">_xlfn._xlws.FILTER(rawdata!$E$2:$E$3638,(rawdata!$A$2:$A$3638=transformed_data!$A86)*(rawdata!$B$2:$B$3638="Total Public Debt Outstanding"))</f>
        <v>4849871.8501330996</v>
      </c>
      <c r="I86" s="2" cm="1">
        <f t="array" ref="I86">_xlfn._xlws.FILTER(rawdata!$F$2:$F$3638,(rawdata!$A$2:$A$3638=transformed_data!$A86)*(rawdata!$B$2:$B$3638="Total Public Debt Outstanding"))</f>
        <v>16261470.7284742</v>
      </c>
      <c r="K86" s="2"/>
      <c r="L86" s="2"/>
    </row>
    <row r="87" spans="1:12" x14ac:dyDescent="0.3">
      <c r="A87" s="1">
        <v>41243</v>
      </c>
      <c r="B87" s="2" cm="1">
        <f t="array" ref="B87">_xlfn._xlws.FILTER(rawdata!$F$2:$F$3638,(rawdata!$A$2:$A$3638=transformed_data!$A87)*(rawdata!$C$2:$C$3638=transformed_data!B$1))</f>
        <v>1694989.2453000001</v>
      </c>
      <c r="C87" s="2" cm="1">
        <f t="array" ref="C87">_xlfn._xlws.FILTER(rawdata!$F$2:$F$3638,(rawdata!$A$2:$A$3638=transformed_data!$A87)*(rawdata!$C$2:$C$3638=transformed_data!C$1))</f>
        <v>7267744.767</v>
      </c>
      <c r="D87" s="2" cm="1">
        <f t="array" ref="D87">_xlfn._xlws.FILTER(rawdata!$F$2:$F$3638,(rawdata!$A$2:$A$3638=transformed_data!$A87)*(rawdata!$C$2:$C$3638=transformed_data!D$1))</f>
        <v>1227162.1782500001</v>
      </c>
      <c r="E87" s="2" cm="1">
        <f t="array" ref="E87">SUM(-B87:D87,_xlfn._xlws.FILTER(rawdata!$F$2:$F$3638,(rawdata!$A$2:$A$3638=transformed_data!$A87)*(rawdata!$B$2:$B$3638="Total Marketable")))</f>
        <v>842887.646917101</v>
      </c>
      <c r="F87" s="2" cm="1">
        <f t="array" ref="F87">_xlfn._xlws.FILTER(rawdata!$F$2:$F$3638,(rawdata!$A$2:$A$3638=transformed_data!$A87)*(rawdata!$B$2:$B$3638="Total Nonmarketable"))</f>
        <v>5336765.2975152303</v>
      </c>
      <c r="G87" s="2" cm="1">
        <f t="array" ref="G87">_xlfn._xlws.FILTER(rawdata!$D$2:$D$3638,(rawdata!$A$2:$A$3638=transformed_data!$A87)*(rawdata!$B$2:$B$3638="Total Public Debt Outstanding"))</f>
        <v>11553201.428275499</v>
      </c>
      <c r="H87" s="2" cm="1">
        <f t="array" ref="H87">_xlfn._xlws.FILTER(rawdata!$E$2:$E$3638,(rawdata!$A$2:$A$3638=transformed_data!$A87)*(rawdata!$B$2:$B$3638="Total Public Debt Outstanding"))</f>
        <v>4816347.7067069104</v>
      </c>
      <c r="I87" s="2" cm="1">
        <f t="array" ref="I87">_xlfn._xlws.FILTER(rawdata!$F$2:$F$3638,(rawdata!$A$2:$A$3638=transformed_data!$A87)*(rawdata!$B$2:$B$3638="Total Public Debt Outstanding"))</f>
        <v>16369549.1349824</v>
      </c>
      <c r="K87" s="2"/>
      <c r="L87" s="2"/>
    </row>
    <row r="88" spans="1:12" x14ac:dyDescent="0.3">
      <c r="A88" s="1">
        <v>41274</v>
      </c>
      <c r="B88" s="2" cm="1">
        <f t="array" ref="B88">_xlfn._xlws.FILTER(rawdata!$F$2:$F$3638,(rawdata!$A$2:$A$3638=transformed_data!$A88)*(rawdata!$C$2:$C$3638=transformed_data!B$1))</f>
        <v>1628970.5789999999</v>
      </c>
      <c r="C88" s="2" cm="1">
        <f t="array" ref="C88">_xlfn._xlws.FILTER(rawdata!$F$2:$F$3638,(rawdata!$A$2:$A$3638=transformed_data!$A88)*(rawdata!$C$2:$C$3638=transformed_data!C$1))</f>
        <v>7327115.4967999998</v>
      </c>
      <c r="D88" s="2" cm="1">
        <f t="array" ref="D88">_xlfn._xlws.FILTER(rawdata!$F$2:$F$3638,(rawdata!$A$2:$A$3638=transformed_data!$A88)*(rawdata!$C$2:$C$3638=transformed_data!D$1))</f>
        <v>1240161.1360500001</v>
      </c>
      <c r="E88" s="2" cm="1">
        <f t="array" ref="E88">SUM(-B88:D88,_xlfn._xlws.FILTER(rawdata!$F$2:$F$3638,(rawdata!$A$2:$A$3638=transformed_data!$A88)*(rawdata!$B$2:$B$3638="Total Marketable")))</f>
        <v>856955.14897109941</v>
      </c>
      <c r="F88" s="2" cm="1">
        <f t="array" ref="F88">_xlfn._xlws.FILTER(rawdata!$F$2:$F$3638,(rawdata!$A$2:$A$3638=transformed_data!$A88)*(rawdata!$B$2:$B$3638="Total Nonmarketable"))</f>
        <v>5379527.6634742403</v>
      </c>
      <c r="G88" s="2" cm="1">
        <f t="array" ref="G88">_xlfn._xlws.FILTER(rawdata!$D$2:$D$3638,(rawdata!$A$2:$A$3638=transformed_data!$A88)*(rawdata!$B$2:$B$3638="Total Public Debt Outstanding"))</f>
        <v>11581518.467297399</v>
      </c>
      <c r="H88" s="2" cm="1">
        <f t="array" ref="H88">_xlfn._xlws.FILTER(rawdata!$E$2:$E$3638,(rawdata!$A$2:$A$3638=transformed_data!$A88)*(rawdata!$B$2:$B$3638="Total Public Debt Outstanding"))</f>
        <v>4851212.5569979297</v>
      </c>
      <c r="I88" s="2" cm="1">
        <f t="array" ref="I88">_xlfn._xlws.FILTER(rawdata!$F$2:$F$3638,(rawdata!$A$2:$A$3638=transformed_data!$A88)*(rawdata!$B$2:$B$3638="Total Public Debt Outstanding"))</f>
        <v>16432730.0242953</v>
      </c>
      <c r="K88" s="2"/>
      <c r="L88" s="2"/>
    </row>
    <row r="89" spans="1:12" x14ac:dyDescent="0.3">
      <c r="A89" s="1">
        <v>41305</v>
      </c>
      <c r="B89" s="2" cm="1">
        <f t="array" ref="B89">_xlfn._xlws.FILTER(rawdata!$F$2:$F$3638,(rawdata!$A$2:$A$3638=transformed_data!$A89)*(rawdata!$C$2:$C$3638=transformed_data!B$1))</f>
        <v>1607947.9669000001</v>
      </c>
      <c r="C89" s="2" cm="1">
        <f t="array" ref="C89">_xlfn._xlws.FILTER(rawdata!$F$2:$F$3638,(rawdata!$A$2:$A$3638=transformed_data!$A89)*(rawdata!$C$2:$C$3638=transformed_data!C$1))</f>
        <v>7386165.1086999997</v>
      </c>
      <c r="D89" s="2" cm="1">
        <f t="array" ref="D89">_xlfn._xlws.FILTER(rawdata!$F$2:$F$3638,(rawdata!$A$2:$A$3638=transformed_data!$A89)*(rawdata!$C$2:$C$3638=transformed_data!D$1))</f>
        <v>1253161.1117499999</v>
      </c>
      <c r="E89" s="2" cm="1">
        <f t="array" ref="E89">SUM(-B89:D89,_xlfn._xlws.FILTER(rawdata!$F$2:$F$3638,(rawdata!$A$2:$A$3638=transformed_data!$A89)*(rawdata!$B$2:$B$3638="Total Marketable")))</f>
        <v>868046.85650350153</v>
      </c>
      <c r="F89" s="2" cm="1">
        <f t="array" ref="F89">_xlfn._xlws.FILTER(rawdata!$F$2:$F$3638,(rawdata!$A$2:$A$3638=transformed_data!$A89)*(rawdata!$B$2:$B$3638="Total Nonmarketable"))</f>
        <v>5318470.7762535</v>
      </c>
      <c r="G89" s="2" cm="1">
        <f t="array" ref="G89">_xlfn._xlws.FILTER(rawdata!$D$2:$D$3638,(rawdata!$A$2:$A$3638=transformed_data!$A89)*(rawdata!$B$2:$B$3638="Total Public Debt Outstanding"))</f>
        <v>11560176.3640381</v>
      </c>
      <c r="H89" s="2" cm="1">
        <f t="array" ref="H89">_xlfn._xlws.FILTER(rawdata!$E$2:$E$3638,(rawdata!$A$2:$A$3638=transformed_data!$A89)*(rawdata!$B$2:$B$3638="Total Public Debt Outstanding"))</f>
        <v>4873616.4560688902</v>
      </c>
      <c r="I89" s="2" cm="1">
        <f t="array" ref="I89">_xlfn._xlws.FILTER(rawdata!$F$2:$F$3638,(rawdata!$A$2:$A$3638=transformed_data!$A89)*(rawdata!$B$2:$B$3638="Total Public Debt Outstanding"))</f>
        <v>16433791.820107</v>
      </c>
      <c r="K89" s="2"/>
      <c r="L89" s="2"/>
    </row>
    <row r="90" spans="1:12" x14ac:dyDescent="0.3">
      <c r="A90" s="1">
        <v>41333</v>
      </c>
      <c r="B90" s="2" cm="1">
        <f t="array" ref="B90">_xlfn._xlws.FILTER(rawdata!$F$2:$F$3638,(rawdata!$A$2:$A$3638=transformed_data!$A90)*(rawdata!$C$2:$C$3638=transformed_data!B$1))</f>
        <v>1741950.0837999999</v>
      </c>
      <c r="C90" s="2" cm="1">
        <f t="array" ref="C90">_xlfn._xlws.FILTER(rawdata!$F$2:$F$3638,(rawdata!$A$2:$A$3638=transformed_data!$A90)*(rawdata!$C$2:$C$3638=transformed_data!C$1))</f>
        <v>7422461.6073000003</v>
      </c>
      <c r="D90" s="2" cm="1">
        <f t="array" ref="D90">_xlfn._xlws.FILTER(rawdata!$F$2:$F$3638,(rawdata!$A$2:$A$3638=transformed_data!$A90)*(rawdata!$C$2:$C$3638=transformed_data!D$1))</f>
        <v>1269160.8702499999</v>
      </c>
      <c r="E90" s="2" cm="1">
        <f t="array" ref="E90">SUM(-B90:D90,_xlfn._xlws.FILTER(rawdata!$F$2:$F$3638,(rawdata!$A$2:$A$3638=transformed_data!$A90)*(rawdata!$B$2:$B$3638="Total Marketable")))</f>
        <v>874780.71664010175</v>
      </c>
      <c r="F90" s="2" cm="1">
        <f t="array" ref="F90">_xlfn._xlws.FILTER(rawdata!$F$2:$F$3638,(rawdata!$A$2:$A$3638=transformed_data!$A90)*(rawdata!$B$2:$B$3638="Total Nonmarketable"))</f>
        <v>5378936.3290249296</v>
      </c>
      <c r="G90" s="2" cm="1">
        <f t="array" ref="G90">_xlfn._xlws.FILTER(rawdata!$D$2:$D$3638,(rawdata!$A$2:$A$3638=transformed_data!$A90)*(rawdata!$B$2:$B$3638="Total Public Debt Outstanding"))</f>
        <v>11822436.0645067</v>
      </c>
      <c r="H90" s="2" cm="1">
        <f t="array" ref="H90">_xlfn._xlws.FILTER(rawdata!$E$2:$E$3638,(rawdata!$A$2:$A$3638=transformed_data!$A90)*(rawdata!$B$2:$B$3638="Total Public Debt Outstanding"))</f>
        <v>4864852.5425083898</v>
      </c>
      <c r="I90" s="2" cm="1">
        <f t="array" ref="I90">_xlfn._xlws.FILTER(rawdata!$F$2:$F$3638,(rawdata!$A$2:$A$3638=transformed_data!$A90)*(rawdata!$B$2:$B$3638="Total Public Debt Outstanding"))</f>
        <v>16687288.607015099</v>
      </c>
      <c r="K90" s="2"/>
      <c r="L90" s="2"/>
    </row>
    <row r="91" spans="1:12" x14ac:dyDescent="0.3">
      <c r="A91" s="1">
        <v>41364</v>
      </c>
      <c r="B91" s="2" cm="1">
        <f t="array" ref="B91">_xlfn._xlws.FILTER(rawdata!$F$2:$F$3638,(rawdata!$A$2:$A$3638=transformed_data!$A91)*(rawdata!$C$2:$C$3638=transformed_data!B$1))</f>
        <v>1790952.2896</v>
      </c>
      <c r="C91" s="2" cm="1">
        <f t="array" ref="C91">_xlfn._xlws.FILTER(rawdata!$F$2:$F$3638,(rawdata!$A$2:$A$3638=transformed_data!$A91)*(rawdata!$C$2:$C$3638=transformed_data!C$1))</f>
        <v>7434988.1755999997</v>
      </c>
      <c r="D91" s="2" cm="1">
        <f t="array" ref="D91">_xlfn._xlws.FILTER(rawdata!$F$2:$F$3638,(rawdata!$A$2:$A$3638=transformed_data!$A91)*(rawdata!$C$2:$C$3638=transformed_data!D$1))</f>
        <v>1282160.8287500001</v>
      </c>
      <c r="E91" s="2" cm="1">
        <f t="array" ref="E91">SUM(-B91:D91,_xlfn._xlws.FILTER(rawdata!$F$2:$F$3638,(rawdata!$A$2:$A$3638=transformed_data!$A91)*(rawdata!$B$2:$B$3638="Total Marketable")))</f>
        <v>889904.09029720165</v>
      </c>
      <c r="F91" s="2" cm="1">
        <f t="array" ref="F91">_xlfn._xlws.FILTER(rawdata!$F$2:$F$3638,(rawdata!$A$2:$A$3638=transformed_data!$A91)*(rawdata!$B$2:$B$3638="Total Nonmarketable"))</f>
        <v>5373373.6475499198</v>
      </c>
      <c r="G91" s="2" cm="1">
        <f t="array" ref="G91">_xlfn._xlws.FILTER(rawdata!$D$2:$D$3638,(rawdata!$A$2:$A$3638=transformed_data!$A91)*(rawdata!$B$2:$B$3638="Total Public Debt Outstanding"))</f>
        <v>11916887.840464</v>
      </c>
      <c r="H91" s="2" cm="1">
        <f t="array" ref="H91">_xlfn._xlws.FILTER(rawdata!$E$2:$E$3638,(rawdata!$A$2:$A$3638=transformed_data!$A91)*(rawdata!$B$2:$B$3638="Total Public Debt Outstanding"))</f>
        <v>4854491.1913330704</v>
      </c>
      <c r="I91" s="2" cm="1">
        <f t="array" ref="I91">_xlfn._xlws.FILTER(rawdata!$F$2:$F$3638,(rawdata!$A$2:$A$3638=transformed_data!$A91)*(rawdata!$B$2:$B$3638="Total Public Debt Outstanding"))</f>
        <v>16771379.0317971</v>
      </c>
      <c r="K91" s="2"/>
      <c r="L91" s="2"/>
    </row>
    <row r="92" spans="1:12" x14ac:dyDescent="0.3">
      <c r="A92" s="1">
        <v>41394</v>
      </c>
      <c r="B92" s="2" cm="1">
        <f t="array" ref="B92">_xlfn._xlws.FILTER(rawdata!$F$2:$F$3638,(rawdata!$A$2:$A$3638=transformed_data!$A92)*(rawdata!$C$2:$C$3638=transformed_data!B$1))</f>
        <v>1694949.3496999999</v>
      </c>
      <c r="C92" s="2" cm="1">
        <f t="array" ref="C92">_xlfn._xlws.FILTER(rawdata!$F$2:$F$3638,(rawdata!$A$2:$A$3638=transformed_data!$A92)*(rawdata!$C$2:$C$3638=transformed_data!C$1))</f>
        <v>7527969.9528000001</v>
      </c>
      <c r="D92" s="2" cm="1">
        <f t="array" ref="D92">_xlfn._xlws.FILTER(rawdata!$F$2:$F$3638,(rawdata!$A$2:$A$3638=transformed_data!$A92)*(rawdata!$C$2:$C$3638=transformed_data!D$1))</f>
        <v>1295160.6830500001</v>
      </c>
      <c r="E92" s="2" cm="1">
        <f t="array" ref="E92">SUM(-B92:D92,_xlfn._xlws.FILTER(rawdata!$F$2:$F$3638,(rawdata!$A$2:$A$3638=transformed_data!$A92)*(rawdata!$B$2:$B$3638="Total Marketable")))</f>
        <v>898680.86277589947</v>
      </c>
      <c r="F92" s="2" cm="1">
        <f t="array" ref="F92">_xlfn._xlws.FILTER(rawdata!$F$2:$F$3638,(rawdata!$A$2:$A$3638=transformed_data!$A92)*(rawdata!$B$2:$B$3638="Total Nonmarketable"))</f>
        <v>5412084.78091761</v>
      </c>
      <c r="G92" s="2" cm="1">
        <f t="array" ref="G92">_xlfn._xlws.FILTER(rawdata!$D$2:$D$3638,(rawdata!$A$2:$A$3638=transformed_data!$A92)*(rawdata!$B$2:$B$3638="Total Public Debt Outstanding"))</f>
        <v>11943148.302300099</v>
      </c>
      <c r="H92" s="2" cm="1">
        <f t="array" ref="H92">_xlfn._xlws.FILTER(rawdata!$E$2:$E$3638,(rawdata!$A$2:$A$3638=transformed_data!$A92)*(rawdata!$B$2:$B$3638="Total Public Debt Outstanding"))</f>
        <v>4885697.3269434497</v>
      </c>
      <c r="I92" s="2" cm="1">
        <f t="array" ref="I92">_xlfn._xlws.FILTER(rawdata!$F$2:$F$3638,(rawdata!$A$2:$A$3638=transformed_data!$A92)*(rawdata!$B$2:$B$3638="Total Public Debt Outstanding"))</f>
        <v>16828844.629243501</v>
      </c>
      <c r="K92" s="2"/>
      <c r="L92" s="2"/>
    </row>
    <row r="93" spans="1:12" x14ac:dyDescent="0.3">
      <c r="A93" s="1">
        <v>41425</v>
      </c>
      <c r="B93" s="2" cm="1">
        <f t="array" ref="B93">_xlfn._xlws.FILTER(rawdata!$F$2:$F$3638,(rawdata!$A$2:$A$3638=transformed_data!$A93)*(rawdata!$C$2:$C$3638=transformed_data!B$1))</f>
        <v>1606939.8532</v>
      </c>
      <c r="C93" s="2" cm="1">
        <f t="array" ref="C93">_xlfn._xlws.FILTER(rawdata!$F$2:$F$3638,(rawdata!$A$2:$A$3638=transformed_data!$A93)*(rawdata!$C$2:$C$3638=transformed_data!C$1))</f>
        <v>7564929.2488000002</v>
      </c>
      <c r="D93" s="2" cm="1">
        <f t="array" ref="D93">_xlfn._xlws.FILTER(rawdata!$F$2:$F$3638,(rawdata!$A$2:$A$3638=transformed_data!$A93)*(rawdata!$C$2:$C$3638=transformed_data!D$1))</f>
        <v>1311160.5785000001</v>
      </c>
      <c r="E93" s="2" cm="1">
        <f t="array" ref="E93">SUM(-B93:D93,_xlfn._xlws.FILTER(rawdata!$F$2:$F$3638,(rawdata!$A$2:$A$3638=transformed_data!$A93)*(rawdata!$B$2:$B$3638="Total Marketable")))</f>
        <v>914281.35585899837</v>
      </c>
      <c r="F93" s="2" cm="1">
        <f t="array" ref="F93">_xlfn._xlws.FILTER(rawdata!$F$2:$F$3638,(rawdata!$A$2:$A$3638=transformed_data!$A93)*(rawdata!$B$2:$B$3638="Total Nonmarketable"))</f>
        <v>5341511.1436963296</v>
      </c>
      <c r="G93" s="2" cm="1">
        <f t="array" ref="G93">_xlfn._xlws.FILTER(rawdata!$D$2:$D$3638,(rawdata!$A$2:$A$3638=transformed_data!$A93)*(rawdata!$B$2:$B$3638="Total Public Debt Outstanding"))</f>
        <v>11897150.678677</v>
      </c>
      <c r="H93" s="2" cm="1">
        <f t="array" ref="H93">_xlfn._xlws.FILTER(rawdata!$E$2:$E$3638,(rawdata!$A$2:$A$3638=transformed_data!$A93)*(rawdata!$B$2:$B$3638="Total Public Debt Outstanding"))</f>
        <v>4841670.5013783397</v>
      </c>
      <c r="I93" s="2" cm="1">
        <f t="array" ref="I93">_xlfn._xlws.FILTER(rawdata!$F$2:$F$3638,(rawdata!$A$2:$A$3638=transformed_data!$A93)*(rawdata!$B$2:$B$3638="Total Public Debt Outstanding"))</f>
        <v>16738822.1800554</v>
      </c>
      <c r="K93" s="2"/>
      <c r="L93" s="2"/>
    </row>
    <row r="94" spans="1:12" x14ac:dyDescent="0.3">
      <c r="A94" s="1">
        <v>41455</v>
      </c>
      <c r="B94" s="2" cm="1">
        <f t="array" ref="B94">_xlfn._xlws.FILTER(rawdata!$F$2:$F$3638,(rawdata!$A$2:$A$3638=transformed_data!$A94)*(rawdata!$C$2:$C$3638=transformed_data!B$1))</f>
        <v>1569949.7052</v>
      </c>
      <c r="C94" s="2" cm="1">
        <f t="array" ref="C94">_xlfn._xlws.FILTER(rawdata!$F$2:$F$3638,(rawdata!$A$2:$A$3638=transformed_data!$A94)*(rawdata!$C$2:$C$3638=transformed_data!C$1))</f>
        <v>7581719.1189000001</v>
      </c>
      <c r="D94" s="2" cm="1">
        <f t="array" ref="D94">_xlfn._xlws.FILTER(rawdata!$F$2:$F$3638,(rawdata!$A$2:$A$3638=transformed_data!$A94)*(rawdata!$C$2:$C$3638=transformed_data!D$1))</f>
        <v>1324160.4598000001</v>
      </c>
      <c r="E94" s="2" cm="1">
        <f t="array" ref="E94">SUM(-B94:D94,_xlfn._xlws.FILTER(rawdata!$F$2:$F$3638,(rawdata!$A$2:$A$3638=transformed_data!$A94)*(rawdata!$B$2:$B$3638="Total Marketable")))</f>
        <v>919173.59174269997</v>
      </c>
      <c r="F94" s="2" cm="1">
        <f t="array" ref="F94">_xlfn._xlws.FILTER(rawdata!$F$2:$F$3638,(rawdata!$A$2:$A$3638=transformed_data!$A94)*(rawdata!$B$2:$B$3638="Total Nonmarketable"))</f>
        <v>5343317.1851691101</v>
      </c>
      <c r="G94" s="2" cm="1">
        <f t="array" ref="G94">_xlfn._xlws.FILTER(rawdata!$D$2:$D$3638,(rawdata!$A$2:$A$3638=transformed_data!$A94)*(rawdata!$B$2:$B$3638="Total Public Debt Outstanding"))</f>
        <v>11901292.1252601</v>
      </c>
      <c r="H94" s="2" cm="1">
        <f t="array" ref="H94">_xlfn._xlws.FILTER(rawdata!$E$2:$E$3638,(rawdata!$A$2:$A$3638=transformed_data!$A94)*(rawdata!$B$2:$B$3638="Total Public Debt Outstanding"))</f>
        <v>4837027.9355517896</v>
      </c>
      <c r="I94" s="2" cm="1">
        <f t="array" ref="I94">_xlfn._xlws.FILTER(rawdata!$F$2:$F$3638,(rawdata!$A$2:$A$3638=transformed_data!$A94)*(rawdata!$B$2:$B$3638="Total Public Debt Outstanding"))</f>
        <v>16738320.0608119</v>
      </c>
      <c r="K94" s="2"/>
      <c r="L94" s="2"/>
    </row>
    <row r="95" spans="1:12" x14ac:dyDescent="0.3">
      <c r="A95" s="1">
        <v>41486</v>
      </c>
      <c r="B95" s="2" cm="1">
        <f t="array" ref="B95">_xlfn._xlws.FILTER(rawdata!$F$2:$F$3638,(rawdata!$A$2:$A$3638=transformed_data!$A95)*(rawdata!$C$2:$C$3638=transformed_data!B$1))</f>
        <v>1555957.7714</v>
      </c>
      <c r="C95" s="2" cm="1">
        <f t="array" ref="C95">_xlfn._xlws.FILTER(rawdata!$F$2:$F$3638,(rawdata!$A$2:$A$3638=transformed_data!$A95)*(rawdata!$C$2:$C$3638=transformed_data!C$1))</f>
        <v>7680082.4568999996</v>
      </c>
      <c r="D95" s="2" cm="1">
        <f t="array" ref="D95">_xlfn._xlws.FILTER(rawdata!$F$2:$F$3638,(rawdata!$A$2:$A$3638=transformed_data!$A95)*(rawdata!$C$2:$C$3638=transformed_data!D$1))</f>
        <v>1337159.5360000001</v>
      </c>
      <c r="E95" s="2" cm="1">
        <f t="array" ref="E95">SUM(-B95:D95,_xlfn._xlws.FILTER(rawdata!$F$2:$F$3638,(rawdata!$A$2:$A$3638=transformed_data!$A95)*(rawdata!$B$2:$B$3638="Total Marketable")))</f>
        <v>910290.92121100053</v>
      </c>
      <c r="F95" s="2" cm="1">
        <f t="array" ref="F95">_xlfn._xlws.FILTER(rawdata!$F$2:$F$3638,(rawdata!$A$2:$A$3638=transformed_data!$A95)*(rawdata!$B$2:$B$3638="Total Nonmarketable"))</f>
        <v>5255108.50543069</v>
      </c>
      <c r="G95" s="2" cm="1">
        <f t="array" ref="G95">_xlfn._xlws.FILTER(rawdata!$D$2:$D$3638,(rawdata!$A$2:$A$3638=transformed_data!$A95)*(rawdata!$B$2:$B$3638="Total Public Debt Outstanding"))</f>
        <v>11917023.175314801</v>
      </c>
      <c r="H95" s="2" cm="1">
        <f t="array" ref="H95">_xlfn._xlws.FILTER(rawdata!$E$2:$E$3638,(rawdata!$A$2:$A$3638=transformed_data!$A95)*(rawdata!$B$2:$B$3638="Total Public Debt Outstanding"))</f>
        <v>4821576.0156268096</v>
      </c>
      <c r="I95" s="2" cm="1">
        <f t="array" ref="I95">_xlfn._xlws.FILTER(rawdata!$F$2:$F$3638,(rawdata!$A$2:$A$3638=transformed_data!$A95)*(rawdata!$B$2:$B$3638="Total Public Debt Outstanding"))</f>
        <v>16738599.190941701</v>
      </c>
      <c r="K95" s="2"/>
      <c r="L95" s="2"/>
    </row>
    <row r="96" spans="1:12" x14ac:dyDescent="0.3">
      <c r="A96" s="1">
        <v>41517</v>
      </c>
      <c r="B96" s="2" cm="1">
        <f t="array" ref="B96">_xlfn._xlws.FILTER(rawdata!$F$2:$F$3638,(rawdata!$A$2:$A$3638=transformed_data!$A96)*(rawdata!$C$2:$C$3638=transformed_data!B$1))</f>
        <v>1637964.1410000001</v>
      </c>
      <c r="C96" s="2" cm="1">
        <f t="array" ref="C96">_xlfn._xlws.FILTER(rawdata!$F$2:$F$3638,(rawdata!$A$2:$A$3638=transformed_data!$A96)*(rawdata!$C$2:$C$3638=transformed_data!C$1))</f>
        <v>7666524.9167999998</v>
      </c>
      <c r="D96" s="2" cm="1">
        <f t="array" ref="D96">_xlfn._xlws.FILTER(rawdata!$F$2:$F$3638,(rawdata!$A$2:$A$3638=transformed_data!$A96)*(rawdata!$C$2:$C$3638=transformed_data!D$1))</f>
        <v>1353158.3518999999</v>
      </c>
      <c r="E96" s="2" cm="1">
        <f t="array" ref="E96">SUM(-B96:D96,_xlfn._xlws.FILTER(rawdata!$F$2:$F$3638,(rawdata!$A$2:$A$3638=transformed_data!$A96)*(rawdata!$B$2:$B$3638="Total Marketable")))</f>
        <v>928531.65472180024</v>
      </c>
      <c r="F96" s="2" cm="1">
        <f t="array" ref="F96">_xlfn._xlws.FILTER(rawdata!$F$2:$F$3638,(rawdata!$A$2:$A$3638=transformed_data!$A96)*(rawdata!$B$2:$B$3638="Total Nonmarketable"))</f>
        <v>5152470.6452058302</v>
      </c>
      <c r="G96" s="2" cm="1">
        <f t="array" ref="G96">_xlfn._xlws.FILTER(rawdata!$D$2:$D$3638,(rawdata!$A$2:$A$3638=transformed_data!$A96)*(rawdata!$B$2:$B$3638="Total Public Debt Outstanding"))</f>
        <v>11967013.9489215</v>
      </c>
      <c r="H96" s="2" cm="1">
        <f t="array" ref="H96">_xlfn._xlws.FILTER(rawdata!$E$2:$E$3638,(rawdata!$A$2:$A$3638=transformed_data!$A96)*(rawdata!$B$2:$B$3638="Total Public Debt Outstanding"))</f>
        <v>4771635.7607061202</v>
      </c>
      <c r="I96" s="2" cm="1">
        <f t="array" ref="I96">_xlfn._xlws.FILTER(rawdata!$F$2:$F$3638,(rawdata!$A$2:$A$3638=transformed_data!$A96)*(rawdata!$B$2:$B$3638="Total Public Debt Outstanding"))</f>
        <v>16738649.709627699</v>
      </c>
      <c r="K96" s="2"/>
      <c r="L96" s="2"/>
    </row>
    <row r="97" spans="1:12" x14ac:dyDescent="0.3">
      <c r="A97" s="1">
        <v>41547</v>
      </c>
      <c r="B97" s="2" cm="1">
        <f t="array" ref="B97">_xlfn._xlws.FILTER(rawdata!$F$2:$F$3638,(rawdata!$A$2:$A$3638=transformed_data!$A97)*(rawdata!$C$2:$C$3638=transformed_data!B$1))</f>
        <v>1529971.7638000001</v>
      </c>
      <c r="C97" s="2" cm="1">
        <f t="array" ref="C97">_xlfn._xlws.FILTER(rawdata!$F$2:$F$3638,(rawdata!$A$2:$A$3638=transformed_data!$A97)*(rawdata!$C$2:$C$3638=transformed_data!C$1))</f>
        <v>7757950.7977</v>
      </c>
      <c r="D97" s="2" cm="1">
        <f t="array" ref="D97">_xlfn._xlws.FILTER(rawdata!$F$2:$F$3638,(rawdata!$A$2:$A$3638=transformed_data!$A97)*(rawdata!$C$2:$C$3638=transformed_data!D$1))</f>
        <v>1366158.2705999999</v>
      </c>
      <c r="E97" s="2" cm="1">
        <f t="array" ref="E97">SUM(-B97:D97,_xlfn._xlws.FILTER(rawdata!$F$2:$F$3638,(rawdata!$A$2:$A$3638=transformed_data!$A97)*(rawdata!$B$2:$B$3638="Total Marketable")))</f>
        <v>942074.1935437005</v>
      </c>
      <c r="F97" s="2" cm="1">
        <f t="array" ref="F97">_xlfn._xlws.FILTER(rawdata!$F$2:$F$3638,(rawdata!$A$2:$A$3638=transformed_data!$A97)*(rawdata!$B$2:$B$3638="Total Nonmarketable"))</f>
        <v>5142028.5156503497</v>
      </c>
      <c r="G97" s="2" cm="1">
        <f t="array" ref="G97">_xlfn._xlws.FILTER(rawdata!$D$2:$D$3638,(rawdata!$A$2:$A$3638=transformed_data!$A97)*(rawdata!$B$2:$B$3638="Total Public Debt Outstanding"))</f>
        <v>11976279.213615799</v>
      </c>
      <c r="H97" s="2" cm="1">
        <f t="array" ref="H97">_xlfn._xlws.FILTER(rawdata!$E$2:$E$3638,(rawdata!$A$2:$A$3638=transformed_data!$A97)*(rawdata!$B$2:$B$3638="Total Public Debt Outstanding"))</f>
        <v>4761904.3276782203</v>
      </c>
      <c r="I97" s="2" cm="1">
        <f t="array" ref="I97">_xlfn._xlws.FILTER(rawdata!$F$2:$F$3638,(rawdata!$A$2:$A$3638=transformed_data!$A97)*(rawdata!$B$2:$B$3638="Total Public Debt Outstanding"))</f>
        <v>16738183.5412941</v>
      </c>
      <c r="K97" s="2"/>
      <c r="L97" s="2"/>
    </row>
    <row r="98" spans="1:12" x14ac:dyDescent="0.3">
      <c r="A98" s="1">
        <v>41578</v>
      </c>
      <c r="B98" s="2" cm="1">
        <f t="array" ref="B98">_xlfn._xlws.FILTER(rawdata!$F$2:$F$3638,(rawdata!$A$2:$A$3638=transformed_data!$A98)*(rawdata!$C$2:$C$3638=transformed_data!B$1))</f>
        <v>1544961.5736</v>
      </c>
      <c r="C98" s="2" cm="1">
        <f t="array" ref="C98">_xlfn._xlws.FILTER(rawdata!$F$2:$F$3638,(rawdata!$A$2:$A$3638=transformed_data!$A98)*(rawdata!$C$2:$C$3638=transformed_data!C$1))</f>
        <v>7811275.2959000003</v>
      </c>
      <c r="D98" s="2" cm="1">
        <f t="array" ref="D98">_xlfn._xlws.FILTER(rawdata!$F$2:$F$3638,(rawdata!$A$2:$A$3638=transformed_data!$A98)*(rawdata!$C$2:$C$3638=transformed_data!D$1))</f>
        <v>1379158.2344</v>
      </c>
      <c r="E98" s="2" cm="1">
        <f t="array" ref="E98">SUM(-B98:D98,_xlfn._xlws.FILTER(rawdata!$F$2:$F$3638,(rawdata!$A$2:$A$3638=transformed_data!$A98)*(rawdata!$B$2:$B$3638="Total Marketable")))</f>
        <v>959602.23318750039</v>
      </c>
      <c r="F98" s="2" cm="1">
        <f t="array" ref="F98">_xlfn._xlws.FILTER(rawdata!$F$2:$F$3638,(rawdata!$A$2:$A$3638=transformed_data!$A98)*(rawdata!$B$2:$B$3638="Total Nonmarketable"))</f>
        <v>5461119.6109448196</v>
      </c>
      <c r="G98" s="2" cm="1">
        <f t="array" ref="G98">_xlfn._xlws.FILTER(rawdata!$D$2:$D$3638,(rawdata!$A$2:$A$3638=transformed_data!$A98)*(rawdata!$B$2:$B$3638="Total Public Debt Outstanding"))</f>
        <v>12187369.7360433</v>
      </c>
      <c r="H98" s="2" cm="1">
        <f t="array" ref="H98">_xlfn._xlws.FILTER(rawdata!$E$2:$E$3638,(rawdata!$A$2:$A$3638=transformed_data!$A98)*(rawdata!$B$2:$B$3638="Total Public Debt Outstanding"))</f>
        <v>4968747.2119890498</v>
      </c>
      <c r="I98" s="2" cm="1">
        <f t="array" ref="I98">_xlfn._xlws.FILTER(rawdata!$F$2:$F$3638,(rawdata!$A$2:$A$3638=transformed_data!$A98)*(rawdata!$B$2:$B$3638="Total Public Debt Outstanding"))</f>
        <v>17156116.948032301</v>
      </c>
      <c r="K98" s="2"/>
      <c r="L98" s="2"/>
    </row>
    <row r="99" spans="1:12" x14ac:dyDescent="0.3">
      <c r="A99" s="1">
        <v>41608</v>
      </c>
      <c r="B99" s="2" cm="1">
        <f t="array" ref="B99">_xlfn._xlws.FILTER(rawdata!$F$2:$F$3638,(rawdata!$A$2:$A$3638=transformed_data!$A99)*(rawdata!$C$2:$C$3638=transformed_data!B$1))</f>
        <v>1620955.6969999999</v>
      </c>
      <c r="C99" s="2" cm="1">
        <f t="array" ref="C99">_xlfn._xlws.FILTER(rawdata!$F$2:$F$3638,(rawdata!$A$2:$A$3638=transformed_data!$A99)*(rawdata!$C$2:$C$3638=transformed_data!C$1))</f>
        <v>7801785.2140999902</v>
      </c>
      <c r="D99" s="2" cm="1">
        <f t="array" ref="D99">_xlfn._xlws.FILTER(rawdata!$F$2:$F$3638,(rawdata!$A$2:$A$3638=transformed_data!$A99)*(rawdata!$C$2:$C$3638=transformed_data!D$1))</f>
        <v>1395153.2433</v>
      </c>
      <c r="E99" s="2" cm="1">
        <f t="array" ref="E99">SUM(-B99:D99,_xlfn._xlws.FILTER(rawdata!$F$2:$F$3638,(rawdata!$A$2:$A$3638=transformed_data!$A99)*(rawdata!$B$2:$B$3638="Total Marketable")))</f>
        <v>973743.27602140978</v>
      </c>
      <c r="F99" s="2" cm="1">
        <f t="array" ref="F99">_xlfn._xlws.FILTER(rawdata!$F$2:$F$3638,(rawdata!$A$2:$A$3638=transformed_data!$A99)*(rawdata!$B$2:$B$3638="Total Nonmarketable"))</f>
        <v>5425513.5642927401</v>
      </c>
      <c r="G99" s="2" cm="1">
        <f t="array" ref="G99">_xlfn._xlws.FILTER(rawdata!$D$2:$D$3638,(rawdata!$A$2:$A$3638=transformed_data!$A99)*(rawdata!$B$2:$B$3638="Total Public Debt Outstanding"))</f>
        <v>12281126.179836901</v>
      </c>
      <c r="H99" s="2" cm="1">
        <f t="array" ref="H99">_xlfn._xlws.FILTER(rawdata!$E$2:$E$3638,(rawdata!$A$2:$A$3638=transformed_data!$A99)*(rawdata!$B$2:$B$3638="Total Public Debt Outstanding"))</f>
        <v>4936025.2309639296</v>
      </c>
      <c r="I99" s="2" cm="1">
        <f t="array" ref="I99">_xlfn._xlws.FILTER(rawdata!$F$2:$F$3638,(rawdata!$A$2:$A$3638=transformed_data!$A99)*(rawdata!$B$2:$B$3638="Total Public Debt Outstanding"))</f>
        <v>17217151.9947141</v>
      </c>
      <c r="K99" s="2"/>
      <c r="L99" s="2"/>
    </row>
    <row r="100" spans="1:12" x14ac:dyDescent="0.3">
      <c r="A100" s="1">
        <v>41639</v>
      </c>
      <c r="B100" s="2" cm="1">
        <f t="array" ref="B100">_xlfn._xlws.FILTER(rawdata!$F$2:$F$3638,(rawdata!$A$2:$A$3638=transformed_data!$A100)*(rawdata!$C$2:$C$3638=transformed_data!B$1))</f>
        <v>1591951.6288000001</v>
      </c>
      <c r="C100" s="2" cm="1">
        <f t="array" ref="C100">_xlfn._xlws.FILTER(rawdata!$F$2:$F$3638,(rawdata!$A$2:$A$3638=transformed_data!$A100)*(rawdata!$C$2:$C$3638=transformed_data!C$1))</f>
        <v>7881733.7672999902</v>
      </c>
      <c r="D100" s="2" cm="1">
        <f t="array" ref="D100">_xlfn._xlws.FILTER(rawdata!$F$2:$F$3638,(rawdata!$A$2:$A$3638=transformed_data!$A100)*(rawdata!$C$2:$C$3638=transformed_data!D$1))</f>
        <v>1408152.9380000001</v>
      </c>
      <c r="E100" s="2" cm="1">
        <f t="array" ref="E100">SUM(-B100:D100,_xlfn._xlws.FILTER(rawdata!$F$2:$F$3638,(rawdata!$A$2:$A$3638=transformed_data!$A100)*(rawdata!$B$2:$B$3638="Total Marketable")))</f>
        <v>987595.83972601034</v>
      </c>
      <c r="F100" s="2" cm="1">
        <f t="array" ref="F100">_xlfn._xlws.FILTER(rawdata!$F$2:$F$3638,(rawdata!$A$2:$A$3638=transformed_data!$A100)*(rawdata!$B$2:$B$3638="Total Nonmarketable"))</f>
        <v>5482536.8534219302</v>
      </c>
      <c r="G100" s="2" cm="1">
        <f t="array" ref="G100">_xlfn._xlws.FILTER(rawdata!$D$2:$D$3638,(rawdata!$A$2:$A$3638=transformed_data!$A100)*(rawdata!$B$2:$B$3638="Total Public Debt Outstanding"))</f>
        <v>12355426.862605499</v>
      </c>
      <c r="H100" s="2" cm="1">
        <f t="array" ref="H100">_xlfn._xlws.FILTER(rawdata!$E$2:$E$3638,(rawdata!$A$2:$A$3638=transformed_data!$A100)*(rawdata!$B$2:$B$3638="Total Public Debt Outstanding"))</f>
        <v>4996544.1646424197</v>
      </c>
      <c r="I100" s="2" cm="1">
        <f t="array" ref="I100">_xlfn._xlws.FILTER(rawdata!$F$2:$F$3638,(rawdata!$A$2:$A$3638=transformed_data!$A100)*(rawdata!$B$2:$B$3638="Total Public Debt Outstanding"))</f>
        <v>17351971.027247999</v>
      </c>
      <c r="K100" s="2"/>
      <c r="L100" s="2"/>
    </row>
    <row r="101" spans="1:12" x14ac:dyDescent="0.3">
      <c r="A101" s="1">
        <v>41670</v>
      </c>
      <c r="B101" s="2" cm="1">
        <f t="array" ref="B101">_xlfn._xlws.FILTER(rawdata!$F$2:$F$3638,(rawdata!$A$2:$A$3638=transformed_data!$A101)*(rawdata!$C$2:$C$3638=transformed_data!B$1))</f>
        <v>1485976.6554</v>
      </c>
      <c r="C101" s="2" cm="1">
        <f t="array" ref="C101">_xlfn._xlws.FILTER(rawdata!$F$2:$F$3638,(rawdata!$A$2:$A$3638=transformed_data!$A101)*(rawdata!$C$2:$C$3638=transformed_data!C$1))</f>
        <v>7929093.41709999</v>
      </c>
      <c r="D101" s="2" cm="1">
        <f t="array" ref="D101">_xlfn._xlws.FILTER(rawdata!$F$2:$F$3638,(rawdata!$A$2:$A$3638=transformed_data!$A101)*(rawdata!$C$2:$C$3638=transformed_data!D$1))</f>
        <v>1421152.9401</v>
      </c>
      <c r="E101" s="2" cm="1">
        <f t="array" ref="E101">SUM(-B101:D101,_xlfn._xlws.FILTER(rawdata!$F$2:$F$3638,(rawdata!$A$2:$A$3638=transformed_data!$A101)*(rawdata!$B$2:$B$3638="Total Marketable")))</f>
        <v>989098.58391931094</v>
      </c>
      <c r="F101" s="2" cm="1">
        <f t="array" ref="F101">_xlfn._xlws.FILTER(rawdata!$F$2:$F$3638,(rawdata!$A$2:$A$3638=transformed_data!$A101)*(rawdata!$B$2:$B$3638="Total Nonmarketable"))</f>
        <v>5467697.9607664105</v>
      </c>
      <c r="G101" s="2" cm="1">
        <f t="array" ref="G101">_xlfn._xlws.FILTER(rawdata!$D$2:$D$3638,(rawdata!$A$2:$A$3638=transformed_data!$A101)*(rawdata!$B$2:$B$3638="Total Public Debt Outstanding"))</f>
        <v>12308143.188735699</v>
      </c>
      <c r="H101" s="2" cm="1">
        <f t="array" ref="H101">_xlfn._xlws.FILTER(rawdata!$E$2:$E$3638,(rawdata!$A$2:$A$3638=transformed_data!$A101)*(rawdata!$B$2:$B$3638="Total Public Debt Outstanding"))</f>
        <v>4984876.5349511299</v>
      </c>
      <c r="I101" s="2" cm="1">
        <f t="array" ref="I101">_xlfn._xlws.FILTER(rawdata!$F$2:$F$3638,(rawdata!$A$2:$A$3638=transformed_data!$A101)*(rawdata!$B$2:$B$3638="Total Public Debt Outstanding"))</f>
        <v>17293019.5572857</v>
      </c>
      <c r="K101" s="2"/>
      <c r="L101" s="2"/>
    </row>
    <row r="102" spans="1:12" x14ac:dyDescent="0.3">
      <c r="A102" s="1">
        <v>41698</v>
      </c>
      <c r="B102" s="2" cm="1">
        <f t="array" ref="B102">_xlfn._xlws.FILTER(rawdata!$F$2:$F$3638,(rawdata!$A$2:$A$3638=transformed_data!$A102)*(rawdata!$C$2:$C$3638=transformed_data!B$1))</f>
        <v>1613972.1987000001</v>
      </c>
      <c r="C102" s="2" cm="1">
        <f t="array" ref="C102">_xlfn._xlws.FILTER(rawdata!$F$2:$F$3638,(rawdata!$A$2:$A$3638=transformed_data!$A102)*(rawdata!$C$2:$C$3638=transformed_data!C$1))</f>
        <v>7949334.1953999903</v>
      </c>
      <c r="D102" s="2" cm="1">
        <f t="array" ref="D102">_xlfn._xlws.FILTER(rawdata!$F$2:$F$3638,(rawdata!$A$2:$A$3638=transformed_data!$A102)*(rawdata!$C$2:$C$3638=transformed_data!D$1))</f>
        <v>1437152.5759000001</v>
      </c>
      <c r="E102" s="2" cm="1">
        <f t="array" ref="E102">SUM(-B102:D102,_xlfn._xlws.FILTER(rawdata!$F$2:$F$3638,(rawdata!$A$2:$A$3638=transformed_data!$A102)*(rawdata!$B$2:$B$3638="Total Marketable")))</f>
        <v>1010983.9686853103</v>
      </c>
      <c r="F102" s="2" cm="1">
        <f t="array" ref="F102">_xlfn._xlws.FILTER(rawdata!$F$2:$F$3638,(rawdata!$A$2:$A$3638=transformed_data!$A102)*(rawdata!$B$2:$B$3638="Total Nonmarketable"))</f>
        <v>5451785.57491305</v>
      </c>
      <c r="G102" s="2" cm="1">
        <f t="array" ref="G102">_xlfn._xlws.FILTER(rawdata!$D$2:$D$3638,(rawdata!$A$2:$A$3638=transformed_data!$A102)*(rawdata!$B$2:$B$3638="Total Public Debt Outstanding"))</f>
        <v>12492549.8605683</v>
      </c>
      <c r="H102" s="2" cm="1">
        <f t="array" ref="H102">_xlfn._xlws.FILTER(rawdata!$E$2:$E$3638,(rawdata!$A$2:$A$3638=transformed_data!$A102)*(rawdata!$B$2:$B$3638="Total Public Debt Outstanding"))</f>
        <v>4970678.7466512099</v>
      </c>
      <c r="I102" s="2" cm="1">
        <f t="array" ref="I102">_xlfn._xlws.FILTER(rawdata!$F$2:$F$3638,(rawdata!$A$2:$A$3638=transformed_data!$A102)*(rawdata!$B$2:$B$3638="Total Public Debt Outstanding"))</f>
        <v>17463228.513598301</v>
      </c>
      <c r="K102" s="2"/>
      <c r="L102" s="2"/>
    </row>
    <row r="103" spans="1:12" x14ac:dyDescent="0.3">
      <c r="A103" s="1">
        <v>41729</v>
      </c>
      <c r="B103" s="2" cm="1">
        <f t="array" ref="B103">_xlfn._xlws.FILTER(rawdata!$F$2:$F$3638,(rawdata!$A$2:$A$3638=transformed_data!$A103)*(rawdata!$C$2:$C$3638=transformed_data!B$1))</f>
        <v>1651968.5286000001</v>
      </c>
      <c r="C103" s="2" cm="1">
        <f t="array" ref="C103">_xlfn._xlws.FILTER(rawdata!$F$2:$F$3638,(rawdata!$A$2:$A$3638=transformed_data!$A103)*(rawdata!$C$2:$C$3638=transformed_data!C$1))</f>
        <v>7992892.5967999902</v>
      </c>
      <c r="D103" s="2" cm="1">
        <f t="array" ref="D103">_xlfn._xlws.FILTER(rawdata!$F$2:$F$3638,(rawdata!$A$2:$A$3638=transformed_data!$A103)*(rawdata!$C$2:$C$3638=transformed_data!D$1))</f>
        <v>1450152.5869499999</v>
      </c>
      <c r="E103" s="2" cm="1">
        <f t="array" ref="E103">SUM(-B103:D103,_xlfn._xlws.FILTER(rawdata!$F$2:$F$3638,(rawdata!$A$2:$A$3638=transformed_data!$A103)*(rawdata!$B$2:$B$3638="Total Marketable")))</f>
        <v>1040478.4958173092</v>
      </c>
      <c r="F103" s="2" cm="1">
        <f t="array" ref="F103">_xlfn._xlws.FILTER(rawdata!$F$2:$F$3638,(rawdata!$A$2:$A$3638=transformed_data!$A103)*(rawdata!$B$2:$B$3638="Total Nonmarketable"))</f>
        <v>5465735.0160442004</v>
      </c>
      <c r="G103" s="2" cm="1">
        <f t="array" ref="G103">_xlfn._xlws.FILTER(rawdata!$D$2:$D$3638,(rawdata!$A$2:$A$3638=transformed_data!$A103)*(rawdata!$B$2:$B$3638="Total Public Debt Outstanding"))</f>
        <v>12619318.895078899</v>
      </c>
      <c r="H103" s="2" cm="1">
        <f t="array" ref="H103">_xlfn._xlws.FILTER(rawdata!$E$2:$E$3638,(rawdata!$A$2:$A$3638=transformed_data!$A103)*(rawdata!$B$2:$B$3638="Total Public Debt Outstanding"))</f>
        <v>4981908.4403978903</v>
      </c>
      <c r="I103" s="2" cm="1">
        <f t="array" ref="I103">_xlfn._xlws.FILTER(rawdata!$F$2:$F$3638,(rawdata!$A$2:$A$3638=transformed_data!$A103)*(rawdata!$B$2:$B$3638="Total Public Debt Outstanding"))</f>
        <v>17601227.224211499</v>
      </c>
      <c r="K103" s="2"/>
      <c r="L103" s="2"/>
    </row>
    <row r="104" spans="1:12" x14ac:dyDescent="0.3">
      <c r="A104" s="1">
        <v>41759</v>
      </c>
      <c r="B104" s="2" cm="1">
        <f t="array" ref="B104">_xlfn._xlws.FILTER(rawdata!$F$2:$F$3638,(rawdata!$A$2:$A$3638=transformed_data!$A104)*(rawdata!$C$2:$C$3638=transformed_data!B$1))</f>
        <v>1458970.5999</v>
      </c>
      <c r="C104" s="2" cm="1">
        <f t="array" ref="C104">_xlfn._xlws.FILTER(rawdata!$F$2:$F$3638,(rawdata!$A$2:$A$3638=transformed_data!$A104)*(rawdata!$C$2:$C$3638=transformed_data!C$1))</f>
        <v>8034161.2555999896</v>
      </c>
      <c r="D104" s="2" cm="1">
        <f t="array" ref="D104">_xlfn._xlws.FILTER(rawdata!$F$2:$F$3638,(rawdata!$A$2:$A$3638=transformed_data!$A104)*(rawdata!$C$2:$C$3638=transformed_data!D$1))</f>
        <v>1463152.5181499999</v>
      </c>
      <c r="E104" s="2" cm="1">
        <f t="array" ref="E104">SUM(-B104:D104,_xlfn._xlws.FILTER(rawdata!$F$2:$F$3638,(rawdata!$A$2:$A$3638=transformed_data!$A104)*(rawdata!$B$2:$B$3638="Total Marketable")))</f>
        <v>1060217.345748309</v>
      </c>
      <c r="F104" s="2" cm="1">
        <f t="array" ref="F104">_xlfn._xlws.FILTER(rawdata!$F$2:$F$3638,(rawdata!$A$2:$A$3638=transformed_data!$A104)*(rawdata!$B$2:$B$3638="Total Nonmarketable"))</f>
        <v>5491935.3982623797</v>
      </c>
      <c r="G104" s="2" cm="1">
        <f t="array" ref="G104">_xlfn._xlws.FILTER(rawdata!$D$2:$D$3638,(rawdata!$A$2:$A$3638=transformed_data!$A104)*(rawdata!$B$2:$B$3638="Total Public Debt Outstanding"))</f>
        <v>12503468.325517399</v>
      </c>
      <c r="H104" s="2" cm="1">
        <f t="array" ref="H104">_xlfn._xlws.FILTER(rawdata!$E$2:$E$3638,(rawdata!$A$2:$A$3638=transformed_data!$A104)*(rawdata!$B$2:$B$3638="Total Public Debt Outstanding"))</f>
        <v>5004968.79214333</v>
      </c>
      <c r="I104" s="2" cm="1">
        <f t="array" ref="I104">_xlfn._xlws.FILTER(rawdata!$F$2:$F$3638,(rawdata!$A$2:$A$3638=transformed_data!$A104)*(rawdata!$B$2:$B$3638="Total Public Debt Outstanding"))</f>
        <v>17508437.117660701</v>
      </c>
      <c r="K104" s="2"/>
      <c r="L104" s="2"/>
    </row>
    <row r="105" spans="1:12" x14ac:dyDescent="0.3">
      <c r="A105" s="1">
        <v>41790</v>
      </c>
      <c r="B105" s="2" cm="1">
        <f t="array" ref="B105">_xlfn._xlws.FILTER(rawdata!$F$2:$F$3638,(rawdata!$A$2:$A$3638=transformed_data!$A105)*(rawdata!$C$2:$C$3638=transformed_data!B$1))</f>
        <v>1448984.1529000001</v>
      </c>
      <c r="C105" s="2" cm="1">
        <f t="array" ref="C105">_xlfn._xlws.FILTER(rawdata!$F$2:$F$3638,(rawdata!$A$2:$A$3638=transformed_data!$A105)*(rawdata!$C$2:$C$3638=transformed_data!C$1))</f>
        <v>8027852.9286999898</v>
      </c>
      <c r="D105" s="2" cm="1">
        <f t="array" ref="D105">_xlfn._xlws.FILTER(rawdata!$F$2:$F$3638,(rawdata!$A$2:$A$3638=transformed_data!$A105)*(rawdata!$C$2:$C$3638=transformed_data!D$1))</f>
        <v>1479147.64885</v>
      </c>
      <c r="E105" s="2" cm="1">
        <f t="array" ref="E105">SUM(-B105:D105,_xlfn._xlws.FILTER(rawdata!$F$2:$F$3638,(rawdata!$A$2:$A$3638=transformed_data!$A105)*(rawdata!$B$2:$B$3638="Total Marketable")))</f>
        <v>1092431.7824009098</v>
      </c>
      <c r="F105" s="2" cm="1">
        <f t="array" ref="F105">_xlfn._xlws.FILTER(rawdata!$F$2:$F$3638,(rawdata!$A$2:$A$3638=transformed_data!$A105)*(rawdata!$B$2:$B$3638="Total Nonmarketable"))</f>
        <v>5468541.9753728304</v>
      </c>
      <c r="G105" s="2" cm="1">
        <f t="array" ref="G105">_xlfn._xlws.FILTER(rawdata!$D$2:$D$3638,(rawdata!$A$2:$A$3638=transformed_data!$A105)*(rawdata!$B$2:$B$3638="Total Public Debt Outstanding"))</f>
        <v>12538030.3860958</v>
      </c>
      <c r="H105" s="2" cm="1">
        <f t="array" ref="H105">_xlfn._xlws.FILTER(rawdata!$E$2:$E$3638,(rawdata!$A$2:$A$3638=transformed_data!$A105)*(rawdata!$B$2:$B$3638="Total Public Debt Outstanding"))</f>
        <v>4978928.1021279898</v>
      </c>
      <c r="I105" s="2" cm="1">
        <f t="array" ref="I105">_xlfn._xlws.FILTER(rawdata!$F$2:$F$3638,(rawdata!$A$2:$A$3638=transformed_data!$A105)*(rawdata!$B$2:$B$3638="Total Public Debt Outstanding"))</f>
        <v>17516958.488223799</v>
      </c>
      <c r="K105" s="2"/>
      <c r="L105" s="2"/>
    </row>
    <row r="106" spans="1:12" x14ac:dyDescent="0.3">
      <c r="A106" s="1">
        <v>41820</v>
      </c>
      <c r="B106" s="2" cm="1">
        <f t="array" ref="B106">_xlfn._xlws.FILTER(rawdata!$F$2:$F$3638,(rawdata!$A$2:$A$3638=transformed_data!$A106)*(rawdata!$C$2:$C$3638=transformed_data!B$1))</f>
        <v>1387986.4894999999</v>
      </c>
      <c r="C106" s="2" cm="1">
        <f t="array" ref="C106">_xlfn._xlws.FILTER(rawdata!$F$2:$F$3638,(rawdata!$A$2:$A$3638=transformed_data!$A106)*(rawdata!$C$2:$C$3638=transformed_data!C$1))</f>
        <v>8089288.3816999895</v>
      </c>
      <c r="D106" s="2" cm="1">
        <f t="array" ref="D106">_xlfn._xlws.FILTER(rawdata!$F$2:$F$3638,(rawdata!$A$2:$A$3638=transformed_data!$A106)*(rawdata!$C$2:$C$3638=transformed_data!D$1))</f>
        <v>1492147.5854499999</v>
      </c>
      <c r="E106" s="2" cm="1">
        <f t="array" ref="E106">SUM(-B106:D106,_xlfn._xlws.FILTER(rawdata!$F$2:$F$3638,(rawdata!$A$2:$A$3638=transformed_data!$A106)*(rawdata!$B$2:$B$3638="Total Marketable")))</f>
        <v>1114794.3422346115</v>
      </c>
      <c r="F106" s="2" cm="1">
        <f t="array" ref="F106">_xlfn._xlws.FILTER(rawdata!$F$2:$F$3638,(rawdata!$A$2:$A$3638=transformed_data!$A106)*(rawdata!$B$2:$B$3638="Total Nonmarketable"))</f>
        <v>5548388.9733106</v>
      </c>
      <c r="G106" s="2" cm="1">
        <f t="array" ref="G106">_xlfn._xlws.FILTER(rawdata!$D$2:$D$3638,(rawdata!$A$2:$A$3638=transformed_data!$A106)*(rawdata!$B$2:$B$3638="Total Public Debt Outstanding"))</f>
        <v>12572219.6120096</v>
      </c>
      <c r="H106" s="2" cm="1">
        <f t="array" ref="H106">_xlfn._xlws.FILTER(rawdata!$E$2:$E$3638,(rawdata!$A$2:$A$3638=transformed_data!$A106)*(rawdata!$B$2:$B$3638="Total Public Debt Outstanding"))</f>
        <v>5060386.7194695799</v>
      </c>
      <c r="I106" s="2" cm="1">
        <f t="array" ref="I106">_xlfn._xlws.FILTER(rawdata!$F$2:$F$3638,(rawdata!$A$2:$A$3638=transformed_data!$A106)*(rawdata!$B$2:$B$3638="Total Public Debt Outstanding"))</f>
        <v>17632605.772195201</v>
      </c>
      <c r="K106" s="2"/>
      <c r="L106" s="2"/>
    </row>
    <row r="107" spans="1:12" x14ac:dyDescent="0.3">
      <c r="A107" s="1">
        <v>41851</v>
      </c>
      <c r="B107" s="2" cm="1">
        <f t="array" ref="B107">_xlfn._xlws.FILTER(rawdata!$F$2:$F$3638,(rawdata!$A$2:$A$3638=transformed_data!$A107)*(rawdata!$C$2:$C$3638=transformed_data!B$1))</f>
        <v>1409986.5554</v>
      </c>
      <c r="C107" s="2" cm="1">
        <f t="array" ref="C107">_xlfn._xlws.FILTER(rawdata!$F$2:$F$3638,(rawdata!$A$2:$A$3638=transformed_data!$A107)*(rawdata!$C$2:$C$3638=transformed_data!C$1))</f>
        <v>8123336.7631999897</v>
      </c>
      <c r="D107" s="2" cm="1">
        <f t="array" ref="D107">_xlfn._xlws.FILTER(rawdata!$F$2:$F$3638,(rawdata!$A$2:$A$3638=transformed_data!$A107)*(rawdata!$C$2:$C$3638=transformed_data!D$1))</f>
        <v>1505144.55265</v>
      </c>
      <c r="E107" s="2" cm="1">
        <f t="array" ref="E107">SUM(-B107:D107,_xlfn._xlws.FILTER(rawdata!$F$2:$F$3638,(rawdata!$A$2:$A$3638=transformed_data!$A107)*(rawdata!$B$2:$B$3638="Total Marketable")))</f>
        <v>1124403.565612711</v>
      </c>
      <c r="F107" s="2" cm="1">
        <f t="array" ref="F107">_xlfn._xlws.FILTER(rawdata!$F$2:$F$3638,(rawdata!$A$2:$A$3638=transformed_data!$A107)*(rawdata!$B$2:$B$3638="Total Nonmarketable"))</f>
        <v>5524264.8295093896</v>
      </c>
      <c r="G107" s="2" cm="1">
        <f t="array" ref="G107">_xlfn._xlws.FILTER(rawdata!$D$2:$D$3638,(rawdata!$A$2:$A$3638=transformed_data!$A107)*(rawdata!$B$2:$B$3638="Total Public Debt Outstanding"))</f>
        <v>12651478.112988301</v>
      </c>
      <c r="H107" s="2" cm="1">
        <f t="array" ref="H107">_xlfn._xlws.FILTER(rawdata!$E$2:$E$3638,(rawdata!$A$2:$A$3638=transformed_data!$A107)*(rawdata!$B$2:$B$3638="Total Public Debt Outstanding"))</f>
        <v>5035658.7074786602</v>
      </c>
      <c r="I107" s="2" cm="1">
        <f t="array" ref="I107">_xlfn._xlws.FILTER(rawdata!$F$2:$F$3638,(rawdata!$A$2:$A$3638=transformed_data!$A107)*(rawdata!$B$2:$B$3638="Total Public Debt Outstanding"))</f>
        <v>17687137.2663721</v>
      </c>
      <c r="K107" s="2"/>
      <c r="L107" s="2"/>
    </row>
    <row r="108" spans="1:12" x14ac:dyDescent="0.3">
      <c r="A108" s="1">
        <v>41882</v>
      </c>
      <c r="B108" s="2" cm="1">
        <f t="array" ref="B108">_xlfn._xlws.FILTER(rawdata!$F$2:$F$3638,(rawdata!$A$2:$A$3638=transformed_data!$A108)*(rawdata!$C$2:$C$3638=transformed_data!B$1))</f>
        <v>1451997.6675</v>
      </c>
      <c r="C108" s="2" cm="1">
        <f t="array" ref="C108">_xlfn._xlws.FILTER(rawdata!$F$2:$F$3638,(rawdata!$A$2:$A$3638=transformed_data!$A108)*(rawdata!$C$2:$C$3638=transformed_data!C$1))</f>
        <v>8116633.99599999</v>
      </c>
      <c r="D108" s="2" cm="1">
        <f t="array" ref="D108">_xlfn._xlws.FILTER(rawdata!$F$2:$F$3638,(rawdata!$A$2:$A$3638=transformed_data!$A108)*(rawdata!$C$2:$C$3638=transformed_data!D$1))</f>
        <v>1521144.4349499999</v>
      </c>
      <c r="E108" s="2" cm="1">
        <f t="array" ref="E108">SUM(-B108:D108,_xlfn._xlws.FILTER(rawdata!$F$2:$F$3638,(rawdata!$A$2:$A$3638=transformed_data!$A108)*(rawdata!$B$2:$B$3638="Total Marketable")))</f>
        <v>1155495.3815142103</v>
      </c>
      <c r="F108" s="2" cm="1">
        <f t="array" ref="F108">_xlfn._xlws.FILTER(rawdata!$F$2:$F$3638,(rawdata!$A$2:$A$3638=transformed_data!$A108)*(rawdata!$B$2:$B$3638="Total Nonmarketable"))</f>
        <v>5503900.9502560301</v>
      </c>
      <c r="G108" s="2" cm="1">
        <f t="array" ref="G108">_xlfn._xlws.FILTER(rawdata!$D$2:$D$3638,(rawdata!$A$2:$A$3638=transformed_data!$A108)*(rawdata!$B$2:$B$3638="Total Public Debt Outstanding"))</f>
        <v>12732611.7819709</v>
      </c>
      <c r="H108" s="2" cm="1">
        <f t="array" ref="H108">_xlfn._xlws.FILTER(rawdata!$E$2:$E$3638,(rawdata!$A$2:$A$3638=transformed_data!$A108)*(rawdata!$B$2:$B$3638="Total Public Debt Outstanding"))</f>
        <v>5016561.3768155901</v>
      </c>
      <c r="I108" s="2" cm="1">
        <f t="array" ref="I108">_xlfn._xlws.FILTER(rawdata!$F$2:$F$3638,(rawdata!$A$2:$A$3638=transformed_data!$A108)*(rawdata!$B$2:$B$3638="Total Public Debt Outstanding"))</f>
        <v>17749172.430220202</v>
      </c>
      <c r="K108" s="2"/>
      <c r="L108" s="2"/>
    </row>
    <row r="109" spans="1:12" x14ac:dyDescent="0.3">
      <c r="A109" s="1">
        <v>41912</v>
      </c>
      <c r="B109" s="2" cm="1">
        <f t="array" ref="B109">_xlfn._xlws.FILTER(rawdata!$F$2:$F$3638,(rawdata!$A$2:$A$3638=transformed_data!$A109)*(rawdata!$C$2:$C$3638=transformed_data!B$1))</f>
        <v>1410980.0164999999</v>
      </c>
      <c r="C109" s="2" cm="1">
        <f t="array" ref="C109">_xlfn._xlws.FILTER(rawdata!$F$2:$F$3638,(rawdata!$A$2:$A$3638=transformed_data!$A109)*(rawdata!$C$2:$C$3638=transformed_data!C$1))</f>
        <v>8167758.6248999899</v>
      </c>
      <c r="D109" s="2" cm="1">
        <f t="array" ref="D109">_xlfn._xlws.FILTER(rawdata!$F$2:$F$3638,(rawdata!$A$2:$A$3638=transformed_data!$A109)*(rawdata!$C$2:$C$3638=transformed_data!D$1))</f>
        <v>1534144.4408499999</v>
      </c>
      <c r="E109" s="2" cm="1">
        <f t="array" ref="E109">SUM(-B109:D109,_xlfn._xlws.FILTER(rawdata!$F$2:$F$3638,(rawdata!$A$2:$A$3638=transformed_data!$A109)*(rawdata!$B$2:$B$3638="Total Marketable")))</f>
        <v>1181329.5498959087</v>
      </c>
      <c r="F109" s="2" cm="1">
        <f t="array" ref="F109">_xlfn._xlws.FILTER(rawdata!$F$2:$F$3638,(rawdata!$A$2:$A$3638=transformed_data!$A109)*(rawdata!$B$2:$B$3638="Total Nonmarketable"))</f>
        <v>5529858.9907510802</v>
      </c>
      <c r="G109" s="2" cm="1">
        <f t="array" ref="G109">_xlfn._xlws.FILTER(rawdata!$D$2:$D$3638,(rawdata!$A$2:$A$3638=transformed_data!$A109)*(rawdata!$B$2:$B$3638="Total Public Debt Outstanding"))</f>
        <v>12784971.020747701</v>
      </c>
      <c r="H109" s="2" cm="1">
        <f t="array" ref="H109">_xlfn._xlws.FILTER(rawdata!$E$2:$E$3638,(rawdata!$A$2:$A$3638=transformed_data!$A109)*(rawdata!$B$2:$B$3638="Total Public Debt Outstanding"))</f>
        <v>5039099.7585249403</v>
      </c>
      <c r="I109" s="2" cm="1">
        <f t="array" ref="I109">_xlfn._xlws.FILTER(rawdata!$F$2:$F$3638,(rawdata!$A$2:$A$3638=transformed_data!$A109)*(rawdata!$B$2:$B$3638="Total Public Debt Outstanding"))</f>
        <v>17824070.622896899</v>
      </c>
      <c r="K109" s="2"/>
      <c r="L109" s="2"/>
    </row>
    <row r="110" spans="1:12" x14ac:dyDescent="0.3">
      <c r="A110" s="1">
        <v>41943</v>
      </c>
      <c r="B110" s="2" cm="1">
        <f t="array" ref="B110">_xlfn._xlws.FILTER(rawdata!$F$2:$F$3638,(rawdata!$A$2:$A$3638=transformed_data!$A110)*(rawdata!$C$2:$C$3638=transformed_data!B$1))</f>
        <v>1413945.199</v>
      </c>
      <c r="C110" s="2" cm="1">
        <f t="array" ref="C110">_xlfn._xlws.FILTER(rawdata!$F$2:$F$3638,(rawdata!$A$2:$A$3638=transformed_data!$A110)*(rawdata!$C$2:$C$3638=transformed_data!C$1))</f>
        <v>8199717.9828999899</v>
      </c>
      <c r="D110" s="2" cm="1">
        <f t="array" ref="D110">_xlfn._xlws.FILTER(rawdata!$F$2:$F$3638,(rawdata!$A$2:$A$3638=transformed_data!$A110)*(rawdata!$C$2:$C$3638=transformed_data!D$1))</f>
        <v>1547144.4013499999</v>
      </c>
      <c r="E110" s="2" cm="1">
        <f t="array" ref="E110">SUM(-B110:D110,_xlfn._xlws.FILTER(rawdata!$F$2:$F$3638,(rawdata!$A$2:$A$3638=transformed_data!$A110)*(rawdata!$B$2:$B$3638="Total Marketable")))</f>
        <v>1201766.786176011</v>
      </c>
      <c r="F110" s="2" cm="1">
        <f t="array" ref="F110">_xlfn._xlws.FILTER(rawdata!$F$2:$F$3638,(rawdata!$A$2:$A$3638=transformed_data!$A110)*(rawdata!$B$2:$B$3638="Total Nonmarketable"))</f>
        <v>5574586.1281031603</v>
      </c>
      <c r="G110" s="2" cm="1">
        <f t="array" ref="G110">_xlfn._xlws.FILTER(rawdata!$D$2:$D$3638,(rawdata!$A$2:$A$3638=transformed_data!$A110)*(rawdata!$B$2:$B$3638="Total Public Debt Outstanding"))</f>
        <v>12857056.069025399</v>
      </c>
      <c r="H110" s="2" cm="1">
        <f t="array" ref="H110">_xlfn._xlws.FILTER(rawdata!$E$2:$E$3638,(rawdata!$A$2:$A$3638=transformed_data!$A110)*(rawdata!$B$2:$B$3638="Total Public Debt Outstanding"))</f>
        <v>5080104.4285037396</v>
      </c>
      <c r="I110" s="2" cm="1">
        <f t="array" ref="I110">_xlfn._xlws.FILTER(rawdata!$F$2:$F$3638,(rawdata!$A$2:$A$3638=transformed_data!$A110)*(rawdata!$B$2:$B$3638="Total Public Debt Outstanding"))</f>
        <v>17937160.497529101</v>
      </c>
      <c r="K110" s="2"/>
      <c r="L110" s="2"/>
    </row>
    <row r="111" spans="1:12" x14ac:dyDescent="0.3">
      <c r="A111" s="1">
        <v>41973</v>
      </c>
      <c r="B111" s="2" cm="1">
        <f t="array" ref="B111">_xlfn._xlws.FILTER(rawdata!$F$2:$F$3638,(rawdata!$A$2:$A$3638=transformed_data!$A111)*(rawdata!$C$2:$C$3638=transformed_data!B$1))</f>
        <v>1439922.0847</v>
      </c>
      <c r="C111" s="2" cm="1">
        <f t="array" ref="C111">_xlfn._xlws.FILTER(rawdata!$F$2:$F$3638,(rawdata!$A$2:$A$3638=transformed_data!$A111)*(rawdata!$C$2:$C$3638=transformed_data!C$1))</f>
        <v>8189862.6190999905</v>
      </c>
      <c r="D111" s="2" cm="1">
        <f t="array" ref="D111">_xlfn._xlws.FILTER(rawdata!$F$2:$F$3638,(rawdata!$A$2:$A$3638=transformed_data!$A111)*(rawdata!$C$2:$C$3638=transformed_data!D$1))</f>
        <v>1563165.78605</v>
      </c>
      <c r="E111" s="2" cm="1">
        <f t="array" ref="E111">SUM(-B111:D111,_xlfn._xlws.FILTER(rawdata!$F$2:$F$3638,(rawdata!$A$2:$A$3638=transformed_data!$A111)*(rawdata!$B$2:$B$3638="Total Marketable")))</f>
        <v>1228450.7028182093</v>
      </c>
      <c r="F111" s="2" cm="1">
        <f t="array" ref="F111">_xlfn._xlws.FILTER(rawdata!$F$2:$F$3638,(rawdata!$A$2:$A$3638=transformed_data!$A111)*(rawdata!$B$2:$B$3638="Total Nonmarketable"))</f>
        <v>5584148.2020867299</v>
      </c>
      <c r="G111" s="2" cm="1">
        <f t="array" ref="G111">_xlfn._xlws.FILTER(rawdata!$D$2:$D$3638,(rawdata!$A$2:$A$3638=transformed_data!$A111)*(rawdata!$B$2:$B$3638="Total Public Debt Outstanding"))</f>
        <v>12922681.5072018</v>
      </c>
      <c r="H111" s="2" cm="1">
        <f t="array" ref="H111">_xlfn._xlws.FILTER(rawdata!$E$2:$E$3638,(rawdata!$A$2:$A$3638=transformed_data!$A111)*(rawdata!$B$2:$B$3638="Total Public Debt Outstanding"))</f>
        <v>5082868.3618683796</v>
      </c>
      <c r="I111" s="2" cm="1">
        <f t="array" ref="I111">_xlfn._xlws.FILTER(rawdata!$F$2:$F$3638,(rawdata!$A$2:$A$3638=transformed_data!$A111)*(rawdata!$B$2:$B$3638="Total Public Debt Outstanding"))</f>
        <v>18005549.394754998</v>
      </c>
      <c r="K111" s="2"/>
      <c r="L111" s="2"/>
    </row>
    <row r="112" spans="1:12" x14ac:dyDescent="0.3">
      <c r="A112" s="1">
        <v>42004</v>
      </c>
      <c r="B112" s="2" cm="1">
        <f t="array" ref="B112">_xlfn._xlws.FILTER(rawdata!$F$2:$F$3638,(rawdata!$A$2:$A$3638=transformed_data!$A112)*(rawdata!$C$2:$C$3638=transformed_data!B$1))</f>
        <v>1457885.0944000001</v>
      </c>
      <c r="C112" s="2" cm="1">
        <f t="array" ref="C112">_xlfn._xlws.FILTER(rawdata!$F$2:$F$3638,(rawdata!$A$2:$A$3638=transformed_data!$A112)*(rawdata!$C$2:$C$3638=transformed_data!C$1))</f>
        <v>8229186.1236999901</v>
      </c>
      <c r="D112" s="2" cm="1">
        <f t="array" ref="D112">_xlfn._xlws.FILTER(rawdata!$F$2:$F$3638,(rawdata!$A$2:$A$3638=transformed_data!$A112)*(rawdata!$C$2:$C$3638=transformed_data!D$1))</f>
        <v>1576165.79205</v>
      </c>
      <c r="E112" s="2" cm="1">
        <f t="array" ref="E112">SUM(-B112:D112,_xlfn._xlws.FILTER(rawdata!$F$2:$F$3638,(rawdata!$A$2:$A$3638=transformed_data!$A112)*(rawdata!$B$2:$B$3638="Total Marketable")))</f>
        <v>1255157.1485414095</v>
      </c>
      <c r="F112" s="2" cm="1">
        <f t="array" ref="F112">_xlfn._xlws.FILTER(rawdata!$F$2:$F$3638,(rawdata!$A$2:$A$3638=transformed_data!$A112)*(rawdata!$B$2:$B$3638="Total Nonmarketable"))</f>
        <v>5623049.74894593</v>
      </c>
      <c r="G112" s="2" cm="1">
        <f t="array" ref="G112">_xlfn._xlws.FILTER(rawdata!$D$2:$D$3638,(rawdata!$A$2:$A$3638=transformed_data!$A112)*(rawdata!$B$2:$B$3638="Total Public Debt Outstanding"))</f>
        <v>13023951.1625189</v>
      </c>
      <c r="H112" s="2" cm="1">
        <f t="array" ref="H112">_xlfn._xlws.FILTER(rawdata!$E$2:$E$3638,(rawdata!$A$2:$A$3638=transformed_data!$A112)*(rawdata!$B$2:$B$3638="Total Public Debt Outstanding"))</f>
        <v>5117492.7451185202</v>
      </c>
      <c r="I112" s="2" cm="1">
        <f t="array" ref="I112">_xlfn._xlws.FILTER(rawdata!$F$2:$F$3638,(rawdata!$A$2:$A$3638=transformed_data!$A112)*(rawdata!$B$2:$B$3638="Total Public Debt Outstanding"))</f>
        <v>18141443.907637399</v>
      </c>
      <c r="K112" s="2"/>
      <c r="L112" s="2"/>
    </row>
    <row r="113" spans="1:12" x14ac:dyDescent="0.3">
      <c r="A113" s="1">
        <v>42035</v>
      </c>
      <c r="B113" s="2" cm="1">
        <f t="array" ref="B113">_xlfn._xlws.FILTER(rawdata!$F$2:$F$3638,(rawdata!$A$2:$A$3638=transformed_data!$A113)*(rawdata!$C$2:$C$3638=transformed_data!B$1))</f>
        <v>1412886.9066999999</v>
      </c>
      <c r="C113" s="2" cm="1">
        <f t="array" ref="C113">_xlfn._xlws.FILTER(rawdata!$F$2:$F$3638,(rawdata!$A$2:$A$3638=transformed_data!$A113)*(rawdata!$C$2:$C$3638=transformed_data!C$1))</f>
        <v>8239914.54699999</v>
      </c>
      <c r="D113" s="2" cm="1">
        <f t="array" ref="D113">_xlfn._xlws.FILTER(rawdata!$F$2:$F$3638,(rawdata!$A$2:$A$3638=transformed_data!$A113)*(rawdata!$C$2:$C$3638=transformed_data!D$1))</f>
        <v>1589165.2581499999</v>
      </c>
      <c r="E113" s="2" cm="1">
        <f t="array" ref="E113">SUM(-B113:D113,_xlfn._xlws.FILTER(rawdata!$F$2:$F$3638,(rawdata!$A$2:$A$3638=transformed_data!$A113)*(rawdata!$B$2:$B$3638="Total Marketable")))</f>
        <v>1241329.9829096105</v>
      </c>
      <c r="F113" s="2" cm="1">
        <f t="array" ref="F113">_xlfn._xlws.FILTER(rawdata!$F$2:$F$3638,(rawdata!$A$2:$A$3638=transformed_data!$A113)*(rawdata!$B$2:$B$3638="Total Nonmarketable"))</f>
        <v>5598997.4141260805</v>
      </c>
      <c r="G113" s="2" cm="1">
        <f t="array" ref="G113">_xlfn._xlws.FILTER(rawdata!$D$2:$D$3638,(rawdata!$A$2:$A$3638=transformed_data!$A113)*(rawdata!$B$2:$B$3638="Total Public Debt Outstanding"))</f>
        <v>12984929.959734401</v>
      </c>
      <c r="H113" s="2" cm="1">
        <f t="array" ref="H113">_xlfn._xlws.FILTER(rawdata!$E$2:$E$3638,(rawdata!$A$2:$A$3638=transformed_data!$A113)*(rawdata!$B$2:$B$3638="Total Public Debt Outstanding"))</f>
        <v>5097364.3246637303</v>
      </c>
      <c r="I113" s="2" cm="1">
        <f t="array" ref="I113">_xlfn._xlws.FILTER(rawdata!$F$2:$F$3638,(rawdata!$A$2:$A$3638=transformed_data!$A113)*(rawdata!$B$2:$B$3638="Total Public Debt Outstanding"))</f>
        <v>18082294.108885702</v>
      </c>
      <c r="K113" s="2"/>
      <c r="L113" s="2"/>
    </row>
    <row r="114" spans="1:12" x14ac:dyDescent="0.3">
      <c r="A114" s="1">
        <v>42063</v>
      </c>
      <c r="B114" s="2" cm="1">
        <f t="array" ref="B114">_xlfn._xlws.FILTER(rawdata!$F$2:$F$3638,(rawdata!$A$2:$A$3638=transformed_data!$A114)*(rawdata!$C$2:$C$3638=transformed_data!B$1))</f>
        <v>1472887.7398999999</v>
      </c>
      <c r="C114" s="2" cm="1">
        <f t="array" ref="C114">_xlfn._xlws.FILTER(rawdata!$F$2:$F$3638,(rawdata!$A$2:$A$3638=transformed_data!$A114)*(rawdata!$C$2:$C$3638=transformed_data!C$1))</f>
        <v>8230115.3929999899</v>
      </c>
      <c r="D114" s="2" cm="1">
        <f t="array" ref="D114">_xlfn._xlws.FILTER(rawdata!$F$2:$F$3638,(rawdata!$A$2:$A$3638=transformed_data!$A114)*(rawdata!$C$2:$C$3638=transformed_data!D$1))</f>
        <v>1594648.2240500001</v>
      </c>
      <c r="E114" s="2" cm="1">
        <f t="array" ref="E114">SUM(-B114:D114,_xlfn._xlws.FILTER(rawdata!$F$2:$F$3638,(rawdata!$A$2:$A$3638=transformed_data!$A114)*(rawdata!$B$2:$B$3638="Total Marketable")))</f>
        <v>1272673.3921590094</v>
      </c>
      <c r="F114" s="2" cm="1">
        <f t="array" ref="F114">_xlfn._xlws.FILTER(rawdata!$F$2:$F$3638,(rawdata!$A$2:$A$3638=transformed_data!$A114)*(rawdata!$B$2:$B$3638="Total Nonmarketable"))</f>
        <v>5585529.3152262103</v>
      </c>
      <c r="G114" s="2" cm="1">
        <f t="array" ref="G114">_xlfn._xlws.FILTER(rawdata!$D$2:$D$3638,(rawdata!$A$2:$A$3638=transformed_data!$A114)*(rawdata!$B$2:$B$3638="Total Public Debt Outstanding"))</f>
        <v>13074035.584404601</v>
      </c>
      <c r="H114" s="2" cm="1">
        <f t="array" ref="H114">_xlfn._xlws.FILTER(rawdata!$E$2:$E$3638,(rawdata!$A$2:$A$3638=transformed_data!$A114)*(rawdata!$B$2:$B$3638="Total Public Debt Outstanding"))</f>
        <v>5081818.4799320903</v>
      </c>
      <c r="I114" s="2" cm="1">
        <f t="array" ref="I114">_xlfn._xlws.FILTER(rawdata!$F$2:$F$3638,(rawdata!$A$2:$A$3638=transformed_data!$A114)*(rawdata!$B$2:$B$3638="Total Public Debt Outstanding"))</f>
        <v>18155854.064335302</v>
      </c>
      <c r="K114" s="2"/>
      <c r="L114" s="2"/>
    </row>
    <row r="115" spans="1:12" x14ac:dyDescent="0.3">
      <c r="A115" s="1">
        <v>42094</v>
      </c>
      <c r="B115" s="2" cm="1">
        <f t="array" ref="B115">_xlfn._xlws.FILTER(rawdata!$F$2:$F$3638,(rawdata!$A$2:$A$3638=transformed_data!$A115)*(rawdata!$C$2:$C$3638=transformed_data!B$1))</f>
        <v>1477899.5856000001</v>
      </c>
      <c r="C115" s="2" cm="1">
        <f t="array" ref="C115">_xlfn._xlws.FILTER(rawdata!$F$2:$F$3638,(rawdata!$A$2:$A$3638=transformed_data!$A115)*(rawdata!$C$2:$C$3638=transformed_data!C$1))</f>
        <v>8264432.8816999895</v>
      </c>
      <c r="D115" s="2" cm="1">
        <f t="array" ref="D115">_xlfn._xlws.FILTER(rawdata!$F$2:$F$3638,(rawdata!$A$2:$A$3638=transformed_data!$A115)*(rawdata!$C$2:$C$3638=transformed_data!D$1))</f>
        <v>1607646.96835</v>
      </c>
      <c r="E115" s="2" cm="1">
        <f t="array" ref="E115">SUM(-B115:D115,_xlfn._xlws.FILTER(rawdata!$F$2:$F$3638,(rawdata!$A$2:$A$3638=transformed_data!$A115)*(rawdata!$B$2:$B$3638="Total Marketable")))</f>
        <v>1293827.1377961095</v>
      </c>
      <c r="F115" s="2" cm="1">
        <f t="array" ref="F115">_xlfn._xlws.FILTER(rawdata!$F$2:$F$3638,(rawdata!$A$2:$A$3638=transformed_data!$A115)*(rawdata!$B$2:$B$3638="Total Nonmarketable"))</f>
        <v>5508250.3420123504</v>
      </c>
      <c r="G115" s="2" cm="1">
        <f t="array" ref="G115">_xlfn._xlws.FILTER(rawdata!$D$2:$D$3638,(rawdata!$A$2:$A$3638=transformed_data!$A115)*(rawdata!$B$2:$B$3638="Total Public Debt Outstanding"))</f>
        <v>13090399.075396599</v>
      </c>
      <c r="H115" s="2" cm="1">
        <f t="array" ref="H115">_xlfn._xlws.FILTER(rawdata!$E$2:$E$3638,(rawdata!$A$2:$A$3638=transformed_data!$A115)*(rawdata!$B$2:$B$3638="Total Public Debt Outstanding"))</f>
        <v>5061657.4008764997</v>
      </c>
      <c r="I115" s="2" cm="1">
        <f t="array" ref="I115">_xlfn._xlws.FILTER(rawdata!$F$2:$F$3638,(rawdata!$A$2:$A$3638=transformed_data!$A115)*(rawdata!$B$2:$B$3638="Total Public Debt Outstanding"))</f>
        <v>18152055.9154585</v>
      </c>
      <c r="K115" s="2"/>
      <c r="L115" s="2"/>
    </row>
    <row r="116" spans="1:12" x14ac:dyDescent="0.3">
      <c r="A116" s="1">
        <v>42124</v>
      </c>
      <c r="B116" s="2" cm="1">
        <f t="array" ref="B116">_xlfn._xlws.FILTER(rawdata!$F$2:$F$3638,(rawdata!$A$2:$A$3638=transformed_data!$A116)*(rawdata!$C$2:$C$3638=transformed_data!B$1))</f>
        <v>1432934.6255000001</v>
      </c>
      <c r="C116" s="2" cm="1">
        <f t="array" ref="C116">_xlfn._xlws.FILTER(rawdata!$F$2:$F$3638,(rawdata!$A$2:$A$3638=transformed_data!$A116)*(rawdata!$C$2:$C$3638=transformed_data!C$1))</f>
        <v>8284023.4589999998</v>
      </c>
      <c r="D116" s="2" cm="1">
        <f t="array" ref="D116">_xlfn._xlws.FILTER(rawdata!$F$2:$F$3638,(rawdata!$A$2:$A$3638=transformed_data!$A116)*(rawdata!$C$2:$C$3638=transformed_data!D$1))</f>
        <v>1620646.0121500001</v>
      </c>
      <c r="E116" s="2" cm="1">
        <f t="array" ref="E116">SUM(-B116:D116,_xlfn._xlws.FILTER(rawdata!$F$2:$F$3638,(rawdata!$A$2:$A$3638=transformed_data!$A116)*(rawdata!$B$2:$B$3638="Total Marketable")))</f>
        <v>1307900.4068500996</v>
      </c>
      <c r="F116" s="2" cm="1">
        <f t="array" ref="F116">_xlfn._xlws.FILTER(rawdata!$F$2:$F$3638,(rawdata!$A$2:$A$3638=transformed_data!$A116)*(rawdata!$B$2:$B$3638="Total Nonmarketable"))</f>
        <v>5507056.4496055199</v>
      </c>
      <c r="G116" s="2" cm="1">
        <f t="array" ref="G116">_xlfn._xlws.FILTER(rawdata!$D$2:$D$3638,(rawdata!$A$2:$A$3638=transformed_data!$A116)*(rawdata!$B$2:$B$3638="Total Public Debt Outstanding"))</f>
        <v>13053681.0296888</v>
      </c>
      <c r="H116" s="2" cm="1">
        <f t="array" ref="H116">_xlfn._xlws.FILTER(rawdata!$E$2:$E$3638,(rawdata!$A$2:$A$3638=transformed_data!$A116)*(rawdata!$B$2:$B$3638="Total Public Debt Outstanding"))</f>
        <v>5098878.5069038402</v>
      </c>
      <c r="I116" s="2" cm="1">
        <f t="array" ref="I116">_xlfn._xlws.FILTER(rawdata!$F$2:$F$3638,(rawdata!$A$2:$A$3638=transformed_data!$A116)*(rawdata!$B$2:$B$3638="Total Public Debt Outstanding"))</f>
        <v>18152559.953105599</v>
      </c>
      <c r="K116" s="2"/>
      <c r="L116" s="2"/>
    </row>
    <row r="117" spans="1:12" x14ac:dyDescent="0.3">
      <c r="A117" s="1">
        <v>42155</v>
      </c>
      <c r="B117" s="2" cm="1">
        <f t="array" ref="B117">_xlfn._xlws.FILTER(rawdata!$F$2:$F$3638,(rawdata!$A$2:$A$3638=transformed_data!$A117)*(rawdata!$C$2:$C$3638=transformed_data!B$1))</f>
        <v>1446958.3382999999</v>
      </c>
      <c r="C117" s="2" cm="1">
        <f t="array" ref="C117">_xlfn._xlws.FILTER(rawdata!$F$2:$F$3638,(rawdata!$A$2:$A$3638=transformed_data!$A117)*(rawdata!$C$2:$C$3638=transformed_data!C$1))</f>
        <v>8264634.7446999997</v>
      </c>
      <c r="D117" s="2" cm="1">
        <f t="array" ref="D117">_xlfn._xlws.FILTER(rawdata!$F$2:$F$3638,(rawdata!$A$2:$A$3638=transformed_data!$A117)*(rawdata!$C$2:$C$3638=transformed_data!D$1))</f>
        <v>1637007.6939999999</v>
      </c>
      <c r="E117" s="2" cm="1">
        <f t="array" ref="E117">SUM(-B117:D117,_xlfn._xlws.FILTER(rawdata!$F$2:$F$3638,(rawdata!$A$2:$A$3638=transformed_data!$A117)*(rawdata!$B$2:$B$3638="Total Marketable")))</f>
        <v>1339417.7084650993</v>
      </c>
      <c r="F117" s="2" cm="1">
        <f t="array" ref="F117">_xlfn._xlws.FILTER(rawdata!$F$2:$F$3638,(rawdata!$A$2:$A$3638=transformed_data!$A117)*(rawdata!$B$2:$B$3638="Total Nonmarketable"))</f>
        <v>5464833.3538040901</v>
      </c>
      <c r="G117" s="2" cm="1">
        <f t="array" ref="G117">_xlfn._xlws.FILTER(rawdata!$D$2:$D$3638,(rawdata!$A$2:$A$3638=transformed_data!$A117)*(rawdata!$B$2:$B$3638="Total Public Debt Outstanding"))</f>
        <v>13052706.3904355</v>
      </c>
      <c r="H117" s="2" cm="1">
        <f t="array" ref="H117">_xlfn._xlws.FILTER(rawdata!$E$2:$E$3638,(rawdata!$A$2:$A$3638=transformed_data!$A117)*(rawdata!$B$2:$B$3638="Total Public Debt Outstanding"))</f>
        <v>5100145.2405832699</v>
      </c>
      <c r="I117" s="2" cm="1">
        <f t="array" ref="I117">_xlfn._xlws.FILTER(rawdata!$F$2:$F$3638,(rawdata!$A$2:$A$3638=transformed_data!$A117)*(rawdata!$B$2:$B$3638="Total Public Debt Outstanding"))</f>
        <v>18152851.839269198</v>
      </c>
      <c r="K117" s="2"/>
      <c r="L117" s="2"/>
    </row>
    <row r="118" spans="1:12" x14ac:dyDescent="0.3">
      <c r="A118" s="1">
        <v>42185</v>
      </c>
      <c r="B118" s="2" cm="1">
        <f t="array" ref="B118">_xlfn._xlws.FILTER(rawdata!$F$2:$F$3638,(rawdata!$A$2:$A$3638=transformed_data!$A118)*(rawdata!$C$2:$C$3638=transformed_data!B$1))</f>
        <v>1394991.4998999999</v>
      </c>
      <c r="C118" s="2" cm="1">
        <f t="array" ref="C118">_xlfn._xlws.FILTER(rawdata!$F$2:$F$3638,(rawdata!$A$2:$A$3638=transformed_data!$A118)*(rawdata!$C$2:$C$3638=transformed_data!C$1))</f>
        <v>8305379.2065000003</v>
      </c>
      <c r="D118" s="2" cm="1">
        <f t="array" ref="D118">_xlfn._xlws.FILTER(rawdata!$F$2:$F$3638,(rawdata!$A$2:$A$3638=transformed_data!$A118)*(rawdata!$C$2:$C$3638=transformed_data!D$1))</f>
        <v>1650007.3415000001</v>
      </c>
      <c r="E118" s="2" cm="1">
        <f t="array" ref="E118">SUM(-B118:D118,_xlfn._xlws.FILTER(rawdata!$F$2:$F$3638,(rawdata!$A$2:$A$3638=transformed_data!$A118)*(rawdata!$B$2:$B$3638="Total Marketable")))</f>
        <v>1360715.8690801021</v>
      </c>
      <c r="F118" s="2" cm="1">
        <f t="array" ref="F118">_xlfn._xlws.FILTER(rawdata!$F$2:$F$3638,(rawdata!$A$2:$A$3638=transformed_data!$A118)*(rawdata!$B$2:$B$3638="Total Nonmarketable"))</f>
        <v>5440904.2605422502</v>
      </c>
      <c r="G118" s="2" cm="1">
        <f t="array" ref="G118">_xlfn._xlws.FILTER(rawdata!$D$2:$D$3638,(rawdata!$A$2:$A$3638=transformed_data!$A118)*(rawdata!$B$2:$B$3638="Total Public Debt Outstanding"))</f>
        <v>13076413.927094501</v>
      </c>
      <c r="H118" s="2" cm="1">
        <f t="array" ref="H118">_xlfn._xlws.FILTER(rawdata!$E$2:$E$3638,(rawdata!$A$2:$A$3638=transformed_data!$A118)*(rawdata!$B$2:$B$3638="Total Public Debt Outstanding"))</f>
        <v>5075583.42108298</v>
      </c>
      <c r="I118" s="2" cm="1">
        <f t="array" ref="I118">_xlfn._xlws.FILTER(rawdata!$F$2:$F$3638,(rawdata!$A$2:$A$3638=transformed_data!$A118)*(rawdata!$B$2:$B$3638="Total Public Debt Outstanding"))</f>
        <v>18151998.177522399</v>
      </c>
      <c r="K118" s="2"/>
      <c r="L118" s="2"/>
    </row>
    <row r="119" spans="1:12" x14ac:dyDescent="0.3">
      <c r="A119" s="1">
        <v>42216</v>
      </c>
      <c r="B119" s="2" cm="1">
        <f t="array" ref="B119">_xlfn._xlws.FILTER(rawdata!$F$2:$F$3638,(rawdata!$A$2:$A$3638=transformed_data!$A119)*(rawdata!$C$2:$C$3638=transformed_data!B$1))</f>
        <v>1439988.7150000001</v>
      </c>
      <c r="C119" s="2" cm="1">
        <f t="array" ref="C119">_xlfn._xlws.FILTER(rawdata!$F$2:$F$3638,(rawdata!$A$2:$A$3638=transformed_data!$A119)*(rawdata!$C$2:$C$3638=transformed_data!C$1))</f>
        <v>8335145.2591000004</v>
      </c>
      <c r="D119" s="2" cm="1">
        <f t="array" ref="D119">_xlfn._xlws.FILTER(rawdata!$F$2:$F$3638,(rawdata!$A$2:$A$3638=transformed_data!$A119)*(rawdata!$C$2:$C$3638=transformed_data!D$1))</f>
        <v>1663007.3256000001</v>
      </c>
      <c r="E119" s="2" cm="1">
        <f t="array" ref="E119">SUM(-B119:D119,_xlfn._xlws.FILTER(rawdata!$F$2:$F$3638,(rawdata!$A$2:$A$3638=transformed_data!$A119)*(rawdata!$B$2:$B$3638="Total Marketable")))</f>
        <v>1375290.321536798</v>
      </c>
      <c r="F119" s="2" cm="1">
        <f t="array" ref="F119">_xlfn._xlws.FILTER(rawdata!$F$2:$F$3638,(rawdata!$A$2:$A$3638=transformed_data!$A119)*(rawdata!$B$2:$B$3638="Total Nonmarketable"))</f>
        <v>5337890.9204244297</v>
      </c>
      <c r="G119" s="2" cm="1">
        <f t="array" ref="G119">_xlfn._xlws.FILTER(rawdata!$D$2:$D$3638,(rawdata!$A$2:$A$3638=transformed_data!$A119)*(rawdata!$B$2:$B$3638="Total Public Debt Outstanding"))</f>
        <v>13135044.915571</v>
      </c>
      <c r="H119" s="2" cm="1">
        <f t="array" ref="H119">_xlfn._xlws.FILTER(rawdata!$E$2:$E$3638,(rawdata!$A$2:$A$3638=transformed_data!$A119)*(rawdata!$B$2:$B$3638="Total Public Debt Outstanding"))</f>
        <v>5016277.62609025</v>
      </c>
      <c r="I119" s="2" cm="1">
        <f t="array" ref="I119">_xlfn._xlws.FILTER(rawdata!$F$2:$F$3638,(rawdata!$A$2:$A$3638=transformed_data!$A119)*(rawdata!$B$2:$B$3638="Total Public Debt Outstanding"))</f>
        <v>18151322.541661199</v>
      </c>
      <c r="K119" s="2"/>
      <c r="L119" s="2"/>
    </row>
    <row r="120" spans="1:12" x14ac:dyDescent="0.3">
      <c r="A120" s="1">
        <v>42247</v>
      </c>
      <c r="B120" s="2" cm="1">
        <f t="array" ref="B120">_xlfn._xlws.FILTER(rawdata!$F$2:$F$3638,(rawdata!$A$2:$A$3638=transformed_data!$A120)*(rawdata!$C$2:$C$3638=transformed_data!B$1))</f>
        <v>1423975.0643</v>
      </c>
      <c r="C120" s="2" cm="1">
        <f t="array" ref="C120">_xlfn._xlws.FILTER(rawdata!$F$2:$F$3638,(rawdata!$A$2:$A$3638=transformed_data!$A120)*(rawdata!$C$2:$C$3638=transformed_data!C$1))</f>
        <v>8338758.6069</v>
      </c>
      <c r="D120" s="2" cm="1">
        <f t="array" ref="D120">_xlfn._xlws.FILTER(rawdata!$F$2:$F$3638,(rawdata!$A$2:$A$3638=transformed_data!$A120)*(rawdata!$C$2:$C$3638=transformed_data!D$1))</f>
        <v>1675306.0414</v>
      </c>
      <c r="E120" s="2" cm="1">
        <f t="array" ref="E120">SUM(-B120:D120,_xlfn._xlws.FILTER(rawdata!$F$2:$F$3638,(rawdata!$A$2:$A$3638=transformed_data!$A120)*(rawdata!$B$2:$B$3638="Total Marketable")))</f>
        <v>1408509.0077349003</v>
      </c>
      <c r="F120" s="2" cm="1">
        <f t="array" ref="F120">_xlfn._xlws.FILTER(rawdata!$F$2:$F$3638,(rawdata!$A$2:$A$3638=transformed_data!$A120)*(rawdata!$B$2:$B$3638="Total Nonmarketable"))</f>
        <v>5304600.78439127</v>
      </c>
      <c r="G120" s="2" cm="1">
        <f t="array" ref="G120">_xlfn._xlws.FILTER(rawdata!$D$2:$D$3638,(rawdata!$A$2:$A$3638=transformed_data!$A120)*(rawdata!$B$2:$B$3638="Total Public Debt Outstanding"))</f>
        <v>13119752.718787599</v>
      </c>
      <c r="H120" s="2" cm="1">
        <f t="array" ref="H120">_xlfn._xlws.FILTER(rawdata!$E$2:$E$3638,(rawdata!$A$2:$A$3638=transformed_data!$A120)*(rawdata!$B$2:$B$3638="Total Public Debt Outstanding"))</f>
        <v>5031396.7859385703</v>
      </c>
      <c r="I120" s="2" cm="1">
        <f t="array" ref="I120">_xlfn._xlws.FILTER(rawdata!$F$2:$F$3638,(rawdata!$A$2:$A$3638=transformed_data!$A120)*(rawdata!$B$2:$B$3638="Total Public Debt Outstanding"))</f>
        <v>18151149.504726101</v>
      </c>
      <c r="K120" s="2"/>
      <c r="L120" s="2"/>
    </row>
    <row r="121" spans="1:12" x14ac:dyDescent="0.3">
      <c r="A121" s="1">
        <v>42277</v>
      </c>
      <c r="B121" s="2" cm="1">
        <f t="array" ref="B121">_xlfn._xlws.FILTER(rawdata!$F$2:$F$3638,(rawdata!$A$2:$A$3638=transformed_data!$A121)*(rawdata!$C$2:$C$3638=transformed_data!B$1))</f>
        <v>1357997.0004</v>
      </c>
      <c r="C121" s="2" cm="1">
        <f t="array" ref="C121">_xlfn._xlws.FILTER(rawdata!$F$2:$F$3638,(rawdata!$A$2:$A$3638=transformed_data!$A121)*(rawdata!$C$2:$C$3638=transformed_data!C$1))</f>
        <v>8372656.8760000002</v>
      </c>
      <c r="D121" s="2" cm="1">
        <f t="array" ref="D121">_xlfn._xlws.FILTER(rawdata!$F$2:$F$3638,(rawdata!$A$2:$A$3638=transformed_data!$A121)*(rawdata!$C$2:$C$3638=transformed_data!D$1))</f>
        <v>1688305.2059500001</v>
      </c>
      <c r="E121" s="2" cm="1">
        <f t="array" ref="E121">SUM(-B121:D121,_xlfn._xlws.FILTER(rawdata!$F$2:$F$3638,(rawdata!$A$2:$A$3638=transformed_data!$A121)*(rawdata!$B$2:$B$3638="Total Marketable")))</f>
        <v>1434791.7035198007</v>
      </c>
      <c r="F121" s="2" cm="1">
        <f t="array" ref="F121">_xlfn._xlws.FILTER(rawdata!$F$2:$F$3638,(rawdata!$A$2:$A$3638=transformed_data!$A121)*(rawdata!$B$2:$B$3638="Total Nonmarketable"))</f>
        <v>5296866.5032686703</v>
      </c>
      <c r="G121" s="2" cm="1">
        <f t="array" ref="G121">_xlfn._xlws.FILTER(rawdata!$D$2:$D$3638,(rawdata!$A$2:$A$3638=transformed_data!$A121)*(rawdata!$B$2:$B$3638="Total Public Debt Outstanding"))</f>
        <v>13123847.1631286</v>
      </c>
      <c r="H121" s="2" cm="1">
        <f t="array" ref="H121">_xlfn._xlws.FILTER(rawdata!$E$2:$E$3638,(rawdata!$A$2:$A$3638=transformed_data!$A121)*(rawdata!$B$2:$B$3638="Total Public Debt Outstanding"))</f>
        <v>5026770.4681365201</v>
      </c>
      <c r="I121" s="2" cm="1">
        <f t="array" ref="I121">_xlfn._xlws.FILTER(rawdata!$F$2:$F$3638,(rawdata!$A$2:$A$3638=transformed_data!$A121)*(rawdata!$B$2:$B$3638="Total Public Debt Outstanding"))</f>
        <v>18150618.2891385</v>
      </c>
      <c r="K121" s="2"/>
      <c r="L121" s="2"/>
    </row>
    <row r="122" spans="1:12" x14ac:dyDescent="0.3">
      <c r="A122" s="1">
        <v>42308</v>
      </c>
      <c r="B122" s="2" cm="1">
        <f t="array" ref="B122">_xlfn._xlws.FILTER(rawdata!$F$2:$F$3638,(rawdata!$A$2:$A$3638=transformed_data!$A122)*(rawdata!$C$2:$C$3638=transformed_data!B$1))</f>
        <v>1272997.9737</v>
      </c>
      <c r="C122" s="2" cm="1">
        <f t="array" ref="C122">_xlfn._xlws.FILTER(rawdata!$F$2:$F$3638,(rawdata!$A$2:$A$3638=transformed_data!$A122)*(rawdata!$C$2:$C$3638=transformed_data!C$1))</f>
        <v>8385657.2973999996</v>
      </c>
      <c r="D122" s="2" cm="1">
        <f t="array" ref="D122">_xlfn._xlws.FILTER(rawdata!$F$2:$F$3638,(rawdata!$A$2:$A$3638=transformed_data!$A122)*(rawdata!$C$2:$C$3638=transformed_data!D$1))</f>
        <v>1701304.8806499999</v>
      </c>
      <c r="E122" s="2" cm="1">
        <f t="array" ref="E122">SUM(-B122:D122,_xlfn._xlws.FILTER(rawdata!$F$2:$F$3638,(rawdata!$A$2:$A$3638=transformed_data!$A122)*(rawdata!$B$2:$B$3638="Total Marketable")))</f>
        <v>1443058.5836893991</v>
      </c>
      <c r="F122" s="2" cm="1">
        <f t="array" ref="F122">_xlfn._xlws.FILTER(rawdata!$F$2:$F$3638,(rawdata!$A$2:$A$3638=transformed_data!$A122)*(rawdata!$B$2:$B$3638="Total Nonmarketable"))</f>
        <v>5349962.9403080298</v>
      </c>
      <c r="G122" s="2" cm="1">
        <f t="array" ref="G122">_xlfn._xlws.FILTER(rawdata!$D$2:$D$3638,(rawdata!$A$2:$A$3638=transformed_data!$A122)*(rawdata!$B$2:$B$3638="Total Public Debt Outstanding"))</f>
        <v>13060656.864967501</v>
      </c>
      <c r="H122" s="2" cm="1">
        <f t="array" ref="H122">_xlfn._xlws.FILTER(rawdata!$E$2:$E$3638,(rawdata!$A$2:$A$3638=transformed_data!$A122)*(rawdata!$B$2:$B$3638="Total Public Debt Outstanding"))</f>
        <v>5092324.8107799897</v>
      </c>
      <c r="I122" s="2" cm="1">
        <f t="array" ref="I122">_xlfn._xlws.FILTER(rawdata!$F$2:$F$3638,(rawdata!$A$2:$A$3638=transformed_data!$A122)*(rawdata!$B$2:$B$3638="Total Public Debt Outstanding"))</f>
        <v>18152981.675747499</v>
      </c>
      <c r="K122" s="2"/>
      <c r="L122" s="2"/>
    </row>
    <row r="123" spans="1:12" x14ac:dyDescent="0.3">
      <c r="A123" s="1">
        <v>42338</v>
      </c>
      <c r="B123" s="2" cm="1">
        <f t="array" ref="B123">_xlfn._xlws.FILTER(rawdata!$F$2:$F$3638,(rawdata!$A$2:$A$3638=transformed_data!$A123)*(rawdata!$C$2:$C$3638=transformed_data!B$1))</f>
        <v>1505974.838</v>
      </c>
      <c r="C123" s="2" cm="1">
        <f t="array" ref="C123">_xlfn._xlws.FILTER(rawdata!$F$2:$F$3638,(rawdata!$A$2:$A$3638=transformed_data!$A123)*(rawdata!$C$2:$C$3638=transformed_data!C$1))</f>
        <v>8422584.7158000004</v>
      </c>
      <c r="D123" s="2" cm="1">
        <f t="array" ref="D123">_xlfn._xlws.FILTER(rawdata!$F$2:$F$3638,(rawdata!$A$2:$A$3638=transformed_data!$A123)*(rawdata!$C$2:$C$3638=transformed_data!D$1))</f>
        <v>1711802.5014500001</v>
      </c>
      <c r="E123" s="2" cm="1">
        <f t="array" ref="E123">SUM(-B123:D123,_xlfn._xlws.FILTER(rawdata!$F$2:$F$3638,(rawdata!$A$2:$A$3638=transformed_data!$A123)*(rawdata!$B$2:$B$3638="Total Marketable")))</f>
        <v>1482280.8929642998</v>
      </c>
      <c r="F123" s="2" cm="1">
        <f t="array" ref="F123">_xlfn._xlws.FILTER(rawdata!$F$2:$F$3638,(rawdata!$A$2:$A$3638=transformed_data!$A123)*(rawdata!$B$2:$B$3638="Total Nonmarketable"))</f>
        <v>5704680.0291322302</v>
      </c>
      <c r="G123" s="2" cm="1">
        <f t="array" ref="G123">_xlfn._xlws.FILTER(rawdata!$D$2:$D$3638,(rawdata!$A$2:$A$3638=transformed_data!$A123)*(rawdata!$B$2:$B$3638="Total Public Debt Outstanding"))</f>
        <v>13588989.3584866</v>
      </c>
      <c r="H123" s="2" cm="1">
        <f t="array" ref="H123">_xlfn._xlws.FILTER(rawdata!$E$2:$E$3638,(rawdata!$A$2:$A$3638=transformed_data!$A123)*(rawdata!$B$2:$B$3638="Total Public Debt Outstanding"))</f>
        <v>5238334.41885914</v>
      </c>
      <c r="I123" s="2" cm="1">
        <f t="array" ref="I123">_xlfn._xlws.FILTER(rawdata!$F$2:$F$3638,(rawdata!$A$2:$A$3638=transformed_data!$A123)*(rawdata!$B$2:$B$3638="Total Public Debt Outstanding"))</f>
        <v>18827322.977346499</v>
      </c>
      <c r="K123" s="2"/>
      <c r="L123" s="2"/>
    </row>
    <row r="124" spans="1:12" x14ac:dyDescent="0.3">
      <c r="A124" s="1">
        <v>42369</v>
      </c>
      <c r="B124" s="2" cm="1">
        <f t="array" ref="B124">_xlfn._xlws.FILTER(rawdata!$F$2:$F$3638,(rawdata!$A$2:$A$3638=transformed_data!$A124)*(rawdata!$C$2:$C$3638=transformed_data!B$1))</f>
        <v>1513957.2205999999</v>
      </c>
      <c r="C124" s="2" cm="1">
        <f t="array" ref="C124">_xlfn._xlws.FILTER(rawdata!$F$2:$F$3638,(rawdata!$A$2:$A$3638=transformed_data!$A124)*(rawdata!$C$2:$C$3638=transformed_data!C$1))</f>
        <v>8456830.9907000009</v>
      </c>
      <c r="D124" s="2" cm="1">
        <f t="array" ref="D124">_xlfn._xlws.FILTER(rawdata!$F$2:$F$3638,(rawdata!$A$2:$A$3638=transformed_data!$A124)*(rawdata!$C$2:$C$3638=transformed_data!D$1))</f>
        <v>1724802.1682500001</v>
      </c>
      <c r="E124" s="2" cm="1">
        <f t="array" ref="E124">SUM(-B124:D124,_xlfn._xlws.FILTER(rawdata!$F$2:$F$3638,(rawdata!$A$2:$A$3638=transformed_data!$A124)*(rawdata!$B$2:$B$3638="Total Marketable")))</f>
        <v>1510965.0118934996</v>
      </c>
      <c r="F124" s="2" cm="1">
        <f t="array" ref="F124">_xlfn._xlws.FILTER(rawdata!$F$2:$F$3638,(rawdata!$A$2:$A$3638=transformed_data!$A124)*(rawdata!$B$2:$B$3638="Total Nonmarketable"))</f>
        <v>5715623.6068667797</v>
      </c>
      <c r="G124" s="2" cm="1">
        <f t="array" ref="G124">_xlfn._xlws.FILTER(rawdata!$D$2:$D$3638,(rawdata!$A$2:$A$3638=transformed_data!$A124)*(rawdata!$B$2:$B$3638="Total Public Debt Outstanding"))</f>
        <v>13672522.261376901</v>
      </c>
      <c r="H124" s="2" cm="1">
        <f t="array" ref="H124">_xlfn._xlws.FILTER(rawdata!$E$2:$E$3638,(rawdata!$A$2:$A$3638=transformed_data!$A124)*(rawdata!$B$2:$B$3638="Total Public Debt Outstanding"))</f>
        <v>5249656.7372589102</v>
      </c>
      <c r="I124" s="2" cm="1">
        <f t="array" ref="I124">_xlfn._xlws.FILTER(rawdata!$F$2:$F$3638,(rawdata!$A$2:$A$3638=transformed_data!$A124)*(rawdata!$B$2:$B$3638="Total Public Debt Outstanding"))</f>
        <v>18922178.998310201</v>
      </c>
      <c r="K124" s="2"/>
      <c r="L124" s="2"/>
    </row>
    <row r="125" spans="1:12" x14ac:dyDescent="0.3">
      <c r="A125" s="1">
        <v>42400</v>
      </c>
      <c r="B125" s="2" cm="1">
        <f t="array" ref="B125">_xlfn._xlws.FILTER(rawdata!$F$2:$F$3638,(rawdata!$A$2:$A$3638=transformed_data!$A125)*(rawdata!$C$2:$C$3638=transformed_data!B$1))</f>
        <v>1477933.7185</v>
      </c>
      <c r="C125" s="2" cm="1">
        <f t="array" ref="C125">_xlfn._xlws.FILTER(rawdata!$F$2:$F$3638,(rawdata!$A$2:$A$3638=transformed_data!$A125)*(rawdata!$C$2:$C$3638=transformed_data!C$1))</f>
        <v>8469829.3416000009</v>
      </c>
      <c r="D125" s="2" cm="1">
        <f t="array" ref="D125">_xlfn._xlws.FILTER(rawdata!$F$2:$F$3638,(rawdata!$A$2:$A$3638=transformed_data!$A125)*(rawdata!$C$2:$C$3638=transformed_data!D$1))</f>
        <v>1737796.9538499999</v>
      </c>
      <c r="E125" s="2" cm="1">
        <f t="array" ref="E125">SUM(-B125:D125,_xlfn._xlws.FILTER(rawdata!$F$2:$F$3638,(rawdata!$A$2:$A$3638=transformed_data!$A125)*(rawdata!$B$2:$B$3638="Total Marketable")))</f>
        <v>1503399.1317466013</v>
      </c>
      <c r="F125" s="2" cm="1">
        <f t="array" ref="F125">_xlfn._xlws.FILTER(rawdata!$F$2:$F$3638,(rawdata!$A$2:$A$3638=transformed_data!$A125)*(rawdata!$B$2:$B$3638="Total Nonmarketable"))</f>
        <v>5823868.6136396797</v>
      </c>
      <c r="G125" s="2" cm="1">
        <f t="array" ref="G125">_xlfn._xlws.FILTER(rawdata!$D$2:$D$3638,(rawdata!$A$2:$A$3638=transformed_data!$A125)*(rawdata!$B$2:$B$3638="Total Public Debt Outstanding"))</f>
        <v>13657155.193714</v>
      </c>
      <c r="H125" s="2" cm="1">
        <f t="array" ref="H125">_xlfn._xlws.FILTER(rawdata!$E$2:$E$3638,(rawdata!$A$2:$A$3638=transformed_data!$A125)*(rawdata!$B$2:$B$3638="Total Public Debt Outstanding"))</f>
        <v>5355672.5002814</v>
      </c>
      <c r="I125" s="2" cm="1">
        <f t="array" ref="I125">_xlfn._xlws.FILTER(rawdata!$F$2:$F$3638,(rawdata!$A$2:$A$3638=transformed_data!$A125)*(rawdata!$B$2:$B$3638="Total Public Debt Outstanding"))</f>
        <v>19012827.7593363</v>
      </c>
      <c r="K125" s="2"/>
      <c r="L125" s="2"/>
    </row>
    <row r="126" spans="1:12" x14ac:dyDescent="0.3">
      <c r="A126" s="1">
        <v>42429</v>
      </c>
      <c r="B126" s="2" cm="1">
        <f t="array" ref="B126">_xlfn._xlws.FILTER(rawdata!$F$2:$F$3638,(rawdata!$A$2:$A$3638=transformed_data!$A126)*(rawdata!$C$2:$C$3638=transformed_data!B$1))</f>
        <v>1551947.1177999999</v>
      </c>
      <c r="C126" s="2" cm="1">
        <f t="array" ref="C126">_xlfn._xlws.FILTER(rawdata!$F$2:$F$3638,(rawdata!$A$2:$A$3638=transformed_data!$A126)*(rawdata!$C$2:$C$3638=transformed_data!C$1))</f>
        <v>8515939.1089999992</v>
      </c>
      <c r="D126" s="2" cm="1">
        <f t="array" ref="D126">_xlfn._xlws.FILTER(rawdata!$F$2:$F$3638,(rawdata!$A$2:$A$3638=transformed_data!$A126)*(rawdata!$C$2:$C$3638=transformed_data!D$1))</f>
        <v>1748541.5285499999</v>
      </c>
      <c r="E126" s="2" cm="1">
        <f t="array" ref="E126">SUM(-B126:D126,_xlfn._xlws.FILTER(rawdata!$F$2:$F$3638,(rawdata!$A$2:$A$3638=transformed_data!$A126)*(rawdata!$B$2:$B$3638="Total Marketable")))</f>
        <v>1496303.0670193024</v>
      </c>
      <c r="F126" s="2" cm="1">
        <f t="array" ref="F126">_xlfn._xlws.FILTER(rawdata!$F$2:$F$3638,(rawdata!$A$2:$A$3638=transformed_data!$A126)*(rawdata!$B$2:$B$3638="Total Nonmarketable"))</f>
        <v>5812724.4144913396</v>
      </c>
      <c r="G126" s="2" cm="1">
        <f t="array" ref="G126">_xlfn._xlws.FILTER(rawdata!$D$2:$D$3638,(rawdata!$A$2:$A$3638=transformed_data!$A126)*(rawdata!$B$2:$B$3638="Total Public Debt Outstanding"))</f>
        <v>13785189.2275711</v>
      </c>
      <c r="H126" s="2" cm="1">
        <f t="array" ref="H126">_xlfn._xlws.FILTER(rawdata!$E$2:$E$3638,(rawdata!$A$2:$A$3638=transformed_data!$A126)*(rawdata!$B$2:$B$3638="Total Public Debt Outstanding"))</f>
        <v>5340266.0070756301</v>
      </c>
      <c r="I126" s="2" cm="1">
        <f t="array" ref="I126">_xlfn._xlws.FILTER(rawdata!$F$2:$F$3638,(rawdata!$A$2:$A$3638=transformed_data!$A126)*(rawdata!$B$2:$B$3638="Total Public Debt Outstanding"))</f>
        <v>19125455.236860599</v>
      </c>
      <c r="K126" s="2"/>
      <c r="L126" s="2"/>
    </row>
    <row r="127" spans="1:12" x14ac:dyDescent="0.3">
      <c r="A127" s="1">
        <v>42460</v>
      </c>
      <c r="B127" s="2" cm="1">
        <f t="array" ref="B127">_xlfn._xlws.FILTER(rawdata!$F$2:$F$3638,(rawdata!$A$2:$A$3638=transformed_data!$A127)*(rawdata!$C$2:$C$3638=transformed_data!B$1))</f>
        <v>1617959.5922999999</v>
      </c>
      <c r="C127" s="2" cm="1">
        <f t="array" ref="C127">_xlfn._xlws.FILTER(rawdata!$F$2:$F$3638,(rawdata!$A$2:$A$3638=transformed_data!$A127)*(rawdata!$C$2:$C$3638=transformed_data!C$1))</f>
        <v>8543199.6816000007</v>
      </c>
      <c r="D127" s="2" cm="1">
        <f t="array" ref="D127">_xlfn._xlws.FILTER(rawdata!$F$2:$F$3638,(rawdata!$A$2:$A$3638=transformed_data!$A127)*(rawdata!$C$2:$C$3638=transformed_data!D$1))</f>
        <v>1760539.60255</v>
      </c>
      <c r="E127" s="2" cm="1">
        <f t="array" ref="E127">SUM(-B127:D127,_xlfn._xlws.FILTER(rawdata!$F$2:$F$3638,(rawdata!$A$2:$A$3638=transformed_data!$A127)*(rawdata!$B$2:$B$3638="Total Marketable")))</f>
        <v>1524441.4987367988</v>
      </c>
      <c r="F127" s="2" cm="1">
        <f t="array" ref="F127">_xlfn._xlws.FILTER(rawdata!$F$2:$F$3638,(rawdata!$A$2:$A$3638=transformed_data!$A127)*(rawdata!$B$2:$B$3638="Total Nonmarketable"))</f>
        <v>5818798.2588240998</v>
      </c>
      <c r="G127" s="2" cm="1">
        <f t="array" ref="G127">_xlfn._xlws.FILTER(rawdata!$D$2:$D$3638,(rawdata!$A$2:$A$3638=transformed_data!$A127)*(rawdata!$B$2:$B$3638="Total Public Debt Outstanding"))</f>
        <v>13924877.6533246</v>
      </c>
      <c r="H127" s="2" cm="1">
        <f t="array" ref="H127">_xlfn._xlws.FILTER(rawdata!$E$2:$E$3638,(rawdata!$A$2:$A$3638=transformed_data!$A127)*(rawdata!$B$2:$B$3638="Total Public Debt Outstanding"))</f>
        <v>5340060.9806862501</v>
      </c>
      <c r="I127" s="2" cm="1">
        <f t="array" ref="I127">_xlfn._xlws.FILTER(rawdata!$F$2:$F$3638,(rawdata!$A$2:$A$3638=transformed_data!$A127)*(rawdata!$B$2:$B$3638="Total Public Debt Outstanding"))</f>
        <v>19264938.6340109</v>
      </c>
      <c r="K127" s="2"/>
      <c r="L127" s="2"/>
    </row>
    <row r="128" spans="1:12" x14ac:dyDescent="0.3">
      <c r="A128" s="1">
        <v>42490</v>
      </c>
      <c r="B128" s="2" cm="1">
        <f t="array" ref="B128">_xlfn._xlws.FILTER(rawdata!$F$2:$F$3638,(rawdata!$A$2:$A$3638=transformed_data!$A128)*(rawdata!$C$2:$C$3638=transformed_data!B$1))</f>
        <v>1526955.9099000001</v>
      </c>
      <c r="C128" s="2" cm="1">
        <f t="array" ref="C128">_xlfn._xlws.FILTER(rawdata!$F$2:$F$3638,(rawdata!$A$2:$A$3638=transformed_data!$A128)*(rawdata!$C$2:$C$3638=transformed_data!C$1))</f>
        <v>8555483.2606999893</v>
      </c>
      <c r="D128" s="2" cm="1">
        <f t="array" ref="D128">_xlfn._xlws.FILTER(rawdata!$F$2:$F$3638,(rawdata!$A$2:$A$3638=transformed_data!$A128)*(rawdata!$C$2:$C$3638=transformed_data!D$1))</f>
        <v>1772617.9582499999</v>
      </c>
      <c r="E128" s="2" cm="1">
        <f t="array" ref="E128">SUM(-B128:D128,_xlfn._xlws.FILTER(rawdata!$F$2:$F$3638,(rawdata!$A$2:$A$3638=transformed_data!$A128)*(rawdata!$B$2:$B$3638="Total Marketable")))</f>
        <v>1500113.7067137118</v>
      </c>
      <c r="F128" s="2" cm="1">
        <f t="array" ref="F128">_xlfn._xlws.FILTER(rawdata!$F$2:$F$3638,(rawdata!$A$2:$A$3638=transformed_data!$A128)*(rawdata!$B$2:$B$3638="Total Nonmarketable"))</f>
        <v>5832216.6654195096</v>
      </c>
      <c r="G128" s="2" cm="1">
        <f t="array" ref="G128">_xlfn._xlws.FILTER(rawdata!$D$2:$D$3638,(rawdata!$A$2:$A$3638=transformed_data!$A128)*(rawdata!$B$2:$B$3638="Total Public Debt Outstanding"))</f>
        <v>13841194.750298901</v>
      </c>
      <c r="H128" s="2" cm="1">
        <f t="array" ref="H128">_xlfn._xlws.FILTER(rawdata!$E$2:$E$3638,(rawdata!$A$2:$A$3638=transformed_data!$A128)*(rawdata!$B$2:$B$3638="Total Public Debt Outstanding"))</f>
        <v>5346192.7506843396</v>
      </c>
      <c r="I128" s="2" cm="1">
        <f t="array" ref="I128">_xlfn._xlws.FILTER(rawdata!$F$2:$F$3638,(rawdata!$A$2:$A$3638=transformed_data!$A128)*(rawdata!$B$2:$B$3638="Total Public Debt Outstanding"))</f>
        <v>19187386.500983201</v>
      </c>
      <c r="K128" s="2"/>
      <c r="L128" s="2"/>
    </row>
    <row r="129" spans="1:12" x14ac:dyDescent="0.3">
      <c r="A129" s="1">
        <v>42521</v>
      </c>
      <c r="B129" s="2" cm="1">
        <f t="array" ref="B129">_xlfn._xlws.FILTER(rawdata!$F$2:$F$3638,(rawdata!$A$2:$A$3638=transformed_data!$A129)*(rawdata!$C$2:$C$3638=transformed_data!B$1))</f>
        <v>1523956.9109</v>
      </c>
      <c r="C129" s="2" cm="1">
        <f t="array" ref="C129">_xlfn._xlws.FILTER(rawdata!$F$2:$F$3638,(rawdata!$A$2:$A$3638=transformed_data!$A129)*(rawdata!$C$2:$C$3638=transformed_data!C$1))</f>
        <v>8587680.4291999992</v>
      </c>
      <c r="D129" s="2" cm="1">
        <f t="array" ref="D129">_xlfn._xlws.FILTER(rawdata!$F$2:$F$3638,(rawdata!$A$2:$A$3638=transformed_data!$A129)*(rawdata!$C$2:$C$3638=transformed_data!D$1))</f>
        <v>1772196.76565</v>
      </c>
      <c r="E129" s="2" cm="1">
        <f t="array" ref="E129">SUM(-B129:D129,_xlfn._xlws.FILTER(rawdata!$F$2:$F$3638,(rawdata!$A$2:$A$3638=transformed_data!$A129)*(rawdata!$B$2:$B$3638="Total Marketable")))</f>
        <v>1509698.2219357006</v>
      </c>
      <c r="F129" s="2" cm="1">
        <f t="array" ref="F129">_xlfn._xlws.FILTER(rawdata!$F$2:$F$3638,(rawdata!$A$2:$A$3638=transformed_data!$A129)*(rawdata!$B$2:$B$3638="Total Nonmarketable"))</f>
        <v>5871919.24916761</v>
      </c>
      <c r="G129" s="2" cm="1">
        <f t="array" ref="G129">_xlfn._xlws.FILTER(rawdata!$D$2:$D$3638,(rawdata!$A$2:$A$3638=transformed_data!$A129)*(rawdata!$B$2:$B$3638="Total Public Debt Outstanding"))</f>
        <v>13886302.643889301</v>
      </c>
      <c r="H129" s="2" cm="1">
        <f t="array" ref="H129">_xlfn._xlws.FILTER(rawdata!$E$2:$E$3638,(rawdata!$A$2:$A$3638=transformed_data!$A129)*(rawdata!$B$2:$B$3638="Total Public Debt Outstanding"))</f>
        <v>5379148.9329640698</v>
      </c>
      <c r="I129" s="2" cm="1">
        <f t="array" ref="I129">_xlfn._xlws.FILTER(rawdata!$F$2:$F$3638,(rawdata!$A$2:$A$3638=transformed_data!$A129)*(rawdata!$B$2:$B$3638="Total Public Debt Outstanding"))</f>
        <v>19265451.576853301</v>
      </c>
      <c r="K129" s="2"/>
      <c r="L129" s="2"/>
    </row>
    <row r="130" spans="1:12" x14ac:dyDescent="0.3">
      <c r="A130" s="1">
        <v>42551</v>
      </c>
      <c r="B130" s="2" cm="1">
        <f t="array" ref="B130">_xlfn._xlws.FILTER(rawdata!$F$2:$F$3638,(rawdata!$A$2:$A$3638=transformed_data!$A130)*(rawdata!$C$2:$C$3638=transformed_data!B$1))</f>
        <v>1507947.0490000001</v>
      </c>
      <c r="C130" s="2" cm="1">
        <f t="array" ref="C130">_xlfn._xlws.FILTER(rawdata!$F$2:$F$3638,(rawdata!$A$2:$A$3638=transformed_data!$A130)*(rawdata!$C$2:$C$3638=transformed_data!C$1))</f>
        <v>8606607.3399</v>
      </c>
      <c r="D130" s="2" cm="1">
        <f t="array" ref="D130">_xlfn._xlws.FILTER(rawdata!$F$2:$F$3638,(rawdata!$A$2:$A$3638=transformed_data!$A130)*(rawdata!$C$2:$C$3638=transformed_data!D$1))</f>
        <v>1784191.8012999999</v>
      </c>
      <c r="E130" s="2" cm="1">
        <f t="array" ref="E130">SUM(-B130:D130,_xlfn._xlws.FILTER(rawdata!$F$2:$F$3638,(rawdata!$A$2:$A$3638=transformed_data!$A130)*(rawdata!$B$2:$B$3638="Total Marketable")))</f>
        <v>1532049.7341538984</v>
      </c>
      <c r="F130" s="2" cm="1">
        <f t="array" ref="F130">_xlfn._xlws.FILTER(rawdata!$F$2:$F$3638,(rawdata!$A$2:$A$3638=transformed_data!$A130)*(rawdata!$B$2:$B$3638="Total Nonmarketable"))</f>
        <v>5950795.2161214603</v>
      </c>
      <c r="G130" s="2" cm="1">
        <f t="array" ref="G130">_xlfn._xlws.FILTER(rawdata!$D$2:$D$3638,(rawdata!$A$2:$A$3638=transformed_data!$A130)*(rawdata!$B$2:$B$3638="Total Public Debt Outstanding"))</f>
        <v>13932742.714223601</v>
      </c>
      <c r="H130" s="2" cm="1">
        <f t="array" ref="H130">_xlfn._xlws.FILTER(rawdata!$E$2:$E$3638,(rawdata!$A$2:$A$3638=transformed_data!$A130)*(rawdata!$B$2:$B$3638="Total Public Debt Outstanding"))</f>
        <v>5448848.4272517897</v>
      </c>
      <c r="I130" s="2" cm="1">
        <f t="array" ref="I130">_xlfn._xlws.FILTER(rawdata!$F$2:$F$3638,(rawdata!$A$2:$A$3638=transformed_data!$A130)*(rawdata!$B$2:$B$3638="Total Public Debt Outstanding"))</f>
        <v>19381591.1404754</v>
      </c>
      <c r="K130" s="2"/>
      <c r="L130" s="2"/>
    </row>
    <row r="131" spans="1:12" x14ac:dyDescent="0.3">
      <c r="A131" s="1">
        <v>42582</v>
      </c>
      <c r="B131" s="2" cm="1">
        <f t="array" ref="B131">_xlfn._xlws.FILTER(rawdata!$F$2:$F$3638,(rawdata!$A$2:$A$3638=transformed_data!$A131)*(rawdata!$C$2:$C$3638=transformed_data!B$1))</f>
        <v>1549932.3032</v>
      </c>
      <c r="C131" s="2" cm="1">
        <f t="array" ref="C131">_xlfn._xlws.FILTER(rawdata!$F$2:$F$3638,(rawdata!$A$2:$A$3638=transformed_data!$A131)*(rawdata!$C$2:$C$3638=transformed_data!C$1))</f>
        <v>8621472.2762999907</v>
      </c>
      <c r="D131" s="2" cm="1">
        <f t="array" ref="D131">_xlfn._xlws.FILTER(rawdata!$F$2:$F$3638,(rawdata!$A$2:$A$3638=transformed_data!$A131)*(rawdata!$C$2:$C$3638=transformed_data!D$1))</f>
        <v>1796971.3829000001</v>
      </c>
      <c r="E131" s="2" cm="1">
        <f t="array" ref="E131">SUM(-B131:D131,_xlfn._xlws.FILTER(rawdata!$F$2:$F$3638,(rawdata!$A$2:$A$3638=transformed_data!$A131)*(rawdata!$B$2:$B$3638="Total Marketable")))</f>
        <v>1525846.5239388105</v>
      </c>
      <c r="F131" s="2" cm="1">
        <f t="array" ref="F131">_xlfn._xlws.FILTER(rawdata!$F$2:$F$3638,(rawdata!$A$2:$A$3638=transformed_data!$A131)*(rawdata!$B$2:$B$3638="Total Nonmarketable"))</f>
        <v>5933471.8677890897</v>
      </c>
      <c r="G131" s="2" cm="1">
        <f t="array" ref="G131">_xlfn._xlws.FILTER(rawdata!$D$2:$D$3638,(rawdata!$A$2:$A$3638=transformed_data!$A131)*(rawdata!$B$2:$B$3638="Total Public Debt Outstanding"))</f>
        <v>13998219.6131726</v>
      </c>
      <c r="H131" s="2" cm="1">
        <f t="array" ref="H131">_xlfn._xlws.FILTER(rawdata!$E$2:$E$3638,(rawdata!$A$2:$A$3638=transformed_data!$A131)*(rawdata!$B$2:$B$3638="Total Public Debt Outstanding"))</f>
        <v>5429474.7409552401</v>
      </c>
      <c r="I131" s="2" cm="1">
        <f t="array" ref="I131">_xlfn._xlws.FILTER(rawdata!$F$2:$F$3638,(rawdata!$A$2:$A$3638=transformed_data!$A131)*(rawdata!$B$2:$B$3638="Total Public Debt Outstanding"))</f>
        <v>19427695.354127798</v>
      </c>
      <c r="K131" s="2"/>
      <c r="L131" s="2"/>
    </row>
    <row r="132" spans="1:12" x14ac:dyDescent="0.3">
      <c r="A132" s="1">
        <v>42613</v>
      </c>
      <c r="B132" s="2" cm="1">
        <f t="array" ref="B132">_xlfn._xlws.FILTER(rawdata!$F$2:$F$3638,(rawdata!$A$2:$A$3638=transformed_data!$A132)*(rawdata!$C$2:$C$3638=transformed_data!B$1))</f>
        <v>1632948.8173</v>
      </c>
      <c r="C132" s="2" cm="1">
        <f t="array" ref="C132">_xlfn._xlws.FILTER(rawdata!$F$2:$F$3638,(rawdata!$A$2:$A$3638=transformed_data!$A132)*(rawdata!$C$2:$C$3638=transformed_data!C$1))</f>
        <v>8619230.9175000004</v>
      </c>
      <c r="D132" s="2" cm="1">
        <f t="array" ref="D132">_xlfn._xlws.FILTER(rawdata!$F$2:$F$3638,(rawdata!$A$2:$A$3638=transformed_data!$A132)*(rawdata!$C$2:$C$3638=transformed_data!D$1))</f>
        <v>1813507.2034</v>
      </c>
      <c r="E132" s="2" cm="1">
        <f t="array" ref="E132">SUM(-B132:D132,_xlfn._xlws.FILTER(rawdata!$F$2:$F$3638,(rawdata!$A$2:$A$3638=transformed_data!$A132)*(rawdata!$B$2:$B$3638="Total Marketable")))</f>
        <v>1533384.3083464</v>
      </c>
      <c r="F132" s="2" cm="1">
        <f t="array" ref="F132">_xlfn._xlws.FILTER(rawdata!$F$2:$F$3638,(rawdata!$A$2:$A$3638=transformed_data!$A132)*(rawdata!$B$2:$B$3638="Total Nonmarketable"))</f>
        <v>5911224.5805937899</v>
      </c>
      <c r="G132" s="2" cm="1">
        <f t="array" ref="G132">_xlfn._xlws.FILTER(rawdata!$D$2:$D$3638,(rawdata!$A$2:$A$3638=transformed_data!$A132)*(rawdata!$B$2:$B$3638="Total Public Debt Outstanding"))</f>
        <v>14104114.025273699</v>
      </c>
      <c r="H132" s="2" cm="1">
        <f t="array" ref="H132">_xlfn._xlws.FILTER(rawdata!$E$2:$E$3638,(rawdata!$A$2:$A$3638=transformed_data!$A132)*(rawdata!$B$2:$B$3638="Total Public Debt Outstanding"))</f>
        <v>5406182.80186655</v>
      </c>
      <c r="I132" s="2" cm="1">
        <f t="array" ref="I132">_xlfn._xlws.FILTER(rawdata!$F$2:$F$3638,(rawdata!$A$2:$A$3638=transformed_data!$A132)*(rawdata!$B$2:$B$3638="Total Public Debt Outstanding"))</f>
        <v>19510295.827140201</v>
      </c>
      <c r="K132" s="2"/>
      <c r="L132" s="2"/>
    </row>
    <row r="133" spans="1:12" x14ac:dyDescent="0.3">
      <c r="A133" s="1">
        <v>42643</v>
      </c>
      <c r="B133" s="2" cm="1">
        <f t="array" ref="B133">_xlfn._xlws.FILTER(rawdata!$F$2:$F$3638,(rawdata!$A$2:$A$3638=transformed_data!$A133)*(rawdata!$C$2:$C$3638=transformed_data!B$1))</f>
        <v>1646964.0462</v>
      </c>
      <c r="C133" s="2" cm="1">
        <f t="array" ref="C133">_xlfn._xlws.FILTER(rawdata!$F$2:$F$3638,(rawdata!$A$2:$A$3638=transformed_data!$A133)*(rawdata!$C$2:$C$3638=transformed_data!C$1))</f>
        <v>8630992.4817999993</v>
      </c>
      <c r="D133" s="2" cm="1">
        <f t="array" ref="D133">_xlfn._xlws.FILTER(rawdata!$F$2:$F$3638,(rawdata!$A$2:$A$3638=transformed_data!$A133)*(rawdata!$C$2:$C$3638=transformed_data!D$1))</f>
        <v>1825507.0456999999</v>
      </c>
      <c r="E133" s="2" cm="1">
        <f t="array" ref="E133">SUM(-B133:D133,_xlfn._xlws.FILTER(rawdata!$F$2:$F$3638,(rawdata!$A$2:$A$3638=transformed_data!$A133)*(rawdata!$B$2:$B$3638="Total Marketable")))</f>
        <v>1557140.4094401002</v>
      </c>
      <c r="F133" s="2" cm="1">
        <f t="array" ref="F133">_xlfn._xlws.FILTER(rawdata!$F$2:$F$3638,(rawdata!$A$2:$A$3638=transformed_data!$A133)*(rawdata!$B$2:$B$3638="Total Nonmarketable"))</f>
        <v>5912840.6432441501</v>
      </c>
      <c r="G133" s="2" cm="1">
        <f t="array" ref="G133">_xlfn._xlws.FILTER(rawdata!$D$2:$D$3638,(rawdata!$A$2:$A$3638=transformed_data!$A133)*(rawdata!$B$2:$B$3638="Total Public Debt Outstanding"))</f>
        <v>14173424.153898099</v>
      </c>
      <c r="H133" s="2" cm="1">
        <f t="array" ref="H133">_xlfn._xlws.FILTER(rawdata!$E$2:$E$3638,(rawdata!$A$2:$A$3638=transformed_data!$A133)*(rawdata!$B$2:$B$3638="Total Public Debt Outstanding"))</f>
        <v>5400021.4724861104</v>
      </c>
      <c r="I133" s="2" cm="1">
        <f t="array" ref="I133">_xlfn._xlws.FILTER(rawdata!$F$2:$F$3638,(rawdata!$A$2:$A$3638=transformed_data!$A133)*(rawdata!$B$2:$B$3638="Total Public Debt Outstanding"))</f>
        <v>19573444.626384299</v>
      </c>
      <c r="K133" s="2"/>
      <c r="L133" s="2"/>
    </row>
    <row r="134" spans="1:12" x14ac:dyDescent="0.3">
      <c r="A134" s="1">
        <v>42674</v>
      </c>
      <c r="B134" s="2" cm="1">
        <f t="array" ref="B134">_xlfn._xlws.FILTER(rawdata!$F$2:$F$3638,(rawdata!$A$2:$A$3638=transformed_data!$A134)*(rawdata!$C$2:$C$3638=transformed_data!B$1))</f>
        <v>1752948.7932</v>
      </c>
      <c r="C134" s="2" cm="1">
        <f t="array" ref="C134">_xlfn._xlws.FILTER(rawdata!$F$2:$F$3638,(rawdata!$A$2:$A$3638=transformed_data!$A134)*(rawdata!$C$2:$C$3638=transformed_data!C$1))</f>
        <v>8641228.0458000004</v>
      </c>
      <c r="D134" s="2" cm="1">
        <f t="array" ref="D134">_xlfn._xlws.FILTER(rawdata!$F$2:$F$3638,(rawdata!$A$2:$A$3638=transformed_data!$A134)*(rawdata!$C$2:$C$3638=transformed_data!D$1))</f>
        <v>1837505.3466</v>
      </c>
      <c r="E134" s="2" cm="1">
        <f t="array" ref="E134">SUM(-B134:D134,_xlfn._xlws.FILTER(rawdata!$F$2:$F$3638,(rawdata!$A$2:$A$3638=transformed_data!$A134)*(rawdata!$B$2:$B$3638="Total Marketable")))</f>
        <v>1538372.8529759012</v>
      </c>
      <c r="F134" s="2" cm="1">
        <f t="array" ref="F134">_xlfn._xlws.FILTER(rawdata!$F$2:$F$3638,(rawdata!$A$2:$A$3638=transformed_data!$A134)*(rawdata!$B$2:$B$3638="Total Nonmarketable"))</f>
        <v>6035660.1837712303</v>
      </c>
      <c r="G134" s="2" cm="1">
        <f t="array" ref="G134">_xlfn._xlws.FILTER(rawdata!$D$2:$D$3638,(rawdata!$A$2:$A$3638=transformed_data!$A134)*(rawdata!$B$2:$B$3638="Total Public Debt Outstanding"))</f>
        <v>14286500.546096001</v>
      </c>
      <c r="H134" s="2" cm="1">
        <f t="array" ref="H134">_xlfn._xlws.FILTER(rawdata!$E$2:$E$3638,(rawdata!$A$2:$A$3638=transformed_data!$A134)*(rawdata!$B$2:$B$3638="Total Public Debt Outstanding"))</f>
        <v>5519214.6762511795</v>
      </c>
      <c r="I134" s="2" cm="1">
        <f t="array" ref="I134">_xlfn._xlws.FILTER(rawdata!$F$2:$F$3638,(rawdata!$A$2:$A$3638=transformed_data!$A134)*(rawdata!$B$2:$B$3638="Total Public Debt Outstanding"))</f>
        <v>19805715.2223472</v>
      </c>
      <c r="K134" s="2"/>
      <c r="L134" s="2"/>
    </row>
    <row r="135" spans="1:12" x14ac:dyDescent="0.3">
      <c r="A135" s="1">
        <v>42704</v>
      </c>
      <c r="B135" s="2" cm="1">
        <f t="array" ref="B135">_xlfn._xlws.FILTER(rawdata!$F$2:$F$3638,(rawdata!$A$2:$A$3638=transformed_data!$A135)*(rawdata!$C$2:$C$3638=transformed_data!B$1))</f>
        <v>1872954.4948</v>
      </c>
      <c r="C135" s="2" cm="1">
        <f t="array" ref="C135">_xlfn._xlws.FILTER(rawdata!$F$2:$F$3638,(rawdata!$A$2:$A$3638=transformed_data!$A135)*(rawdata!$C$2:$C$3638=transformed_data!C$1))</f>
        <v>8645042.6788999904</v>
      </c>
      <c r="D135" s="2" cm="1">
        <f t="array" ref="D135">_xlfn._xlws.FILTER(rawdata!$F$2:$F$3638,(rawdata!$A$2:$A$3638=transformed_data!$A135)*(rawdata!$C$2:$C$3638=transformed_data!D$1))</f>
        <v>1837001.5194000001</v>
      </c>
      <c r="E135" s="2" cm="1">
        <f t="array" ref="E135">SUM(-B135:D135,_xlfn._xlws.FILTER(rawdata!$F$2:$F$3638,(rawdata!$A$2:$A$3638=transformed_data!$A135)*(rawdata!$B$2:$B$3638="Total Marketable")))</f>
        <v>1566471.0608833097</v>
      </c>
      <c r="F135" s="2" cm="1">
        <f t="array" ref="F135">_xlfn._xlws.FILTER(rawdata!$F$2:$F$3638,(rawdata!$A$2:$A$3638=transformed_data!$A135)*(rawdata!$B$2:$B$3638="Total Nonmarketable"))</f>
        <v>6026594.9451072896</v>
      </c>
      <c r="G135" s="2" cm="1">
        <f t="array" ref="G135">_xlfn._xlws.FILTER(rawdata!$D$2:$D$3638,(rawdata!$A$2:$A$3638=transformed_data!$A135)*(rawdata!$B$2:$B$3638="Total Public Debt Outstanding"))</f>
        <v>14443700.1497031</v>
      </c>
      <c r="H135" s="2" cm="1">
        <f t="array" ref="H135">_xlfn._xlws.FILTER(rawdata!$E$2:$E$3638,(rawdata!$A$2:$A$3638=transformed_data!$A135)*(rawdata!$B$2:$B$3638="Total Public Debt Outstanding"))</f>
        <v>5504364.5493875602</v>
      </c>
      <c r="I135" s="2" cm="1">
        <f t="array" ref="I135">_xlfn._xlws.FILTER(rawdata!$F$2:$F$3638,(rawdata!$A$2:$A$3638=transformed_data!$A135)*(rawdata!$B$2:$B$3638="Total Public Debt Outstanding"))</f>
        <v>19948064.6990906</v>
      </c>
      <c r="K135" s="2"/>
      <c r="L135" s="2"/>
    </row>
    <row r="136" spans="1:12" x14ac:dyDescent="0.3">
      <c r="A136" s="1">
        <v>42735</v>
      </c>
      <c r="B136" s="2" cm="1">
        <f t="array" ref="B136">_xlfn._xlws.FILTER(rawdata!$F$2:$F$3638,(rawdata!$A$2:$A$3638=transformed_data!$A136)*(rawdata!$C$2:$C$3638=transformed_data!B$1))</f>
        <v>1817963.28</v>
      </c>
      <c r="C136" s="2" cm="1">
        <f t="array" ref="C136">_xlfn._xlws.FILTER(rawdata!$F$2:$F$3638,(rawdata!$A$2:$A$3638=transformed_data!$A136)*(rawdata!$C$2:$C$3638=transformed_data!C$1))</f>
        <v>8659017.5004999992</v>
      </c>
      <c r="D136" s="2" cm="1">
        <f t="array" ref="D136">_xlfn._xlws.FILTER(rawdata!$F$2:$F$3638,(rawdata!$A$2:$A$3638=transformed_data!$A136)*(rawdata!$C$2:$C$3638=transformed_data!D$1))</f>
        <v>1849001.3959999999</v>
      </c>
      <c r="E136" s="2" cm="1">
        <f t="array" ref="E136">SUM(-B136:D136,_xlfn._xlws.FILTER(rawdata!$F$2:$F$3638,(rawdata!$A$2:$A$3638=transformed_data!$A136)*(rawdata!$B$2:$B$3638="Total Marketable")))</f>
        <v>1595282.8259953018</v>
      </c>
      <c r="F136" s="2" cm="1">
        <f t="array" ref="F136">_xlfn._xlws.FILTER(rawdata!$F$2:$F$3638,(rawdata!$A$2:$A$3638=transformed_data!$A136)*(rawdata!$B$2:$B$3638="Total Nonmarketable"))</f>
        <v>6055561.71793589</v>
      </c>
      <c r="G136" s="2" cm="1">
        <f t="array" ref="G136">_xlfn._xlws.FILTER(rawdata!$D$2:$D$3638,(rawdata!$A$2:$A$3638=transformed_data!$A136)*(rawdata!$B$2:$B$3638="Total Public Debt Outstanding"))</f>
        <v>14434842.2903118</v>
      </c>
      <c r="H136" s="2" cm="1">
        <f t="array" ref="H136">_xlfn._xlws.FILTER(rawdata!$E$2:$E$3638,(rawdata!$A$2:$A$3638=transformed_data!$A136)*(rawdata!$B$2:$B$3638="Total Public Debt Outstanding"))</f>
        <v>5541985.4301194297</v>
      </c>
      <c r="I136" s="2" cm="1">
        <f t="array" ref="I136">_xlfn._xlws.FILTER(rawdata!$F$2:$F$3638,(rawdata!$A$2:$A$3638=transformed_data!$A136)*(rawdata!$B$2:$B$3638="Total Public Debt Outstanding"))</f>
        <v>19976826.720431201</v>
      </c>
      <c r="K136" s="2"/>
      <c r="L136" s="2"/>
    </row>
    <row r="137" spans="1:12" x14ac:dyDescent="0.3">
      <c r="A137" s="1">
        <v>42766</v>
      </c>
      <c r="B137" s="2" cm="1">
        <f t="array" ref="B137">_xlfn._xlws.FILTER(rawdata!$F$2:$F$3638,(rawdata!$A$2:$A$3638=transformed_data!$A137)*(rawdata!$C$2:$C$3638=transformed_data!B$1))</f>
        <v>1761978.8089999999</v>
      </c>
      <c r="C137" s="2" cm="1">
        <f t="array" ref="C137">_xlfn._xlws.FILTER(rawdata!$F$2:$F$3638,(rawdata!$A$2:$A$3638=transformed_data!$A137)*(rawdata!$C$2:$C$3638=transformed_data!C$1))</f>
        <v>8678480.2028000001</v>
      </c>
      <c r="D137" s="2" cm="1">
        <f t="array" ref="D137">_xlfn._xlws.FILTER(rawdata!$F$2:$F$3638,(rawdata!$A$2:$A$3638=transformed_data!$A137)*(rawdata!$C$2:$C$3638=transformed_data!D$1))</f>
        <v>1861666.1989</v>
      </c>
      <c r="E137" s="2" cm="1">
        <f t="array" ref="E137">SUM(-B137:D137,_xlfn._xlws.FILTER(rawdata!$F$2:$F$3638,(rawdata!$A$2:$A$3638=transformed_data!$A137)*(rawdata!$B$2:$B$3638="Total Marketable")))</f>
        <v>1561635.5332418997</v>
      </c>
      <c r="F137" s="2" cm="1">
        <f t="array" ref="F137">_xlfn._xlws.FILTER(rawdata!$F$2:$F$3638,(rawdata!$A$2:$A$3638=transformed_data!$A137)*(rawdata!$B$2:$B$3638="Total Nonmarketable"))</f>
        <v>6073500.5690555498</v>
      </c>
      <c r="G137" s="2" cm="1">
        <f t="array" ref="G137">_xlfn._xlws.FILTER(rawdata!$D$2:$D$3638,(rawdata!$A$2:$A$3638=transformed_data!$A137)*(rawdata!$B$2:$B$3638="Total Public Debt Outstanding"))</f>
        <v>14376138.8020289</v>
      </c>
      <c r="H137" s="2" cm="1">
        <f t="array" ref="H137">_xlfn._xlws.FILTER(rawdata!$E$2:$E$3638,(rawdata!$A$2:$A$3638=transformed_data!$A137)*(rawdata!$B$2:$B$3638="Total Public Debt Outstanding"))</f>
        <v>5561122.5109684803</v>
      </c>
      <c r="I137" s="2" cm="1">
        <f t="array" ref="I137">_xlfn._xlws.FILTER(rawdata!$F$2:$F$3638,(rawdata!$A$2:$A$3638=transformed_data!$A137)*(rawdata!$B$2:$B$3638="Total Public Debt Outstanding"))</f>
        <v>19937261.312997401</v>
      </c>
      <c r="K137" s="2"/>
      <c r="L137" s="2"/>
    </row>
    <row r="138" spans="1:12" x14ac:dyDescent="0.3">
      <c r="A138" s="1">
        <v>42794</v>
      </c>
      <c r="B138" s="2" cm="1">
        <f t="array" ref="B138">_xlfn._xlws.FILTER(rawdata!$F$2:$F$3638,(rawdata!$A$2:$A$3638=transformed_data!$A138)*(rawdata!$C$2:$C$3638=transformed_data!B$1))</f>
        <v>1752962.9443000001</v>
      </c>
      <c r="C138" s="2" cm="1">
        <f t="array" ref="C138">_xlfn._xlws.FILTER(rawdata!$F$2:$F$3638,(rawdata!$A$2:$A$3638=transformed_data!$A138)*(rawdata!$C$2:$C$3638=transformed_data!C$1))</f>
        <v>8684635.4244999904</v>
      </c>
      <c r="D138" s="2" cm="1">
        <f t="array" ref="D138">_xlfn._xlws.FILTER(rawdata!$F$2:$F$3638,(rawdata!$A$2:$A$3638=transformed_data!$A138)*(rawdata!$C$2:$C$3638=transformed_data!D$1))</f>
        <v>1878397.8816</v>
      </c>
      <c r="E138" s="2" cm="1">
        <f t="array" ref="E138">SUM(-B138:D138,_xlfn._xlws.FILTER(rawdata!$F$2:$F$3638,(rawdata!$A$2:$A$3638=transformed_data!$A138)*(rawdata!$B$2:$B$3638="Total Marketable")))</f>
        <v>1582930.4370589107</v>
      </c>
      <c r="F138" s="2" cm="1">
        <f t="array" ref="F138">_xlfn._xlws.FILTER(rawdata!$F$2:$F$3638,(rawdata!$A$2:$A$3638=transformed_data!$A138)*(rawdata!$B$2:$B$3638="Total Nonmarketable"))</f>
        <v>6060666.96340119</v>
      </c>
      <c r="G138" s="2" cm="1">
        <f t="array" ref="G138">_xlfn._xlws.FILTER(rawdata!$D$2:$D$3638,(rawdata!$A$2:$A$3638=transformed_data!$A138)*(rawdata!$B$2:$B$3638="Total Public Debt Outstanding"))</f>
        <v>14411380.9847071</v>
      </c>
      <c r="H138" s="2" cm="1">
        <f t="array" ref="H138">_xlfn._xlws.FILTER(rawdata!$E$2:$E$3638,(rawdata!$A$2:$A$3638=transformed_data!$A138)*(rawdata!$B$2:$B$3638="Total Public Debt Outstanding"))</f>
        <v>5548212.6661530398</v>
      </c>
      <c r="I138" s="2" cm="1">
        <f t="array" ref="I138">_xlfn._xlws.FILTER(rawdata!$F$2:$F$3638,(rawdata!$A$2:$A$3638=transformed_data!$A138)*(rawdata!$B$2:$B$3638="Total Public Debt Outstanding"))</f>
        <v>19959593.650860101</v>
      </c>
      <c r="K138" s="2"/>
      <c r="L138" s="2"/>
    </row>
    <row r="139" spans="1:12" x14ac:dyDescent="0.3">
      <c r="A139" s="1">
        <v>42825</v>
      </c>
      <c r="B139" s="2" cm="1">
        <f t="array" ref="B139">_xlfn._xlws.FILTER(rawdata!$F$2:$F$3638,(rawdata!$A$2:$A$3638=transformed_data!$A139)*(rawdata!$C$2:$C$3638=transformed_data!B$1))</f>
        <v>1756960.3962000001</v>
      </c>
      <c r="C139" s="2" cm="1">
        <f t="array" ref="C139">_xlfn._xlws.FILTER(rawdata!$F$2:$F$3638,(rawdata!$A$2:$A$3638=transformed_data!$A139)*(rawdata!$C$2:$C$3638=transformed_data!C$1))</f>
        <v>8702373.6252999995</v>
      </c>
      <c r="D139" s="2" cm="1">
        <f t="array" ref="D139">_xlfn._xlws.FILTER(rawdata!$F$2:$F$3638,(rawdata!$A$2:$A$3638=transformed_data!$A139)*(rawdata!$C$2:$C$3638=transformed_data!D$1))</f>
        <v>1890397.5338000001</v>
      </c>
      <c r="E139" s="2" cm="1">
        <f t="array" ref="E139">SUM(-B139:D139,_xlfn._xlws.FILTER(rawdata!$F$2:$F$3638,(rawdata!$A$2:$A$3638=transformed_data!$A139)*(rawdata!$B$2:$B$3638="Total Marketable")))</f>
        <v>1616938.0965638999</v>
      </c>
      <c r="F139" s="2" cm="1">
        <f t="array" ref="F139">_xlfn._xlws.FILTER(rawdata!$F$2:$F$3638,(rawdata!$A$2:$A$3638=transformed_data!$A139)*(rawdata!$B$2:$B$3638="Total Nonmarketable"))</f>
        <v>5879750.39845319</v>
      </c>
      <c r="G139" s="2" cm="1">
        <f t="array" ref="G139">_xlfn._xlws.FILTER(rawdata!$D$2:$D$3638,(rawdata!$A$2:$A$3638=transformed_data!$A139)*(rawdata!$B$2:$B$3638="Total Public Debt Outstanding"))</f>
        <v>14369681.936943199</v>
      </c>
      <c r="H139" s="2" cm="1">
        <f t="array" ref="H139">_xlfn._xlws.FILTER(rawdata!$E$2:$E$3638,(rawdata!$A$2:$A$3638=transformed_data!$A139)*(rawdata!$B$2:$B$3638="Total Public Debt Outstanding"))</f>
        <v>5476738.1133739604</v>
      </c>
      <c r="I139" s="2" cm="1">
        <f t="array" ref="I139">_xlfn._xlws.FILTER(rawdata!$F$2:$F$3638,(rawdata!$A$2:$A$3638=transformed_data!$A139)*(rawdata!$B$2:$B$3638="Total Public Debt Outstanding"))</f>
        <v>19846420.050317101</v>
      </c>
      <c r="K139" s="2"/>
      <c r="L139" s="2"/>
    </row>
    <row r="140" spans="1:12" x14ac:dyDescent="0.3">
      <c r="A140" s="1">
        <v>42855</v>
      </c>
      <c r="B140" s="2" cm="1">
        <f t="array" ref="B140">_xlfn._xlws.FILTER(rawdata!$F$2:$F$3638,(rawdata!$A$2:$A$3638=transformed_data!$A140)*(rawdata!$C$2:$C$3638=transformed_data!B$1))</f>
        <v>1741990.8498</v>
      </c>
      <c r="C140" s="2" cm="1">
        <f t="array" ref="C140">_xlfn._xlws.FILTER(rawdata!$F$2:$F$3638,(rawdata!$A$2:$A$3638=transformed_data!$A140)*(rawdata!$C$2:$C$3638=transformed_data!C$1))</f>
        <v>8716710.5761999991</v>
      </c>
      <c r="D140" s="2" cm="1">
        <f t="array" ref="D140">_xlfn._xlws.FILTER(rawdata!$F$2:$F$3638,(rawdata!$A$2:$A$3638=transformed_data!$A140)*(rawdata!$C$2:$C$3638=transformed_data!D$1))</f>
        <v>1902496.0869</v>
      </c>
      <c r="E140" s="2" cm="1">
        <f t="array" ref="E140">SUM(-B140:D140,_xlfn._xlws.FILTER(rawdata!$F$2:$F$3638,(rawdata!$A$2:$A$3638=transformed_data!$A140)*(rawdata!$B$2:$B$3638="Total Marketable")))</f>
        <v>1589148.6249986012</v>
      </c>
      <c r="F140" s="2" cm="1">
        <f t="array" ref="F140">_xlfn._xlws.FILTER(rawdata!$F$2:$F$3638,(rawdata!$A$2:$A$3638=transformed_data!$A140)*(rawdata!$B$2:$B$3638="Total Nonmarketable"))</f>
        <v>5895783.0533024296</v>
      </c>
      <c r="G140" s="2" cm="1">
        <f t="array" ref="G140">_xlfn._xlws.FILTER(rawdata!$D$2:$D$3638,(rawdata!$A$2:$A$3638=transformed_data!$A140)*(rawdata!$B$2:$B$3638="Total Public Debt Outstanding"))</f>
        <v>14293344.660028899</v>
      </c>
      <c r="H140" s="2" cm="1">
        <f t="array" ref="H140">_xlfn._xlws.FILTER(rawdata!$E$2:$E$3638,(rawdata!$A$2:$A$3638=transformed_data!$A140)*(rawdata!$B$2:$B$3638="Total Public Debt Outstanding"))</f>
        <v>5552784.5311721098</v>
      </c>
      <c r="I140" s="2" cm="1">
        <f t="array" ref="I140">_xlfn._xlws.FILTER(rawdata!$F$2:$F$3638,(rawdata!$A$2:$A$3638=transformed_data!$A140)*(rawdata!$B$2:$B$3638="Total Public Debt Outstanding"))</f>
        <v>19846129.191201001</v>
      </c>
      <c r="K140" s="2"/>
      <c r="L140" s="2"/>
    </row>
    <row r="141" spans="1:12" x14ac:dyDescent="0.3">
      <c r="A141" s="1">
        <v>42886</v>
      </c>
      <c r="B141" s="2" cm="1">
        <f t="array" ref="B141">_xlfn._xlws.FILTER(rawdata!$F$2:$F$3638,(rawdata!$A$2:$A$3638=transformed_data!$A141)*(rawdata!$C$2:$C$3638=transformed_data!B$1))</f>
        <v>1747958.689</v>
      </c>
      <c r="C141" s="2" cm="1">
        <f t="array" ref="C141">_xlfn._xlws.FILTER(rawdata!$F$2:$F$3638,(rawdata!$A$2:$A$3638=transformed_data!$A141)*(rawdata!$C$2:$C$3638=transformed_data!C$1))</f>
        <v>8735869.0550999995</v>
      </c>
      <c r="D141" s="2" cm="1">
        <f t="array" ref="D141">_xlfn._xlws.FILTER(rawdata!$F$2:$F$3638,(rawdata!$A$2:$A$3638=transformed_data!$A141)*(rawdata!$C$2:$C$3638=transformed_data!D$1))</f>
        <v>1906887.4027</v>
      </c>
      <c r="E141" s="2" cm="1">
        <f t="array" ref="E141">SUM(-B141:D141,_xlfn._xlws.FILTER(rawdata!$F$2:$F$3638,(rawdata!$A$2:$A$3638=transformed_data!$A141)*(rawdata!$B$2:$B$3638="Total Marketable")))</f>
        <v>1591938.613908302</v>
      </c>
      <c r="F141" s="2" cm="1">
        <f t="array" ref="F141">_xlfn._xlws.FILTER(rawdata!$F$2:$F$3638,(rawdata!$A$2:$A$3638=transformed_data!$A141)*(rawdata!$B$2:$B$3638="Total Nonmarketable"))</f>
        <v>5863288.1550271204</v>
      </c>
      <c r="G141" s="2" cm="1">
        <f t="array" ref="G141">_xlfn._xlws.FILTER(rawdata!$D$2:$D$3638,(rawdata!$A$2:$A$3638=transformed_data!$A141)*(rawdata!$B$2:$B$3638="Total Public Debt Outstanding"))</f>
        <v>14298976.495062299</v>
      </c>
      <c r="H141" s="2" cm="1">
        <f t="array" ref="H141">_xlfn._xlws.FILTER(rawdata!$E$2:$E$3638,(rawdata!$A$2:$A$3638=transformed_data!$A141)*(rawdata!$B$2:$B$3638="Total Public Debt Outstanding"))</f>
        <v>5546965.4206730798</v>
      </c>
      <c r="I141" s="2" cm="1">
        <f t="array" ref="I141">_xlfn._xlws.FILTER(rawdata!$F$2:$F$3638,(rawdata!$A$2:$A$3638=transformed_data!$A141)*(rawdata!$B$2:$B$3638="Total Public Debt Outstanding"))</f>
        <v>19845941.915735401</v>
      </c>
      <c r="K141" s="2"/>
      <c r="L141" s="2"/>
    </row>
    <row r="142" spans="1:12" x14ac:dyDescent="0.3">
      <c r="A142" s="1">
        <v>42916</v>
      </c>
      <c r="B142" s="2" cm="1">
        <f t="array" ref="B142">_xlfn._xlws.FILTER(rawdata!$F$2:$F$3638,(rawdata!$A$2:$A$3638=transformed_data!$A142)*(rawdata!$C$2:$C$3638=transformed_data!B$1))</f>
        <v>1717958.0643</v>
      </c>
      <c r="C142" s="2" cm="1">
        <f t="array" ref="C142">_xlfn._xlws.FILTER(rawdata!$F$2:$F$3638,(rawdata!$A$2:$A$3638=transformed_data!$A142)*(rawdata!$C$2:$C$3638=transformed_data!C$1))</f>
        <v>8758317.0138000008</v>
      </c>
      <c r="D142" s="2" cm="1">
        <f t="array" ref="D142">_xlfn._xlws.FILTER(rawdata!$F$2:$F$3638,(rawdata!$A$2:$A$3638=transformed_data!$A142)*(rawdata!$C$2:$C$3638=transformed_data!D$1))</f>
        <v>1918886.8992000001</v>
      </c>
      <c r="E142" s="2" cm="1">
        <f t="array" ref="E142">SUM(-B142:D142,_xlfn._xlws.FILTER(rawdata!$F$2:$F$3638,(rawdata!$A$2:$A$3638=transformed_data!$A142)*(rawdata!$B$2:$B$3638="Total Marketable")))</f>
        <v>1614254.9635710996</v>
      </c>
      <c r="F142" s="2" cm="1">
        <f t="array" ref="F142">_xlfn._xlws.FILTER(rawdata!$F$2:$F$3638,(rawdata!$A$2:$A$3638=transformed_data!$A142)*(rawdata!$B$2:$B$3638="Total Nonmarketable"))</f>
        <v>5835137.2443973096</v>
      </c>
      <c r="G142" s="2" cm="1">
        <f t="array" ref="G142">_xlfn._xlws.FILTER(rawdata!$D$2:$D$3638,(rawdata!$A$2:$A$3638=transformed_data!$A142)*(rawdata!$B$2:$B$3638="Total Public Debt Outstanding"))</f>
        <v>14366186.347182799</v>
      </c>
      <c r="H142" s="2" cm="1">
        <f t="array" ref="H142">_xlfn._xlws.FILTER(rawdata!$E$2:$E$3638,(rawdata!$A$2:$A$3638=transformed_data!$A142)*(rawdata!$B$2:$B$3638="Total Public Debt Outstanding"))</f>
        <v>5478367.83808563</v>
      </c>
      <c r="I142" s="2" cm="1">
        <f t="array" ref="I142">_xlfn._xlws.FILTER(rawdata!$F$2:$F$3638,(rawdata!$A$2:$A$3638=transformed_data!$A142)*(rawdata!$B$2:$B$3638="Total Public Debt Outstanding"))</f>
        <v>19844554.185268398</v>
      </c>
      <c r="K142" s="2"/>
      <c r="L142" s="2"/>
    </row>
    <row r="143" spans="1:12" x14ac:dyDescent="0.3">
      <c r="A143" s="1">
        <v>42947</v>
      </c>
      <c r="B143" s="2" cm="1">
        <f t="array" ref="B143">_xlfn._xlws.FILTER(rawdata!$F$2:$F$3638,(rawdata!$A$2:$A$3638=transformed_data!$A143)*(rawdata!$C$2:$C$3638=transformed_data!B$1))</f>
        <v>1757956.5041</v>
      </c>
      <c r="C143" s="2" cm="1">
        <f t="array" ref="C143">_xlfn._xlws.FILTER(rawdata!$F$2:$F$3638,(rawdata!$A$2:$A$3638=transformed_data!$A143)*(rawdata!$C$2:$C$3638=transformed_data!C$1))</f>
        <v>8782310.0219000001</v>
      </c>
      <c r="D143" s="2" cm="1">
        <f t="array" ref="D143">_xlfn._xlws.FILTER(rawdata!$F$2:$F$3638,(rawdata!$A$2:$A$3638=transformed_data!$A143)*(rawdata!$C$2:$C$3638=transformed_data!D$1))</f>
        <v>1931160.2356</v>
      </c>
      <c r="E143" s="2" cm="1">
        <f t="array" ref="E143">SUM(-B143:D143,_xlfn._xlws.FILTER(rawdata!$F$2:$F$3638,(rawdata!$A$2:$A$3638=transformed_data!$A143)*(rawdata!$B$2:$B$3638="Total Marketable")))</f>
        <v>1588746.9953063987</v>
      </c>
      <c r="F143" s="2" cm="1">
        <f t="array" ref="F143">_xlfn._xlws.FILTER(rawdata!$F$2:$F$3638,(rawdata!$A$2:$A$3638=transformed_data!$A143)*(rawdata!$B$2:$B$3638="Total Nonmarketable"))</f>
        <v>5784735.2918203203</v>
      </c>
      <c r="G143" s="2" cm="1">
        <f t="array" ref="G143">_xlfn._xlws.FILTER(rawdata!$D$2:$D$3638,(rawdata!$A$2:$A$3638=transformed_data!$A143)*(rawdata!$B$2:$B$3638="Total Public Debt Outstanding"))</f>
        <v>14360944.496199399</v>
      </c>
      <c r="H143" s="2" cm="1">
        <f t="array" ref="H143">_xlfn._xlws.FILTER(rawdata!$E$2:$E$3638,(rawdata!$A$2:$A$3638=transformed_data!$A143)*(rawdata!$B$2:$B$3638="Total Public Debt Outstanding"))</f>
        <v>5483964.5525273699</v>
      </c>
      <c r="I143" s="2" cm="1">
        <f t="array" ref="I143">_xlfn._xlws.FILTER(rawdata!$F$2:$F$3638,(rawdata!$A$2:$A$3638=transformed_data!$A143)*(rawdata!$B$2:$B$3638="Total Public Debt Outstanding"))</f>
        <v>19844909.0487267</v>
      </c>
      <c r="K143" s="2"/>
      <c r="L143" s="2"/>
    </row>
    <row r="144" spans="1:12" x14ac:dyDescent="0.3">
      <c r="A144" s="1">
        <v>42978</v>
      </c>
      <c r="B144" s="2" cm="1">
        <f t="array" ref="B144">_xlfn._xlws.FILTER(rawdata!$F$2:$F$3638,(rawdata!$A$2:$A$3638=transformed_data!$A144)*(rawdata!$C$2:$C$3638=transformed_data!B$1))</f>
        <v>1747922.415</v>
      </c>
      <c r="C144" s="2" cm="1">
        <f t="array" ref="C144">_xlfn._xlws.FILTER(rawdata!$F$2:$F$3638,(rawdata!$A$2:$A$3638=transformed_data!$A144)*(rawdata!$C$2:$C$3638=transformed_data!C$1))</f>
        <v>8788504.8880000003</v>
      </c>
      <c r="D144" s="2" cm="1">
        <f t="array" ref="D144">_xlfn._xlws.FILTER(rawdata!$F$2:$F$3638,(rawdata!$A$2:$A$3638=transformed_data!$A144)*(rawdata!$C$2:$C$3638=transformed_data!D$1))</f>
        <v>1939705.0101999999</v>
      </c>
      <c r="E144" s="2" cm="1">
        <f t="array" ref="E144">SUM(-B144:D144,_xlfn._xlws.FILTER(rawdata!$F$2:$F$3638,(rawdata!$A$2:$A$3638=transformed_data!$A144)*(rawdata!$B$2:$B$3638="Total Marketable")))</f>
        <v>1617430.8867157008</v>
      </c>
      <c r="F144" s="2" cm="1">
        <f t="array" ref="F144">_xlfn._xlws.FILTER(rawdata!$F$2:$F$3638,(rawdata!$A$2:$A$3638=transformed_data!$A144)*(rawdata!$B$2:$B$3638="Total Nonmarketable"))</f>
        <v>5750970.2523811599</v>
      </c>
      <c r="G144" s="2" cm="1">
        <f t="array" ref="G144">_xlfn._xlws.FILTER(rawdata!$D$2:$D$3638,(rawdata!$A$2:$A$3638=transformed_data!$A144)*(rawdata!$B$2:$B$3638="Total Public Debt Outstanding"))</f>
        <v>14381562.0058697</v>
      </c>
      <c r="H144" s="2" cm="1">
        <f t="array" ref="H144">_xlfn._xlws.FILTER(rawdata!$E$2:$E$3638,(rawdata!$A$2:$A$3638=transformed_data!$A144)*(rawdata!$B$2:$B$3638="Total Public Debt Outstanding"))</f>
        <v>5462971.4464271497</v>
      </c>
      <c r="I144" s="2" cm="1">
        <f t="array" ref="I144">_xlfn._xlws.FILTER(rawdata!$F$2:$F$3638,(rawdata!$A$2:$A$3638=transformed_data!$A144)*(rawdata!$B$2:$B$3638="Total Public Debt Outstanding"))</f>
        <v>19844533.452296901</v>
      </c>
      <c r="K144" s="2"/>
      <c r="L144" s="2"/>
    </row>
    <row r="145" spans="1:12" x14ac:dyDescent="0.3">
      <c r="A145" s="1">
        <v>43008</v>
      </c>
      <c r="B145" s="2" cm="1">
        <f t="array" ref="B145">_xlfn._xlws.FILTER(rawdata!$F$2:$F$3638,(rawdata!$A$2:$A$3638=transformed_data!$A145)*(rawdata!$C$2:$C$3638=transformed_data!B$1))</f>
        <v>1801936.2261999999</v>
      </c>
      <c r="C145" s="2" cm="1">
        <f t="array" ref="C145">_xlfn._xlws.FILTER(rawdata!$F$2:$F$3638,(rawdata!$A$2:$A$3638=transformed_data!$A145)*(rawdata!$C$2:$C$3638=transformed_data!C$1))</f>
        <v>8805498.7047999892</v>
      </c>
      <c r="D145" s="2" cm="1">
        <f t="array" ref="D145">_xlfn._xlws.FILTER(rawdata!$F$2:$F$3638,(rawdata!$A$2:$A$3638=transformed_data!$A145)*(rawdata!$C$2:$C$3638=transformed_data!D$1))</f>
        <v>1951704.8063999999</v>
      </c>
      <c r="E145" s="2" cm="1">
        <f t="array" ref="E145">SUM(-B145:D145,_xlfn._xlws.FILTER(rawdata!$F$2:$F$3638,(rawdata!$A$2:$A$3638=transformed_data!$A145)*(rawdata!$B$2:$B$3638="Total Marketable")))</f>
        <v>1640651.8112166114</v>
      </c>
      <c r="F145" s="2" cm="1">
        <f t="array" ref="F145">_xlfn._xlws.FILTER(rawdata!$F$2:$F$3638,(rawdata!$A$2:$A$3638=transformed_data!$A145)*(rawdata!$B$2:$B$3638="Total Nonmarketable"))</f>
        <v>6045108.3725187602</v>
      </c>
      <c r="G145" s="2" cm="1">
        <f t="array" ref="G145">_xlfn._xlws.FILTER(rawdata!$D$2:$D$3638,(rawdata!$A$2:$A$3638=transformed_data!$A145)*(rawdata!$B$2:$B$3638="Total Public Debt Outstanding"))</f>
        <v>14673428.5682228</v>
      </c>
      <c r="H145" s="2" cm="1">
        <f t="array" ref="H145">_xlfn._xlws.FILTER(rawdata!$E$2:$E$3638,(rawdata!$A$2:$A$3638=transformed_data!$A145)*(rawdata!$B$2:$B$3638="Total Public Debt Outstanding"))</f>
        <v>5571471.3529125703</v>
      </c>
      <c r="I145" s="2" cm="1">
        <f t="array" ref="I145">_xlfn._xlws.FILTER(rawdata!$F$2:$F$3638,(rawdata!$A$2:$A$3638=transformed_data!$A145)*(rawdata!$B$2:$B$3638="Total Public Debt Outstanding"))</f>
        <v>20244899.921135399</v>
      </c>
      <c r="K145" s="2"/>
      <c r="L145" s="2"/>
    </row>
    <row r="146" spans="1:12" x14ac:dyDescent="0.3">
      <c r="A146" s="1">
        <v>43039</v>
      </c>
      <c r="B146" s="2" cm="1">
        <f t="array" ref="B146">_xlfn._xlws.FILTER(rawdata!$F$2:$F$3638,(rawdata!$A$2:$A$3638=transformed_data!$A146)*(rawdata!$C$2:$C$3638=transformed_data!B$1))</f>
        <v>1855928.7075</v>
      </c>
      <c r="C146" s="2" cm="1">
        <f t="array" ref="C146">_xlfn._xlws.FILTER(rawdata!$F$2:$F$3638,(rawdata!$A$2:$A$3638=transformed_data!$A146)*(rawdata!$C$2:$C$3638=transformed_data!C$1))</f>
        <v>8830132.6074000001</v>
      </c>
      <c r="D146" s="2" cm="1">
        <f t="array" ref="D146">_xlfn._xlws.FILTER(rawdata!$F$2:$F$3638,(rawdata!$A$2:$A$3638=transformed_data!$A146)*(rawdata!$C$2:$C$3638=transformed_data!D$1))</f>
        <v>1963703.9483</v>
      </c>
      <c r="E146" s="2" cm="1">
        <f t="array" ref="E146">SUM(-B146:D146,_xlfn._xlws.FILTER(rawdata!$F$2:$F$3638,(rawdata!$A$2:$A$3638=transformed_data!$A146)*(rawdata!$B$2:$B$3638="Total Marketable")))</f>
        <v>1623912.4435663</v>
      </c>
      <c r="F146" s="2" cm="1">
        <f t="array" ref="F146">_xlfn._xlws.FILTER(rawdata!$F$2:$F$3638,(rawdata!$A$2:$A$3638=transformed_data!$A146)*(rawdata!$B$2:$B$3638="Total Nonmarketable"))</f>
        <v>6168795.8366392199</v>
      </c>
      <c r="G146" s="2" cm="1">
        <f t="array" ref="G146">_xlfn._xlws.FILTER(rawdata!$D$2:$D$3638,(rawdata!$A$2:$A$3638=transformed_data!$A146)*(rawdata!$B$2:$B$3638="Total Public Debt Outstanding"))</f>
        <v>14751446.090316201</v>
      </c>
      <c r="H146" s="2" cm="1">
        <f t="array" ref="H146">_xlfn._xlws.FILTER(rawdata!$E$2:$E$3638,(rawdata!$A$2:$A$3638=transformed_data!$A146)*(rawdata!$B$2:$B$3638="Total Public Debt Outstanding"))</f>
        <v>5691027.4530892996</v>
      </c>
      <c r="I146" s="2" cm="1">
        <f t="array" ref="I146">_xlfn._xlws.FILTER(rawdata!$F$2:$F$3638,(rawdata!$A$2:$A$3638=transformed_data!$A146)*(rawdata!$B$2:$B$3638="Total Public Debt Outstanding"))</f>
        <v>20442473.543405499</v>
      </c>
      <c r="K146" s="2"/>
      <c r="L146" s="2"/>
    </row>
    <row r="147" spans="1:12" x14ac:dyDescent="0.3">
      <c r="A147" s="1">
        <v>43069</v>
      </c>
      <c r="B147" s="2" cm="1">
        <f t="array" ref="B147">_xlfn._xlws.FILTER(rawdata!$F$2:$F$3638,(rawdata!$A$2:$A$3638=transformed_data!$A147)*(rawdata!$C$2:$C$3638=transformed_data!B$1))</f>
        <v>1970909.9183</v>
      </c>
      <c r="C147" s="2" cm="1">
        <f t="array" ref="C147">_xlfn._xlws.FILTER(rawdata!$F$2:$F$3638,(rawdata!$A$2:$A$3638=transformed_data!$A147)*(rawdata!$C$2:$C$3638=transformed_data!C$1))</f>
        <v>8830744.6208999995</v>
      </c>
      <c r="D147" s="2" cm="1">
        <f t="array" ref="D147">_xlfn._xlws.FILTER(rawdata!$F$2:$F$3638,(rawdata!$A$2:$A$3638=transformed_data!$A147)*(rawdata!$C$2:$C$3638=transformed_data!D$1))</f>
        <v>1980525.0109999999</v>
      </c>
      <c r="E147" s="2" cm="1">
        <f t="array" ref="E147">SUM(-B147:D147,_xlfn._xlws.FILTER(rawdata!$F$2:$F$3638,(rawdata!$A$2:$A$3638=transformed_data!$A147)*(rawdata!$B$2:$B$3638="Total Marketable")))</f>
        <v>1655361.5411724988</v>
      </c>
      <c r="F147" s="2" cm="1">
        <f t="array" ref="F147">_xlfn._xlws.FILTER(rawdata!$F$2:$F$3638,(rawdata!$A$2:$A$3638=transformed_data!$A147)*(rawdata!$B$2:$B$3638="Total Nonmarketable"))</f>
        <v>6152850.6954916501</v>
      </c>
      <c r="G147" s="2" cm="1">
        <f t="array" ref="G147">_xlfn._xlws.FILTER(rawdata!$D$2:$D$3638,(rawdata!$A$2:$A$3638=transformed_data!$A147)*(rawdata!$B$2:$B$3638="Total Public Debt Outstanding"))</f>
        <v>14918735.642358899</v>
      </c>
      <c r="H147" s="2" cm="1">
        <f t="array" ref="H147">_xlfn._xlws.FILTER(rawdata!$E$2:$E$3638,(rawdata!$A$2:$A$3638=transformed_data!$A147)*(rawdata!$B$2:$B$3638="Total Public Debt Outstanding"))</f>
        <v>5671656.1445052801</v>
      </c>
      <c r="I147" s="2" cm="1">
        <f t="array" ref="I147">_xlfn._xlws.FILTER(rawdata!$F$2:$F$3638,(rawdata!$A$2:$A$3638=transformed_data!$A147)*(rawdata!$B$2:$B$3638="Total Public Debt Outstanding"))</f>
        <v>20590391.786864098</v>
      </c>
      <c r="K147" s="2"/>
      <c r="L147" s="2"/>
    </row>
    <row r="148" spans="1:12" x14ac:dyDescent="0.3">
      <c r="A148" s="1">
        <v>43100</v>
      </c>
      <c r="B148" s="2" cm="1">
        <f t="array" ref="B148">_xlfn._xlws.FILTER(rawdata!$F$2:$F$3638,(rawdata!$A$2:$A$3638=transformed_data!$A148)*(rawdata!$C$2:$C$3638=transformed_data!B$1))</f>
        <v>1955932.5582999999</v>
      </c>
      <c r="C148" s="2" cm="1">
        <f t="array" ref="C148">_xlfn._xlws.FILTER(rawdata!$F$2:$F$3638,(rawdata!$A$2:$A$3638=transformed_data!$A148)*(rawdata!$C$2:$C$3638=transformed_data!C$1))</f>
        <v>8849743.682</v>
      </c>
      <c r="D148" s="2" cm="1">
        <f t="array" ref="D148">_xlfn._xlws.FILTER(rawdata!$F$2:$F$3638,(rawdata!$A$2:$A$3638=transformed_data!$A148)*(rawdata!$C$2:$C$3638=transformed_data!D$1))</f>
        <v>1992524.0612999999</v>
      </c>
      <c r="E148" s="2" cm="1">
        <f t="array" ref="E148">SUM(-B148:D148,_xlfn._xlws.FILTER(rawdata!$F$2:$F$3638,(rawdata!$A$2:$A$3638=transformed_data!$A148)*(rawdata!$B$2:$B$3638="Total Marketable")))</f>
        <v>1682037.3014831003</v>
      </c>
      <c r="F148" s="2" cm="1">
        <f t="array" ref="F148">_xlfn._xlws.FILTER(rawdata!$F$2:$F$3638,(rawdata!$A$2:$A$3638=transformed_data!$A148)*(rawdata!$B$2:$B$3638="Total Nonmarketable"))</f>
        <v>6012508.7778523099</v>
      </c>
      <c r="G148" s="2" cm="1">
        <f t="array" ref="G148">_xlfn._xlws.FILTER(rawdata!$D$2:$D$3638,(rawdata!$A$2:$A$3638=transformed_data!$A148)*(rawdata!$B$2:$B$3638="Total Public Debt Outstanding"))</f>
        <v>14814720.9625454</v>
      </c>
      <c r="H148" s="2" cm="1">
        <f t="array" ref="H148">_xlfn._xlws.FILTER(rawdata!$E$2:$E$3638,(rawdata!$A$2:$A$3638=transformed_data!$A148)*(rawdata!$B$2:$B$3638="Total Public Debt Outstanding"))</f>
        <v>5678025.4183899797</v>
      </c>
      <c r="I148" s="2" cm="1">
        <f t="array" ref="I148">_xlfn._xlws.FILTER(rawdata!$F$2:$F$3638,(rawdata!$A$2:$A$3638=transformed_data!$A148)*(rawdata!$B$2:$B$3638="Total Public Debt Outstanding"))</f>
        <v>20492747.380935401</v>
      </c>
      <c r="K148" s="2"/>
      <c r="L148" s="2"/>
    </row>
    <row r="149" spans="1:12" x14ac:dyDescent="0.3">
      <c r="A149" s="1">
        <v>43131</v>
      </c>
      <c r="B149" s="2" cm="1">
        <f t="array" ref="B149">_xlfn._xlws.FILTER(rawdata!$F$2:$F$3638,(rawdata!$A$2:$A$3638=transformed_data!$A149)*(rawdata!$C$2:$C$3638=transformed_data!B$1))</f>
        <v>1966939.3541000001</v>
      </c>
      <c r="C149" s="2" cm="1">
        <f t="array" ref="C149">_xlfn._xlws.FILTER(rawdata!$F$2:$F$3638,(rawdata!$A$2:$A$3638=transformed_data!$A149)*(rawdata!$C$2:$C$3638=transformed_data!C$1))</f>
        <v>8889175.2015999891</v>
      </c>
      <c r="D149" s="2" cm="1">
        <f t="array" ref="D149">_xlfn._xlws.FILTER(rawdata!$F$2:$F$3638,(rawdata!$A$2:$A$3638=transformed_data!$A149)*(rawdata!$C$2:$C$3638=transformed_data!D$1))</f>
        <v>2004929.7239999999</v>
      </c>
      <c r="E149" s="2" cm="1">
        <f t="array" ref="E149">SUM(-B149:D149,_xlfn._xlws.FILTER(rawdata!$F$2:$F$3638,(rawdata!$A$2:$A$3638=transformed_data!$A149)*(rawdata!$B$2:$B$3638="Total Marketable")))</f>
        <v>1653500.663503211</v>
      </c>
      <c r="F149" s="2" cm="1">
        <f t="array" ref="F149">_xlfn._xlws.FILTER(rawdata!$F$2:$F$3638,(rawdata!$A$2:$A$3638=transformed_data!$A149)*(rawdata!$B$2:$B$3638="Total Nonmarketable"))</f>
        <v>5979184.8329530396</v>
      </c>
      <c r="G149" s="2" cm="1">
        <f t="array" ref="G149">_xlfn._xlws.FILTER(rawdata!$D$2:$D$3638,(rawdata!$A$2:$A$3638=transformed_data!$A149)*(rawdata!$B$2:$B$3638="Total Public Debt Outstanding"))</f>
        <v>14803169.5870704</v>
      </c>
      <c r="H149" s="2" cm="1">
        <f t="array" ref="H149">_xlfn._xlws.FILTER(rawdata!$E$2:$E$3638,(rawdata!$A$2:$A$3638=transformed_data!$A149)*(rawdata!$B$2:$B$3638="Total Public Debt Outstanding"))</f>
        <v>5690560.1890858496</v>
      </c>
      <c r="I149" s="2" cm="1">
        <f t="array" ref="I149">_xlfn._xlws.FILTER(rawdata!$F$2:$F$3638,(rawdata!$A$2:$A$3638=transformed_data!$A149)*(rawdata!$B$2:$B$3638="Total Public Debt Outstanding"))</f>
        <v>20493729.776156198</v>
      </c>
      <c r="K149" s="2"/>
      <c r="L149" s="2"/>
    </row>
    <row r="150" spans="1:12" x14ac:dyDescent="0.3">
      <c r="A150" s="1">
        <v>43159</v>
      </c>
      <c r="B150" s="2" cm="1">
        <f t="array" ref="B150">_xlfn._xlws.FILTER(rawdata!$F$2:$F$3638,(rawdata!$A$2:$A$3638=transformed_data!$A150)*(rawdata!$C$2:$C$3638=transformed_data!B$1))</f>
        <v>2077966.3355</v>
      </c>
      <c r="C150" s="2" cm="1">
        <f t="array" ref="C150">_xlfn._xlws.FILTER(rawdata!$F$2:$F$3638,(rawdata!$A$2:$A$3638=transformed_data!$A150)*(rawdata!$C$2:$C$3638=transformed_data!C$1))</f>
        <v>8899556.5108000003</v>
      </c>
      <c r="D150" s="2" cm="1">
        <f t="array" ref="D150">_xlfn._xlws.FILTER(rawdata!$F$2:$F$3638,(rawdata!$A$2:$A$3638=transformed_data!$A150)*(rawdata!$C$2:$C$3638=transformed_data!D$1))</f>
        <v>2023951.8171999999</v>
      </c>
      <c r="E150" s="2" cm="1">
        <f t="array" ref="E150">SUM(-B150:D150,_xlfn._xlws.FILTER(rawdata!$F$2:$F$3638,(rawdata!$A$2:$A$3638=transformed_data!$A150)*(rawdata!$B$2:$B$3638="Total Marketable")))</f>
        <v>1676467.3397937007</v>
      </c>
      <c r="F150" s="2" cm="1">
        <f t="array" ref="F150">_xlfn._xlws.FILTER(rawdata!$F$2:$F$3638,(rawdata!$A$2:$A$3638=transformed_data!$A150)*(rawdata!$B$2:$B$3638="Total Nonmarketable"))</f>
        <v>6177730.3914093599</v>
      </c>
      <c r="G150" s="2" cm="1">
        <f t="array" ref="G150">_xlfn._xlws.FILTER(rawdata!$D$2:$D$3638,(rawdata!$A$2:$A$3638=transformed_data!$A150)*(rawdata!$B$2:$B$3638="Total Public Debt Outstanding"))</f>
        <v>15150589.0924685</v>
      </c>
      <c r="H150" s="2" cm="1">
        <f t="array" ref="H150">_xlfn._xlws.FILTER(rawdata!$E$2:$E$3638,(rawdata!$A$2:$A$3638=transformed_data!$A150)*(rawdata!$B$2:$B$3638="Total Public Debt Outstanding"))</f>
        <v>5705082.3022345901</v>
      </c>
      <c r="I150" s="2" cm="1">
        <f t="array" ref="I150">_xlfn._xlws.FILTER(rawdata!$F$2:$F$3638,(rawdata!$A$2:$A$3638=transformed_data!$A150)*(rawdata!$B$2:$B$3638="Total Public Debt Outstanding"))</f>
        <v>20855672.394703101</v>
      </c>
      <c r="K150" s="2"/>
      <c r="L150" s="2"/>
    </row>
    <row r="151" spans="1:12" x14ac:dyDescent="0.3">
      <c r="A151" s="1">
        <v>43190</v>
      </c>
      <c r="B151" s="2" cm="1">
        <f t="array" ref="B151">_xlfn._xlws.FILTER(rawdata!$F$2:$F$3638,(rawdata!$A$2:$A$3638=transformed_data!$A151)*(rawdata!$C$2:$C$3638=transformed_data!B$1))</f>
        <v>2288968.9572999999</v>
      </c>
      <c r="C151" s="2" cm="1">
        <f t="array" ref="C151">_xlfn._xlws.FILTER(rawdata!$F$2:$F$3638,(rawdata!$A$2:$A$3638=transformed_data!$A151)*(rawdata!$C$2:$C$3638=transformed_data!C$1))</f>
        <v>8924555.3232000005</v>
      </c>
      <c r="D151" s="2" cm="1">
        <f t="array" ref="D151">_xlfn._xlws.FILTER(rawdata!$F$2:$F$3638,(rawdata!$A$2:$A$3638=transformed_data!$A151)*(rawdata!$C$2:$C$3638=transformed_data!D$1))</f>
        <v>2036951.7793000001</v>
      </c>
      <c r="E151" s="2" cm="1">
        <f t="array" ref="E151">SUM(-B151:D151,_xlfn._xlws.FILTER(rawdata!$F$2:$F$3638,(rawdata!$A$2:$A$3638=transformed_data!$A151)*(rawdata!$B$2:$B$3638="Total Marketable")))</f>
        <v>1694259.6074311994</v>
      </c>
      <c r="F151" s="2" cm="1">
        <f t="array" ref="F151">_xlfn._xlws.FILTER(rawdata!$F$2:$F$3638,(rawdata!$A$2:$A$3638=transformed_data!$A151)*(rawdata!$B$2:$B$3638="Total Nonmarketable"))</f>
        <v>6144907.1480672797</v>
      </c>
      <c r="G151" s="2" cm="1">
        <f t="array" ref="G151">_xlfn._xlws.FILTER(rawdata!$D$2:$D$3638,(rawdata!$A$2:$A$3638=transformed_data!$A151)*(rawdata!$B$2:$B$3638="Total Public Debt Outstanding"))</f>
        <v>15428009.9066214</v>
      </c>
      <c r="H151" s="2" cm="1">
        <f t="array" ref="H151">_xlfn._xlws.FILTER(rawdata!$E$2:$E$3638,(rawdata!$A$2:$A$3638=transformed_data!$A151)*(rawdata!$B$2:$B$3638="Total Public Debt Outstanding"))</f>
        <v>5661632.9086770201</v>
      </c>
      <c r="I151" s="2" cm="1">
        <f t="array" ref="I151">_xlfn._xlws.FILTER(rawdata!$F$2:$F$3638,(rawdata!$A$2:$A$3638=transformed_data!$A151)*(rawdata!$B$2:$B$3638="Total Public Debt Outstanding"))</f>
        <v>21089642.815298401</v>
      </c>
      <c r="K151" s="2"/>
      <c r="L151" s="2"/>
    </row>
    <row r="152" spans="1:12" x14ac:dyDescent="0.3">
      <c r="A152" s="1">
        <v>43220</v>
      </c>
      <c r="B152" s="2" cm="1">
        <f t="array" ref="B152">_xlfn._xlws.FILTER(rawdata!$F$2:$F$3638,(rawdata!$A$2:$A$3638=transformed_data!$A152)*(rawdata!$C$2:$C$3638=transformed_data!B$1))</f>
        <v>2168986.9803999998</v>
      </c>
      <c r="C152" s="2" cm="1">
        <f t="array" ref="C152">_xlfn._xlws.FILTER(rawdata!$F$2:$F$3638,(rawdata!$A$2:$A$3638=transformed_data!$A152)*(rawdata!$C$2:$C$3638=transformed_data!C$1))</f>
        <v>8974219.4868999999</v>
      </c>
      <c r="D152" s="2" cm="1">
        <f t="array" ref="D152">_xlfn._xlws.FILTER(rawdata!$F$2:$F$3638,(rawdata!$A$2:$A$3638=transformed_data!$A152)*(rawdata!$C$2:$C$3638=transformed_data!D$1))</f>
        <v>2049973.9426</v>
      </c>
      <c r="E152" s="2" cm="1">
        <f t="array" ref="E152">SUM(-B152:D152,_xlfn._xlws.FILTER(rawdata!$F$2:$F$3638,(rawdata!$A$2:$A$3638=transformed_data!$A152)*(rawdata!$B$2:$B$3638="Total Marketable")))</f>
        <v>1656712.6629991997</v>
      </c>
      <c r="F152" s="2" cm="1">
        <f t="array" ref="F152">_xlfn._xlws.FILTER(rawdata!$F$2:$F$3638,(rawdata!$A$2:$A$3638=transformed_data!$A152)*(rawdata!$B$2:$B$3638="Total Nonmarketable"))</f>
        <v>6218307.3851874797</v>
      </c>
      <c r="G152" s="2" cm="1">
        <f t="array" ref="G152">_xlfn._xlws.FILTER(rawdata!$D$2:$D$3638,(rawdata!$A$2:$A$3638=transformed_data!$A152)*(rawdata!$B$2:$B$3638="Total Public Debt Outstanding"))</f>
        <v>15335128.368494799</v>
      </c>
      <c r="H152" s="2" cm="1">
        <f t="array" ref="H152">_xlfn._xlws.FILTER(rawdata!$E$2:$E$3638,(rawdata!$A$2:$A$3638=transformed_data!$A152)*(rawdata!$B$2:$B$3638="Total Public Debt Outstanding"))</f>
        <v>5733072.0895918598</v>
      </c>
      <c r="I152" s="2" cm="1">
        <f t="array" ref="I152">_xlfn._xlws.FILTER(rawdata!$F$2:$F$3638,(rawdata!$A$2:$A$3638=transformed_data!$A152)*(rawdata!$B$2:$B$3638="Total Public Debt Outstanding"))</f>
        <v>21068200.458086599</v>
      </c>
      <c r="K152" s="2"/>
      <c r="L152" s="2"/>
    </row>
    <row r="153" spans="1:12" x14ac:dyDescent="0.3">
      <c r="A153" s="1">
        <v>43251</v>
      </c>
      <c r="B153" s="2" cm="1">
        <f t="array" ref="B153">_xlfn._xlws.FILTER(rawdata!$F$2:$F$3638,(rawdata!$A$2:$A$3638=transformed_data!$A153)*(rawdata!$C$2:$C$3638=transformed_data!B$1))</f>
        <v>2183982.1354999999</v>
      </c>
      <c r="C153" s="2" cm="1">
        <f t="array" ref="C153">_xlfn._xlws.FILTER(rawdata!$F$2:$F$3638,(rawdata!$A$2:$A$3638=transformed_data!$A153)*(rawdata!$C$2:$C$3638=transformed_data!C$1))</f>
        <v>9002197.3423999995</v>
      </c>
      <c r="D153" s="2" cm="1">
        <f t="array" ref="D153">_xlfn._xlws.FILTER(rawdata!$F$2:$F$3638,(rawdata!$A$2:$A$3638=transformed_data!$A153)*(rawdata!$C$2:$C$3638=transformed_data!D$1))</f>
        <v>2064354.6624</v>
      </c>
      <c r="E153" s="2" cm="1">
        <f t="array" ref="E153">SUM(-B153:D153,_xlfn._xlws.FILTER(rawdata!$F$2:$F$3638,(rawdata!$A$2:$A$3638=transformed_data!$A153)*(rawdata!$B$2:$B$3638="Total Marketable")))</f>
        <v>1688860.4453875013</v>
      </c>
      <c r="F153" s="2" cm="1">
        <f t="array" ref="F153">_xlfn._xlws.FILTER(rawdata!$F$2:$F$3638,(rawdata!$A$2:$A$3638=transformed_data!$A153)*(rawdata!$B$2:$B$3638="Total Nonmarketable"))</f>
        <v>6205820.5910111899</v>
      </c>
      <c r="G153" s="2" cm="1">
        <f t="array" ref="G153">_xlfn._xlws.FILTER(rawdata!$D$2:$D$3638,(rawdata!$A$2:$A$3638=transformed_data!$A153)*(rawdata!$B$2:$B$3638="Total Public Debt Outstanding"))</f>
        <v>15426913.425444201</v>
      </c>
      <c r="H153" s="2" cm="1">
        <f t="array" ref="H153">_xlfn._xlws.FILTER(rawdata!$E$2:$E$3638,(rawdata!$A$2:$A$3638=transformed_data!$A153)*(rawdata!$B$2:$B$3638="Total Public Debt Outstanding"))</f>
        <v>5718301.7512545204</v>
      </c>
      <c r="I153" s="2" cm="1">
        <f t="array" ref="I153">_xlfn._xlws.FILTER(rawdata!$F$2:$F$3638,(rawdata!$A$2:$A$3638=transformed_data!$A153)*(rawdata!$B$2:$B$3638="Total Public Debt Outstanding"))</f>
        <v>21145215.1766987</v>
      </c>
      <c r="K153" s="2"/>
      <c r="L153" s="2"/>
    </row>
    <row r="154" spans="1:12" x14ac:dyDescent="0.3">
      <c r="A154" s="1">
        <v>43281</v>
      </c>
      <c r="B154" s="2" cm="1">
        <f t="array" ref="B154">_xlfn._xlws.FILTER(rawdata!$F$2:$F$3638,(rawdata!$A$2:$A$3638=transformed_data!$A154)*(rawdata!$C$2:$C$3638=transformed_data!B$1))</f>
        <v>2157980.7514</v>
      </c>
      <c r="C154" s="2" cm="1">
        <f t="array" ref="C154">_xlfn._xlws.FILTER(rawdata!$F$2:$F$3638,(rawdata!$A$2:$A$3638=transformed_data!$A154)*(rawdata!$C$2:$C$3638=transformed_data!C$1))</f>
        <v>9032196.3167000003</v>
      </c>
      <c r="D154" s="2" cm="1">
        <f t="array" ref="D154">_xlfn._xlws.FILTER(rawdata!$F$2:$F$3638,(rawdata!$A$2:$A$3638=transformed_data!$A154)*(rawdata!$C$2:$C$3638=transformed_data!D$1))</f>
        <v>2078354.5501999999</v>
      </c>
      <c r="E154" s="2" cm="1">
        <f t="array" ref="E154">SUM(-B154:D154,_xlfn._xlws.FILTER(rawdata!$F$2:$F$3638,(rawdata!$A$2:$A$3638=transformed_data!$A154)*(rawdata!$B$2:$B$3638="Total Marketable")))</f>
        <v>1713873.9751223996</v>
      </c>
      <c r="F154" s="2" cm="1">
        <f t="array" ref="F154">_xlfn._xlws.FILTER(rawdata!$F$2:$F$3638,(rawdata!$A$2:$A$3638=transformed_data!$A154)*(rawdata!$B$2:$B$3638="Total Nonmarketable"))</f>
        <v>6212664.1538345898</v>
      </c>
      <c r="G154" s="2" cm="1">
        <f t="array" ref="G154">_xlfn._xlws.FILTER(rawdata!$D$2:$D$3638,(rawdata!$A$2:$A$3638=transformed_data!$A154)*(rawdata!$B$2:$B$3638="Total Public Debt Outstanding"))</f>
        <v>15466564.2305851</v>
      </c>
      <c r="H154" s="2" cm="1">
        <f t="array" ref="H154">_xlfn._xlws.FILTER(rawdata!$E$2:$E$3638,(rawdata!$A$2:$A$3638=transformed_data!$A154)*(rawdata!$B$2:$B$3638="Total Public Debt Outstanding"))</f>
        <v>5728504.5166719304</v>
      </c>
      <c r="I154" s="2" cm="1">
        <f t="array" ref="I154">_xlfn._xlws.FILTER(rawdata!$F$2:$F$3638,(rawdata!$A$2:$A$3638=transformed_data!$A154)*(rawdata!$B$2:$B$3638="Total Public Debt Outstanding"))</f>
        <v>21195069.747257002</v>
      </c>
      <c r="K154" s="2"/>
      <c r="L154" s="2"/>
    </row>
    <row r="155" spans="1:12" x14ac:dyDescent="0.3">
      <c r="A155" s="1">
        <v>43312</v>
      </c>
      <c r="B155" s="2" cm="1">
        <f t="array" ref="B155">_xlfn._xlws.FILTER(rawdata!$F$2:$F$3638,(rawdata!$A$2:$A$3638=transformed_data!$A155)*(rawdata!$C$2:$C$3638=transformed_data!B$1))</f>
        <v>2205896.0077</v>
      </c>
      <c r="C155" s="2" cm="1">
        <f t="array" ref="C155">_xlfn._xlws.FILTER(rawdata!$F$2:$F$3638,(rawdata!$A$2:$A$3638=transformed_data!$A155)*(rawdata!$C$2:$C$3638=transformed_data!C$1))</f>
        <v>9094940.9371000007</v>
      </c>
      <c r="D155" s="2" cm="1">
        <f t="array" ref="D155">_xlfn._xlws.FILTER(rawdata!$F$2:$F$3638,(rawdata!$A$2:$A$3638=transformed_data!$A155)*(rawdata!$C$2:$C$3638=transformed_data!D$1))</f>
        <v>2092407.8692000001</v>
      </c>
      <c r="E155" s="2" cm="1">
        <f t="array" ref="E155">SUM(-B155:D155,_xlfn._xlws.FILTER(rawdata!$F$2:$F$3638,(rawdata!$A$2:$A$3638=transformed_data!$A155)*(rawdata!$B$2:$B$3638="Total Marketable")))</f>
        <v>1692057.2871042993</v>
      </c>
      <c r="F155" s="2" cm="1">
        <f t="array" ref="F155">_xlfn._xlws.FILTER(rawdata!$F$2:$F$3638,(rawdata!$A$2:$A$3638=transformed_data!$A155)*(rawdata!$B$2:$B$3638="Total Nonmarketable"))</f>
        <v>6227758.9528636904</v>
      </c>
      <c r="G155" s="2" cm="1">
        <f t="array" ref="G155">_xlfn._xlws.FILTER(rawdata!$D$2:$D$3638,(rawdata!$A$2:$A$3638=transformed_data!$A155)*(rawdata!$B$2:$B$3638="Total Public Debt Outstanding"))</f>
        <v>15569493.1191567</v>
      </c>
      <c r="H155" s="2" cm="1">
        <f t="array" ref="H155">_xlfn._xlws.FILTER(rawdata!$E$2:$E$3638,(rawdata!$A$2:$A$3638=transformed_data!$A155)*(rawdata!$B$2:$B$3638="Total Public Debt Outstanding"))</f>
        <v>5743567.9348112904</v>
      </c>
      <c r="I155" s="2" cm="1">
        <f t="array" ref="I155">_xlfn._xlws.FILTER(rawdata!$F$2:$F$3638,(rawdata!$A$2:$A$3638=transformed_data!$A155)*(rawdata!$B$2:$B$3638="Total Public Debt Outstanding"))</f>
        <v>21313061.053968001</v>
      </c>
      <c r="K155" s="2"/>
      <c r="L155" s="2"/>
    </row>
    <row r="156" spans="1:12" x14ac:dyDescent="0.3">
      <c r="A156" s="1">
        <v>43343</v>
      </c>
      <c r="B156" s="2" cm="1">
        <f t="array" ref="B156">_xlfn._xlws.FILTER(rawdata!$F$2:$F$3638,(rawdata!$A$2:$A$3638=transformed_data!$A156)*(rawdata!$C$2:$C$3638=transformed_data!B$1))</f>
        <v>2340923.0734000001</v>
      </c>
      <c r="C156" s="2" cm="1">
        <f t="array" ref="C156">_xlfn._xlws.FILTER(rawdata!$F$2:$F$3638,(rawdata!$A$2:$A$3638=transformed_data!$A156)*(rawdata!$C$2:$C$3638=transformed_data!C$1))</f>
        <v>9120380.4952000007</v>
      </c>
      <c r="D156" s="2" cm="1">
        <f t="array" ref="D156">_xlfn._xlws.FILTER(rawdata!$F$2:$F$3638,(rawdata!$A$2:$A$3638=transformed_data!$A156)*(rawdata!$C$2:$C$3638=transformed_data!D$1))</f>
        <v>2112822.5747000002</v>
      </c>
      <c r="E156" s="2" cm="1">
        <f t="array" ref="E156">SUM(-B156:D156,_xlfn._xlws.FILTER(rawdata!$F$2:$F$3638,(rawdata!$A$2:$A$3638=transformed_data!$A156)*(rawdata!$B$2:$B$3638="Total Marketable")))</f>
        <v>1727711.437655</v>
      </c>
      <c r="F156" s="2" cm="1">
        <f t="array" ref="F156">_xlfn._xlws.FILTER(rawdata!$F$2:$F$3638,(rawdata!$A$2:$A$3638=transformed_data!$A156)*(rawdata!$B$2:$B$3638="Total Nonmarketable"))</f>
        <v>6157012.1135335304</v>
      </c>
      <c r="G156" s="2" cm="1">
        <f t="array" ref="G156">_xlfn._xlws.FILTER(rawdata!$D$2:$D$3638,(rawdata!$A$2:$A$3638=transformed_data!$A156)*(rawdata!$B$2:$B$3638="Total Public Debt Outstanding"))</f>
        <v>15785389.162775701</v>
      </c>
      <c r="H156" s="2" cm="1">
        <f t="array" ref="H156">_xlfn._xlws.FILTER(rawdata!$E$2:$E$3638,(rawdata!$A$2:$A$3638=transformed_data!$A156)*(rawdata!$B$2:$B$3638="Total Public Debt Outstanding"))</f>
        <v>5673460.5317128403</v>
      </c>
      <c r="I156" s="2" cm="1">
        <f t="array" ref="I156">_xlfn._xlws.FILTER(rawdata!$F$2:$F$3638,(rawdata!$A$2:$A$3638=transformed_data!$A156)*(rawdata!$B$2:$B$3638="Total Public Debt Outstanding"))</f>
        <v>21458849.694488499</v>
      </c>
      <c r="K156" s="2"/>
      <c r="L156" s="2"/>
    </row>
    <row r="157" spans="1:12" x14ac:dyDescent="0.3">
      <c r="A157" s="1">
        <v>43373</v>
      </c>
      <c r="B157" s="2" cm="1">
        <f t="array" ref="B157">_xlfn._xlws.FILTER(rawdata!$F$2:$F$3638,(rawdata!$A$2:$A$3638=transformed_data!$A157)*(rawdata!$C$2:$C$3638=transformed_data!B$1))</f>
        <v>2239936.2821</v>
      </c>
      <c r="C157" s="2" cm="1">
        <f t="array" ref="C157">_xlfn._xlws.FILTER(rawdata!$F$2:$F$3638,(rawdata!$A$2:$A$3638=transformed_data!$A157)*(rawdata!$C$2:$C$3638=transformed_data!C$1))</f>
        <v>9154379.6796000004</v>
      </c>
      <c r="D157" s="2" cm="1">
        <f t="array" ref="D157">_xlfn._xlws.FILTER(rawdata!$F$2:$F$3638,(rawdata!$A$2:$A$3638=transformed_data!$A157)*(rawdata!$C$2:$C$3638=transformed_data!D$1))</f>
        <v>2127822.5328000002</v>
      </c>
      <c r="E157" s="2" cm="1">
        <f t="array" ref="E157">SUM(-B157:D157,_xlfn._xlws.FILTER(rawdata!$F$2:$F$3638,(rawdata!$A$2:$A$3638=transformed_data!$A157)*(rawdata!$B$2:$B$3638="Total Marketable")))</f>
        <v>1755906.7134860996</v>
      </c>
      <c r="F157" s="2" cm="1">
        <f t="array" ref="F157">_xlfn._xlws.FILTER(rawdata!$F$2:$F$3638,(rawdata!$A$2:$A$3638=transformed_data!$A157)*(rawdata!$B$2:$B$3638="Total Nonmarketable"))</f>
        <v>6238013.3711460298</v>
      </c>
      <c r="G157" s="2" cm="1">
        <f t="array" ref="G157">_xlfn._xlws.FILTER(rawdata!$D$2:$D$3638,(rawdata!$A$2:$A$3638=transformed_data!$A157)*(rawdata!$B$2:$B$3638="Total Public Debt Outstanding"))</f>
        <v>15761154.5218339</v>
      </c>
      <c r="H157" s="2" cm="1">
        <f t="array" ref="H157">_xlfn._xlws.FILTER(rawdata!$E$2:$E$3638,(rawdata!$A$2:$A$3638=transformed_data!$A157)*(rawdata!$B$2:$B$3638="Total Public Debt Outstanding"))</f>
        <v>5754904.1555752298</v>
      </c>
      <c r="I157" s="2" cm="1">
        <f t="array" ref="I157">_xlfn._xlws.FILTER(rawdata!$F$2:$F$3638,(rawdata!$A$2:$A$3638=transformed_data!$A157)*(rawdata!$B$2:$B$3638="Total Public Debt Outstanding"))</f>
        <v>21516057.579132099</v>
      </c>
      <c r="K157" s="2"/>
      <c r="L157" s="2"/>
    </row>
    <row r="158" spans="1:12" x14ac:dyDescent="0.3">
      <c r="A158" s="1">
        <v>43404</v>
      </c>
      <c r="B158" s="2" cm="1">
        <f t="array" ref="B158">_xlfn._xlws.FILTER(rawdata!$F$2:$F$3638,(rawdata!$A$2:$A$3638=transformed_data!$A158)*(rawdata!$C$2:$C$3638=transformed_data!B$1))</f>
        <v>2258001.4007000001</v>
      </c>
      <c r="C158" s="2" cm="1">
        <f t="array" ref="C158">_xlfn._xlws.FILTER(rawdata!$F$2:$F$3638,(rawdata!$A$2:$A$3638=transformed_data!$A158)*(rawdata!$C$2:$C$3638=transformed_data!C$1))</f>
        <v>9218210.1812999994</v>
      </c>
      <c r="D158" s="2" cm="1">
        <f t="array" ref="D158">_xlfn._xlws.FILTER(rawdata!$F$2:$F$3638,(rawdata!$A$2:$A$3638=transformed_data!$A158)*(rawdata!$C$2:$C$3638=transformed_data!D$1))</f>
        <v>2142822.2642999999</v>
      </c>
      <c r="E158" s="2" cm="1">
        <f t="array" ref="E158">SUM(-B158:D158,_xlfn._xlws.FILTER(rawdata!$F$2:$F$3638,(rawdata!$A$2:$A$3638=transformed_data!$A158)*(rawdata!$B$2:$B$3638="Total Marketable")))</f>
        <v>1738862.2718846016</v>
      </c>
      <c r="F158" s="2" cm="1">
        <f t="array" ref="F158">_xlfn._xlws.FILTER(rawdata!$F$2:$F$3638,(rawdata!$A$2:$A$3638=transformed_data!$A158)*(rawdata!$B$2:$B$3638="Total Nonmarketable"))</f>
        <v>6344473.6377339596</v>
      </c>
      <c r="G158" s="2" cm="1">
        <f t="array" ref="G158">_xlfn._xlws.FILTER(rawdata!$D$2:$D$3638,(rawdata!$A$2:$A$3638=transformed_data!$A158)*(rawdata!$B$2:$B$3638="Total Public Debt Outstanding"))</f>
        <v>15843329.298334099</v>
      </c>
      <c r="H158" s="2" cm="1">
        <f t="array" ref="H158">_xlfn._xlws.FILTER(rawdata!$E$2:$E$3638,(rawdata!$A$2:$A$3638=transformed_data!$A158)*(rawdata!$B$2:$B$3638="Total Public Debt Outstanding"))</f>
        <v>5859040.4575844798</v>
      </c>
      <c r="I158" s="2" cm="1">
        <f t="array" ref="I158">_xlfn._xlws.FILTER(rawdata!$F$2:$F$3638,(rawdata!$A$2:$A$3638=transformed_data!$A158)*(rawdata!$B$2:$B$3638="Total Public Debt Outstanding"))</f>
        <v>21702369.7559186</v>
      </c>
      <c r="K158" s="2"/>
      <c r="L158" s="2"/>
    </row>
    <row r="159" spans="1:12" x14ac:dyDescent="0.3">
      <c r="A159" s="1">
        <v>43434</v>
      </c>
      <c r="B159" s="2" cm="1">
        <f t="array" ref="B159">_xlfn._xlws.FILTER(rawdata!$F$2:$F$3638,(rawdata!$A$2:$A$3638=transformed_data!$A159)*(rawdata!$C$2:$C$3638=transformed_data!B$1))</f>
        <v>2389100.0967999999</v>
      </c>
      <c r="C159" s="2" cm="1">
        <f t="array" ref="C159">_xlfn._xlws.FILTER(rawdata!$F$2:$F$3638,(rawdata!$A$2:$A$3638=transformed_data!$A159)*(rawdata!$C$2:$C$3638=transformed_data!C$1))</f>
        <v>9240433.6325000003</v>
      </c>
      <c r="D159" s="2" cm="1">
        <f t="array" ref="D159">_xlfn._xlws.FILTER(rawdata!$F$2:$F$3638,(rawdata!$A$2:$A$3638=transformed_data!$A159)*(rawdata!$C$2:$C$3638=transformed_data!D$1))</f>
        <v>2158521.1729000001</v>
      </c>
      <c r="E159" s="2" cm="1">
        <f t="array" ref="E159">SUM(-B159:D159,_xlfn._xlws.FILTER(rawdata!$F$2:$F$3638,(rawdata!$A$2:$A$3638=transformed_data!$A159)*(rawdata!$B$2:$B$3638="Total Marketable")))</f>
        <v>1772054.2069132999</v>
      </c>
      <c r="F159" s="2" cm="1">
        <f t="array" ref="F159">_xlfn._xlws.FILTER(rawdata!$F$2:$F$3638,(rawdata!$A$2:$A$3638=transformed_data!$A159)*(rawdata!$B$2:$B$3638="Total Nonmarketable"))</f>
        <v>6289984.7683313601</v>
      </c>
      <c r="G159" s="2" cm="1">
        <f t="array" ref="G159">_xlfn._xlws.FILTER(rawdata!$D$2:$D$3638,(rawdata!$A$2:$A$3638=transformed_data!$A159)*(rawdata!$B$2:$B$3638="Total Public Debt Outstanding"))</f>
        <v>16044318.1919477</v>
      </c>
      <c r="H159" s="2" cm="1">
        <f t="array" ref="H159">_xlfn._xlws.FILTER(rawdata!$E$2:$E$3638,(rawdata!$A$2:$A$3638=transformed_data!$A159)*(rawdata!$B$2:$B$3638="Total Public Debt Outstanding"))</f>
        <v>5805775.6854969896</v>
      </c>
      <c r="I159" s="2" cm="1">
        <f t="array" ref="I159">_xlfn._xlws.FILTER(rawdata!$F$2:$F$3638,(rawdata!$A$2:$A$3638=transformed_data!$A159)*(rawdata!$B$2:$B$3638="Total Public Debt Outstanding"))</f>
        <v>21850093.877444699</v>
      </c>
      <c r="K159" s="2"/>
      <c r="L159" s="2"/>
    </row>
    <row r="160" spans="1:12" x14ac:dyDescent="0.3">
      <c r="A160" s="1">
        <v>43465</v>
      </c>
      <c r="B160" s="2" cm="1">
        <f t="array" ref="B160">_xlfn._xlws.FILTER(rawdata!$F$2:$F$3638,(rawdata!$A$2:$A$3638=transformed_data!$A160)*(rawdata!$C$2:$C$3638=transformed_data!B$1))</f>
        <v>2339992.5847</v>
      </c>
      <c r="C160" s="2" cm="1">
        <f t="array" ref="C160">_xlfn._xlws.FILTER(rawdata!$F$2:$F$3638,(rawdata!$A$2:$A$3638=transformed_data!$A160)*(rawdata!$C$2:$C$3638=transformed_data!C$1))</f>
        <v>9297047.4965000004</v>
      </c>
      <c r="D160" s="2" cm="1">
        <f t="array" ref="D160">_xlfn._xlws.FILTER(rawdata!$F$2:$F$3638,(rawdata!$A$2:$A$3638=transformed_data!$A160)*(rawdata!$C$2:$C$3638=transformed_data!D$1))</f>
        <v>2174521.1348000001</v>
      </c>
      <c r="E160" s="2" cm="1">
        <f t="array" ref="E160">SUM(-B160:D160,_xlfn._xlws.FILTER(rawdata!$F$2:$F$3638,(rawdata!$A$2:$A$3638=transformed_data!$A160)*(rawdata!$B$2:$B$3638="Total Marketable")))</f>
        <v>1806745.6975072008</v>
      </c>
      <c r="F160" s="2" cm="1">
        <f t="array" ref="F160">_xlfn._xlws.FILTER(rawdata!$F$2:$F$3638,(rawdata!$A$2:$A$3638=transformed_data!$A160)*(rawdata!$B$2:$B$3638="Total Nonmarketable"))</f>
        <v>6355788.8191729896</v>
      </c>
      <c r="G160" s="2" cm="1">
        <f t="array" ref="G160">_xlfn._xlws.FILTER(rawdata!$D$2:$D$3638,(rawdata!$A$2:$A$3638=transformed_data!$A160)*(rawdata!$B$2:$B$3638="Total Public Debt Outstanding"))</f>
        <v>16101666.5273713</v>
      </c>
      <c r="H160" s="2" cm="1">
        <f t="array" ref="H160">_xlfn._xlws.FILTER(rawdata!$E$2:$E$3638,(rawdata!$A$2:$A$3638=transformed_data!$A160)*(rawdata!$B$2:$B$3638="Total Public Debt Outstanding"))</f>
        <v>5872429.2053088704</v>
      </c>
      <c r="I160" s="2" cm="1">
        <f t="array" ref="I160">_xlfn._xlws.FILTER(rawdata!$F$2:$F$3638,(rawdata!$A$2:$A$3638=transformed_data!$A160)*(rawdata!$B$2:$B$3638="Total Public Debt Outstanding"))</f>
        <v>21974095.732680202</v>
      </c>
      <c r="K160" s="2"/>
      <c r="L160" s="2"/>
    </row>
    <row r="161" spans="1:12" x14ac:dyDescent="0.3">
      <c r="A161" s="1">
        <v>43496</v>
      </c>
      <c r="B161" s="2" cm="1">
        <f t="array" ref="B161">_xlfn._xlws.FILTER(rawdata!$F$2:$F$3638,(rawdata!$A$2:$A$3638=transformed_data!$A161)*(rawdata!$C$2:$C$3638=transformed_data!B$1))</f>
        <v>2299064.8783999998</v>
      </c>
      <c r="C161" s="2" cm="1">
        <f t="array" ref="C161">_xlfn._xlws.FILTER(rawdata!$F$2:$F$3638,(rawdata!$A$2:$A$3638=transformed_data!$A161)*(rawdata!$C$2:$C$3638=transformed_data!C$1))</f>
        <v>9355849.7375000007</v>
      </c>
      <c r="D161" s="2" cm="1">
        <f t="array" ref="D161">_xlfn._xlws.FILTER(rawdata!$F$2:$F$3638,(rawdata!$A$2:$A$3638=transformed_data!$A161)*(rawdata!$C$2:$C$3638=transformed_data!D$1))</f>
        <v>2190515.7075</v>
      </c>
      <c r="E161" s="2" cm="1">
        <f t="array" ref="E161">SUM(-B161:D161,_xlfn._xlws.FILTER(rawdata!$F$2:$F$3638,(rawdata!$A$2:$A$3638=transformed_data!$A161)*(rawdata!$B$2:$B$3638="Total Marketable")))</f>
        <v>1774416.9066423997</v>
      </c>
      <c r="F161" s="2" cm="1">
        <f t="array" ref="F161">_xlfn._xlws.FILTER(rawdata!$F$2:$F$3638,(rawdata!$A$2:$A$3638=transformed_data!$A161)*(rawdata!$B$2:$B$3638="Total Nonmarketable"))</f>
        <v>6362575.8029370001</v>
      </c>
      <c r="G161" s="2" cm="1">
        <f t="array" ref="G161">_xlfn._xlws.FILTER(rawdata!$D$2:$D$3638,(rawdata!$A$2:$A$3638=transformed_data!$A161)*(rawdata!$B$2:$B$3638="Total Public Debt Outstanding"))</f>
        <v>16101226.7883921</v>
      </c>
      <c r="H161" s="2" cm="1">
        <f t="array" ref="H161">_xlfn._xlws.FILTER(rawdata!$E$2:$E$3638,(rawdata!$A$2:$A$3638=transformed_data!$A161)*(rawdata!$B$2:$B$3638="Total Public Debt Outstanding"))</f>
        <v>5881196.2445873599</v>
      </c>
      <c r="I161" s="2" cm="1">
        <f t="array" ref="I161">_xlfn._xlws.FILTER(rawdata!$F$2:$F$3638,(rawdata!$A$2:$A$3638=transformed_data!$A161)*(rawdata!$B$2:$B$3638="Total Public Debt Outstanding"))</f>
        <v>21982423.032979399</v>
      </c>
      <c r="K161" s="2"/>
      <c r="L161" s="2"/>
    </row>
    <row r="162" spans="1:12" x14ac:dyDescent="0.3">
      <c r="A162" s="1">
        <v>43524</v>
      </c>
      <c r="B162" s="2" cm="1">
        <f t="array" ref="B162">_xlfn._xlws.FILTER(rawdata!$F$2:$F$3638,(rawdata!$A$2:$A$3638=transformed_data!$A162)*(rawdata!$C$2:$C$3638=transformed_data!B$1))</f>
        <v>2396041.9429000001</v>
      </c>
      <c r="C162" s="2" cm="1">
        <f t="array" ref="C162">_xlfn._xlws.FILTER(rawdata!$F$2:$F$3638,(rawdata!$A$2:$A$3638=transformed_data!$A162)*(rawdata!$C$2:$C$3638=transformed_data!C$1))</f>
        <v>9376271.0765999891</v>
      </c>
      <c r="D162" s="2" cm="1">
        <f t="array" ref="D162">_xlfn._xlws.FILTER(rawdata!$F$2:$F$3638,(rawdata!$A$2:$A$3638=transformed_data!$A162)*(rawdata!$C$2:$C$3638=transformed_data!D$1))</f>
        <v>2200999.8032</v>
      </c>
      <c r="E162" s="2" cm="1">
        <f t="array" ref="E162">SUM(-B162:D162,_xlfn._xlws.FILTER(rawdata!$F$2:$F$3638,(rawdata!$A$2:$A$3638=transformed_data!$A162)*(rawdata!$B$2:$B$3638="Total Marketable")))</f>
        <v>1796363.8813185096</v>
      </c>
      <c r="F162" s="2" cm="1">
        <f t="array" ref="F162">_xlfn._xlws.FILTER(rawdata!$F$2:$F$3638,(rawdata!$A$2:$A$3638=transformed_data!$A162)*(rawdata!$B$2:$B$3638="Total Nonmarketable"))</f>
        <v>6345849.7415814605</v>
      </c>
      <c r="G162" s="2" cm="1">
        <f t="array" ref="G162">_xlfn._xlws.FILTER(rawdata!$D$2:$D$3638,(rawdata!$A$2:$A$3638=transformed_data!$A162)*(rawdata!$B$2:$B$3638="Total Public Debt Outstanding"))</f>
        <v>16250898.044729199</v>
      </c>
      <c r="H162" s="2" cm="1">
        <f t="array" ref="H162">_xlfn._xlws.FILTER(rawdata!$E$2:$E$3638,(rawdata!$A$2:$A$3638=transformed_data!$A162)*(rawdata!$B$2:$B$3638="Total Public Debt Outstanding"))</f>
        <v>5864628.4008707302</v>
      </c>
      <c r="I162" s="2" cm="1">
        <f t="array" ref="I162">_xlfn._xlws.FILTER(rawdata!$F$2:$F$3638,(rawdata!$A$2:$A$3638=transformed_data!$A162)*(rawdata!$B$2:$B$3638="Total Public Debt Outstanding"))</f>
        <v>22115526.445599999</v>
      </c>
      <c r="K162" s="2"/>
      <c r="L162" s="2"/>
    </row>
    <row r="163" spans="1:12" x14ac:dyDescent="0.3">
      <c r="A163" s="1">
        <v>43555</v>
      </c>
      <c r="B163" s="2" cm="1">
        <f t="array" ref="B163">_xlfn._xlws.FILTER(rawdata!$F$2:$F$3638,(rawdata!$A$2:$A$3638=transformed_data!$A163)*(rawdata!$C$2:$C$3638=transformed_data!B$1))</f>
        <v>2480035.1888000001</v>
      </c>
      <c r="C163" s="2" cm="1">
        <f t="array" ref="C163">_xlfn._xlws.FILTER(rawdata!$F$2:$F$3638,(rawdata!$A$2:$A$3638=transformed_data!$A163)*(rawdata!$C$2:$C$3638=transformed_data!C$1))</f>
        <v>9414269.8446999993</v>
      </c>
      <c r="D163" s="2" cm="1">
        <f t="array" ref="D163">_xlfn._xlws.FILTER(rawdata!$F$2:$F$3638,(rawdata!$A$2:$A$3638=transformed_data!$A163)*(rawdata!$C$2:$C$3638=transformed_data!D$1))</f>
        <v>2216999.6079000002</v>
      </c>
      <c r="E163" s="2" cm="1">
        <f t="array" ref="E163">SUM(-B163:D163,_xlfn._xlws.FILTER(rawdata!$F$2:$F$3638,(rawdata!$A$2:$A$3638=transformed_data!$A163)*(rawdata!$B$2:$B$3638="Total Marketable")))</f>
        <v>1827593.5941616017</v>
      </c>
      <c r="F163" s="2" cm="1">
        <f t="array" ref="F163">_xlfn._xlws.FILTER(rawdata!$F$2:$F$3638,(rawdata!$A$2:$A$3638=transformed_data!$A163)*(rawdata!$B$2:$B$3638="Total Nonmarketable"))</f>
        <v>6088982.3836253602</v>
      </c>
      <c r="G163" s="2" cm="1">
        <f t="array" ref="G163">_xlfn._xlws.FILTER(rawdata!$D$2:$D$3638,(rawdata!$A$2:$A$3638=transformed_data!$A163)*(rawdata!$B$2:$B$3638="Total Public Debt Outstanding"))</f>
        <v>16204392.012154501</v>
      </c>
      <c r="H163" s="2" cm="1">
        <f t="array" ref="H163">_xlfn._xlws.FILTER(rawdata!$E$2:$E$3638,(rawdata!$A$2:$A$3638=transformed_data!$A163)*(rawdata!$B$2:$B$3638="Total Public Debt Outstanding"))</f>
        <v>5823487.6070324201</v>
      </c>
      <c r="I163" s="2" cm="1">
        <f t="array" ref="I163">_xlfn._xlws.FILTER(rawdata!$F$2:$F$3638,(rawdata!$A$2:$A$3638=transformed_data!$A163)*(rawdata!$B$2:$B$3638="Total Public Debt Outstanding"))</f>
        <v>22027879.619186901</v>
      </c>
      <c r="K163" s="2"/>
      <c r="L163" s="2"/>
    </row>
    <row r="164" spans="1:12" x14ac:dyDescent="0.3">
      <c r="A164" s="1">
        <v>43585</v>
      </c>
      <c r="B164" s="2" cm="1">
        <f t="array" ref="B164">_xlfn._xlws.FILTER(rawdata!$F$2:$F$3638,(rawdata!$A$2:$A$3638=transformed_data!$A164)*(rawdata!$C$2:$C$3638=transformed_data!B$1))</f>
        <v>2383993.1211000001</v>
      </c>
      <c r="C164" s="2" cm="1">
        <f t="array" ref="C164">_xlfn._xlws.FILTER(rawdata!$F$2:$F$3638,(rawdata!$A$2:$A$3638=transformed_data!$A164)*(rawdata!$C$2:$C$3638=transformed_data!C$1))</f>
        <v>9491388.6872999892</v>
      </c>
      <c r="D164" s="2" cm="1">
        <f t="array" ref="D164">_xlfn._xlws.FILTER(rawdata!$F$2:$F$3638,(rawdata!$A$2:$A$3638=transformed_data!$A164)*(rawdata!$C$2:$C$3638=transformed_data!D$1))</f>
        <v>2233001.5641999999</v>
      </c>
      <c r="E164" s="2" cm="1">
        <f t="array" ref="E164">SUM(-B164:D164,_xlfn._xlws.FILTER(rawdata!$F$2:$F$3638,(rawdata!$A$2:$A$3638=transformed_data!$A164)*(rawdata!$B$2:$B$3638="Total Marketable")))</f>
        <v>1772528.20382821</v>
      </c>
      <c r="F164" s="2" cm="1">
        <f t="array" ref="F164">_xlfn._xlws.FILTER(rawdata!$F$2:$F$3638,(rawdata!$A$2:$A$3638=transformed_data!$A164)*(rawdata!$B$2:$B$3638="Total Nonmarketable"))</f>
        <v>6146757.1823082799</v>
      </c>
      <c r="G164" s="2" cm="1">
        <f t="array" ref="G164">_xlfn._xlws.FILTER(rawdata!$D$2:$D$3638,(rawdata!$A$2:$A$3638=transformed_data!$A164)*(rawdata!$B$2:$B$3638="Total Public Debt Outstanding"))</f>
        <v>16192789.389691601</v>
      </c>
      <c r="H164" s="2" cm="1">
        <f t="array" ref="H164">_xlfn._xlws.FILTER(rawdata!$E$2:$E$3638,(rawdata!$A$2:$A$3638=transformed_data!$A164)*(rawdata!$B$2:$B$3638="Total Public Debt Outstanding"))</f>
        <v>5834879.3690448599</v>
      </c>
      <c r="I164" s="2" cm="1">
        <f t="array" ref="I164">_xlfn._xlws.FILTER(rawdata!$F$2:$F$3638,(rawdata!$A$2:$A$3638=transformed_data!$A164)*(rawdata!$B$2:$B$3638="Total Public Debt Outstanding"))</f>
        <v>22027667.758736499</v>
      </c>
      <c r="K164" s="2"/>
      <c r="L164" s="2"/>
    </row>
    <row r="165" spans="1:12" x14ac:dyDescent="0.3">
      <c r="A165" s="1">
        <v>43616</v>
      </c>
      <c r="B165" s="2" cm="1">
        <f t="array" ref="B165">_xlfn._xlws.FILTER(rawdata!$F$2:$F$3638,(rawdata!$A$2:$A$3638=transformed_data!$A165)*(rawdata!$C$2:$C$3638=transformed_data!B$1))</f>
        <v>2353946.2359000002</v>
      </c>
      <c r="C165" s="2" cm="1">
        <f t="array" ref="C165">_xlfn._xlws.FILTER(rawdata!$F$2:$F$3638,(rawdata!$A$2:$A$3638=transformed_data!$A165)*(rawdata!$C$2:$C$3638=transformed_data!C$1))</f>
        <v>9516392.1121999901</v>
      </c>
      <c r="D165" s="2" cm="1">
        <f t="array" ref="D165">_xlfn._xlws.FILTER(rawdata!$F$2:$F$3638,(rawdata!$A$2:$A$3638=transformed_data!$A165)*(rawdata!$C$2:$C$3638=transformed_data!D$1))</f>
        <v>2258474.0521</v>
      </c>
      <c r="E165" s="2" cm="1">
        <f t="array" ref="E165">SUM(-B165:D165,_xlfn._xlws.FILTER(rawdata!$F$2:$F$3638,(rawdata!$A$2:$A$3638=transformed_data!$A165)*(rawdata!$B$2:$B$3638="Total Marketable")))</f>
        <v>1812438.7316504084</v>
      </c>
      <c r="F165" s="2" cm="1">
        <f t="array" ref="F165">_xlfn._xlws.FILTER(rawdata!$F$2:$F$3638,(rawdata!$A$2:$A$3638=transformed_data!$A165)*(rawdata!$B$2:$B$3638="Total Nonmarketable"))</f>
        <v>6085173.3043917501</v>
      </c>
      <c r="G165" s="2" cm="1">
        <f t="array" ref="G165">_xlfn._xlws.FILTER(rawdata!$D$2:$D$3638,(rawdata!$A$2:$A$3638=transformed_data!$A165)*(rawdata!$B$2:$B$3638="Total Public Debt Outstanding"))</f>
        <v>16202283.336054999</v>
      </c>
      <c r="H165" s="2" cm="1">
        <f t="array" ref="H165">_xlfn._xlws.FILTER(rawdata!$E$2:$E$3638,(rawdata!$A$2:$A$3638=transformed_data!$A165)*(rawdata!$B$2:$B$3638="Total Public Debt Outstanding"))</f>
        <v>5824141.1001871703</v>
      </c>
      <c r="I165" s="2" cm="1">
        <f t="array" ref="I165">_xlfn._xlws.FILTER(rawdata!$F$2:$F$3638,(rawdata!$A$2:$A$3638=transformed_data!$A165)*(rawdata!$B$2:$B$3638="Total Public Debt Outstanding"))</f>
        <v>22026424.4362422</v>
      </c>
      <c r="K165" s="2"/>
      <c r="L165" s="2"/>
    </row>
    <row r="166" spans="1:12" x14ac:dyDescent="0.3">
      <c r="A166" s="1">
        <v>43646</v>
      </c>
      <c r="B166" s="2" cm="1">
        <f t="array" ref="B166">_xlfn._xlws.FILTER(rawdata!$F$2:$F$3638,(rawdata!$A$2:$A$3638=transformed_data!$A166)*(rawdata!$C$2:$C$3638=transformed_data!B$1))</f>
        <v>2250933.8631000002</v>
      </c>
      <c r="C166" s="2" cm="1">
        <f t="array" ref="C166">_xlfn._xlws.FILTER(rawdata!$F$2:$F$3638,(rawdata!$A$2:$A$3638=transformed_data!$A166)*(rawdata!$C$2:$C$3638=transformed_data!C$1))</f>
        <v>9554416.6458000001</v>
      </c>
      <c r="D166" s="2" cm="1">
        <f t="array" ref="D166">_xlfn._xlws.FILTER(rawdata!$F$2:$F$3638,(rawdata!$A$2:$A$3638=transformed_data!$A166)*(rawdata!$C$2:$C$3638=transformed_data!D$1))</f>
        <v>2274473.6428499999</v>
      </c>
      <c r="E166" s="2" cm="1">
        <f t="array" ref="E166">SUM(-B166:D166,_xlfn._xlws.FILTER(rawdata!$F$2:$F$3638,(rawdata!$A$2:$A$3638=transformed_data!$A166)*(rawdata!$B$2:$B$3638="Total Marketable")))</f>
        <v>1851075.291739</v>
      </c>
      <c r="F166" s="2" cm="1">
        <f t="array" ref="F166">_xlfn._xlws.FILTER(rawdata!$F$2:$F$3638,(rawdata!$A$2:$A$3638=transformed_data!$A166)*(rawdata!$B$2:$B$3638="Total Nonmarketable"))</f>
        <v>6092383.2013619104</v>
      </c>
      <c r="G166" s="2" cm="1">
        <f t="array" ref="G166">_xlfn._xlws.FILTER(rawdata!$D$2:$D$3638,(rawdata!$A$2:$A$3638=transformed_data!$A166)*(rawdata!$B$2:$B$3638="Total Public Debt Outstanding"))</f>
        <v>16188422.0742102</v>
      </c>
      <c r="H166" s="2" cm="1">
        <f t="array" ref="H166">_xlfn._xlws.FILTER(rawdata!$E$2:$E$3638,(rawdata!$A$2:$A$3638=transformed_data!$A166)*(rawdata!$B$2:$B$3638="Total Public Debt Outstanding"))</f>
        <v>5834860.57064074</v>
      </c>
      <c r="I166" s="2" cm="1">
        <f t="array" ref="I166">_xlfn._xlws.FILTER(rawdata!$F$2:$F$3638,(rawdata!$A$2:$A$3638=transformed_data!$A166)*(rawdata!$B$2:$B$3638="Total Public Debt Outstanding"))</f>
        <v>22023282.644850999</v>
      </c>
      <c r="K166" s="2"/>
      <c r="L166" s="2"/>
    </row>
    <row r="167" spans="1:12" x14ac:dyDescent="0.3">
      <c r="A167" s="1">
        <v>43677</v>
      </c>
      <c r="B167" s="2" cm="1">
        <f t="array" ref="B167">_xlfn._xlws.FILTER(rawdata!$F$2:$F$3638,(rawdata!$A$2:$A$3638=transformed_data!$A167)*(rawdata!$C$2:$C$3638=transformed_data!B$1))</f>
        <v>2205896.8459999999</v>
      </c>
      <c r="C167" s="2" cm="1">
        <f t="array" ref="C167">_xlfn._xlws.FILTER(rawdata!$F$2:$F$3638,(rawdata!$A$2:$A$3638=transformed_data!$A167)*(rawdata!$C$2:$C$3638=transformed_data!C$1))</f>
        <v>9642221.1373999901</v>
      </c>
      <c r="D167" s="2" cm="1">
        <f t="array" ref="D167">_xlfn._xlws.FILTER(rawdata!$F$2:$F$3638,(rawdata!$A$2:$A$3638=transformed_data!$A167)*(rawdata!$C$2:$C$3638=transformed_data!D$1))</f>
        <v>2290609.6382499998</v>
      </c>
      <c r="E167" s="2" cm="1">
        <f t="array" ref="E167">SUM(-B167:D167,_xlfn._xlws.FILTER(rawdata!$F$2:$F$3638,(rawdata!$A$2:$A$3638=transformed_data!$A167)*(rawdata!$B$2:$B$3638="Total Marketable")))</f>
        <v>1829412.7762099076</v>
      </c>
      <c r="F167" s="2" cm="1">
        <f t="array" ref="F167">_xlfn._xlws.FILTER(rawdata!$F$2:$F$3638,(rawdata!$A$2:$A$3638=transformed_data!$A167)*(rawdata!$B$2:$B$3638="Total Nonmarketable"))</f>
        <v>6054227.93584025</v>
      </c>
      <c r="G167" s="2" cm="1">
        <f t="array" ref="G167">_xlfn._xlws.FILTER(rawdata!$D$2:$D$3638,(rawdata!$A$2:$A$3638=transformed_data!$A167)*(rawdata!$B$2:$B$3638="Total Public Debt Outstanding"))</f>
        <v>16211185.0174034</v>
      </c>
      <c r="H167" s="2" cm="1">
        <f t="array" ref="H167">_xlfn._xlws.FILTER(rawdata!$E$2:$E$3638,(rawdata!$A$2:$A$3638=transformed_data!$A167)*(rawdata!$B$2:$B$3638="Total Public Debt Outstanding"))</f>
        <v>5811184.3162967497</v>
      </c>
      <c r="I167" s="2" cm="1">
        <f t="array" ref="I167">_xlfn._xlws.FILTER(rawdata!$F$2:$F$3638,(rawdata!$A$2:$A$3638=transformed_data!$A167)*(rawdata!$B$2:$B$3638="Total Public Debt Outstanding"))</f>
        <v>22022369.333700102</v>
      </c>
      <c r="K167" s="2"/>
      <c r="L167" s="2"/>
    </row>
    <row r="168" spans="1:12" x14ac:dyDescent="0.3">
      <c r="A168" s="1">
        <v>43708</v>
      </c>
      <c r="B168" s="2" cm="1">
        <f t="array" ref="B168">_xlfn._xlws.FILTER(rawdata!$F$2:$F$3638,(rawdata!$A$2:$A$3638=transformed_data!$A168)*(rawdata!$C$2:$C$3638=transformed_data!B$1))</f>
        <v>2331915.1312000002</v>
      </c>
      <c r="C168" s="2" cm="1">
        <f t="array" ref="C168">_xlfn._xlws.FILTER(rawdata!$F$2:$F$3638,(rawdata!$A$2:$A$3638=transformed_data!$A168)*(rawdata!$C$2:$C$3638=transformed_data!C$1))</f>
        <v>9656422.1655999999</v>
      </c>
      <c r="D168" s="2" cm="1">
        <f t="array" ref="D168">_xlfn._xlws.FILTER(rawdata!$F$2:$F$3638,(rawdata!$A$2:$A$3638=transformed_data!$A168)*(rawdata!$C$2:$C$3638=transformed_data!D$1))</f>
        <v>2303067.20205</v>
      </c>
      <c r="E168" s="2" cm="1">
        <f t="array" ref="E168">SUM(-B168:D168,_xlfn._xlws.FILTER(rawdata!$F$2:$F$3638,(rawdata!$A$2:$A$3638=transformed_data!$A168)*(rawdata!$B$2:$B$3638="Total Marketable")))</f>
        <v>1854902.4189974982</v>
      </c>
      <c r="F168" s="2" cm="1">
        <f t="array" ref="F168">_xlfn._xlws.FILTER(rawdata!$F$2:$F$3638,(rawdata!$A$2:$A$3638=transformed_data!$A168)*(rawdata!$B$2:$B$3638="Total Nonmarketable"))</f>
        <v>6314159.7556045596</v>
      </c>
      <c r="G168" s="2" cm="1">
        <f t="array" ref="G168">_xlfn._xlws.FILTER(rawdata!$D$2:$D$3638,(rawdata!$A$2:$A$3638=transformed_data!$A168)*(rawdata!$B$2:$B$3638="Total Public Debt Outstanding"))</f>
        <v>16596815.637760401</v>
      </c>
      <c r="H168" s="2" cm="1">
        <f t="array" ref="H168">_xlfn._xlws.FILTER(rawdata!$E$2:$E$3638,(rawdata!$A$2:$A$3638=transformed_data!$A168)*(rawdata!$B$2:$B$3638="Total Public Debt Outstanding"))</f>
        <v>5863651.0356916301</v>
      </c>
      <c r="I168" s="2" cm="1">
        <f t="array" ref="I168">_xlfn._xlws.FILTER(rawdata!$F$2:$F$3638,(rawdata!$A$2:$A$3638=transformed_data!$A168)*(rawdata!$B$2:$B$3638="Total Public Debt Outstanding"))</f>
        <v>22460466.673452001</v>
      </c>
      <c r="K168" s="2"/>
      <c r="L168" s="2"/>
    </row>
    <row r="169" spans="1:12" x14ac:dyDescent="0.3">
      <c r="A169" s="1">
        <v>43738</v>
      </c>
      <c r="B169" s="2" cm="1">
        <f t="array" ref="B169">_xlfn._xlws.FILTER(rawdata!$F$2:$F$3638,(rawdata!$A$2:$A$3638=transformed_data!$A169)*(rawdata!$C$2:$C$3638=transformed_data!B$1))</f>
        <v>2376957.9278000002</v>
      </c>
      <c r="C169" s="2" cm="1">
        <f t="array" ref="C169">_xlfn._xlws.FILTER(rawdata!$F$2:$F$3638,(rawdata!$A$2:$A$3638=transformed_data!$A169)*(rawdata!$C$2:$C$3638=transformed_data!C$1))</f>
        <v>9762783.7637999896</v>
      </c>
      <c r="D169" s="2" cm="1">
        <f t="array" ref="D169">_xlfn._xlws.FILTER(rawdata!$F$2:$F$3638,(rawdata!$A$2:$A$3638=transformed_data!$A169)*(rawdata!$C$2:$C$3638=transformed_data!D$1))</f>
        <v>2319064.9882499999</v>
      </c>
      <c r="E169" s="2" cm="1">
        <f t="array" ref="E169">SUM(-B169:D169,_xlfn._xlws.FILTER(rawdata!$F$2:$F$3638,(rawdata!$A$2:$A$3638=transformed_data!$A169)*(rawdata!$B$2:$B$3638="Total Marketable")))</f>
        <v>1888533.6311671101</v>
      </c>
      <c r="F169" s="2" cm="1">
        <f t="array" ref="F169">_xlfn._xlws.FILTER(rawdata!$F$2:$F$3638,(rawdata!$A$2:$A$3638=transformed_data!$A169)*(rawdata!$B$2:$B$3638="Total Nonmarketable"))</f>
        <v>6372061.0241382401</v>
      </c>
      <c r="G169" s="2" cm="1">
        <f t="array" ref="G169">_xlfn._xlws.FILTER(rawdata!$D$2:$D$3638,(rawdata!$A$2:$A$3638=transformed_data!$A169)*(rawdata!$B$2:$B$3638="Total Public Debt Outstanding"))</f>
        <v>16809092.334793098</v>
      </c>
      <c r="H169" s="2" cm="1">
        <f t="array" ref="H169">_xlfn._xlws.FILTER(rawdata!$E$2:$E$3638,(rawdata!$A$2:$A$3638=transformed_data!$A169)*(rawdata!$B$2:$B$3638="Total Public Debt Outstanding"))</f>
        <v>5910309.00036225</v>
      </c>
      <c r="I169" s="2" cm="1">
        <f t="array" ref="I169">_xlfn._xlws.FILTER(rawdata!$F$2:$F$3638,(rawdata!$A$2:$A$3638=transformed_data!$A169)*(rawdata!$B$2:$B$3638="Total Public Debt Outstanding"))</f>
        <v>22719402.335155301</v>
      </c>
      <c r="K169" s="2"/>
      <c r="L169" s="2"/>
    </row>
    <row r="170" spans="1:12" x14ac:dyDescent="0.3">
      <c r="A170" s="1">
        <v>43769</v>
      </c>
      <c r="B170" s="2" cm="1">
        <f t="array" ref="B170">_xlfn._xlws.FILTER(rawdata!$F$2:$F$3638,(rawdata!$A$2:$A$3638=transformed_data!$A170)*(rawdata!$C$2:$C$3638=transformed_data!B$1))</f>
        <v>2456075.3764</v>
      </c>
      <c r="C170" s="2" cm="1">
        <f t="array" ref="C170">_xlfn._xlws.FILTER(rawdata!$F$2:$F$3638,(rawdata!$A$2:$A$3638=transformed_data!$A170)*(rawdata!$C$2:$C$3638=transformed_data!C$1))</f>
        <v>9834945.2884</v>
      </c>
      <c r="D170" s="2" cm="1">
        <f t="array" ref="D170">_xlfn._xlws.FILTER(rawdata!$F$2:$F$3638,(rawdata!$A$2:$A$3638=transformed_data!$A170)*(rawdata!$C$2:$C$3638=transformed_data!D$1))</f>
        <v>2335064.7870499999</v>
      </c>
      <c r="E170" s="2" cm="1">
        <f t="array" ref="E170">SUM(-B170:D170,_xlfn._xlws.FILTER(rawdata!$F$2:$F$3638,(rawdata!$A$2:$A$3638=transformed_data!$A170)*(rawdata!$B$2:$B$3638="Total Marketable")))</f>
        <v>1888038.2490219008</v>
      </c>
      <c r="F170" s="2" cm="1">
        <f t="array" ref="F170">_xlfn._xlws.FILTER(rawdata!$F$2:$F$3638,(rawdata!$A$2:$A$3638=transformed_data!$A170)*(rawdata!$B$2:$B$3638="Total Nonmarketable"))</f>
        <v>6494285.5534850899</v>
      </c>
      <c r="G170" s="2" cm="1">
        <f t="array" ref="G170">_xlfn._xlws.FILTER(rawdata!$D$2:$D$3638,(rawdata!$A$2:$A$3638=transformed_data!$A170)*(rawdata!$B$2:$B$3638="Total Public Debt Outstanding"))</f>
        <v>16981310.6052294</v>
      </c>
      <c r="H170" s="2" cm="1">
        <f t="array" ref="H170">_xlfn._xlws.FILTER(rawdata!$E$2:$E$3638,(rawdata!$A$2:$A$3638=transformed_data!$A170)*(rawdata!$B$2:$B$3638="Total Public Debt Outstanding"))</f>
        <v>6027098.6491275001</v>
      </c>
      <c r="I170" s="2" cm="1">
        <f t="array" ref="I170">_xlfn._xlws.FILTER(rawdata!$F$2:$F$3638,(rawdata!$A$2:$A$3638=transformed_data!$A170)*(rawdata!$B$2:$B$3638="Total Public Debt Outstanding"))</f>
        <v>23008410.254356999</v>
      </c>
      <c r="K170" s="2"/>
      <c r="L170" s="2"/>
    </row>
    <row r="171" spans="1:12" x14ac:dyDescent="0.3">
      <c r="A171" s="1">
        <v>43799</v>
      </c>
      <c r="B171" s="2" cm="1">
        <f t="array" ref="B171">_xlfn._xlws.FILTER(rawdata!$F$2:$F$3638,(rawdata!$A$2:$A$3638=transformed_data!$A171)*(rawdata!$C$2:$C$3638=transformed_data!B$1))</f>
        <v>2515128.0787999998</v>
      </c>
      <c r="C171" s="2" cm="1">
        <f t="array" ref="C171">_xlfn._xlws.FILTER(rawdata!$F$2:$F$3638,(rawdata!$A$2:$A$3638=transformed_data!$A171)*(rawdata!$C$2:$C$3638=transformed_data!C$1))</f>
        <v>9830428.8082999997</v>
      </c>
      <c r="D171" s="2" cm="1">
        <f t="array" ref="D171">_xlfn._xlws.FILTER(rawdata!$F$2:$F$3638,(rawdata!$A$2:$A$3638=transformed_data!$A171)*(rawdata!$C$2:$C$3638=transformed_data!D$1))</f>
        <v>2363058.4257499999</v>
      </c>
      <c r="E171" s="2" cm="1">
        <f t="array" ref="E171">SUM(-B171:D171,_xlfn._xlws.FILTER(rawdata!$F$2:$F$3638,(rawdata!$A$2:$A$3638=transformed_data!$A171)*(rawdata!$B$2:$B$3638="Total Marketable")))</f>
        <v>1919129.9592025001</v>
      </c>
      <c r="F171" s="2" cm="1">
        <f t="array" ref="F171">_xlfn._xlws.FILTER(rawdata!$F$2:$F$3638,(rawdata!$A$2:$A$3638=transformed_data!$A171)*(rawdata!$B$2:$B$3638="Total Nonmarketable"))</f>
        <v>6448454.1294599799</v>
      </c>
      <c r="G171" s="2" cm="1">
        <f t="array" ref="G171">_xlfn._xlws.FILTER(rawdata!$D$2:$D$3638,(rawdata!$A$2:$A$3638=transformed_data!$A171)*(rawdata!$B$2:$B$3638="Total Public Debt Outstanding"))</f>
        <v>17105420.786741</v>
      </c>
      <c r="H171" s="2" cm="1">
        <f t="array" ref="H171">_xlfn._xlws.FILTER(rawdata!$E$2:$E$3638,(rawdata!$A$2:$A$3638=transformed_data!$A171)*(rawdata!$B$2:$B$3638="Total Public Debt Outstanding"))</f>
        <v>5970777.6147715002</v>
      </c>
      <c r="I171" s="2" cm="1">
        <f t="array" ref="I171">_xlfn._xlws.FILTER(rawdata!$F$2:$F$3638,(rawdata!$A$2:$A$3638=transformed_data!$A171)*(rawdata!$B$2:$B$3638="Total Public Debt Outstanding"))</f>
        <v>23076199.4015125</v>
      </c>
      <c r="K171" s="2"/>
      <c r="L171" s="2"/>
    </row>
    <row r="172" spans="1:12" x14ac:dyDescent="0.3">
      <c r="A172" s="1">
        <v>43830</v>
      </c>
      <c r="B172" s="2" cm="1">
        <f t="array" ref="B172">_xlfn._xlws.FILTER(rawdata!$F$2:$F$3638,(rawdata!$A$2:$A$3638=transformed_data!$A172)*(rawdata!$C$2:$C$3638=transformed_data!B$1))</f>
        <v>2416864.2230000002</v>
      </c>
      <c r="C172" s="2" cm="1">
        <f t="array" ref="C172">_xlfn._xlws.FILTER(rawdata!$F$2:$F$3638,(rawdata!$A$2:$A$3638=transformed_data!$A172)*(rawdata!$C$2:$C$3638=transformed_data!C$1))</f>
        <v>9929230.5972999893</v>
      </c>
      <c r="D172" s="2" cm="1">
        <f t="array" ref="D172">_xlfn._xlws.FILTER(rawdata!$F$2:$F$3638,(rawdata!$A$2:$A$3638=transformed_data!$A172)*(rawdata!$C$2:$C$3638=transformed_data!D$1))</f>
        <v>2379057.2348500001</v>
      </c>
      <c r="E172" s="2" cm="1">
        <f t="array" ref="E172">SUM(-B172:D172,_xlfn._xlws.FILTER(rawdata!$F$2:$F$3638,(rawdata!$A$2:$A$3638=transformed_data!$A172)*(rawdata!$B$2:$B$3638="Total Marketable")))</f>
        <v>1956984.0915530082</v>
      </c>
      <c r="F172" s="2" cm="1">
        <f t="array" ref="F172">_xlfn._xlws.FILTER(rawdata!$F$2:$F$3638,(rawdata!$A$2:$A$3638=transformed_data!$A172)*(rawdata!$B$2:$B$3638="Total Nonmarketable"))</f>
        <v>6519244.0205316199</v>
      </c>
      <c r="G172" s="2" cm="1">
        <f t="array" ref="G172">_xlfn._xlws.FILTER(rawdata!$D$2:$D$3638,(rawdata!$A$2:$A$3638=transformed_data!$A172)*(rawdata!$B$2:$B$3638="Total Public Debt Outstanding"))</f>
        <v>17170441.5200595</v>
      </c>
      <c r="H172" s="2" cm="1">
        <f t="array" ref="H172">_xlfn._xlws.FILTER(rawdata!$E$2:$E$3638,(rawdata!$A$2:$A$3638=transformed_data!$A172)*(rawdata!$B$2:$B$3638="Total Public Debt Outstanding"))</f>
        <v>6030937.6471751798</v>
      </c>
      <c r="I172" s="2" cm="1">
        <f t="array" ref="I172">_xlfn._xlws.FILTER(rawdata!$F$2:$F$3638,(rawdata!$A$2:$A$3638=transformed_data!$A172)*(rawdata!$B$2:$B$3638="Total Public Debt Outstanding"))</f>
        <v>23201380.1672346</v>
      </c>
      <c r="K172" s="2"/>
      <c r="L172" s="2"/>
    </row>
    <row r="173" spans="1:12" x14ac:dyDescent="0.3">
      <c r="A173" s="1">
        <v>43861</v>
      </c>
      <c r="B173" s="2" cm="1">
        <f t="array" ref="B173">_xlfn._xlws.FILTER(rawdata!$F$2:$F$3638,(rawdata!$A$2:$A$3638=transformed_data!$A173)*(rawdata!$C$2:$C$3638=transformed_data!B$1))</f>
        <v>2404290.7659</v>
      </c>
      <c r="C173" s="2" cm="1">
        <f t="array" ref="C173">_xlfn._xlws.FILTER(rawdata!$F$2:$F$3638,(rawdata!$A$2:$A$3638=transformed_data!$A173)*(rawdata!$C$2:$C$3638=transformed_data!C$1))</f>
        <v>9998735.9517000001</v>
      </c>
      <c r="D173" s="2" cm="1">
        <f t="array" ref="D173">_xlfn._xlws.FILTER(rawdata!$F$2:$F$3638,(rawdata!$A$2:$A$3638=transformed_data!$A173)*(rawdata!$C$2:$C$3638=transformed_data!D$1))</f>
        <v>2395568.8438499998</v>
      </c>
      <c r="E173" s="2" cm="1">
        <f t="array" ref="E173">SUM(-B173:D173,_xlfn._xlws.FILTER(rawdata!$F$2:$F$3638,(rawdata!$A$2:$A$3638=transformed_data!$A173)*(rawdata!$B$2:$B$3638="Total Marketable")))</f>
        <v>1921406.5345916003</v>
      </c>
      <c r="F173" s="2" cm="1">
        <f t="array" ref="F173">_xlfn._xlws.FILTER(rawdata!$F$2:$F$3638,(rawdata!$A$2:$A$3638=transformed_data!$A173)*(rawdata!$B$2:$B$3638="Total Nonmarketable"))</f>
        <v>6503810.8096058201</v>
      </c>
      <c r="G173" s="2" cm="1">
        <f t="array" ref="G173">_xlfn._xlws.FILTER(rawdata!$D$2:$D$3638,(rawdata!$A$2:$A$3638=transformed_data!$A173)*(rawdata!$B$2:$B$3638="Total Public Debt Outstanding"))</f>
        <v>17212634.794820301</v>
      </c>
      <c r="H173" s="2" cm="1">
        <f t="array" ref="H173">_xlfn._xlws.FILTER(rawdata!$E$2:$E$3638,(rawdata!$A$2:$A$3638=transformed_data!$A173)*(rawdata!$B$2:$B$3638="Total Public Debt Outstanding"))</f>
        <v>6011178.1108271098</v>
      </c>
      <c r="I173" s="2" cm="1">
        <f t="array" ref="I173">_xlfn._xlws.FILTER(rawdata!$F$2:$F$3638,(rawdata!$A$2:$A$3638=transformed_data!$A173)*(rawdata!$B$2:$B$3638="Total Public Debt Outstanding"))</f>
        <v>23223812.905647401</v>
      </c>
      <c r="K173" s="2"/>
      <c r="L173" s="2"/>
    </row>
    <row r="174" spans="1:12" x14ac:dyDescent="0.3">
      <c r="A174" s="1">
        <v>43890</v>
      </c>
      <c r="B174" s="2" cm="1">
        <f t="array" ref="B174">_xlfn._xlws.FILTER(rawdata!$F$2:$F$3638,(rawdata!$A$2:$A$3638=transformed_data!$A174)*(rawdata!$C$2:$C$3638=transformed_data!B$1))</f>
        <v>2564583.1002000002</v>
      </c>
      <c r="C174" s="2" cm="1">
        <f t="array" ref="C174">_xlfn._xlws.FILTER(rawdata!$F$2:$F$3638,(rawdata!$A$2:$A$3638=transformed_data!$A174)*(rawdata!$C$2:$C$3638=transformed_data!C$1))</f>
        <v>9994275.0287999995</v>
      </c>
      <c r="D174" s="2" cm="1">
        <f t="array" ref="D174">_xlfn._xlws.FILTER(rawdata!$F$2:$F$3638,(rawdata!$A$2:$A$3638=transformed_data!$A174)*(rawdata!$C$2:$C$3638=transformed_data!D$1))</f>
        <v>2413542.04825</v>
      </c>
      <c r="E174" s="2" cm="1">
        <f t="array" ref="E174">SUM(-B174:D174,_xlfn._xlws.FILTER(rawdata!$F$2:$F$3638,(rawdata!$A$2:$A$3638=transformed_data!$A174)*(rawdata!$B$2:$B$3638="Total Marketable")))</f>
        <v>1946125.0636473</v>
      </c>
      <c r="F174" s="2" cm="1">
        <f t="array" ref="F174">_xlfn._xlws.FILTER(rawdata!$F$2:$F$3638,(rawdata!$A$2:$A$3638=transformed_data!$A174)*(rawdata!$B$2:$B$3638="Total Nonmarketable"))</f>
        <v>6491433.8094133204</v>
      </c>
      <c r="G174" s="2" cm="1">
        <f t="array" ref="G174">_xlfn._xlws.FILTER(rawdata!$D$2:$D$3638,(rawdata!$A$2:$A$3638=transformed_data!$A174)*(rawdata!$B$2:$B$3638="Total Public Debt Outstanding"))</f>
        <v>17413050.167409301</v>
      </c>
      <c r="H174" s="2" cm="1">
        <f t="array" ref="H174">_xlfn._xlws.FILTER(rawdata!$E$2:$E$3638,(rawdata!$A$2:$A$3638=transformed_data!$A174)*(rawdata!$B$2:$B$3638="Total Public Debt Outstanding"))</f>
        <v>5996908.8829013295</v>
      </c>
      <c r="I174" s="2" cm="1">
        <f t="array" ref="I174">_xlfn._xlws.FILTER(rawdata!$F$2:$F$3638,(rawdata!$A$2:$A$3638=transformed_data!$A174)*(rawdata!$B$2:$B$3638="Total Public Debt Outstanding"))</f>
        <v>23409959.050310601</v>
      </c>
      <c r="K174" s="2"/>
      <c r="L174" s="2"/>
    </row>
    <row r="175" spans="1:12" x14ac:dyDescent="0.3">
      <c r="A175" s="1">
        <v>43921</v>
      </c>
      <c r="B175" s="2" cm="1">
        <f t="array" ref="B175">_xlfn._xlws.FILTER(rawdata!$F$2:$F$3638,(rawdata!$A$2:$A$3638=transformed_data!$A175)*(rawdata!$C$2:$C$3638=transformed_data!B$1))</f>
        <v>2657439.3487</v>
      </c>
      <c r="C175" s="2" cm="1">
        <f t="array" ref="C175">_xlfn._xlws.FILTER(rawdata!$F$2:$F$3638,(rawdata!$A$2:$A$3638=transformed_data!$A175)*(rawdata!$C$2:$C$3638=transformed_data!C$1))</f>
        <v>10092497.4356</v>
      </c>
      <c r="D175" s="2" cm="1">
        <f t="array" ref="D175">_xlfn._xlws.FILTER(rawdata!$F$2:$F$3638,(rawdata!$A$2:$A$3638=transformed_data!$A175)*(rawdata!$C$2:$C$3638=transformed_data!D$1))</f>
        <v>2429557.1893500001</v>
      </c>
      <c r="E175" s="2" cm="1">
        <f t="array" ref="E175">SUM(-B175:D175,_xlfn._xlws.FILTER(rawdata!$F$2:$F$3638,(rawdata!$A$2:$A$3638=transformed_data!$A175)*(rawdata!$B$2:$B$3638="Total Marketable")))</f>
        <v>1983312.7790461015</v>
      </c>
      <c r="F175" s="2" cm="1">
        <f t="array" ref="F175">_xlfn._xlws.FILTER(rawdata!$F$2:$F$3638,(rawdata!$A$2:$A$3638=transformed_data!$A175)*(rawdata!$B$2:$B$3638="Total Nonmarketable"))</f>
        <v>6524064.2476523602</v>
      </c>
      <c r="G175" s="2" cm="1">
        <f t="array" ref="G175">_xlfn._xlws.FILTER(rawdata!$D$2:$D$3638,(rawdata!$A$2:$A$3638=transformed_data!$A175)*(rawdata!$B$2:$B$3638="Total Public Debt Outstanding"))</f>
        <v>17674770.832453199</v>
      </c>
      <c r="H175" s="2" cm="1">
        <f t="array" ref="H175">_xlfn._xlws.FILTER(rawdata!$E$2:$E$3638,(rawdata!$A$2:$A$3638=transformed_data!$A175)*(rawdata!$B$2:$B$3638="Total Public Debt Outstanding"))</f>
        <v>6012100.1678953199</v>
      </c>
      <c r="I175" s="2" cm="1">
        <f t="array" ref="I175">_xlfn._xlws.FILTER(rawdata!$F$2:$F$3638,(rawdata!$A$2:$A$3638=transformed_data!$A175)*(rawdata!$B$2:$B$3638="Total Public Debt Outstanding"))</f>
        <v>23686871.000348501</v>
      </c>
      <c r="K175" s="2"/>
      <c r="L175" s="2"/>
    </row>
    <row r="176" spans="1:12" x14ac:dyDescent="0.3">
      <c r="A176" s="1">
        <v>43951</v>
      </c>
      <c r="B176" s="2" cm="1">
        <f t="array" ref="B176">_xlfn._xlws.FILTER(rawdata!$F$2:$F$3638,(rawdata!$A$2:$A$3638=transformed_data!$A176)*(rawdata!$C$2:$C$3638=transformed_data!B$1))</f>
        <v>4001773.2059999998</v>
      </c>
      <c r="C176" s="2" cm="1">
        <f t="array" ref="C176">_xlfn._xlws.FILTER(rawdata!$F$2:$F$3638,(rawdata!$A$2:$A$3638=transformed_data!$A176)*(rawdata!$C$2:$C$3638=transformed_data!C$1))</f>
        <v>10163726.695599999</v>
      </c>
      <c r="D176" s="2" cm="1">
        <f t="array" ref="D176">_xlfn._xlws.FILTER(rawdata!$F$2:$F$3638,(rawdata!$A$2:$A$3638=transformed_data!$A176)*(rawdata!$C$2:$C$3638=transformed_data!D$1))</f>
        <v>2446613.12005</v>
      </c>
      <c r="E176" s="2" cm="1">
        <f t="array" ref="E176">SUM(-B176:D176,_xlfn._xlws.FILTER(rawdata!$F$2:$F$3638,(rawdata!$A$2:$A$3638=transformed_data!$A176)*(rawdata!$B$2:$B$3638="Total Marketable")))</f>
        <v>1923491.0191176999</v>
      </c>
      <c r="F176" s="2" cm="1">
        <f t="array" ref="F176">_xlfn._xlws.FILTER(rawdata!$F$2:$F$3638,(rawdata!$A$2:$A$3638=transformed_data!$A176)*(rawdata!$B$2:$B$3638="Total Nonmarketable"))</f>
        <v>6438567.8275864497</v>
      </c>
      <c r="G176" s="2" cm="1">
        <f t="array" ref="G176">_xlfn._xlws.FILTER(rawdata!$D$2:$D$3638,(rawdata!$A$2:$A$3638=transformed_data!$A176)*(rawdata!$B$2:$B$3638="Total Public Debt Outstanding"))</f>
        <v>19053618.914902199</v>
      </c>
      <c r="H176" s="2" cm="1">
        <f t="array" ref="H176">_xlfn._xlws.FILTER(rawdata!$E$2:$E$3638,(rawdata!$A$2:$A$3638=transformed_data!$A176)*(rawdata!$B$2:$B$3638="Total Public Debt Outstanding"))</f>
        <v>5920552.9534519101</v>
      </c>
      <c r="I176" s="2" cm="1">
        <f t="array" ref="I176">_xlfn._xlws.FILTER(rawdata!$F$2:$F$3638,(rawdata!$A$2:$A$3638=transformed_data!$A176)*(rawdata!$B$2:$B$3638="Total Public Debt Outstanding"))</f>
        <v>24974171.868354101</v>
      </c>
      <c r="K176" s="2"/>
      <c r="L176" s="2"/>
    </row>
    <row r="177" spans="1:12" x14ac:dyDescent="0.3">
      <c r="A177" s="1">
        <v>43982</v>
      </c>
      <c r="B177" s="2" cm="1">
        <f t="array" ref="B177">_xlfn._xlws.FILTER(rawdata!$F$2:$F$3638,(rawdata!$A$2:$A$3638=transformed_data!$A177)*(rawdata!$C$2:$C$3638=transformed_data!B$1))</f>
        <v>4629918.6409999998</v>
      </c>
      <c r="C177" s="2" cm="1">
        <f t="array" ref="C177">_xlfn._xlws.FILTER(rawdata!$F$2:$F$3638,(rawdata!$A$2:$A$3638=transformed_data!$A177)*(rawdata!$C$2:$C$3638=transformed_data!C$1))</f>
        <v>10176713.185699999</v>
      </c>
      <c r="D177" s="2" cm="1">
        <f t="array" ref="D177">_xlfn._xlws.FILTER(rawdata!$F$2:$F$3638,(rawdata!$A$2:$A$3638=transformed_data!$A177)*(rawdata!$C$2:$C$3638=transformed_data!D$1))</f>
        <v>2472665.6805500002</v>
      </c>
      <c r="E177" s="2" cm="1">
        <f t="array" ref="E177">SUM(-B177:D177,_xlfn._xlws.FILTER(rawdata!$F$2:$F$3638,(rawdata!$A$2:$A$3638=transformed_data!$A177)*(rawdata!$B$2:$B$3638="Total Marketable")))</f>
        <v>1952741.9322417006</v>
      </c>
      <c r="F177" s="2" cm="1">
        <f t="array" ref="F177">_xlfn._xlws.FILTER(rawdata!$F$2:$F$3638,(rawdata!$A$2:$A$3638=transformed_data!$A177)*(rawdata!$B$2:$B$3638="Total Nonmarketable"))</f>
        <v>6514220.9277125699</v>
      </c>
      <c r="G177" s="2" cm="1">
        <f t="array" ref="G177">_xlfn._xlws.FILTER(rawdata!$D$2:$D$3638,(rawdata!$A$2:$A$3638=transformed_data!$A177)*(rawdata!$B$2:$B$3638="Total Public Debt Outstanding"))</f>
        <v>19812781.9674768</v>
      </c>
      <c r="H177" s="2" cm="1">
        <f t="array" ref="H177">_xlfn._xlws.FILTER(rawdata!$E$2:$E$3638,(rawdata!$A$2:$A$3638=transformed_data!$A177)*(rawdata!$B$2:$B$3638="Total Public Debt Outstanding"))</f>
        <v>5933479.3997274498</v>
      </c>
      <c r="I177" s="2" cm="1">
        <f t="array" ref="I177">_xlfn._xlws.FILTER(rawdata!$F$2:$F$3638,(rawdata!$A$2:$A$3638=transformed_data!$A177)*(rawdata!$B$2:$B$3638="Total Public Debt Outstanding"))</f>
        <v>25746260.367204301</v>
      </c>
      <c r="K177" s="2"/>
      <c r="L177" s="2"/>
    </row>
    <row r="178" spans="1:12" x14ac:dyDescent="0.3">
      <c r="A178" s="1">
        <v>44012</v>
      </c>
      <c r="B178" s="2" cm="1">
        <f t="array" ref="B178">_xlfn._xlws.FILTER(rawdata!$F$2:$F$3638,(rawdata!$A$2:$A$3638=transformed_data!$A178)*(rawdata!$C$2:$C$3638=transformed_data!B$1))</f>
        <v>5079626.0735999998</v>
      </c>
      <c r="C178" s="2" cm="1">
        <f t="array" ref="C178">_xlfn._xlws.FILTER(rawdata!$F$2:$F$3638,(rawdata!$A$2:$A$3638=transformed_data!$A178)*(rawdata!$C$2:$C$3638=transformed_data!C$1))</f>
        <v>10314464.974099999</v>
      </c>
      <c r="D178" s="2" cm="1">
        <f t="array" ref="D178">_xlfn._xlws.FILTER(rawdata!$F$2:$F$3638,(rawdata!$A$2:$A$3638=transformed_data!$A178)*(rawdata!$C$2:$C$3638=transformed_data!D$1))</f>
        <v>2533360.64365</v>
      </c>
      <c r="E178" s="2" cm="1">
        <f t="array" ref="E178">SUM(-B178:D178,_xlfn._xlws.FILTER(rawdata!$F$2:$F$3638,(rawdata!$A$2:$A$3638=transformed_data!$A178)*(rawdata!$B$2:$B$3638="Total Marketable")))</f>
        <v>1978513.2667484023</v>
      </c>
      <c r="F178" s="2" cm="1">
        <f t="array" ref="F178">_xlfn._xlws.FILTER(rawdata!$F$2:$F$3638,(rawdata!$A$2:$A$3638=transformed_data!$A178)*(rawdata!$B$2:$B$3638="Total Nonmarketable"))</f>
        <v>6571275.66833618</v>
      </c>
      <c r="G178" s="2" cm="1">
        <f t="array" ref="G178">_xlfn._xlws.FILTER(rawdata!$D$2:$D$3638,(rawdata!$A$2:$A$3638=transformed_data!$A178)*(rawdata!$B$2:$B$3638="Total Public Debt Outstanding"))</f>
        <v>20530277.746996701</v>
      </c>
      <c r="H178" s="2" cm="1">
        <f t="array" ref="H178">_xlfn._xlws.FILTER(rawdata!$E$2:$E$3638,(rawdata!$A$2:$A$3638=transformed_data!$A178)*(rawdata!$B$2:$B$3638="Total Public Debt Outstanding"))</f>
        <v>5946962.8794379598</v>
      </c>
      <c r="I178" s="2" cm="1">
        <f t="array" ref="I178">_xlfn._xlws.FILTER(rawdata!$F$2:$F$3638,(rawdata!$A$2:$A$3638=transformed_data!$A178)*(rawdata!$B$2:$B$3638="Total Public Debt Outstanding"))</f>
        <v>26477240.626434602</v>
      </c>
      <c r="K178" s="2"/>
      <c r="L178" s="2"/>
    </row>
    <row r="179" spans="1:12" x14ac:dyDescent="0.3">
      <c r="A179" s="1">
        <v>44043</v>
      </c>
      <c r="B179" s="2" cm="1">
        <f t="array" ref="B179">_xlfn._xlws.FILTER(rawdata!$F$2:$F$3638,(rawdata!$A$2:$A$3638=transformed_data!$A179)*(rawdata!$C$2:$C$3638=transformed_data!B$1))</f>
        <v>5078940.9177000001</v>
      </c>
      <c r="C179" s="2" cm="1">
        <f t="array" ref="C179">_xlfn._xlws.FILTER(rawdata!$F$2:$F$3638,(rawdata!$A$2:$A$3638=transformed_data!$A179)*(rawdata!$C$2:$C$3638=transformed_data!C$1))</f>
        <v>10427628.862500001</v>
      </c>
      <c r="D179" s="2" cm="1">
        <f t="array" ref="D179">_xlfn._xlws.FILTER(rawdata!$F$2:$F$3638,(rawdata!$A$2:$A$3638=transformed_data!$A179)*(rawdata!$C$2:$C$3638=transformed_data!D$1))</f>
        <v>2572959.32675</v>
      </c>
      <c r="E179" s="2" cm="1">
        <f t="array" ref="E179">SUM(-B179:D179,_xlfn._xlws.FILTER(rawdata!$F$2:$F$3638,(rawdata!$A$2:$A$3638=transformed_data!$A179)*(rawdata!$B$2:$B$3638="Total Marketable")))</f>
        <v>1928334.8378082998</v>
      </c>
      <c r="F179" s="2" cm="1">
        <f t="array" ref="F179">_xlfn._xlws.FILTER(rawdata!$F$2:$F$3638,(rawdata!$A$2:$A$3638=transformed_data!$A179)*(rawdata!$B$2:$B$3638="Total Nonmarketable"))</f>
        <v>6517089.9698471399</v>
      </c>
      <c r="G179" s="2" cm="1">
        <f t="array" ref="G179">_xlfn._xlws.FILTER(rawdata!$D$2:$D$3638,(rawdata!$A$2:$A$3638=transformed_data!$A179)*(rawdata!$B$2:$B$3638="Total Public Debt Outstanding"))</f>
        <v>20634400.329900801</v>
      </c>
      <c r="H179" s="2" cm="1">
        <f t="array" ref="H179">_xlfn._xlws.FILTER(rawdata!$E$2:$E$3638,(rawdata!$A$2:$A$3638=transformed_data!$A179)*(rawdata!$B$2:$B$3638="Total Public Debt Outstanding"))</f>
        <v>5890553.5847046403</v>
      </c>
      <c r="I179" s="2" cm="1">
        <f t="array" ref="I179">_xlfn._xlws.FILTER(rawdata!$F$2:$F$3638,(rawdata!$A$2:$A$3638=transformed_data!$A179)*(rawdata!$B$2:$B$3638="Total Public Debt Outstanding"))</f>
        <v>26524952.914605498</v>
      </c>
      <c r="K179" s="2"/>
      <c r="L179" s="2"/>
    </row>
    <row r="180" spans="1:12" x14ac:dyDescent="0.3">
      <c r="A180" s="1">
        <v>44074</v>
      </c>
      <c r="B180" s="2" cm="1">
        <f t="array" ref="B180">_xlfn._xlws.FILTER(rawdata!$F$2:$F$3638,(rawdata!$A$2:$A$3638=transformed_data!$A180)*(rawdata!$C$2:$C$3638=transformed_data!B$1))</f>
        <v>5076721.4434000002</v>
      </c>
      <c r="C180" s="2" cm="1">
        <f t="array" ref="C180">_xlfn._xlws.FILTER(rawdata!$F$2:$F$3638,(rawdata!$A$2:$A$3638=transformed_data!$A180)*(rawdata!$C$2:$C$3638=transformed_data!C$1))</f>
        <v>10524031.8627</v>
      </c>
      <c r="D180" s="2" cm="1">
        <f t="array" ref="D180">_xlfn._xlws.FILTER(rawdata!$F$2:$F$3638,(rawdata!$A$2:$A$3638=transformed_data!$A180)*(rawdata!$C$2:$C$3638=transformed_data!D$1))</f>
        <v>2624535.3957500001</v>
      </c>
      <c r="E180" s="2" cm="1">
        <f t="array" ref="E180">SUM(-B180:D180,_xlfn._xlws.FILTER(rawdata!$F$2:$F$3638,(rawdata!$A$2:$A$3638=transformed_data!$A180)*(rawdata!$B$2:$B$3638="Total Marketable")))</f>
        <v>1965457.6689044982</v>
      </c>
      <c r="F180" s="2" cm="1">
        <f t="array" ref="F180">_xlfn._xlws.FILTER(rawdata!$F$2:$F$3638,(rawdata!$A$2:$A$3638=transformed_data!$A180)*(rawdata!$B$2:$B$3638="Total Nonmarketable"))</f>
        <v>6538089.47575121</v>
      </c>
      <c r="G180" s="2" cm="1">
        <f t="array" ref="G180">_xlfn._xlws.FILTER(rawdata!$D$2:$D$3638,(rawdata!$A$2:$A$3638=transformed_data!$A180)*(rawdata!$B$2:$B$3638="Total Public Debt Outstanding"))</f>
        <v>20822038.3899034</v>
      </c>
      <c r="H180" s="2" cm="1">
        <f t="array" ref="H180">_xlfn._xlws.FILTER(rawdata!$E$2:$E$3638,(rawdata!$A$2:$A$3638=transformed_data!$A180)*(rawdata!$B$2:$B$3638="Total Public Debt Outstanding"))</f>
        <v>5906797.4566023797</v>
      </c>
      <c r="I180" s="2" cm="1">
        <f t="array" ref="I180">_xlfn._xlws.FILTER(rawdata!$F$2:$F$3638,(rawdata!$A$2:$A$3638=transformed_data!$A180)*(rawdata!$B$2:$B$3638="Total Public Debt Outstanding"))</f>
        <v>26728835.846505798</v>
      </c>
      <c r="K180" s="2"/>
      <c r="L180" s="2"/>
    </row>
    <row r="181" spans="1:12" x14ac:dyDescent="0.3">
      <c r="A181" s="1">
        <v>44104</v>
      </c>
      <c r="B181" s="2" cm="1">
        <f t="array" ref="B181">_xlfn._xlws.FILTER(rawdata!$F$2:$F$3638,(rawdata!$A$2:$A$3638=transformed_data!$A181)*(rawdata!$C$2:$C$3638=transformed_data!B$1))</f>
        <v>5028907.6507999999</v>
      </c>
      <c r="C181" s="2" cm="1">
        <f t="array" ref="C181">_xlfn._xlws.FILTER(rawdata!$F$2:$F$3638,(rawdata!$A$2:$A$3638=transformed_data!$A181)*(rawdata!$C$2:$C$3638=transformed_data!C$1))</f>
        <v>10663763.656099999</v>
      </c>
      <c r="D181" s="2" cm="1">
        <f t="array" ref="D181">_xlfn._xlws.FILTER(rawdata!$F$2:$F$3638,(rawdata!$A$2:$A$3638=transformed_data!$A181)*(rawdata!$C$2:$C$3638=transformed_data!D$1))</f>
        <v>2673492.7924500001</v>
      </c>
      <c r="E181" s="2" cm="1">
        <f t="array" ref="E181">SUM(-B181:D181,_xlfn._xlws.FILTER(rawdata!$F$2:$F$3638,(rawdata!$A$2:$A$3638=transformed_data!$A181)*(rawdata!$B$2:$B$3638="Total Marketable")))</f>
        <v>2008776.3472681008</v>
      </c>
      <c r="F181" s="2" cm="1">
        <f t="array" ref="F181">_xlfn._xlws.FILTER(rawdata!$F$2:$F$3638,(rawdata!$A$2:$A$3638=transformed_data!$A181)*(rawdata!$B$2:$B$3638="Total Nonmarketable"))</f>
        <v>6570450.7348932801</v>
      </c>
      <c r="G181" s="2" cm="1">
        <f t="array" ref="G181">_xlfn._xlws.FILTER(rawdata!$D$2:$D$3638,(rawdata!$A$2:$A$3638=transformed_data!$A181)*(rawdata!$B$2:$B$3638="Total Public Debt Outstanding"))</f>
        <v>21018952.067281801</v>
      </c>
      <c r="H181" s="2" cm="1">
        <f t="array" ref="H181">_xlfn._xlws.FILTER(rawdata!$E$2:$E$3638,(rawdata!$A$2:$A$3638=transformed_data!$A181)*(rawdata!$B$2:$B$3638="Total Public Debt Outstanding"))</f>
        <v>5926439.1142295199</v>
      </c>
      <c r="I181" s="2" cm="1">
        <f t="array" ref="I181">_xlfn._xlws.FILTER(rawdata!$F$2:$F$3638,(rawdata!$A$2:$A$3638=transformed_data!$A181)*(rawdata!$B$2:$B$3638="Total Public Debt Outstanding"))</f>
        <v>26945391.181511398</v>
      </c>
      <c r="K181" s="2"/>
      <c r="L181" s="2"/>
    </row>
    <row r="182" spans="1:12" x14ac:dyDescent="0.3">
      <c r="A182" s="1">
        <v>44135</v>
      </c>
      <c r="B182" s="2" cm="1">
        <f t="array" ref="B182">_xlfn._xlws.FILTER(rawdata!$F$2:$F$3638,(rawdata!$A$2:$A$3638=transformed_data!$A182)*(rawdata!$C$2:$C$3638=transformed_data!B$1))</f>
        <v>4985339.5272000004</v>
      </c>
      <c r="C182" s="2" cm="1">
        <f t="array" ref="C182">_xlfn._xlws.FILTER(rawdata!$F$2:$F$3638,(rawdata!$A$2:$A$3638=transformed_data!$A182)*(rawdata!$C$2:$C$3638=transformed_data!C$1))</f>
        <v>10729201.632200001</v>
      </c>
      <c r="D182" s="2" cm="1">
        <f t="array" ref="D182">_xlfn._xlws.FILTER(rawdata!$F$2:$F$3638,(rawdata!$A$2:$A$3638=transformed_data!$A182)*(rawdata!$C$2:$C$3638=transformed_data!D$1))</f>
        <v>2697136.165</v>
      </c>
      <c r="E182" s="2" cm="1">
        <f t="array" ref="E182">SUM(-B182:D182,_xlfn._xlws.FILTER(rawdata!$F$2:$F$3638,(rawdata!$A$2:$A$3638=transformed_data!$A182)*(rawdata!$B$2:$B$3638="Total Marketable")))</f>
        <v>2030549.6337519996</v>
      </c>
      <c r="F182" s="2" cm="1">
        <f t="array" ref="F182">_xlfn._xlws.FILTER(rawdata!$F$2:$F$3638,(rawdata!$A$2:$A$3638=transformed_data!$A182)*(rawdata!$B$2:$B$3638="Total Nonmarketable"))</f>
        <v>6693249.7006999198</v>
      </c>
      <c r="G182" s="2" cm="1">
        <f t="array" ref="G182">_xlfn._xlws.FILTER(rawdata!$D$2:$D$3638,(rawdata!$A$2:$A$3638=transformed_data!$A182)*(rawdata!$B$2:$B$3638="Total Public Debt Outstanding"))</f>
        <v>21096974.617868699</v>
      </c>
      <c r="H182" s="2" cm="1">
        <f t="array" ref="H182">_xlfn._xlws.FILTER(rawdata!$E$2:$E$3638,(rawdata!$A$2:$A$3638=transformed_data!$A182)*(rawdata!$B$2:$B$3638="Total Public Debt Outstanding"))</f>
        <v>6038502.2159831999</v>
      </c>
      <c r="I182" s="2" cm="1">
        <f t="array" ref="I182">_xlfn._xlws.FILTER(rawdata!$F$2:$F$3638,(rawdata!$A$2:$A$3638=transformed_data!$A182)*(rawdata!$B$2:$B$3638="Total Public Debt Outstanding"))</f>
        <v>27135476.658851899</v>
      </c>
      <c r="K182" s="2"/>
      <c r="L182" s="2"/>
    </row>
    <row r="183" spans="1:12" x14ac:dyDescent="0.3">
      <c r="A183" s="1">
        <v>44165</v>
      </c>
      <c r="B183" s="2" cm="1">
        <f t="array" ref="B183">_xlfn._xlws.FILTER(rawdata!$F$2:$F$3638,(rawdata!$A$2:$A$3638=transformed_data!$A183)*(rawdata!$C$2:$C$3638=transformed_data!B$1))</f>
        <v>4943663.5075000003</v>
      </c>
      <c r="C183" s="2" cm="1">
        <f t="array" ref="C183">_xlfn._xlws.FILTER(rawdata!$F$2:$F$3638,(rawdata!$A$2:$A$3638=transformed_data!$A183)*(rawdata!$C$2:$C$3638=transformed_data!C$1))</f>
        <v>10919135.8752</v>
      </c>
      <c r="D183" s="2" cm="1">
        <f t="array" ref="D183">_xlfn._xlws.FILTER(rawdata!$F$2:$F$3638,(rawdata!$A$2:$A$3638=transformed_data!$A183)*(rawdata!$C$2:$C$3638=transformed_data!D$1))</f>
        <v>2786619.2894000001</v>
      </c>
      <c r="E183" s="2" cm="1">
        <f t="array" ref="E183">SUM(-B183:D183,_xlfn._xlws.FILTER(rawdata!$F$2:$F$3638,(rawdata!$A$2:$A$3638=transformed_data!$A183)*(rawdata!$B$2:$B$3638="Total Marketable")))</f>
        <v>2042991.0061572008</v>
      </c>
      <c r="F183" s="2" cm="1">
        <f t="array" ref="F183">_xlfn._xlws.FILTER(rawdata!$F$2:$F$3638,(rawdata!$A$2:$A$3638=transformed_data!$A183)*(rawdata!$B$2:$B$3638="Total Nonmarketable"))</f>
        <v>6753878.5562046198</v>
      </c>
      <c r="G183" s="2" cm="1">
        <f t="array" ref="G183">_xlfn._xlws.FILTER(rawdata!$D$2:$D$3638,(rawdata!$A$2:$A$3638=transformed_data!$A183)*(rawdata!$B$2:$B$3638="Total Public Debt Outstanding"))</f>
        <v>21349471.564053901</v>
      </c>
      <c r="H183" s="2" cm="1">
        <f t="array" ref="H183">_xlfn._xlws.FILTER(rawdata!$E$2:$E$3638,(rawdata!$A$2:$A$3638=transformed_data!$A183)*(rawdata!$B$2:$B$3638="Total Public Debt Outstanding"))</f>
        <v>6096816.6704079099</v>
      </c>
      <c r="I183" s="2" cm="1">
        <f t="array" ref="I183">_xlfn._xlws.FILTER(rawdata!$F$2:$F$3638,(rawdata!$A$2:$A$3638=transformed_data!$A183)*(rawdata!$B$2:$B$3638="Total Public Debt Outstanding"))</f>
        <v>27446288.234461799</v>
      </c>
      <c r="K183" s="2"/>
      <c r="L183" s="2"/>
    </row>
    <row r="184" spans="1:12" x14ac:dyDescent="0.3">
      <c r="A184" s="1">
        <v>44196</v>
      </c>
      <c r="B184" s="2" cm="1">
        <f t="array" ref="B184">_xlfn._xlws.FILTER(rawdata!$F$2:$F$3638,(rawdata!$A$2:$A$3638=transformed_data!$A184)*(rawdata!$C$2:$C$3638=transformed_data!B$1))</f>
        <v>4964139.8545000004</v>
      </c>
      <c r="C184" s="2" cm="1">
        <f t="array" ref="C184">_xlfn._xlws.FILTER(rawdata!$F$2:$F$3638,(rawdata!$A$2:$A$3638=transformed_data!$A184)*(rawdata!$C$2:$C$3638=transformed_data!C$1))</f>
        <v>11091924.1943</v>
      </c>
      <c r="D184" s="2" cm="1">
        <f t="array" ref="D184">_xlfn._xlws.FILTER(rawdata!$F$2:$F$3638,(rawdata!$A$2:$A$3638=transformed_data!$A184)*(rawdata!$C$2:$C$3638=transformed_data!D$1))</f>
        <v>2839292.9035</v>
      </c>
      <c r="E184" s="2" cm="1">
        <f t="array" ref="E184">SUM(-B184:D184,_xlfn._xlws.FILTER(rawdata!$F$2:$F$3638,(rawdata!$A$2:$A$3638=transformed_data!$A184)*(rawdata!$B$2:$B$3638="Total Marketable")))</f>
        <v>2085034.3278960027</v>
      </c>
      <c r="F184" s="2" cm="1">
        <f t="array" ref="F184">_xlfn._xlws.FILTER(rawdata!$F$2:$F$3638,(rawdata!$A$2:$A$3638=transformed_data!$A184)*(rawdata!$B$2:$B$3638="Total Nonmarketable"))</f>
        <v>6767407.2410363303</v>
      </c>
      <c r="G184" s="2" cm="1">
        <f t="array" ref="G184">_xlfn._xlws.FILTER(rawdata!$D$2:$D$3638,(rawdata!$A$2:$A$3638=transformed_data!$A184)*(rawdata!$B$2:$B$3638="Total Public Debt Outstanding"))</f>
        <v>21632418.910329498</v>
      </c>
      <c r="H184" s="2" cm="1">
        <f t="array" ref="H184">_xlfn._xlws.FILTER(rawdata!$E$2:$E$3638,(rawdata!$A$2:$A$3638=transformed_data!$A184)*(rawdata!$B$2:$B$3638="Total Public Debt Outstanding"))</f>
        <v>6115378.6109027704</v>
      </c>
      <c r="I184" s="2" cm="1">
        <f t="array" ref="I184">_xlfn._xlws.FILTER(rawdata!$F$2:$F$3638,(rawdata!$A$2:$A$3638=transformed_data!$A184)*(rawdata!$B$2:$B$3638="Total Public Debt Outstanding"))</f>
        <v>27747797.5212323</v>
      </c>
      <c r="K184" s="2"/>
      <c r="L184" s="2"/>
    </row>
    <row r="185" spans="1:12" x14ac:dyDescent="0.3">
      <c r="A185" s="1">
        <v>44227</v>
      </c>
      <c r="B185" s="2" cm="1">
        <f t="array" ref="B185">_xlfn._xlws.FILTER(rawdata!$F$2:$F$3638,(rawdata!$A$2:$A$3638=transformed_data!$A185)*(rawdata!$C$2:$C$3638=transformed_data!B$1))</f>
        <v>4954950.1574999997</v>
      </c>
      <c r="C185" s="2" cm="1">
        <f t="array" ref="C185">_xlfn._xlws.FILTER(rawdata!$F$2:$F$3638,(rawdata!$A$2:$A$3638=transformed_data!$A185)*(rawdata!$C$2:$C$3638=transformed_data!C$1))</f>
        <v>11172761.7718</v>
      </c>
      <c r="D185" s="2" cm="1">
        <f t="array" ref="D185">_xlfn._xlws.FILTER(rawdata!$F$2:$F$3638,(rawdata!$A$2:$A$3638=transformed_data!$A185)*(rawdata!$C$2:$C$3638=transformed_data!D$1))</f>
        <v>2865705.4896</v>
      </c>
      <c r="E185" s="2" cm="1">
        <f t="array" ref="E185">SUM(-B185:D185,_xlfn._xlws.FILTER(rawdata!$F$2:$F$3638,(rawdata!$A$2:$A$3638=transformed_data!$A185)*(rawdata!$B$2:$B$3638="Total Marketable")))</f>
        <v>2055548.050657101</v>
      </c>
      <c r="F185" s="2" cm="1">
        <f t="array" ref="F185">_xlfn._xlws.FILTER(rawdata!$F$2:$F$3638,(rawdata!$A$2:$A$3638=transformed_data!$A185)*(rawdata!$B$2:$B$3638="Total Nonmarketable"))</f>
        <v>6735588.0798200304</v>
      </c>
      <c r="G185" s="2" cm="1">
        <f t="array" ref="G185">_xlfn._xlws.FILTER(rawdata!$D$2:$D$3638,(rawdata!$A$2:$A$3638=transformed_data!$A185)*(rawdata!$B$2:$B$3638="Total Public Debt Outstanding"))</f>
        <v>21643914.7930982</v>
      </c>
      <c r="H185" s="2" cm="1">
        <f t="array" ref="H185">_xlfn._xlws.FILTER(rawdata!$E$2:$E$3638,(rawdata!$A$2:$A$3638=transformed_data!$A185)*(rawdata!$B$2:$B$3638="Total Public Debt Outstanding"))</f>
        <v>6140637.7562788799</v>
      </c>
      <c r="I185" s="2" cm="1">
        <f t="array" ref="I185">_xlfn._xlws.FILTER(rawdata!$F$2:$F$3638,(rawdata!$A$2:$A$3638=transformed_data!$A185)*(rawdata!$B$2:$B$3638="Total Public Debt Outstanding"))</f>
        <v>27784552.549377099</v>
      </c>
      <c r="K185" s="2"/>
      <c r="L185" s="2"/>
    </row>
    <row r="186" spans="1:12" x14ac:dyDescent="0.3">
      <c r="A186" s="1">
        <v>44255</v>
      </c>
      <c r="B186" s="2" cm="1">
        <f t="array" ref="B186">_xlfn._xlws.FILTER(rawdata!$F$2:$F$3638,(rawdata!$A$2:$A$3638=transformed_data!$A186)*(rawdata!$C$2:$C$3638=transformed_data!B$1))</f>
        <v>4859032.8505999995</v>
      </c>
      <c r="C186" s="2" cm="1">
        <f t="array" ref="C186">_xlfn._xlws.FILTER(rawdata!$F$2:$F$3638,(rawdata!$A$2:$A$3638=transformed_data!$A186)*(rawdata!$C$2:$C$3638=transformed_data!C$1))</f>
        <v>11312275.940400001</v>
      </c>
      <c r="D186" s="2" cm="1">
        <f t="array" ref="D186">_xlfn._xlws.FILTER(rawdata!$F$2:$F$3638,(rawdata!$A$2:$A$3638=transformed_data!$A186)*(rawdata!$C$2:$C$3638=transformed_data!D$1))</f>
        <v>2919668.3899500002</v>
      </c>
      <c r="E186" s="2" cm="1">
        <f t="array" ref="E186">SUM(-B186:D186,_xlfn._xlws.FILTER(rawdata!$F$2:$F$3638,(rawdata!$A$2:$A$3638=transformed_data!$A186)*(rawdata!$B$2:$B$3638="Total Marketable")))</f>
        <v>2067542.6964673996</v>
      </c>
      <c r="F186" s="2" cm="1">
        <f t="array" ref="F186">_xlfn._xlws.FILTER(rawdata!$F$2:$F$3638,(rawdata!$A$2:$A$3638=transformed_data!$A186)*(rawdata!$B$2:$B$3638="Total Nonmarketable"))</f>
        <v>6743844.20019913</v>
      </c>
      <c r="G186" s="2" cm="1">
        <f t="array" ref="G186">_xlfn._xlws.FILTER(rawdata!$D$2:$D$3638,(rawdata!$A$2:$A$3638=transformed_data!$A186)*(rawdata!$B$2:$B$3638="Total Public Debt Outstanding"))</f>
        <v>21755736.828285899</v>
      </c>
      <c r="H186" s="2" cm="1">
        <f t="array" ref="H186">_xlfn._xlws.FILTER(rawdata!$E$2:$E$3638,(rawdata!$A$2:$A$3638=transformed_data!$A186)*(rawdata!$B$2:$B$3638="Total Public Debt Outstanding"))</f>
        <v>6146627.2493307199</v>
      </c>
      <c r="I186" s="2" cm="1">
        <f t="array" ref="I186">_xlfn._xlws.FILTER(rawdata!$F$2:$F$3638,(rawdata!$A$2:$A$3638=transformed_data!$A186)*(rawdata!$B$2:$B$3638="Total Public Debt Outstanding"))</f>
        <v>27902364.077616598</v>
      </c>
      <c r="K186" s="2"/>
      <c r="L186" s="2"/>
    </row>
    <row r="187" spans="1:12" x14ac:dyDescent="0.3">
      <c r="A187" s="1">
        <v>44286</v>
      </c>
      <c r="B187" s="2" cm="1">
        <f t="array" ref="B187">_xlfn._xlws.FILTER(rawdata!$F$2:$F$3638,(rawdata!$A$2:$A$3638=transformed_data!$A187)*(rawdata!$C$2:$C$3638=transformed_data!B$1))</f>
        <v>4669038.5120999999</v>
      </c>
      <c r="C187" s="2" cm="1">
        <f t="array" ref="C187">_xlfn._xlws.FILTER(rawdata!$F$2:$F$3638,(rawdata!$A$2:$A$3638=transformed_data!$A187)*(rawdata!$C$2:$C$3638=transformed_data!C$1))</f>
        <v>11597217.010199999</v>
      </c>
      <c r="D187" s="2" cm="1">
        <f t="array" ref="D187">_xlfn._xlws.FILTER(rawdata!$F$2:$F$3638,(rawdata!$A$2:$A$3638=transformed_data!$A187)*(rawdata!$C$2:$C$3638=transformed_data!D$1))</f>
        <v>3006314.5255499999</v>
      </c>
      <c r="E187" s="2" cm="1">
        <f t="array" ref="E187">SUM(-B187:D187,_xlfn._xlws.FILTER(rawdata!$F$2:$F$3638,(rawdata!$A$2:$A$3638=transformed_data!$A187)*(rawdata!$B$2:$B$3638="Total Marketable")))</f>
        <v>2115529.9137109034</v>
      </c>
      <c r="F187" s="2" cm="1">
        <f t="array" ref="F187">_xlfn._xlws.FILTER(rawdata!$F$2:$F$3638,(rawdata!$A$2:$A$3638=transformed_data!$A187)*(rawdata!$B$2:$B$3638="Total Nonmarketable"))</f>
        <v>6744470.0855404101</v>
      </c>
      <c r="G187" s="2" cm="1">
        <f t="array" ref="G187">_xlfn._xlws.FILTER(rawdata!$D$2:$D$3638,(rawdata!$A$2:$A$3638=transformed_data!$A187)*(rawdata!$B$2:$B$3638="Total Public Debt Outstanding"))</f>
        <v>21986939.4927462</v>
      </c>
      <c r="H187" s="2" cm="1">
        <f t="array" ref="H187">_xlfn._xlws.FILTER(rawdata!$E$2:$E$3638,(rawdata!$A$2:$A$3638=transformed_data!$A187)*(rawdata!$B$2:$B$3638="Total Public Debt Outstanding"))</f>
        <v>6145631.5543551203</v>
      </c>
      <c r="I187" s="2" cm="1">
        <f t="array" ref="I187">_xlfn._xlws.FILTER(rawdata!$F$2:$F$3638,(rawdata!$A$2:$A$3638=transformed_data!$A187)*(rawdata!$B$2:$B$3638="Total Public Debt Outstanding"))</f>
        <v>28132570.0471013</v>
      </c>
      <c r="K187" s="2"/>
      <c r="L187" s="2"/>
    </row>
    <row r="188" spans="1:12" x14ac:dyDescent="0.3">
      <c r="A188" s="1">
        <v>44316</v>
      </c>
      <c r="B188" s="2" cm="1">
        <f t="array" ref="B188">_xlfn._xlws.FILTER(rawdata!$F$2:$F$3638,(rawdata!$A$2:$A$3638=transformed_data!$A188)*(rawdata!$C$2:$C$3638=transformed_data!B$1))</f>
        <v>4540050.4091999996</v>
      </c>
      <c r="C188" s="2" cm="1">
        <f t="array" ref="C188">_xlfn._xlws.FILTER(rawdata!$F$2:$F$3638,(rawdata!$A$2:$A$3638=transformed_data!$A188)*(rawdata!$C$2:$C$3638=transformed_data!C$1))</f>
        <v>11783304.155099999</v>
      </c>
      <c r="D188" s="2" cm="1">
        <f t="array" ref="D188">_xlfn._xlws.FILTER(rawdata!$F$2:$F$3638,(rawdata!$A$2:$A$3638=transformed_data!$A188)*(rawdata!$C$2:$C$3638=transformed_data!D$1))</f>
        <v>3062582.24235</v>
      </c>
      <c r="E188" s="2" cm="1">
        <f t="array" ref="E188">SUM(-B188:D188,_xlfn._xlws.FILTER(rawdata!$F$2:$F$3638,(rawdata!$A$2:$A$3638=transformed_data!$A188)*(rawdata!$B$2:$B$3638="Total Marketable")))</f>
        <v>2070917.1288773008</v>
      </c>
      <c r="F188" s="2" cm="1">
        <f t="array" ref="F188">_xlfn._xlws.FILTER(rawdata!$F$2:$F$3638,(rawdata!$A$2:$A$3638=transformed_data!$A188)*(rawdata!$B$2:$B$3638="Total Nonmarketable"))</f>
        <v>6717861.36391488</v>
      </c>
      <c r="G188" s="2" cm="1">
        <f t="array" ref="G188">_xlfn._xlws.FILTER(rawdata!$D$2:$D$3638,(rawdata!$A$2:$A$3638=transformed_data!$A188)*(rawdata!$B$2:$B$3638="Total Public Debt Outstanding"))</f>
        <v>22056055.120056801</v>
      </c>
      <c r="H188" s="2" cm="1">
        <f t="array" ref="H188">_xlfn._xlws.FILTER(rawdata!$E$2:$E$3638,(rawdata!$A$2:$A$3638=transformed_data!$A188)*(rawdata!$B$2:$B$3638="Total Public Debt Outstanding"))</f>
        <v>6118659.17938531</v>
      </c>
      <c r="I188" s="2" cm="1">
        <f t="array" ref="I188">_xlfn._xlws.FILTER(rawdata!$F$2:$F$3638,(rawdata!$A$2:$A$3638=transformed_data!$A188)*(rawdata!$B$2:$B$3638="Total Public Debt Outstanding"))</f>
        <v>28174714.299442101</v>
      </c>
      <c r="K188" s="2"/>
      <c r="L188" s="2"/>
    </row>
    <row r="189" spans="1:12" x14ac:dyDescent="0.3">
      <c r="A189" s="1">
        <v>44347</v>
      </c>
      <c r="B189" s="2" cm="1">
        <f t="array" ref="B189">_xlfn._xlws.FILTER(rawdata!$F$2:$F$3638,(rawdata!$A$2:$A$3638=transformed_data!$A189)*(rawdata!$C$2:$C$3638=transformed_data!B$1))</f>
        <v>4377077.6848999998</v>
      </c>
      <c r="C189" s="2" cm="1">
        <f t="array" ref="C189">_xlfn._xlws.FILTER(rawdata!$F$2:$F$3638,(rawdata!$A$2:$A$3638=transformed_data!$A189)*(rawdata!$C$2:$C$3638=transformed_data!C$1))</f>
        <v>11830354.9449</v>
      </c>
      <c r="D189" s="2" cm="1">
        <f t="array" ref="D189">_xlfn._xlws.FILTER(rawdata!$F$2:$F$3638,(rawdata!$A$2:$A$3638=transformed_data!$A189)*(rawdata!$C$2:$C$3638=transformed_data!D$1))</f>
        <v>3093839.08715</v>
      </c>
      <c r="E189" s="2" cm="1">
        <f t="array" ref="E189">SUM(-B189:D189,_xlfn._xlws.FILTER(rawdata!$F$2:$F$3638,(rawdata!$A$2:$A$3638=transformed_data!$A189)*(rawdata!$B$2:$B$3638="Total Marketable")))</f>
        <v>2120055.3706436008</v>
      </c>
      <c r="F189" s="2" cm="1">
        <f t="array" ref="F189">_xlfn._xlws.FILTER(rawdata!$F$2:$F$3638,(rawdata!$A$2:$A$3638=transformed_data!$A189)*(rawdata!$B$2:$B$3638="Total Nonmarketable"))</f>
        <v>6777680.5882271901</v>
      </c>
      <c r="G189" s="2" cm="1">
        <f t="array" ref="G189">_xlfn._xlws.FILTER(rawdata!$D$2:$D$3638,(rawdata!$A$2:$A$3638=transformed_data!$A189)*(rawdata!$B$2:$B$3638="Total Public Debt Outstanding"))</f>
        <v>22020939.210173201</v>
      </c>
      <c r="H189" s="2" cm="1">
        <f t="array" ref="H189">_xlfn._xlws.FILTER(rawdata!$E$2:$E$3638,(rawdata!$A$2:$A$3638=transformed_data!$A189)*(rawdata!$B$2:$B$3638="Total Public Debt Outstanding"))</f>
        <v>6178069.4656476397</v>
      </c>
      <c r="I189" s="2" cm="1">
        <f t="array" ref="I189">_xlfn._xlws.FILTER(rawdata!$F$2:$F$3638,(rawdata!$A$2:$A$3638=transformed_data!$A189)*(rawdata!$B$2:$B$3638="Total Public Debt Outstanding"))</f>
        <v>28199007.675820801</v>
      </c>
      <c r="K189" s="2"/>
      <c r="L189" s="2"/>
    </row>
    <row r="190" spans="1:12" x14ac:dyDescent="0.3">
      <c r="A190" s="1">
        <v>44377</v>
      </c>
      <c r="B190" s="2" cm="1">
        <f t="array" ref="B190">_xlfn._xlws.FILTER(rawdata!$F$2:$F$3638,(rawdata!$A$2:$A$3638=transformed_data!$A190)*(rawdata!$C$2:$C$3638=transformed_data!B$1))</f>
        <v>4275091.9676000001</v>
      </c>
      <c r="C190" s="2" cm="1">
        <f t="array" ref="C190">_xlfn._xlws.FILTER(rawdata!$F$2:$F$3638,(rawdata!$A$2:$A$3638=transformed_data!$A190)*(rawdata!$C$2:$C$3638=transformed_data!C$1))</f>
        <v>12106351.555600001</v>
      </c>
      <c r="D190" s="2" cm="1">
        <f t="array" ref="D190">_xlfn._xlws.FILTER(rawdata!$F$2:$F$3638,(rawdata!$A$2:$A$3638=transformed_data!$A190)*(rawdata!$C$2:$C$3638=transformed_data!D$1))</f>
        <v>3179928.5870500002</v>
      </c>
      <c r="E190" s="2" cm="1">
        <f t="array" ref="E190">SUM(-B190:D190,_xlfn._xlws.FILTER(rawdata!$F$2:$F$3638,(rawdata!$A$2:$A$3638=transformed_data!$A190)*(rawdata!$B$2:$B$3638="Total Marketable")))</f>
        <v>2177653.0771970972</v>
      </c>
      <c r="F190" s="2" cm="1">
        <f t="array" ref="F190">_xlfn._xlws.FILTER(rawdata!$F$2:$F$3638,(rawdata!$A$2:$A$3638=transformed_data!$A190)*(rawdata!$B$2:$B$3638="Total Nonmarketable"))</f>
        <v>6790410.9435886703</v>
      </c>
      <c r="G190" s="2" cm="1">
        <f t="array" ref="G190">_xlfn._xlws.FILTER(rawdata!$D$2:$D$3638,(rawdata!$A$2:$A$3638=transformed_data!$A190)*(rawdata!$B$2:$B$3638="Total Public Debt Outstanding"))</f>
        <v>22329822.791512702</v>
      </c>
      <c r="H190" s="2" cm="1">
        <f t="array" ref="H190">_xlfn._xlws.FILTER(rawdata!$E$2:$E$3638,(rawdata!$A$2:$A$3638=transformed_data!$A190)*(rawdata!$B$2:$B$3638="Total Public Debt Outstanding"))</f>
        <v>6199613.3395231003</v>
      </c>
      <c r="I190" s="2" cm="1">
        <f t="array" ref="I190">_xlfn._xlws.FILTER(rawdata!$F$2:$F$3638,(rawdata!$A$2:$A$3638=transformed_data!$A190)*(rawdata!$B$2:$B$3638="Total Public Debt Outstanding"))</f>
        <v>28529436.131035801</v>
      </c>
      <c r="K190" s="2"/>
      <c r="L190" s="2"/>
    </row>
    <row r="191" spans="1:12" x14ac:dyDescent="0.3">
      <c r="A191" s="1">
        <v>44408</v>
      </c>
      <c r="B191" s="2" cm="1">
        <f t="array" ref="B191">_xlfn._xlws.FILTER(rawdata!$F$2:$F$3638,(rawdata!$A$2:$A$3638=transformed_data!$A191)*(rawdata!$C$2:$C$3638=transformed_data!B$1))</f>
        <v>4142126.6849000002</v>
      </c>
      <c r="C191" s="2" cm="1">
        <f t="array" ref="C191">_xlfn._xlws.FILTER(rawdata!$F$2:$F$3638,(rawdata!$A$2:$A$3638=transformed_data!$A191)*(rawdata!$C$2:$C$3638=transformed_data!C$1))</f>
        <v>12185025.832699999</v>
      </c>
      <c r="D191" s="2" cm="1">
        <f t="array" ref="D191">_xlfn._xlws.FILTER(rawdata!$F$2:$F$3638,(rawdata!$A$2:$A$3638=transformed_data!$A191)*(rawdata!$C$2:$C$3638=transformed_data!D$1))</f>
        <v>3207879.53015</v>
      </c>
      <c r="E191" s="2" cm="1">
        <f t="array" ref="E191">SUM(-B191:D191,_xlfn._xlws.FILTER(rawdata!$F$2:$F$3638,(rawdata!$A$2:$A$3638=transformed_data!$A191)*(rawdata!$B$2:$B$3638="Total Marketable")))</f>
        <v>2163509.7858484015</v>
      </c>
      <c r="F191" s="2" cm="1">
        <f t="array" ref="F191">_xlfn._xlws.FILTER(rawdata!$F$2:$F$3638,(rawdata!$A$2:$A$3638=transformed_data!$A191)*(rawdata!$B$2:$B$3638="Total Nonmarketable"))</f>
        <v>6729179.7514530905</v>
      </c>
      <c r="G191" s="2" cm="1">
        <f t="array" ref="G191">_xlfn._xlws.FILTER(rawdata!$D$2:$D$3638,(rawdata!$A$2:$A$3638=transformed_data!$A191)*(rawdata!$B$2:$B$3638="Total Public Debt Outstanding"))</f>
        <v>22284627.5511792</v>
      </c>
      <c r="H191" s="2" cm="1">
        <f t="array" ref="H191">_xlfn._xlws.FILTER(rawdata!$E$2:$E$3638,(rawdata!$A$2:$A$3638=transformed_data!$A191)*(rawdata!$B$2:$B$3638="Total Public Debt Outstanding"))</f>
        <v>6143094.03387227</v>
      </c>
      <c r="I191" s="2" cm="1">
        <f t="array" ref="I191">_xlfn._xlws.FILTER(rawdata!$F$2:$F$3638,(rawdata!$A$2:$A$3638=transformed_data!$A191)*(rawdata!$B$2:$B$3638="Total Public Debt Outstanding"))</f>
        <v>28427721.585051499</v>
      </c>
      <c r="K191" s="2"/>
      <c r="L191" s="2"/>
    </row>
    <row r="192" spans="1:12" x14ac:dyDescent="0.3">
      <c r="A192" s="1">
        <v>44439</v>
      </c>
      <c r="B192" s="2" cm="1">
        <f t="array" ref="B192">_xlfn._xlws.FILTER(rawdata!$F$2:$F$3638,(rawdata!$A$2:$A$3638=transformed_data!$A192)*(rawdata!$C$2:$C$3638=transformed_data!B$1))</f>
        <v>4038112.7478</v>
      </c>
      <c r="C192" s="2" cm="1">
        <f t="array" ref="C192">_xlfn._xlws.FILTER(rawdata!$F$2:$F$3638,(rawdata!$A$2:$A$3638=transformed_data!$A192)*(rawdata!$C$2:$C$3638=transformed_data!C$1))</f>
        <v>12411912.973200001</v>
      </c>
      <c r="D192" s="2" cm="1">
        <f t="array" ref="D192">_xlfn._xlws.FILTER(rawdata!$F$2:$F$3638,(rawdata!$A$2:$A$3638=transformed_data!$A192)*(rawdata!$C$2:$C$3638=transformed_data!D$1))</f>
        <v>3294109.6476500002</v>
      </c>
      <c r="E192" s="2" cm="1">
        <f t="array" ref="E192">SUM(-B192:D192,_xlfn._xlws.FILTER(rawdata!$F$2:$F$3638,(rawdata!$A$2:$A$3638=transformed_data!$A192)*(rawdata!$B$2:$B$3638="Total Marketable")))</f>
        <v>2188052.4116612002</v>
      </c>
      <c r="F192" s="2" cm="1">
        <f t="array" ref="F192">_xlfn._xlws.FILTER(rawdata!$F$2:$F$3638,(rawdata!$A$2:$A$3638=transformed_data!$A192)*(rawdata!$B$2:$B$3638="Total Nonmarketable"))</f>
        <v>6495128.9719444104</v>
      </c>
      <c r="G192" s="2" cm="1">
        <f t="array" ref="G192">_xlfn._xlws.FILTER(rawdata!$D$2:$D$3638,(rawdata!$A$2:$A$3638=transformed_data!$A192)*(rawdata!$B$2:$B$3638="Total Public Debt Outstanding"))</f>
        <v>22254544.444416199</v>
      </c>
      <c r="H192" s="2" cm="1">
        <f t="array" ref="H192">_xlfn._xlws.FILTER(rawdata!$E$2:$E$3638,(rawdata!$A$2:$A$3638=transformed_data!$A192)*(rawdata!$B$2:$B$3638="Total Public Debt Outstanding"))</f>
        <v>6172774.30783947</v>
      </c>
      <c r="I192" s="2" cm="1">
        <f t="array" ref="I192">_xlfn._xlws.FILTER(rawdata!$F$2:$F$3638,(rawdata!$A$2:$A$3638=transformed_data!$A192)*(rawdata!$B$2:$B$3638="Total Public Debt Outstanding"))</f>
        <v>28427316.7522556</v>
      </c>
      <c r="K192" s="2"/>
      <c r="L192" s="2"/>
    </row>
    <row r="193" spans="1:12" x14ac:dyDescent="0.3">
      <c r="A193" s="1">
        <v>44469</v>
      </c>
      <c r="B193" s="2" cm="1">
        <f t="array" ref="B193">_xlfn._xlws.FILTER(rawdata!$F$2:$F$3638,(rawdata!$A$2:$A$3638=transformed_data!$A193)*(rawdata!$C$2:$C$3638=transformed_data!B$1))</f>
        <v>3714118.5682999999</v>
      </c>
      <c r="C193" s="2" cm="1">
        <f t="array" ref="C193">_xlfn._xlws.FILTER(rawdata!$F$2:$F$3638,(rawdata!$A$2:$A$3638=transformed_data!$A193)*(rawdata!$C$2:$C$3638=transformed_data!C$1))</f>
        <v>12578941.0997</v>
      </c>
      <c r="D193" s="2" cm="1">
        <f t="array" ref="D193">_xlfn._xlws.FILTER(rawdata!$F$2:$F$3638,(rawdata!$A$2:$A$3638=transformed_data!$A193)*(rawdata!$C$2:$C$3638=transformed_data!D$1))</f>
        <v>3347555.48905</v>
      </c>
      <c r="E193" s="2" cm="1">
        <f t="array" ref="E193">SUM(-B193:D193,_xlfn._xlws.FILTER(rawdata!$F$2:$F$3638,(rawdata!$A$2:$A$3638=transformed_data!$A193)*(rawdata!$B$2:$B$3638="Total Marketable")))</f>
        <v>2238087.0552606024</v>
      </c>
      <c r="F193" s="2" cm="1">
        <f t="array" ref="F193">_xlfn._xlws.FILTER(rawdata!$F$2:$F$3638,(rawdata!$A$2:$A$3638=transformed_data!$A193)*(rawdata!$B$2:$B$3638="Total Nonmarketable"))</f>
        <v>6550215.9001580896</v>
      </c>
      <c r="G193" s="2" cm="1">
        <f t="array" ref="G193">_xlfn._xlws.FILTER(rawdata!$D$2:$D$3638,(rawdata!$A$2:$A$3638=transformed_data!$A193)*(rawdata!$B$2:$B$3638="Total Public Debt Outstanding"))</f>
        <v>22282900.228130199</v>
      </c>
      <c r="H193" s="2" cm="1">
        <f t="array" ref="H193">_xlfn._xlws.FILTER(rawdata!$E$2:$E$3638,(rawdata!$A$2:$A$3638=transformed_data!$A193)*(rawdata!$B$2:$B$3638="Total Public Debt Outstanding"))</f>
        <v>6146017.8843384497</v>
      </c>
      <c r="I193" s="2" cm="1">
        <f t="array" ref="I193">_xlfn._xlws.FILTER(rawdata!$F$2:$F$3638,(rawdata!$A$2:$A$3638=transformed_data!$A193)*(rawdata!$B$2:$B$3638="Total Public Debt Outstanding"))</f>
        <v>28428919.1124686</v>
      </c>
      <c r="K193" s="2"/>
      <c r="L193" s="2"/>
    </row>
    <row r="194" spans="1:12" x14ac:dyDescent="0.3">
      <c r="A194" s="1">
        <v>44500</v>
      </c>
      <c r="B194" s="2" cm="1">
        <f t="array" ref="B194">_xlfn._xlws.FILTER(rawdata!$F$2:$F$3638,(rawdata!$A$2:$A$3638=transformed_data!$A194)*(rawdata!$C$2:$C$3638=transformed_data!B$1))</f>
        <v>3852105.9434000002</v>
      </c>
      <c r="C194" s="2" cm="1">
        <f t="array" ref="C194">_xlfn._xlws.FILTER(rawdata!$F$2:$F$3638,(rawdata!$A$2:$A$3638=transformed_data!$A194)*(rawdata!$C$2:$C$3638=transformed_data!C$1))</f>
        <v>12646164.423900001</v>
      </c>
      <c r="D194" s="2" cm="1">
        <f t="array" ref="D194">_xlfn._xlws.FILTER(rawdata!$F$2:$F$3638,(rawdata!$A$2:$A$3638=transformed_data!$A194)*(rawdata!$C$2:$C$3638=transformed_data!D$1))</f>
        <v>3373360.3669500002</v>
      </c>
      <c r="E194" s="2" cm="1">
        <f t="array" ref="E194">SUM(-B194:D194,_xlfn._xlws.FILTER(rawdata!$F$2:$F$3638,(rawdata!$A$2:$A$3638=transformed_data!$A194)*(rawdata!$B$2:$B$3638="Total Marketable")))</f>
        <v>2260451.3456784971</v>
      </c>
      <c r="F194" s="2" cm="1">
        <f t="array" ref="F194">_xlfn._xlws.FILTER(rawdata!$F$2:$F$3638,(rawdata!$A$2:$A$3638=transformed_data!$A194)*(rawdata!$B$2:$B$3638="Total Nonmarketable"))</f>
        <v>6776682.7813774301</v>
      </c>
      <c r="G194" s="2" cm="1">
        <f t="array" ref="G194">_xlfn._xlws.FILTER(rawdata!$D$2:$D$3638,(rawdata!$A$2:$A$3638=transformed_data!$A194)*(rawdata!$B$2:$B$3638="Total Public Debt Outstanding"))</f>
        <v>22637089.618510999</v>
      </c>
      <c r="H194" s="2" cm="1">
        <f t="array" ref="H194">_xlfn._xlws.FILTER(rawdata!$E$2:$E$3638,(rawdata!$A$2:$A$3638=transformed_data!$A194)*(rawdata!$B$2:$B$3638="Total Public Debt Outstanding"))</f>
        <v>6271676.2427948797</v>
      </c>
      <c r="I194" s="2" cm="1">
        <f t="array" ref="I194">_xlfn._xlws.FILTER(rawdata!$F$2:$F$3638,(rawdata!$A$2:$A$3638=transformed_data!$A194)*(rawdata!$B$2:$B$3638="Total Public Debt Outstanding"))</f>
        <v>28908764.8613059</v>
      </c>
      <c r="K194" s="2"/>
      <c r="L194" s="2"/>
    </row>
    <row r="195" spans="1:12" x14ac:dyDescent="0.3">
      <c r="A195" s="1">
        <v>44530</v>
      </c>
      <c r="B195" s="2" cm="1">
        <f t="array" ref="B195">_xlfn._xlws.FILTER(rawdata!$F$2:$F$3638,(rawdata!$A$2:$A$3638=transformed_data!$A195)*(rawdata!$C$2:$C$3638=transformed_data!B$1))</f>
        <v>3786096.3273999998</v>
      </c>
      <c r="C195" s="2" cm="1">
        <f t="array" ref="C195">_xlfn._xlws.FILTER(rawdata!$F$2:$F$3638,(rawdata!$A$2:$A$3638=transformed_data!$A195)*(rawdata!$C$2:$C$3638=transformed_data!C$1))</f>
        <v>12854561.256999999</v>
      </c>
      <c r="D195" s="2" cm="1">
        <f t="array" ref="D195">_xlfn._xlws.FILTER(rawdata!$F$2:$F$3638,(rawdata!$A$2:$A$3638=transformed_data!$A195)*(rawdata!$C$2:$C$3638=transformed_data!D$1))</f>
        <v>3433525.3276499999</v>
      </c>
      <c r="E195" s="2" cm="1">
        <f t="array" ref="E195">SUM(-B195:D195,_xlfn._xlws.FILTER(rawdata!$F$2:$F$3638,(rawdata!$A$2:$A$3638=transformed_data!$A195)*(rawdata!$B$2:$B$3638="Total Marketable")))</f>
        <v>2277424.0507532023</v>
      </c>
      <c r="F195" s="2" cm="1">
        <f t="array" ref="F195">_xlfn._xlws.FILTER(rawdata!$F$2:$F$3638,(rawdata!$A$2:$A$3638=transformed_data!$A195)*(rawdata!$B$2:$B$3638="Total Nonmarketable"))</f>
        <v>6556379.5044486299</v>
      </c>
      <c r="G195" s="2" cm="1">
        <f t="array" ref="G195">_xlfn._xlws.FILTER(rawdata!$D$2:$D$3638,(rawdata!$A$2:$A$3638=transformed_data!$A195)*(rawdata!$B$2:$B$3638="Total Public Debt Outstanding"))</f>
        <v>22645911.862125501</v>
      </c>
      <c r="H195" s="2" cm="1">
        <f t="array" ref="H195">_xlfn._xlws.FILTER(rawdata!$E$2:$E$3638,(rawdata!$A$2:$A$3638=transformed_data!$A195)*(rawdata!$B$2:$B$3638="Total Public Debt Outstanding"))</f>
        <v>6262074.6051263297</v>
      </c>
      <c r="I195" s="2" cm="1">
        <f t="array" ref="I195">_xlfn._xlws.FILTER(rawdata!$F$2:$F$3638,(rawdata!$A$2:$A$3638=transformed_data!$A195)*(rawdata!$B$2:$B$3638="Total Public Debt Outstanding"))</f>
        <v>28907987.4672518</v>
      </c>
      <c r="K195" s="2"/>
      <c r="L195" s="2"/>
    </row>
    <row r="196" spans="1:12" x14ac:dyDescent="0.3">
      <c r="A196" s="1">
        <v>44561</v>
      </c>
      <c r="B196" s="2" cm="1">
        <f t="array" ref="B196">_xlfn._xlws.FILTER(rawdata!$F$2:$F$3638,(rawdata!$A$2:$A$3638=transformed_data!$A196)*(rawdata!$C$2:$C$3638=transformed_data!B$1))</f>
        <v>3770065.5680999998</v>
      </c>
      <c r="C196" s="2" cm="1">
        <f t="array" ref="C196">_xlfn._xlws.FILTER(rawdata!$F$2:$F$3638,(rawdata!$A$2:$A$3638=transformed_data!$A196)*(rawdata!$C$2:$C$3638=transformed_data!C$1))</f>
        <v>13000506.5035</v>
      </c>
      <c r="D196" s="2" cm="1">
        <f t="array" ref="D196">_xlfn._xlws.FILTER(rawdata!$F$2:$F$3638,(rawdata!$A$2:$A$3638=transformed_data!$A196)*(rawdata!$C$2:$C$3638=transformed_data!D$1))</f>
        <v>3481511.35525</v>
      </c>
      <c r="E196" s="2" cm="1">
        <f t="array" ref="E196">SUM(-B196:D196,_xlfn._xlws.FILTER(rawdata!$F$2:$F$3638,(rawdata!$A$2:$A$3638=transformed_data!$A196)*(rawdata!$B$2:$B$3638="Total Marketable")))</f>
        <v>2338008.1346647032</v>
      </c>
      <c r="F196" s="2" cm="1">
        <f t="array" ref="F196">_xlfn._xlws.FILTER(rawdata!$F$2:$F$3638,(rawdata!$A$2:$A$3638=transformed_data!$A196)*(rawdata!$B$2:$B$3638="Total Nonmarketable"))</f>
        <v>7027122.9591121599</v>
      </c>
      <c r="G196" s="2" cm="1">
        <f t="array" ref="G196">_xlfn._xlws.FILTER(rawdata!$D$2:$D$3638,(rawdata!$A$2:$A$3638=transformed_data!$A196)*(rawdata!$B$2:$B$3638="Total Public Debt Outstanding"))</f>
        <v>23143747.341942899</v>
      </c>
      <c r="H196" s="2" cm="1">
        <f t="array" ref="H196">_xlfn._xlws.FILTER(rawdata!$E$2:$E$3638,(rawdata!$A$2:$A$3638=transformed_data!$A196)*(rawdata!$B$2:$B$3638="Total Public Debt Outstanding"))</f>
        <v>6473468.1786839198</v>
      </c>
      <c r="I196" s="2" cm="1">
        <f t="array" ref="I196">_xlfn._xlws.FILTER(rawdata!$F$2:$F$3638,(rawdata!$A$2:$A$3638=transformed_data!$A196)*(rawdata!$B$2:$B$3638="Total Public Debt Outstanding"))</f>
        <v>29617214.520626798</v>
      </c>
      <c r="K196" s="2"/>
      <c r="L196" s="2"/>
    </row>
    <row r="197" spans="1:12" x14ac:dyDescent="0.3">
      <c r="A197" s="1">
        <v>44592</v>
      </c>
      <c r="B197" s="2" cm="1">
        <f t="array" ref="B197">_xlfn._xlws.FILTER(rawdata!$F$2:$F$3638,(rawdata!$A$2:$A$3638=transformed_data!$A197)*(rawdata!$C$2:$C$3638=transformed_data!B$1))</f>
        <v>3961051.3703000001</v>
      </c>
      <c r="C197" s="2" cm="1">
        <f t="array" ref="C197">_xlfn._xlws.FILTER(rawdata!$F$2:$F$3638,(rawdata!$A$2:$A$3638=transformed_data!$A197)*(rawdata!$C$2:$C$3638=transformed_data!C$1))</f>
        <v>13141550.891799999</v>
      </c>
      <c r="D197" s="2" cm="1">
        <f t="array" ref="D197">_xlfn._xlws.FILTER(rawdata!$F$2:$F$3638,(rawdata!$A$2:$A$3638=transformed_data!$A197)*(rawdata!$C$2:$C$3638=transformed_data!D$1))</f>
        <v>3530029.4334499999</v>
      </c>
      <c r="E197" s="2" cm="1">
        <f t="array" ref="E197">SUM(-B197:D197,_xlfn._xlws.FILTER(rawdata!$F$2:$F$3638,(rawdata!$A$2:$A$3638=transformed_data!$A197)*(rawdata!$B$2:$B$3638="Total Marketable")))</f>
        <v>2286266.5960734002</v>
      </c>
      <c r="F197" s="2" cm="1">
        <f t="array" ref="F197">_xlfn._xlws.FILTER(rawdata!$F$2:$F$3638,(rawdata!$A$2:$A$3638=transformed_data!$A197)*(rawdata!$B$2:$B$3638="Total Nonmarketable"))</f>
        <v>7093488.4343353501</v>
      </c>
      <c r="G197" s="2" cm="1">
        <f t="array" ref="G197">_xlfn._xlws.FILTER(rawdata!$D$2:$D$3638,(rawdata!$A$2:$A$3638=transformed_data!$A197)*(rawdata!$B$2:$B$3638="Total Public Debt Outstanding"))</f>
        <v>23487180.851727601</v>
      </c>
      <c r="H197" s="2" cm="1">
        <f t="array" ref="H197">_xlfn._xlws.FILTER(rawdata!$E$2:$E$3638,(rawdata!$A$2:$A$3638=transformed_data!$A197)*(rawdata!$B$2:$B$3638="Total Public Debt Outstanding"))</f>
        <v>6525204.8742312202</v>
      </c>
      <c r="I197" s="2" cm="1">
        <f t="array" ref="I197">_xlfn._xlws.FILTER(rawdata!$F$2:$F$3638,(rawdata!$A$2:$A$3638=transformed_data!$A197)*(rawdata!$B$2:$B$3638="Total Public Debt Outstanding"))</f>
        <v>30012385.725958802</v>
      </c>
      <c r="K197" s="2"/>
      <c r="L197" s="2"/>
    </row>
    <row r="198" spans="1:12" x14ac:dyDescent="0.3">
      <c r="A198" s="1">
        <v>44620</v>
      </c>
      <c r="B198" s="2" cm="1">
        <f t="array" ref="B198">_xlfn._xlws.FILTER(rawdata!$F$2:$F$3638,(rawdata!$A$2:$A$3638=transformed_data!$A198)*(rawdata!$C$2:$C$3638=transformed_data!B$1))</f>
        <v>4055001.6864999998</v>
      </c>
      <c r="C198" s="2" cm="1">
        <f t="array" ref="C198">_xlfn._xlws.FILTER(rawdata!$F$2:$F$3638,(rawdata!$A$2:$A$3638=transformed_data!$A198)*(rawdata!$C$2:$C$3638=transformed_data!C$1))</f>
        <v>13227624.8696</v>
      </c>
      <c r="D198" s="2" cm="1">
        <f t="array" ref="D198">_xlfn._xlws.FILTER(rawdata!$F$2:$F$3638,(rawdata!$A$2:$A$3638=transformed_data!$A198)*(rawdata!$C$2:$C$3638=transformed_data!D$1))</f>
        <v>3589195.6134500001</v>
      </c>
      <c r="E198" s="2" cm="1">
        <f t="array" ref="E198">SUM(-B198:D198,_xlfn._xlws.FILTER(rawdata!$F$2:$F$3638,(rawdata!$A$2:$A$3638=transformed_data!$A198)*(rawdata!$B$2:$B$3638="Total Marketable")))</f>
        <v>2324140.0022774972</v>
      </c>
      <c r="F198" s="2" cm="1">
        <f t="array" ref="F198">_xlfn._xlws.FILTER(rawdata!$F$2:$F$3638,(rawdata!$A$2:$A$3638=transformed_data!$A198)*(rawdata!$B$2:$B$3638="Total Nonmarketable"))</f>
        <v>7094391.1553630102</v>
      </c>
      <c r="G198" s="2" cm="1">
        <f t="array" ref="G198">_xlfn._xlws.FILTER(rawdata!$D$2:$D$3638,(rawdata!$A$2:$A$3638=transformed_data!$A198)*(rawdata!$B$2:$B$3638="Total Public Debt Outstanding"))</f>
        <v>23776559.8583396</v>
      </c>
      <c r="H198" s="2" cm="1">
        <f t="array" ref="H198">_xlfn._xlws.FILTER(rawdata!$E$2:$E$3638,(rawdata!$A$2:$A$3638=transformed_data!$A198)*(rawdata!$B$2:$B$3638="Total Public Debt Outstanding"))</f>
        <v>6513793.4688508604</v>
      </c>
      <c r="I198" s="2" cm="1">
        <f t="array" ref="I198">_xlfn._xlws.FILTER(rawdata!$F$2:$F$3638,(rawdata!$A$2:$A$3638=transformed_data!$A198)*(rawdata!$B$2:$B$3638="Total Public Debt Outstanding"))</f>
        <v>30290353.3271905</v>
      </c>
      <c r="K198" s="2"/>
      <c r="L198" s="2"/>
    </row>
    <row r="199" spans="1:12" x14ac:dyDescent="0.3">
      <c r="A199" s="1">
        <v>44651</v>
      </c>
      <c r="B199" s="2" cm="1">
        <f t="array" ref="B199">_xlfn._xlws.FILTER(rawdata!$F$2:$F$3638,(rawdata!$A$2:$A$3638=transformed_data!$A199)*(rawdata!$C$2:$C$3638=transformed_data!B$1))</f>
        <v>3928960.8736</v>
      </c>
      <c r="C199" s="2" cm="1">
        <f t="array" ref="C199">_xlfn._xlws.FILTER(rawdata!$F$2:$F$3638,(rawdata!$A$2:$A$3638=transformed_data!$A199)*(rawdata!$C$2:$C$3638=transformed_data!C$1))</f>
        <v>13348463.450200001</v>
      </c>
      <c r="D199" s="2" cm="1">
        <f t="array" ref="D199">_xlfn._xlws.FILTER(rawdata!$F$2:$F$3638,(rawdata!$A$2:$A$3638=transformed_data!$A199)*(rawdata!$C$2:$C$3638=transformed_data!D$1))</f>
        <v>3631506.4312499999</v>
      </c>
      <c r="E199" s="2" cm="1">
        <f t="array" ref="E199">SUM(-B199:D199,_xlfn._xlws.FILTER(rawdata!$F$2:$F$3638,(rawdata!$A$2:$A$3638=transformed_data!$A199)*(rawdata!$B$2:$B$3638="Total Marketable")))</f>
        <v>2377181.3491672017</v>
      </c>
      <c r="F199" s="2" cm="1">
        <f t="array" ref="F199">_xlfn._xlws.FILTER(rawdata!$F$2:$F$3638,(rawdata!$A$2:$A$3638=transformed_data!$A199)*(rawdata!$B$2:$B$3638="Total Nonmarketable"))</f>
        <v>7114847.5239261901</v>
      </c>
      <c r="G199" s="2" cm="1">
        <f t="array" ref="G199">_xlfn._xlws.FILTER(rawdata!$D$2:$D$3638,(rawdata!$A$2:$A$3638=transformed_data!$A199)*(rawdata!$B$2:$B$3638="Total Public Debt Outstanding"))</f>
        <v>23879767.7245996</v>
      </c>
      <c r="H199" s="2" cm="1">
        <f t="array" ref="H199">_xlfn._xlws.FILTER(rawdata!$E$2:$E$3638,(rawdata!$A$2:$A$3638=transformed_data!$A199)*(rawdata!$B$2:$B$3638="Total Public Debt Outstanding"))</f>
        <v>6521191.9035437703</v>
      </c>
      <c r="I199" s="2" cm="1">
        <f t="array" ref="I199">_xlfn._xlws.FILTER(rawdata!$F$2:$F$3638,(rawdata!$A$2:$A$3638=transformed_data!$A199)*(rawdata!$B$2:$B$3638="Total Public Debt Outstanding"))</f>
        <v>30400959.6281434</v>
      </c>
      <c r="K199" s="2"/>
      <c r="L199" s="2"/>
    </row>
    <row r="200" spans="1:12" x14ac:dyDescent="0.3">
      <c r="A200" s="1">
        <v>44681</v>
      </c>
      <c r="B200" s="2" cm="1">
        <f t="array" ref="B200">_xlfn._xlws.FILTER(rawdata!$F$2:$F$3638,(rawdata!$A$2:$A$3638=transformed_data!$A200)*(rawdata!$C$2:$C$3638=transformed_data!B$1))</f>
        <v>3827928.1022999999</v>
      </c>
      <c r="C200" s="2" cm="1">
        <f t="array" ref="C200">_xlfn._xlws.FILTER(rawdata!$F$2:$F$3638,(rawdata!$A$2:$A$3638=transformed_data!$A200)*(rawdata!$C$2:$C$3638=transformed_data!C$1))</f>
        <v>13409539.3332</v>
      </c>
      <c r="D200" s="2" cm="1">
        <f t="array" ref="D200">_xlfn._xlws.FILTER(rawdata!$F$2:$F$3638,(rawdata!$A$2:$A$3638=transformed_data!$A200)*(rawdata!$C$2:$C$3638=transformed_data!D$1))</f>
        <v>3656277.2743500001</v>
      </c>
      <c r="E200" s="2" cm="1">
        <f t="array" ref="E200">SUM(-B200:D200,_xlfn._xlws.FILTER(rawdata!$F$2:$F$3638,(rawdata!$A$2:$A$3638=transformed_data!$A200)*(rawdata!$B$2:$B$3638="Total Marketable")))</f>
        <v>2360874.809953101</v>
      </c>
      <c r="F200" s="2" cm="1">
        <f t="array" ref="F200">_xlfn._xlws.FILTER(rawdata!$F$2:$F$3638,(rawdata!$A$2:$A$3638=transformed_data!$A200)*(rawdata!$B$2:$B$3638="Total Nonmarketable"))</f>
        <v>7119534.6517901802</v>
      </c>
      <c r="G200" s="2" cm="1">
        <f t="array" ref="G200">_xlfn._xlws.FILTER(rawdata!$D$2:$D$3638,(rawdata!$A$2:$A$3638=transformed_data!$A200)*(rawdata!$B$2:$B$3638="Total Public Debt Outstanding"))</f>
        <v>23847245.051507901</v>
      </c>
      <c r="H200" s="2" cm="1">
        <f t="array" ref="H200">_xlfn._xlws.FILTER(rawdata!$E$2:$E$3638,(rawdata!$A$2:$A$3638=transformed_data!$A200)*(rawdata!$B$2:$B$3638="Total Public Debt Outstanding"))</f>
        <v>6526909.1200853502</v>
      </c>
      <c r="I200" s="2" cm="1">
        <f t="array" ref="I200">_xlfn._xlws.FILTER(rawdata!$F$2:$F$3638,(rawdata!$A$2:$A$3638=transformed_data!$A200)*(rawdata!$B$2:$B$3638="Total Public Debt Outstanding"))</f>
        <v>30374155.171593301</v>
      </c>
      <c r="K200" s="2"/>
      <c r="L200" s="2"/>
    </row>
    <row r="201" spans="1:12" x14ac:dyDescent="0.3">
      <c r="A201" s="1">
        <v>44712</v>
      </c>
      <c r="B201" s="2" cm="1">
        <f t="array" ref="B201">_xlfn._xlws.FILTER(rawdata!$F$2:$F$3638,(rawdata!$A$2:$A$3638=transformed_data!$A201)*(rawdata!$C$2:$C$3638=transformed_data!B$1))</f>
        <v>3672923.3171000001</v>
      </c>
      <c r="C201" s="2" cm="1">
        <f t="array" ref="C201">_xlfn._xlws.FILTER(rawdata!$F$2:$F$3638,(rawdata!$A$2:$A$3638=transformed_data!$A201)*(rawdata!$C$2:$C$3638=transformed_data!C$1))</f>
        <v>13516330.681</v>
      </c>
      <c r="D201" s="2" cm="1">
        <f t="array" ref="D201">_xlfn._xlws.FILTER(rawdata!$F$2:$F$3638,(rawdata!$A$2:$A$3638=transformed_data!$A201)*(rawdata!$C$2:$C$3638=transformed_data!D$1))</f>
        <v>3731432.1550500002</v>
      </c>
      <c r="E201" s="2" cm="1">
        <f t="array" ref="E201">SUM(-B201:D201,_xlfn._xlws.FILTER(rawdata!$F$2:$F$3638,(rawdata!$A$2:$A$3638=transformed_data!$A201)*(rawdata!$B$2:$B$3638="Total Marketable")))</f>
        <v>2386469.1637023985</v>
      </c>
      <c r="F201" s="2" cm="1">
        <f t="array" ref="F201">_xlfn._xlws.FILTER(rawdata!$F$2:$F$3638,(rawdata!$A$2:$A$3638=transformed_data!$A201)*(rawdata!$B$2:$B$3638="Total Nonmarketable"))</f>
        <v>7192462.9078508504</v>
      </c>
      <c r="G201" s="2" cm="1">
        <f t="array" ref="G201">_xlfn._xlws.FILTER(rawdata!$D$2:$D$3638,(rawdata!$A$2:$A$3638=transformed_data!$A201)*(rawdata!$B$2:$B$3638="Total Public Debt Outstanding"))</f>
        <v>23904391.421216499</v>
      </c>
      <c r="H201" s="2" cm="1">
        <f t="array" ref="H201">_xlfn._xlws.FILTER(rawdata!$E$2:$E$3638,(rawdata!$A$2:$A$3638=transformed_data!$A201)*(rawdata!$B$2:$B$3638="Total Public Debt Outstanding"))</f>
        <v>6595226.8034866797</v>
      </c>
      <c r="I201" s="2" cm="1">
        <f t="array" ref="I201">_xlfn._xlws.FILTER(rawdata!$F$2:$F$3638,(rawdata!$A$2:$A$3638=transformed_data!$A201)*(rawdata!$B$2:$B$3638="Total Public Debt Outstanding"))</f>
        <v>30499619.2247032</v>
      </c>
      <c r="K201" s="2"/>
      <c r="L201" s="2"/>
    </row>
    <row r="202" spans="1:12" x14ac:dyDescent="0.3">
      <c r="A202" s="1">
        <v>44742</v>
      </c>
      <c r="B202" s="2" cm="1">
        <f t="array" ref="B202">_xlfn._xlws.FILTER(rawdata!$F$2:$F$3638,(rawdata!$A$2:$A$3638=transformed_data!$A202)*(rawdata!$C$2:$C$3638=transformed_data!B$1))</f>
        <v>3523925.3166</v>
      </c>
      <c r="C202" s="2" cm="1">
        <f t="array" ref="C202">_xlfn._xlws.FILTER(rawdata!$F$2:$F$3638,(rawdata!$A$2:$A$3638=transformed_data!$A202)*(rawdata!$C$2:$C$3638=transformed_data!C$1))</f>
        <v>13583597.317600001</v>
      </c>
      <c r="D202" s="2" cm="1">
        <f t="array" ref="D202">_xlfn._xlws.FILTER(rawdata!$F$2:$F$3638,(rawdata!$A$2:$A$3638=transformed_data!$A202)*(rawdata!$C$2:$C$3638=transformed_data!D$1))</f>
        <v>3766619.8216499998</v>
      </c>
      <c r="E202" s="2" cm="1">
        <f t="array" ref="E202">SUM(-B202:D202,_xlfn._xlws.FILTER(rawdata!$F$2:$F$3638,(rawdata!$A$2:$A$3638=transformed_data!$A202)*(rawdata!$B$2:$B$3638="Total Marketable")))</f>
        <v>2437439.6442212015</v>
      </c>
      <c r="F202" s="2" cm="1">
        <f t="array" ref="F202">_xlfn._xlws.FILTER(rawdata!$F$2:$F$3638,(rawdata!$A$2:$A$3638=transformed_data!$A202)*(rawdata!$B$2:$B$3638="Total Nonmarketable"))</f>
        <v>7256999.63611429</v>
      </c>
      <c r="G202" s="2" cm="1">
        <f t="array" ref="G202">_xlfn._xlws.FILTER(rawdata!$D$2:$D$3638,(rawdata!$A$2:$A$3638=transformed_data!$A202)*(rawdata!$B$2:$B$3638="Total Public Debt Outstanding"))</f>
        <v>23912159.7086404</v>
      </c>
      <c r="H202" s="2" cm="1">
        <f t="array" ref="H202">_xlfn._xlws.FILTER(rawdata!$E$2:$E$3638,(rawdata!$A$2:$A$3638=transformed_data!$A202)*(rawdata!$B$2:$B$3638="Total Public Debt Outstanding"))</f>
        <v>6656422.0275450898</v>
      </c>
      <c r="I202" s="2" cm="1">
        <f t="array" ref="I202">_xlfn._xlws.FILTER(rawdata!$F$2:$F$3638,(rawdata!$A$2:$A$3638=transformed_data!$A202)*(rawdata!$B$2:$B$3638="Total Public Debt Outstanding"))</f>
        <v>30568581.736185499</v>
      </c>
      <c r="K202" s="2"/>
      <c r="L202" s="2"/>
    </row>
    <row r="203" spans="1:12" x14ac:dyDescent="0.3">
      <c r="A203" s="1">
        <v>44773</v>
      </c>
      <c r="B203" s="2" cm="1">
        <f t="array" ref="B203">_xlfn._xlws.FILTER(rawdata!$F$2:$F$3638,(rawdata!$A$2:$A$3638=transformed_data!$A203)*(rawdata!$C$2:$C$3638=transformed_data!B$1))</f>
        <v>3514936.0011999998</v>
      </c>
      <c r="C203" s="2" cm="1">
        <f t="array" ref="C203">_xlfn._xlws.FILTER(rawdata!$F$2:$F$3638,(rawdata!$A$2:$A$3638=transformed_data!$A203)*(rawdata!$C$2:$C$3638=transformed_data!C$1))</f>
        <v>13630963.2107</v>
      </c>
      <c r="D203" s="2" cm="1">
        <f t="array" ref="D203">_xlfn._xlws.FILTER(rawdata!$F$2:$F$3638,(rawdata!$A$2:$A$3638=transformed_data!$A203)*(rawdata!$C$2:$C$3638=transformed_data!D$1))</f>
        <v>3788041.4324500002</v>
      </c>
      <c r="E203" s="2" cm="1">
        <f t="array" ref="E203">SUM(-B203:D203,_xlfn._xlws.FILTER(rawdata!$F$2:$F$3638,(rawdata!$A$2:$A$3638=transformed_data!$A203)*(rawdata!$B$2:$B$3638="Total Marketable")))</f>
        <v>2420805.2958962992</v>
      </c>
      <c r="F203" s="2" cm="1">
        <f t="array" ref="F203">_xlfn._xlws.FILTER(rawdata!$F$2:$F$3638,(rawdata!$A$2:$A$3638=transformed_data!$A203)*(rawdata!$B$2:$B$3638="Total Nonmarketable"))</f>
        <v>7240362.6825130498</v>
      </c>
      <c r="G203" s="2" cm="1">
        <f t="array" ref="G203">_xlfn._xlws.FILTER(rawdata!$D$2:$D$3638,(rawdata!$A$2:$A$3638=transformed_data!$A203)*(rawdata!$B$2:$B$3638="Total Public Debt Outstanding"))</f>
        <v>23952579.263626199</v>
      </c>
      <c r="H203" s="2" cm="1">
        <f t="array" ref="H203">_xlfn._xlws.FILTER(rawdata!$E$2:$E$3638,(rawdata!$A$2:$A$3638=transformed_data!$A203)*(rawdata!$B$2:$B$3638="Total Public Debt Outstanding"))</f>
        <v>6642529.3841331704</v>
      </c>
      <c r="I203" s="2" cm="1">
        <f t="array" ref="I203">_xlfn._xlws.FILTER(rawdata!$F$2:$F$3638,(rawdata!$A$2:$A$3638=transformed_data!$A203)*(rawdata!$B$2:$B$3638="Total Public Debt Outstanding"))</f>
        <v>30595108.622759301</v>
      </c>
      <c r="K203" s="2"/>
      <c r="L203" s="2"/>
    </row>
    <row r="204" spans="1:12" x14ac:dyDescent="0.3">
      <c r="A204" s="1">
        <v>44804</v>
      </c>
      <c r="B204" s="2" cm="1">
        <f t="array" ref="B204">_xlfn._xlws.FILTER(rawdata!$F$2:$F$3638,(rawdata!$A$2:$A$3638=transformed_data!$A204)*(rawdata!$C$2:$C$3638=transformed_data!B$1))</f>
        <v>3724979.3820000002</v>
      </c>
      <c r="C204" s="2" cm="1">
        <f t="array" ref="C204">_xlfn._xlws.FILTER(rawdata!$F$2:$F$3638,(rawdata!$A$2:$A$3638=transformed_data!$A204)*(rawdata!$C$2:$C$3638=transformed_data!C$1))</f>
        <v>13672145.814300001</v>
      </c>
      <c r="D204" s="2" cm="1">
        <f t="array" ref="D204">_xlfn._xlws.FILTER(rawdata!$F$2:$F$3638,(rawdata!$A$2:$A$3638=transformed_data!$A204)*(rawdata!$C$2:$C$3638=transformed_data!D$1))</f>
        <v>3844352.7732500001</v>
      </c>
      <c r="E204" s="2" cm="1">
        <f t="array" ref="E204">SUM(-B204:D204,_xlfn._xlws.FILTER(rawdata!$F$2:$F$3638,(rawdata!$A$2:$A$3638=transformed_data!$A204)*(rawdata!$B$2:$B$3638="Total Marketable")))</f>
        <v>2433480.4144283012</v>
      </c>
      <c r="F204" s="2" cm="1">
        <f t="array" ref="F204">_xlfn._xlws.FILTER(rawdata!$F$2:$F$3638,(rawdata!$A$2:$A$3638=transformed_data!$A204)*(rawdata!$B$2:$B$3638="Total Nonmarketable"))</f>
        <v>7261116.8091923296</v>
      </c>
      <c r="G204" s="2" cm="1">
        <f t="array" ref="G204">_xlfn._xlws.FILTER(rawdata!$D$2:$D$3638,(rawdata!$A$2:$A$3638=transformed_data!$A204)*(rawdata!$B$2:$B$3638="Total Public Debt Outstanding"))</f>
        <v>24267551.2205685</v>
      </c>
      <c r="H204" s="2" cm="1">
        <f t="array" ref="H204">_xlfn._xlws.FILTER(rawdata!$E$2:$E$3638,(rawdata!$A$2:$A$3638=transformed_data!$A204)*(rawdata!$B$2:$B$3638="Total Public Debt Outstanding"))</f>
        <v>6668523.9726021001</v>
      </c>
      <c r="I204" s="2" cm="1">
        <f t="array" ref="I204">_xlfn._xlws.FILTER(rawdata!$F$2:$F$3638,(rawdata!$A$2:$A$3638=transformed_data!$A204)*(rawdata!$B$2:$B$3638="Total Public Debt Outstanding"))</f>
        <v>30936075.1931706</v>
      </c>
      <c r="K204" s="2"/>
      <c r="L204" s="2"/>
    </row>
    <row r="205" spans="1:12" x14ac:dyDescent="0.3">
      <c r="A205" s="1">
        <v>44834</v>
      </c>
      <c r="B205" s="2" cm="1">
        <f t="array" ref="B205">_xlfn._xlws.FILTER(rawdata!$F$2:$F$3638,(rawdata!$A$2:$A$3638=transformed_data!$A205)*(rawdata!$C$2:$C$3638=transformed_data!B$1))</f>
        <v>3644620.2004</v>
      </c>
      <c r="C205" s="2" cm="1">
        <f t="array" ref="C205">_xlfn._xlws.FILTER(rawdata!$F$2:$F$3638,(rawdata!$A$2:$A$3638=transformed_data!$A205)*(rawdata!$C$2:$C$3638=transformed_data!C$1))</f>
        <v>13703795.352499999</v>
      </c>
      <c r="D205" s="2" cm="1">
        <f t="array" ref="D205">_xlfn._xlws.FILTER(rawdata!$F$2:$F$3638,(rawdata!$A$2:$A$3638=transformed_data!$A205)*(rawdata!$C$2:$C$3638=transformed_data!D$1))</f>
        <v>3874352.1434499999</v>
      </c>
      <c r="E205" s="2" cm="1">
        <f t="array" ref="E205">SUM(-B205:D205,_xlfn._xlws.FILTER(rawdata!$F$2:$F$3638,(rawdata!$A$2:$A$3638=transformed_data!$A205)*(rawdata!$B$2:$B$3638="Total Marketable")))</f>
        <v>2471356.245639503</v>
      </c>
      <c r="F205" s="2" cm="1">
        <f t="array" ref="F205">_xlfn._xlws.FILTER(rawdata!$F$2:$F$3638,(rawdata!$A$2:$A$3638=transformed_data!$A205)*(rawdata!$B$2:$B$3638="Total Nonmarketable"))</f>
        <v>7234787.6450389801</v>
      </c>
      <c r="G205" s="2" cm="1">
        <f t="array" ref="G205">_xlfn._xlws.FILTER(rawdata!$D$2:$D$3638,(rawdata!$A$2:$A$3638=transformed_data!$A205)*(rawdata!$B$2:$B$3638="Total Public Debt Outstanding"))</f>
        <v>24299192.593880199</v>
      </c>
      <c r="H205" s="2" cm="1">
        <f t="array" ref="H205">_xlfn._xlws.FILTER(rawdata!$E$2:$E$3638,(rawdata!$A$2:$A$3638=transformed_data!$A205)*(rawdata!$B$2:$B$3638="Total Public Debt Outstanding"))</f>
        <v>6629718.9931482198</v>
      </c>
      <c r="I205" s="2" cm="1">
        <f t="array" ref="I205">_xlfn._xlws.FILTER(rawdata!$F$2:$F$3638,(rawdata!$A$2:$A$3638=transformed_data!$A205)*(rawdata!$B$2:$B$3638="Total Public Debt Outstanding"))</f>
        <v>30928911.587028399</v>
      </c>
      <c r="K205" s="2"/>
      <c r="L205" s="2"/>
    </row>
    <row r="206" spans="1:12" x14ac:dyDescent="0.3">
      <c r="A206" s="1">
        <v>44865</v>
      </c>
      <c r="B206" s="2" cm="1">
        <f t="array" ref="B206">_xlfn._xlws.FILTER(rawdata!$F$2:$F$3638,(rawdata!$A$2:$A$3638=transformed_data!$A206)*(rawdata!$C$2:$C$3638=transformed_data!B$1))</f>
        <v>3665978.4493</v>
      </c>
      <c r="C206" s="2" cm="1">
        <f t="array" ref="C206">_xlfn._xlws.FILTER(rawdata!$F$2:$F$3638,(rawdata!$A$2:$A$3638=transformed_data!$A206)*(rawdata!$C$2:$C$3638=transformed_data!C$1))</f>
        <v>13734209.057700001</v>
      </c>
      <c r="D206" s="2" cm="1">
        <f t="array" ref="D206">_xlfn._xlws.FILTER(rawdata!$F$2:$F$3638,(rawdata!$A$2:$A$3638=transformed_data!$A206)*(rawdata!$C$2:$C$3638=transformed_data!D$1))</f>
        <v>3904340.2751500001</v>
      </c>
      <c r="E206" s="2" cm="1">
        <f t="array" ref="E206">SUM(-B206:D206,_xlfn._xlws.FILTER(rawdata!$F$2:$F$3638,(rawdata!$A$2:$A$3638=transformed_data!$A206)*(rawdata!$B$2:$B$3638="Total Marketable")))</f>
        <v>2438957.7097389996</v>
      </c>
      <c r="F206" s="2" cm="1">
        <f t="array" ref="F206">_xlfn._xlws.FILTER(rawdata!$F$2:$F$3638,(rawdata!$A$2:$A$3638=transformed_data!$A206)*(rawdata!$B$2:$B$3638="Total Nonmarketable"))</f>
        <v>7494815.6646926897</v>
      </c>
      <c r="G206" s="2" cm="1">
        <f t="array" ref="G206">_xlfn._xlws.FILTER(rawdata!$D$2:$D$3638,(rawdata!$A$2:$A$3638=transformed_data!$A206)*(rawdata!$B$2:$B$3638="Total Public Debt Outstanding"))</f>
        <v>24352541.670687702</v>
      </c>
      <c r="H206" s="2" cm="1">
        <f t="array" ref="H206">_xlfn._xlws.FILTER(rawdata!$E$2:$E$3638,(rawdata!$A$2:$A$3638=transformed_data!$A206)*(rawdata!$B$2:$B$3638="Total Public Debt Outstanding"))</f>
        <v>6885759.4858939303</v>
      </c>
      <c r="I206" s="2" cm="1">
        <f t="array" ref="I206">_xlfn._xlws.FILTER(rawdata!$F$2:$F$3638,(rawdata!$A$2:$A$3638=transformed_data!$A206)*(rawdata!$B$2:$B$3638="Total Public Debt Outstanding"))</f>
        <v>31238301.1565817</v>
      </c>
      <c r="K206" s="2"/>
      <c r="L206" s="2"/>
    </row>
    <row r="207" spans="1:12" x14ac:dyDescent="0.3">
      <c r="A207" s="1">
        <v>44895</v>
      </c>
      <c r="B207" s="2" cm="1">
        <f t="array" ref="B207">_xlfn._xlws.FILTER(rawdata!$F$2:$F$3638,(rawdata!$A$2:$A$3638=transformed_data!$A207)*(rawdata!$C$2:$C$3638=transformed_data!B$1))</f>
        <v>3811905.1513999999</v>
      </c>
      <c r="C207" s="2" cm="1">
        <f t="array" ref="C207">_xlfn._xlws.FILTER(rawdata!$F$2:$F$3638,(rawdata!$A$2:$A$3638=transformed_data!$A207)*(rawdata!$C$2:$C$3638=transformed_data!C$1))</f>
        <v>13717937.353700001</v>
      </c>
      <c r="D207" s="2" cm="1">
        <f t="array" ref="D207">_xlfn._xlws.FILTER(rawdata!$F$2:$F$3638,(rawdata!$A$2:$A$3638=transformed_data!$A207)*(rawdata!$C$2:$C$3638=transformed_data!D$1))</f>
        <v>3941889.45065</v>
      </c>
      <c r="E207" s="2" cm="1">
        <f t="array" ref="E207">SUM(-B207:D207,_xlfn._xlws.FILTER(rawdata!$F$2:$F$3638,(rawdata!$A$2:$A$3638=transformed_data!$A207)*(rawdata!$B$2:$B$3638="Total Marketable")))</f>
        <v>2481768.3479866013</v>
      </c>
      <c r="F207" s="2" cm="1">
        <f t="array" ref="F207">_xlfn._xlws.FILTER(rawdata!$F$2:$F$3638,(rawdata!$A$2:$A$3638=transformed_data!$A207)*(rawdata!$B$2:$B$3638="Total Nonmarketable"))</f>
        <v>7459822.1298060901</v>
      </c>
      <c r="G207" s="2" cm="1">
        <f t="array" ref="G207">_xlfn._xlws.FILTER(rawdata!$D$2:$D$3638,(rawdata!$A$2:$A$3638=transformed_data!$A207)*(rawdata!$B$2:$B$3638="Total Public Debt Outstanding"))</f>
        <v>24553456.552924301</v>
      </c>
      <c r="H207" s="2" cm="1">
        <f t="array" ref="H207">_xlfn._xlws.FILTER(rawdata!$E$2:$E$3638,(rawdata!$A$2:$A$3638=transformed_data!$A207)*(rawdata!$B$2:$B$3638="Total Public Debt Outstanding"))</f>
        <v>6859865.8806183701</v>
      </c>
      <c r="I207" s="2" cm="1">
        <f t="array" ref="I207">_xlfn._xlws.FILTER(rawdata!$F$2:$F$3638,(rawdata!$A$2:$A$3638=transformed_data!$A207)*(rawdata!$B$2:$B$3638="Total Public Debt Outstanding"))</f>
        <v>31413322.433542699</v>
      </c>
      <c r="K207" s="2"/>
      <c r="L207" s="2"/>
    </row>
    <row r="208" spans="1:12" x14ac:dyDescent="0.3">
      <c r="A208" s="1">
        <v>44926</v>
      </c>
      <c r="B208" s="2" cm="1">
        <f t="array" ref="B208">_xlfn._xlws.FILTER(rawdata!$F$2:$F$3638,(rawdata!$A$2:$A$3638=transformed_data!$A208)*(rawdata!$C$2:$C$3638=transformed_data!B$1))</f>
        <v>3697386.1438000002</v>
      </c>
      <c r="C208" s="2" cm="1">
        <f t="array" ref="C208">_xlfn._xlws.FILTER(rawdata!$F$2:$F$3638,(rawdata!$A$2:$A$3638=transformed_data!$A208)*(rawdata!$C$2:$C$3638=transformed_data!C$1))</f>
        <v>13751916.8697</v>
      </c>
      <c r="D208" s="2" cm="1">
        <f t="array" ref="D208">_xlfn._xlws.FILTER(rawdata!$F$2:$F$3638,(rawdata!$A$2:$A$3638=transformed_data!$A208)*(rawdata!$C$2:$C$3638=transformed_data!D$1))</f>
        <v>3959873.6060500001</v>
      </c>
      <c r="E208" s="2" cm="1">
        <f t="array" ref="E208">SUM(-B208:D208,_xlfn._xlws.FILTER(rawdata!$F$2:$F$3638,(rawdata!$A$2:$A$3638=transformed_data!$A208)*(rawdata!$B$2:$B$3638="Total Marketable")))</f>
        <v>2530123.1937255003</v>
      </c>
      <c r="F208" s="2" cm="1">
        <f t="array" ref="F208">_xlfn._xlws.FILTER(rawdata!$F$2:$F$3638,(rawdata!$A$2:$A$3638=transformed_data!$A208)*(rawdata!$B$2:$B$3638="Total Nonmarketable"))</f>
        <v>7480389.7035792097</v>
      </c>
      <c r="G208" s="2" cm="1">
        <f t="array" ref="G208">_xlfn._xlws.FILTER(rawdata!$D$2:$D$3638,(rawdata!$A$2:$A$3638=transformed_data!$A208)*(rawdata!$B$2:$B$3638="Total Public Debt Outstanding"))</f>
        <v>24517593.303862698</v>
      </c>
      <c r="H208" s="2" cm="1">
        <f t="array" ref="H208">_xlfn._xlws.FILTER(rawdata!$E$2:$E$3638,(rawdata!$A$2:$A$3638=transformed_data!$A208)*(rawdata!$B$2:$B$3638="Total Public Debt Outstanding"))</f>
        <v>6902096.2129920302</v>
      </c>
      <c r="I208" s="2" cm="1">
        <f t="array" ref="I208">_xlfn._xlws.FILTER(rawdata!$F$2:$F$3638,(rawdata!$A$2:$A$3638=transformed_data!$A208)*(rawdata!$B$2:$B$3638="Total Public Debt Outstanding"))</f>
        <v>31419689.416854698</v>
      </c>
      <c r="K208" s="2"/>
      <c r="L208" s="2"/>
    </row>
    <row r="209" spans="1:12" x14ac:dyDescent="0.3">
      <c r="A209" s="1">
        <v>44957</v>
      </c>
      <c r="B209" s="2" cm="1">
        <f t="array" ref="B209">_xlfn._xlws.FILTER(rawdata!$F$2:$F$3638,(rawdata!$A$2:$A$3638=transformed_data!$A209)*(rawdata!$C$2:$C$3638=transformed_data!B$1))</f>
        <v>3938873.4478000002</v>
      </c>
      <c r="C209" s="2" cm="1">
        <f t="array" ref="C209">_xlfn._xlws.FILTER(rawdata!$F$2:$F$3638,(rawdata!$A$2:$A$3638=transformed_data!$A209)*(rawdata!$C$2:$C$3638=transformed_data!C$1))</f>
        <v>13753790.567399999</v>
      </c>
      <c r="D209" s="2" cm="1">
        <f t="array" ref="D209">_xlfn._xlws.FILTER(rawdata!$F$2:$F$3638,(rawdata!$A$2:$A$3638=transformed_data!$A209)*(rawdata!$C$2:$C$3638=transformed_data!D$1))</f>
        <v>4001861.70805</v>
      </c>
      <c r="E209" s="2" cm="1">
        <f t="array" ref="E209">SUM(-B209:D209,_xlfn._xlws.FILTER(rawdata!$F$2:$F$3638,(rawdata!$A$2:$A$3638=transformed_data!$A209)*(rawdata!$B$2:$B$3638="Total Marketable")))</f>
        <v>2433083.577902399</v>
      </c>
      <c r="F209" s="2" cm="1">
        <f t="array" ref="F209">_xlfn._xlws.FILTER(rawdata!$F$2:$F$3638,(rawdata!$A$2:$A$3638=transformed_data!$A209)*(rawdata!$B$2:$B$3638="Total Nonmarketable"))</f>
        <v>7327372.8402000898</v>
      </c>
      <c r="G209" s="2" cm="1">
        <f t="array" ref="G209">_xlfn._xlws.FILTER(rawdata!$D$2:$D$3638,(rawdata!$A$2:$A$3638=transformed_data!$A209)*(rawdata!$B$2:$B$3638="Total Public Debt Outstanding"))</f>
        <v>24583994.486687999</v>
      </c>
      <c r="H209" s="2" cm="1">
        <f t="array" ref="H209">_xlfn._xlws.FILTER(rawdata!$E$2:$E$3638,(rawdata!$A$2:$A$3638=transformed_data!$A209)*(rawdata!$B$2:$B$3638="Total Public Debt Outstanding"))</f>
        <v>6870988.6546645099</v>
      </c>
      <c r="I209" s="2" cm="1">
        <f t="array" ref="I209">_xlfn._xlws.FILTER(rawdata!$F$2:$F$3638,(rawdata!$A$2:$A$3638=transformed_data!$A209)*(rawdata!$B$2:$B$3638="Total Public Debt Outstanding"))</f>
        <v>31454982.041352499</v>
      </c>
      <c r="K209" s="2"/>
      <c r="L209" s="2"/>
    </row>
    <row r="210" spans="1:12" x14ac:dyDescent="0.3">
      <c r="A210" s="1">
        <v>44985</v>
      </c>
      <c r="B210" s="2" cm="1">
        <f t="array" ref="B210">_xlfn._xlws.FILTER(rawdata!$F$2:$F$3638,(rawdata!$A$2:$A$3638=transformed_data!$A210)*(rawdata!$C$2:$C$3638=transformed_data!B$1))</f>
        <v>4057778.6239999998</v>
      </c>
      <c r="C210" s="2" cm="1">
        <f t="array" ref="C210">_xlfn._xlws.FILTER(rawdata!$F$2:$F$3638,(rawdata!$A$2:$A$3638=transformed_data!$A210)*(rawdata!$C$2:$C$3638=transformed_data!C$1))</f>
        <v>13730524.3871</v>
      </c>
      <c r="D210" s="2" cm="1">
        <f t="array" ref="D210">_xlfn._xlws.FILTER(rawdata!$F$2:$F$3638,(rawdata!$A$2:$A$3638=transformed_data!$A210)*(rawdata!$C$2:$C$3638=transformed_data!D$1))</f>
        <v>4033694.1141499998</v>
      </c>
      <c r="E210" s="2" cm="1">
        <f t="array" ref="E210">SUM(-B210:D210,_xlfn._xlws.FILTER(rawdata!$F$2:$F$3638,(rawdata!$A$2:$A$3638=transformed_data!$A210)*(rawdata!$B$2:$B$3638="Total Marketable")))</f>
        <v>2460567.7760051005</v>
      </c>
      <c r="F210" s="2" cm="1">
        <f t="array" ref="F210">_xlfn._xlws.FILTER(rawdata!$F$2:$F$3638,(rawdata!$A$2:$A$3638=transformed_data!$A210)*(rawdata!$B$2:$B$3638="Total Nonmarketable"))</f>
        <v>7176726.5564184496</v>
      </c>
      <c r="G210" s="2" cm="1">
        <f t="array" ref="G210">_xlfn._xlws.FILTER(rawdata!$D$2:$D$3638,(rawdata!$A$2:$A$3638=transformed_data!$A210)*(rawdata!$B$2:$B$3638="Total Public Debt Outstanding"))</f>
        <v>24609240.800815798</v>
      </c>
      <c r="H210" s="2" cm="1">
        <f t="array" ref="H210">_xlfn._xlws.FILTER(rawdata!$E$2:$E$3638,(rawdata!$A$2:$A$3638=transformed_data!$A210)*(rawdata!$B$2:$B$3638="Total Public Debt Outstanding"))</f>
        <v>6850050.6568576898</v>
      </c>
      <c r="I210" s="2" cm="1">
        <f t="array" ref="I210">_xlfn._xlws.FILTER(rawdata!$F$2:$F$3638,(rawdata!$A$2:$A$3638=transformed_data!$A210)*(rawdata!$B$2:$B$3638="Total Public Debt Outstanding"))</f>
        <v>31459291.457673501</v>
      </c>
      <c r="K210" s="2"/>
      <c r="L210" s="2"/>
    </row>
    <row r="211" spans="1:12" x14ac:dyDescent="0.3">
      <c r="A211" s="1">
        <v>45016</v>
      </c>
      <c r="B211" s="2" cm="1">
        <f t="array" ref="B211">_xlfn._xlws.FILTER(rawdata!$F$2:$F$3638,(rawdata!$A$2:$A$3638=transformed_data!$A211)*(rawdata!$C$2:$C$3638=transformed_data!B$1))</f>
        <v>4068832.8519000001</v>
      </c>
      <c r="C211" s="2" cm="1">
        <f t="array" ref="C211">_xlfn._xlws.FILTER(rawdata!$F$2:$F$3638,(rawdata!$A$2:$A$3638=transformed_data!$A211)*(rawdata!$C$2:$C$3638=transformed_data!C$1))</f>
        <v>13737852.871099999</v>
      </c>
      <c r="D211" s="2" cm="1">
        <f t="array" ref="D211">_xlfn._xlws.FILTER(rawdata!$F$2:$F$3638,(rawdata!$A$2:$A$3638=transformed_data!$A211)*(rawdata!$C$2:$C$3638=transformed_data!D$1))</f>
        <v>4063693.6587999999</v>
      </c>
      <c r="E211" s="2" cm="1">
        <f t="array" ref="E211">SUM(-B211:D211,_xlfn._xlws.FILTER(rawdata!$F$2:$F$3638,(rawdata!$A$2:$A$3638=transformed_data!$A211)*(rawdata!$B$2:$B$3638="Total Marketable")))</f>
        <v>2511862.0018087029</v>
      </c>
      <c r="F211" s="2" cm="1">
        <f t="array" ref="F211">_xlfn._xlws.FILTER(rawdata!$F$2:$F$3638,(rawdata!$A$2:$A$3638=transformed_data!$A211)*(rawdata!$B$2:$B$3638="Total Nonmarketable"))</f>
        <v>7076196.2621080698</v>
      </c>
      <c r="G211" s="2" cm="1">
        <f t="array" ref="G211">_xlfn._xlws.FILTER(rawdata!$D$2:$D$3638,(rawdata!$A$2:$A$3638=transformed_data!$A211)*(rawdata!$B$2:$B$3638="Total Public Debt Outstanding"))</f>
        <v>24693515.024481401</v>
      </c>
      <c r="H211" s="2" cm="1">
        <f t="array" ref="H211">_xlfn._xlws.FILTER(rawdata!$E$2:$E$3638,(rawdata!$A$2:$A$3638=transformed_data!$A211)*(rawdata!$B$2:$B$3638="Total Public Debt Outstanding"))</f>
        <v>6764922.6212353604</v>
      </c>
      <c r="I211" s="2" cm="1">
        <f t="array" ref="I211">_xlfn._xlws.FILTER(rawdata!$F$2:$F$3638,(rawdata!$A$2:$A$3638=transformed_data!$A211)*(rawdata!$B$2:$B$3638="Total Public Debt Outstanding"))</f>
        <v>31458437.645716801</v>
      </c>
      <c r="K211" s="2"/>
      <c r="L211" s="2"/>
    </row>
    <row r="212" spans="1:12" x14ac:dyDescent="0.3">
      <c r="A212" s="1">
        <v>45046</v>
      </c>
      <c r="B212" s="2" cm="1">
        <f t="array" ref="B212">_xlfn._xlws.FILTER(rawdata!$F$2:$F$3638,(rawdata!$A$2:$A$3638=transformed_data!$A212)*(rawdata!$C$2:$C$3638=transformed_data!B$1))</f>
        <v>3942645.4053000002</v>
      </c>
      <c r="C212" s="2" cm="1">
        <f t="array" ref="C212">_xlfn._xlws.FILTER(rawdata!$F$2:$F$3638,(rawdata!$A$2:$A$3638=transformed_data!$A212)*(rawdata!$C$2:$C$3638=transformed_data!C$1))</f>
        <v>13774295.518999999</v>
      </c>
      <c r="D212" s="2" cm="1">
        <f t="array" ref="D212">_xlfn._xlws.FILTER(rawdata!$F$2:$F$3638,(rawdata!$A$2:$A$3638=transformed_data!$A212)*(rawdata!$C$2:$C$3638=transformed_data!D$1))</f>
        <v>4082825.0224000001</v>
      </c>
      <c r="E212" s="2" cm="1">
        <f t="array" ref="E212">SUM(-B212:D212,_xlfn._xlws.FILTER(rawdata!$F$2:$F$3638,(rawdata!$A$2:$A$3638=transformed_data!$A212)*(rawdata!$B$2:$B$3638="Total Marketable")))</f>
        <v>2486029.747982502</v>
      </c>
      <c r="F212" s="2" cm="1">
        <f t="array" ref="F212">_xlfn._xlws.FILTER(rawdata!$F$2:$F$3638,(rawdata!$A$2:$A$3638=transformed_data!$A212)*(rawdata!$B$2:$B$3638="Total Nonmarketable"))</f>
        <v>7172019.3317030203</v>
      </c>
      <c r="G212" s="2" cm="1">
        <f t="array" ref="G212">_xlfn._xlws.FILTER(rawdata!$D$2:$D$3638,(rawdata!$A$2:$A$3638=transformed_data!$A212)*(rawdata!$B$2:$B$3638="Total Public Debt Outstanding"))</f>
        <v>24605068.000536501</v>
      </c>
      <c r="H212" s="2" cm="1">
        <f t="array" ref="H212">_xlfn._xlws.FILTER(rawdata!$E$2:$E$3638,(rawdata!$A$2:$A$3638=transformed_data!$A212)*(rawdata!$B$2:$B$3638="Total Public Debt Outstanding"))</f>
        <v>6852747.0258489298</v>
      </c>
      <c r="I212" s="2" cm="1">
        <f t="array" ref="I212">_xlfn._xlws.FILTER(rawdata!$F$2:$F$3638,(rawdata!$A$2:$A$3638=transformed_data!$A212)*(rawdata!$B$2:$B$3638="Total Public Debt Outstanding"))</f>
        <v>31457815.026385501</v>
      </c>
      <c r="K212" s="2"/>
      <c r="L212" s="2"/>
    </row>
    <row r="213" spans="1:12" x14ac:dyDescent="0.3">
      <c r="A213" s="1">
        <v>45077</v>
      </c>
      <c r="B213" s="2" cm="1">
        <f t="array" ref="B213">_xlfn._xlws.FILTER(rawdata!$F$2:$F$3638,(rawdata!$A$2:$A$3638=transformed_data!$A213)*(rawdata!$C$2:$C$3638=transformed_data!B$1))</f>
        <v>3993421.1839999999</v>
      </c>
      <c r="C213" s="2" cm="1">
        <f t="array" ref="C213">_xlfn._xlws.FILTER(rawdata!$F$2:$F$3638,(rawdata!$A$2:$A$3638=transformed_data!$A213)*(rawdata!$C$2:$C$3638=transformed_data!C$1))</f>
        <v>13718277.407299999</v>
      </c>
      <c r="D213" s="2" cm="1">
        <f t="array" ref="D213">_xlfn._xlws.FILTER(rawdata!$F$2:$F$3638,(rawdata!$A$2:$A$3638=transformed_data!$A213)*(rawdata!$C$2:$C$3638=transformed_data!D$1))</f>
        <v>4140503.5304</v>
      </c>
      <c r="E213" s="2" cm="1">
        <f t="array" ref="E213">SUM(-B213:D213,_xlfn._xlws.FILTER(rawdata!$F$2:$F$3638,(rawdata!$A$2:$A$3638=transformed_data!$A213)*(rawdata!$B$2:$B$3638="Total Marketable")))</f>
        <v>2475979.066319</v>
      </c>
      <c r="F213" s="2" cm="1">
        <f t="array" ref="F213">_xlfn._xlws.FILTER(rawdata!$F$2:$F$3638,(rawdata!$A$2:$A$3638=transformed_data!$A213)*(rawdata!$B$2:$B$3638="Total Nonmarketable"))</f>
        <v>7136276.2421332197</v>
      </c>
      <c r="G213" s="2" cm="1">
        <f t="array" ref="G213">_xlfn._xlws.FILTER(rawdata!$D$2:$D$3638,(rawdata!$A$2:$A$3638=transformed_data!$A213)*(rawdata!$B$2:$B$3638="Total Public Debt Outstanding"))</f>
        <v>24630686.2480428</v>
      </c>
      <c r="H213" s="2" cm="1">
        <f t="array" ref="H213">_xlfn._xlws.FILTER(rawdata!$E$2:$E$3638,(rawdata!$A$2:$A$3638=transformed_data!$A213)*(rawdata!$B$2:$B$3638="Total Public Debt Outstanding"))</f>
        <v>6833771.1821094304</v>
      </c>
      <c r="I213" s="2" cm="1">
        <f t="array" ref="I213">_xlfn._xlws.FILTER(rawdata!$F$2:$F$3638,(rawdata!$A$2:$A$3638=transformed_data!$A213)*(rawdata!$B$2:$B$3638="Total Public Debt Outstanding"))</f>
        <v>31464457.4301522</v>
      </c>
      <c r="K213" s="2"/>
      <c r="L213" s="2"/>
    </row>
    <row r="214" spans="1:12" x14ac:dyDescent="0.3">
      <c r="A214" s="1">
        <v>45107</v>
      </c>
      <c r="B214" s="2" cm="1">
        <f t="array" ref="B214">_xlfn._xlws.FILTER(rawdata!$F$2:$F$3638,(rawdata!$A$2:$A$3638=transformed_data!$A214)*(rawdata!$C$2:$C$3638=transformed_data!B$1))</f>
        <v>4466697.7315999996</v>
      </c>
      <c r="C214" s="2" cm="1">
        <f t="array" ref="C214">_xlfn._xlws.FILTER(rawdata!$F$2:$F$3638,(rawdata!$A$2:$A$3638=transformed_data!$A214)*(rawdata!$C$2:$C$3638=transformed_data!C$1))</f>
        <v>13723968.5165</v>
      </c>
      <c r="D214" s="2" cm="1">
        <f t="array" ref="D214">_xlfn._xlws.FILTER(rawdata!$F$2:$F$3638,(rawdata!$A$2:$A$3638=transformed_data!$A214)*(rawdata!$C$2:$C$3638=transformed_data!D$1))</f>
        <v>4170502.2053999999</v>
      </c>
      <c r="E214" s="2" cm="1">
        <f t="array" ref="E214">SUM(-B214:D214,_xlfn._xlws.FILTER(rawdata!$F$2:$F$3638,(rawdata!$A$2:$A$3638=transformed_data!$A214)*(rawdata!$B$2:$B$3638="Total Marketable")))</f>
        <v>2525481.2186420001</v>
      </c>
      <c r="F214" s="2" cm="1">
        <f t="array" ref="F214">_xlfn._xlws.FILTER(rawdata!$F$2:$F$3638,(rawdata!$A$2:$A$3638=transformed_data!$A214)*(rawdata!$B$2:$B$3638="Total Nonmarketable"))</f>
        <v>7445624.50784487</v>
      </c>
      <c r="G214" s="2" cm="1">
        <f t="array" ref="G214">_xlfn._xlws.FILTER(rawdata!$D$2:$D$3638,(rawdata!$A$2:$A$3638=transformed_data!$A214)*(rawdata!$B$2:$B$3638="Total Public Debt Outstanding"))</f>
        <v>25461998.182279699</v>
      </c>
      <c r="H214" s="2" cm="1">
        <f t="array" ref="H214">_xlfn._xlws.FILTER(rawdata!$E$2:$E$3638,(rawdata!$A$2:$A$3638=transformed_data!$A214)*(rawdata!$B$2:$B$3638="Total Public Debt Outstanding"))</f>
        <v>6870275.9977071499</v>
      </c>
      <c r="I214" s="2" cm="1">
        <f t="array" ref="I214">_xlfn._xlws.FILTER(rawdata!$F$2:$F$3638,(rawdata!$A$2:$A$3638=transformed_data!$A214)*(rawdata!$B$2:$B$3638="Total Public Debt Outstanding"))</f>
        <v>32332274.179986801</v>
      </c>
      <c r="K214" s="2"/>
      <c r="L214" s="2"/>
    </row>
    <row r="215" spans="1:12" x14ac:dyDescent="0.3">
      <c r="A215" s="1">
        <v>45138</v>
      </c>
      <c r="B215" s="2" cm="1">
        <f t="array" ref="B215">_xlfn._xlws.FILTER(rawdata!$F$2:$F$3638,(rawdata!$A$2:$A$3638=transformed_data!$A215)*(rawdata!$C$2:$C$3638=transformed_data!B$1))</f>
        <v>4770514.5957000004</v>
      </c>
      <c r="C215" s="2" cm="1">
        <f t="array" ref="C215">_xlfn._xlws.FILTER(rawdata!$F$2:$F$3638,(rawdata!$A$2:$A$3638=transformed_data!$A215)*(rawdata!$C$2:$C$3638=transformed_data!C$1))</f>
        <v>13732106.4332</v>
      </c>
      <c r="D215" s="2" cm="1">
        <f t="array" ref="D215">_xlfn._xlws.FILTER(rawdata!$F$2:$F$3638,(rawdata!$A$2:$A$3638=transformed_data!$A215)*(rawdata!$C$2:$C$3638=transformed_data!D$1))</f>
        <v>4200350.8120999997</v>
      </c>
      <c r="E215" s="2" cm="1">
        <f t="array" ref="E215">SUM(-B215:D215,_xlfn._xlws.FILTER(rawdata!$F$2:$F$3638,(rawdata!$A$2:$A$3638=transformed_data!$A215)*(rawdata!$B$2:$B$3638="Total Marketable")))</f>
        <v>2435023.9964585975</v>
      </c>
      <c r="F215" s="2" cm="1">
        <f t="array" ref="F215">_xlfn._xlws.FILTER(rawdata!$F$2:$F$3638,(rawdata!$A$2:$A$3638=transformed_data!$A215)*(rawdata!$B$2:$B$3638="Total Nonmarketable"))</f>
        <v>7470589.2721458497</v>
      </c>
      <c r="G215" s="2" cm="1">
        <f t="array" ref="G215">_xlfn._xlws.FILTER(rawdata!$D$2:$D$3638,(rawdata!$A$2:$A$3638=transformed_data!$A215)*(rawdata!$B$2:$B$3638="Total Public Debt Outstanding"))</f>
        <v>25708799.263748098</v>
      </c>
      <c r="H215" s="2" cm="1">
        <f t="array" ref="H215">_xlfn._xlws.FILTER(rawdata!$E$2:$E$3638,(rawdata!$A$2:$A$3638=transformed_data!$A215)*(rawdata!$B$2:$B$3638="Total Public Debt Outstanding"))</f>
        <v>6899785.8458563499</v>
      </c>
      <c r="I215" s="2" cm="1">
        <f t="array" ref="I215">_xlfn._xlws.FILTER(rawdata!$F$2:$F$3638,(rawdata!$A$2:$A$3638=transformed_data!$A215)*(rawdata!$B$2:$B$3638="Total Public Debt Outstanding"))</f>
        <v>32608585.1096044</v>
      </c>
      <c r="K215" s="2"/>
      <c r="L215" s="2"/>
    </row>
    <row r="216" spans="1:12" x14ac:dyDescent="0.3">
      <c r="A216" s="1">
        <v>45169</v>
      </c>
      <c r="B216" s="2" cm="1">
        <f t="array" ref="B216">_xlfn._xlws.FILTER(rawdata!$F$2:$F$3638,(rawdata!$A$2:$A$3638=transformed_data!$A216)*(rawdata!$C$2:$C$3638=transformed_data!B$1))</f>
        <v>5073922.4118999997</v>
      </c>
      <c r="C216" s="2" cm="1">
        <f t="array" ref="C216">_xlfn._xlws.FILTER(rawdata!$F$2:$F$3638,(rawdata!$A$2:$A$3638=transformed_data!$A216)*(rawdata!$C$2:$C$3638=transformed_data!C$1))</f>
        <v>13702547.2695</v>
      </c>
      <c r="D216" s="2" cm="1">
        <f t="array" ref="D216">_xlfn._xlws.FILTER(rawdata!$F$2:$F$3638,(rawdata!$A$2:$A$3638=transformed_data!$A216)*(rawdata!$C$2:$C$3638=transformed_data!D$1))</f>
        <v>4226927.2682999996</v>
      </c>
      <c r="E216" s="2" cm="1">
        <f t="array" ref="E216">SUM(-B216:D216,_xlfn._xlws.FILTER(rawdata!$F$2:$F$3638,(rawdata!$A$2:$A$3638=transformed_data!$A216)*(rawdata!$B$2:$B$3638="Total Marketable")))</f>
        <v>2474166.0710612983</v>
      </c>
      <c r="F216" s="2" cm="1">
        <f t="array" ref="F216">_xlfn._xlws.FILTER(rawdata!$F$2:$F$3638,(rawdata!$A$2:$A$3638=transformed_data!$A216)*(rawdata!$B$2:$B$3638="Total Nonmarketable"))</f>
        <v>7436586.2622048799</v>
      </c>
      <c r="G216" s="2" cm="1">
        <f t="array" ref="G216">_xlfn._xlws.FILTER(rawdata!$D$2:$D$3638,(rawdata!$A$2:$A$3638=transformed_data!$A216)*(rawdata!$B$2:$B$3638="Total Public Debt Outstanding"))</f>
        <v>26044050.623762101</v>
      </c>
      <c r="H216" s="2" cm="1">
        <f t="array" ref="H216">_xlfn._xlws.FILTER(rawdata!$E$2:$E$3638,(rawdata!$A$2:$A$3638=transformed_data!$A216)*(rawdata!$B$2:$B$3638="Total Public Debt Outstanding"))</f>
        <v>6870098.6592041096</v>
      </c>
      <c r="I216" s="2" cm="1">
        <f t="array" ref="I216">_xlfn._xlws.FILTER(rawdata!$F$2:$F$3638,(rawdata!$A$2:$A$3638=transformed_data!$A216)*(rawdata!$B$2:$B$3638="Total Public Debt Outstanding"))</f>
        <v>32914149.2829662</v>
      </c>
      <c r="K216" s="2"/>
      <c r="L216" s="2"/>
    </row>
    <row r="217" spans="1:12" x14ac:dyDescent="0.3">
      <c r="A217" s="1">
        <v>45199</v>
      </c>
      <c r="B217" s="2" cm="1">
        <f t="array" ref="B217">_xlfn._xlws.FILTER(rawdata!$F$2:$F$3638,(rawdata!$A$2:$A$3638=transformed_data!$A217)*(rawdata!$C$2:$C$3638=transformed_data!B$1))</f>
        <v>5260406.9243999999</v>
      </c>
      <c r="C217" s="2" cm="1">
        <f t="array" ref="C217">_xlfn._xlws.FILTER(rawdata!$F$2:$F$3638,(rawdata!$A$2:$A$3638=transformed_data!$A217)*(rawdata!$C$2:$C$3638=transformed_data!C$1))</f>
        <v>13729486.2761</v>
      </c>
      <c r="D217" s="2" cm="1">
        <f t="array" ref="D217">_xlfn._xlws.FILTER(rawdata!$F$2:$F$3638,(rawdata!$A$2:$A$3638=transformed_data!$A217)*(rawdata!$C$2:$C$3638=transformed_data!D$1))</f>
        <v>4246926.2789000003</v>
      </c>
      <c r="E217" s="2" cm="1">
        <f t="array" ref="E217">SUM(-B217:D217,_xlfn._xlws.FILTER(rawdata!$F$2:$F$3638,(rawdata!$A$2:$A$3638=transformed_data!$A217)*(rawdata!$B$2:$B$3638="Total Marketable")))</f>
        <v>2516863.1713809967</v>
      </c>
      <c r="F217" s="2" cm="1">
        <f t="array" ref="F217">_xlfn._xlws.FILTER(rawdata!$F$2:$F$3638,(rawdata!$A$2:$A$3638=transformed_data!$A217)*(rawdata!$B$2:$B$3638="Total Nonmarketable"))</f>
        <v>7413651.1746763196</v>
      </c>
      <c r="G217" s="2" cm="1">
        <f t="array" ref="G217">_xlfn._xlws.FILTER(rawdata!$D$2:$D$3638,(rawdata!$A$2:$A$3638=transformed_data!$A217)*(rawdata!$B$2:$B$3638="Total Public Debt Outstanding"))</f>
        <v>26330141.852956101</v>
      </c>
      <c r="H217" s="2" cm="1">
        <f t="array" ref="H217">_xlfn._xlws.FILTER(rawdata!$E$2:$E$3638,(rawdata!$A$2:$A$3638=transformed_data!$A217)*(rawdata!$B$2:$B$3638="Total Public Debt Outstanding"))</f>
        <v>6837191.9725012202</v>
      </c>
      <c r="I217" s="2" cm="1">
        <f t="array" ref="I217">_xlfn._xlws.FILTER(rawdata!$F$2:$F$3638,(rawdata!$A$2:$A$3638=transformed_data!$A217)*(rawdata!$B$2:$B$3638="Total Public Debt Outstanding"))</f>
        <v>33167333.825457301</v>
      </c>
      <c r="K217" s="2"/>
      <c r="L217" s="2"/>
    </row>
    <row r="218" spans="1:12" x14ac:dyDescent="0.3">
      <c r="A218" s="1">
        <v>45230</v>
      </c>
      <c r="B218" s="2" cm="1">
        <f t="array" ref="B218">_xlfn._xlws.FILTER(rawdata!$F$2:$F$3638,(rawdata!$A$2:$A$3638=transformed_data!$A218)*(rawdata!$C$2:$C$3638=transformed_data!B$1))</f>
        <v>5456998.4133000001</v>
      </c>
      <c r="C218" s="2" cm="1">
        <f t="array" ref="C218">_xlfn._xlws.FILTER(rawdata!$F$2:$F$3638,(rawdata!$A$2:$A$3638=transformed_data!$A218)*(rawdata!$C$2:$C$3638=transformed_data!C$1))</f>
        <v>13762307.187899999</v>
      </c>
      <c r="D218" s="2" cm="1">
        <f t="array" ref="D218">_xlfn._xlws.FILTER(rawdata!$F$2:$F$3638,(rawdata!$A$2:$A$3638=transformed_data!$A218)*(rawdata!$C$2:$C$3638=transformed_data!D$1))</f>
        <v>4292925.4729000004</v>
      </c>
      <c r="E218" s="2" cm="1">
        <f t="array" ref="E218">SUM(-B218:D218,_xlfn._xlws.FILTER(rawdata!$F$2:$F$3638,(rawdata!$A$2:$A$3638=transformed_data!$A218)*(rawdata!$B$2:$B$3638="Total Marketable")))</f>
        <v>2491235.861359302</v>
      </c>
      <c r="F218" s="2" cm="1">
        <f t="array" ref="F218">_xlfn._xlws.FILTER(rawdata!$F$2:$F$3638,(rawdata!$A$2:$A$3638=transformed_data!$A218)*(rawdata!$B$2:$B$3638="Total Nonmarketable"))</f>
        <v>7696112.65230601</v>
      </c>
      <c r="G218" s="2" cm="1">
        <f t="array" ref="G218">_xlfn._xlws.FILTER(rawdata!$D$2:$D$3638,(rawdata!$A$2:$A$3638=transformed_data!$A218)*(rawdata!$B$2:$B$3638="Total Public Debt Outstanding"))</f>
        <v>26576222.041190598</v>
      </c>
      <c r="H218" s="2" cm="1">
        <f t="array" ref="H218">_xlfn._xlws.FILTER(rawdata!$E$2:$E$3638,(rawdata!$A$2:$A$3638=transformed_data!$A218)*(rawdata!$B$2:$B$3638="Total Public Debt Outstanding"))</f>
        <v>7123357.5465747099</v>
      </c>
      <c r="I218" s="2" cm="1">
        <f t="array" ref="I218">_xlfn._xlws.FILTER(rawdata!$F$2:$F$3638,(rawdata!$A$2:$A$3638=transformed_data!$A218)*(rawdata!$B$2:$B$3638="Total Public Debt Outstanding"))</f>
        <v>33699579.587765403</v>
      </c>
      <c r="K218" s="2"/>
      <c r="L218" s="2"/>
    </row>
    <row r="219" spans="1:12" x14ac:dyDescent="0.3">
      <c r="A219" s="1">
        <v>45260</v>
      </c>
      <c r="B219" s="2" cm="1">
        <f t="array" ref="B219">_xlfn._xlws.FILTER(rawdata!$F$2:$F$3638,(rawdata!$A$2:$A$3638=transformed_data!$A219)*(rawdata!$C$2:$C$3638=transformed_data!B$1))</f>
        <v>5671149.2182</v>
      </c>
      <c r="C219" s="2" cm="1">
        <f t="array" ref="C219">_xlfn._xlws.FILTER(rawdata!$F$2:$F$3638,(rawdata!$A$2:$A$3638=transformed_data!$A219)*(rawdata!$C$2:$C$3638=transformed_data!C$1))</f>
        <v>13729610.566099999</v>
      </c>
      <c r="D219" s="2" cm="1">
        <f t="array" ref="D219">_xlfn._xlws.FILTER(rawdata!$F$2:$F$3638,(rawdata!$A$2:$A$3638=transformed_data!$A219)*(rawdata!$C$2:$C$3638=transformed_data!D$1))</f>
        <v>4333565.4223999996</v>
      </c>
      <c r="E219" s="2" cm="1">
        <f t="array" ref="E219">SUM(-B219:D219,_xlfn._xlws.FILTER(rawdata!$F$2:$F$3638,(rawdata!$A$2:$A$3638=transformed_data!$A219)*(rawdata!$B$2:$B$3638="Total Marketable")))</f>
        <v>2537600.7525630035</v>
      </c>
      <c r="F219" s="2" cm="1">
        <f t="array" ref="F219">_xlfn._xlws.FILTER(rawdata!$F$2:$F$3638,(rawdata!$A$2:$A$3638=transformed_data!$A219)*(rawdata!$B$2:$B$3638="Total Nonmarketable"))</f>
        <v>7606752.8305202499</v>
      </c>
      <c r="G219" s="2" cm="1">
        <f t="array" ref="G219">_xlfn._xlws.FILTER(rawdata!$D$2:$D$3638,(rawdata!$A$2:$A$3638=transformed_data!$A219)*(rawdata!$B$2:$B$3638="Total Public Debt Outstanding"))</f>
        <v>26843822.063999899</v>
      </c>
      <c r="H219" s="2" cm="1">
        <f t="array" ref="H219">_xlfn._xlws.FILTER(rawdata!$E$2:$E$3638,(rawdata!$A$2:$A$3638=transformed_data!$A219)*(rawdata!$B$2:$B$3638="Total Public Debt Outstanding"))</f>
        <v>7034856.7257833797</v>
      </c>
      <c r="I219" s="2" cm="1">
        <f t="array" ref="I219">_xlfn._xlws.FILTER(rawdata!$F$2:$F$3638,(rawdata!$A$2:$A$3638=transformed_data!$A219)*(rawdata!$B$2:$B$3638="Total Public Debt Outstanding"))</f>
        <v>33878678.789783299</v>
      </c>
      <c r="K219" s="2"/>
      <c r="L219" s="2"/>
    </row>
    <row r="220" spans="1:12" x14ac:dyDescent="0.3">
      <c r="A220" s="1">
        <v>45291</v>
      </c>
      <c r="B220" s="2" cm="1">
        <f t="array" ref="B220">_xlfn._xlws.FILTER(rawdata!$F$2:$F$3638,(rawdata!$A$2:$A$3638=transformed_data!$A220)*(rawdata!$C$2:$C$3638=transformed_data!B$1))</f>
        <v>5675781.0635000002</v>
      </c>
      <c r="C220" s="2" cm="1">
        <f t="array" ref="C220">_xlfn._xlws.FILTER(rawdata!$F$2:$F$3638,(rawdata!$A$2:$A$3638=transformed_data!$A220)*(rawdata!$C$2:$C$3638=transformed_data!C$1))</f>
        <v>13758204.841</v>
      </c>
      <c r="D220" s="2" cm="1">
        <f t="array" ref="D220">_xlfn._xlws.FILTER(rawdata!$F$2:$F$3638,(rawdata!$A$2:$A$3638=transformed_data!$A220)*(rawdata!$C$2:$C$3638=transformed_data!D$1))</f>
        <v>4354552.9642000003</v>
      </c>
      <c r="E220" s="2" cm="1">
        <f t="array" ref="E220">SUM(-B220:D220,_xlfn._xlws.FILTER(rawdata!$F$2:$F$3638,(rawdata!$A$2:$A$3638=transformed_data!$A220)*(rawdata!$B$2:$B$3638="Total Marketable")))</f>
        <v>2583168.9282259978</v>
      </c>
      <c r="F220" s="2" cm="1">
        <f t="array" ref="F220">_xlfn._xlws.FILTER(rawdata!$F$2:$F$3638,(rawdata!$A$2:$A$3638=transformed_data!$A220)*(rawdata!$B$2:$B$3638="Total Nonmarketable"))</f>
        <v>7629785.7872417197</v>
      </c>
      <c r="G220" s="2" cm="1">
        <f t="array" ref="G220">_xlfn._xlws.FILTER(rawdata!$D$2:$D$3638,(rawdata!$A$2:$A$3638=transformed_data!$A220)*(rawdata!$B$2:$B$3638="Total Public Debt Outstanding"))</f>
        <v>26938517.5432868</v>
      </c>
      <c r="H220" s="2" cm="1">
        <f t="array" ref="H220">_xlfn._xlws.FILTER(rawdata!$E$2:$E$3638,(rawdata!$A$2:$A$3638=transformed_data!$A220)*(rawdata!$B$2:$B$3638="Total Public Debt Outstanding"))</f>
        <v>7062976.0408808896</v>
      </c>
      <c r="I220" s="2" cm="1">
        <f t="array" ref="I220">_xlfn._xlws.FILTER(rawdata!$F$2:$F$3638,(rawdata!$A$2:$A$3638=transformed_data!$A220)*(rawdata!$B$2:$B$3638="Total Public Debt Outstanding"))</f>
        <v>34001493.584167697</v>
      </c>
      <c r="K220" s="2"/>
      <c r="L220" s="2"/>
    </row>
    <row r="221" spans="1:12" x14ac:dyDescent="0.3">
      <c r="A221" s="1">
        <v>45322</v>
      </c>
      <c r="B221" s="2" cm="1">
        <f t="array" ref="B221">_xlfn._xlws.FILTER(rawdata!$F$2:$F$3638,(rawdata!$A$2:$A$3638=transformed_data!$A221)*(rawdata!$C$2:$C$3638=transformed_data!B$1))</f>
        <v>5780243.7895</v>
      </c>
      <c r="C221" s="2" cm="1">
        <f t="array" ref="C221">_xlfn._xlws.FILTER(rawdata!$F$2:$F$3638,(rawdata!$A$2:$A$3638=transformed_data!$A221)*(rawdata!$C$2:$C$3638=transformed_data!C$1))</f>
        <v>13831182.693700001</v>
      </c>
      <c r="D221" s="2" cm="1">
        <f t="array" ref="D221">_xlfn._xlws.FILTER(rawdata!$F$2:$F$3638,(rawdata!$A$2:$A$3638=transformed_data!$A221)*(rawdata!$C$2:$C$3638=transformed_data!D$1))</f>
        <v>4401548.0274999999</v>
      </c>
      <c r="E221" s="2" cm="1">
        <f t="array" ref="E221">SUM(-B221:D221,_xlfn._xlws.FILTER(rawdata!$F$2:$F$3638,(rawdata!$A$2:$A$3638=transformed_data!$A221)*(rawdata!$B$2:$B$3638="Total Marketable")))</f>
        <v>2497363.0442950018</v>
      </c>
      <c r="F221" s="2" cm="1">
        <f t="array" ref="F221">_xlfn._xlws.FILTER(rawdata!$F$2:$F$3638,(rawdata!$A$2:$A$3638=transformed_data!$A221)*(rawdata!$B$2:$B$3638="Total Nonmarketable"))</f>
        <v>7680811.8645796897</v>
      </c>
      <c r="G221" s="2" cm="1">
        <f t="array" ref="G221">_xlfn._xlws.FILTER(rawdata!$D$2:$D$3638,(rawdata!$A$2:$A$3638=transformed_data!$A221)*(rawdata!$B$2:$B$3638="Total Public Debt Outstanding"))</f>
        <v>27071861.911249202</v>
      </c>
      <c r="H221" s="2" cm="1">
        <f t="array" ref="H221">_xlfn._xlws.FILTER(rawdata!$E$2:$E$3638,(rawdata!$A$2:$A$3638=transformed_data!$A221)*(rawdata!$B$2:$B$3638="Total Public Debt Outstanding"))</f>
        <v>7119288.5083254203</v>
      </c>
      <c r="I221" s="2" cm="1">
        <f t="array" ref="I221">_xlfn._xlws.FILTER(rawdata!$F$2:$F$3638,(rawdata!$A$2:$A$3638=transformed_data!$A221)*(rawdata!$B$2:$B$3638="Total Public Debt Outstanding"))</f>
        <v>34191150.4195747</v>
      </c>
      <c r="K221" s="2"/>
      <c r="L221" s="2"/>
    </row>
    <row r="222" spans="1:12" x14ac:dyDescent="0.3">
      <c r="A222" s="1">
        <v>45351</v>
      </c>
      <c r="B222" s="2" cm="1">
        <f t="array" ref="B222">_xlfn._xlws.FILTER(rawdata!$F$2:$F$3638,(rawdata!$A$2:$A$3638=transformed_data!$A222)*(rawdata!$C$2:$C$3638=transformed_data!B$1))</f>
        <v>6011236.3775000004</v>
      </c>
      <c r="C222" s="2" cm="1">
        <f t="array" ref="C222">_xlfn._xlws.FILTER(rawdata!$F$2:$F$3638,(rawdata!$A$2:$A$3638=transformed_data!$A222)*(rawdata!$C$2:$C$3638=transformed_data!C$1))</f>
        <v>13829792.0693</v>
      </c>
      <c r="D222" s="2" cm="1">
        <f t="array" ref="D222">_xlfn._xlws.FILTER(rawdata!$F$2:$F$3638,(rawdata!$A$2:$A$3638=transformed_data!$A222)*(rawdata!$C$2:$C$3638=transformed_data!D$1))</f>
        <v>4445076.9741000002</v>
      </c>
      <c r="E222" s="2" cm="1">
        <f t="array" ref="E222">SUM(-B222:D222,_xlfn._xlws.FILTER(rawdata!$F$2:$F$3638,(rawdata!$A$2:$A$3638=transformed_data!$A222)*(rawdata!$B$2:$B$3638="Total Marketable")))</f>
        <v>2532744.6659722961</v>
      </c>
      <c r="F222" s="2" cm="1">
        <f t="array" ref="F222">_xlfn._xlws.FILTER(rawdata!$F$2:$F$3638,(rawdata!$A$2:$A$3638=transformed_data!$A222)*(rawdata!$B$2:$B$3638="Total Nonmarketable"))</f>
        <v>7652232.5021612002</v>
      </c>
      <c r="G222" s="2" cm="1">
        <f t="array" ref="G222">_xlfn._xlws.FILTER(rawdata!$D$2:$D$3638,(rawdata!$A$2:$A$3638=transformed_data!$A222)*(rawdata!$B$2:$B$3638="Total Public Debt Outstanding"))</f>
        <v>27380289.958246201</v>
      </c>
      <c r="H222" s="2" cm="1">
        <f t="array" ref="H222">_xlfn._xlws.FILTER(rawdata!$E$2:$E$3638,(rawdata!$A$2:$A$3638=transformed_data!$A222)*(rawdata!$B$2:$B$3638="Total Public Debt Outstanding"))</f>
        <v>7090792.6307873996</v>
      </c>
      <c r="I222" s="2" cm="1">
        <f t="array" ref="I222">_xlfn._xlws.FILTER(rawdata!$F$2:$F$3638,(rawdata!$A$2:$A$3638=transformed_data!$A222)*(rawdata!$B$2:$B$3638="Total Public Debt Outstanding"))</f>
        <v>34471082.589033499</v>
      </c>
      <c r="K222" s="2"/>
      <c r="L222" s="2"/>
    </row>
    <row r="223" spans="1:12" x14ac:dyDescent="0.3">
      <c r="A223" s="1">
        <v>45382</v>
      </c>
      <c r="B223" s="2" cm="1">
        <f t="array" ref="B223">_xlfn._xlws.FILTER(rawdata!$F$2:$F$3638,(rawdata!$A$2:$A$3638=transformed_data!$A223)*(rawdata!$C$2:$C$3638=transformed_data!B$1))</f>
        <v>6062865.3366</v>
      </c>
      <c r="C223" s="2" cm="1">
        <f t="array" ref="C223">_xlfn._xlws.FILTER(rawdata!$F$2:$F$3638,(rawdata!$A$2:$A$3638=transformed_data!$A223)*(rawdata!$C$2:$C$3638=transformed_data!C$1))</f>
        <v>13863195.002800001</v>
      </c>
      <c r="D223" s="2" cm="1">
        <f t="array" ref="D223">_xlfn._xlws.FILTER(rawdata!$F$2:$F$3638,(rawdata!$A$2:$A$3638=transformed_data!$A223)*(rawdata!$C$2:$C$3638=transformed_data!D$1))</f>
        <v>4467056.3455999997</v>
      </c>
      <c r="E223" s="2" cm="1">
        <f t="array" ref="E223">SUM(-B223:D223,_xlfn._xlws.FILTER(rawdata!$F$2:$F$3638,(rawdata!$A$2:$A$3638=transformed_data!$A223)*(rawdata!$B$2:$B$3638="Total Marketable")))</f>
        <v>2558391.2171268985</v>
      </c>
      <c r="F223" s="2" cm="1">
        <f t="array" ref="F223">_xlfn._xlws.FILTER(rawdata!$F$2:$F$3638,(rawdata!$A$2:$A$3638=transformed_data!$A223)*(rawdata!$B$2:$B$3638="Total Nonmarketable"))</f>
        <v>7635026.8939362802</v>
      </c>
      <c r="G223" s="2" cm="1">
        <f t="array" ref="G223">_xlfn._xlws.FILTER(rawdata!$D$2:$D$3638,(rawdata!$A$2:$A$3638=transformed_data!$A223)*(rawdata!$B$2:$B$3638="Total Public Debt Outstanding"))</f>
        <v>27511455.249566302</v>
      </c>
      <c r="H223" s="2" cm="1">
        <f t="array" ref="H223">_xlfn._xlws.FILTER(rawdata!$E$2:$E$3638,(rawdata!$A$2:$A$3638=transformed_data!$A223)*(rawdata!$B$2:$B$3638="Total Public Debt Outstanding"))</f>
        <v>7075077.5464968104</v>
      </c>
      <c r="I223" s="2" cm="1">
        <f t="array" ref="I223">_xlfn._xlws.FILTER(rawdata!$F$2:$F$3638,(rawdata!$A$2:$A$3638=transformed_data!$A223)*(rawdata!$B$2:$B$3638="Total Public Debt Outstanding"))</f>
        <v>34586532.7960632</v>
      </c>
      <c r="K223" s="2"/>
      <c r="L223" s="2"/>
    </row>
    <row r="224" spans="1:12" x14ac:dyDescent="0.3">
      <c r="A224" s="1">
        <v>45412</v>
      </c>
      <c r="B224" s="2" cm="1">
        <f t="array" ref="B224">_xlfn._xlws.FILTER(rawdata!$F$2:$F$3638,(rawdata!$A$2:$A$3638=transformed_data!$A224)*(rawdata!$C$2:$C$3638=transformed_data!B$1))</f>
        <v>5866762.4480999997</v>
      </c>
      <c r="C224" s="2" cm="1">
        <f t="array" ref="C224">_xlfn._xlws.FILTER(rawdata!$F$2:$F$3638,(rawdata!$A$2:$A$3638=transformed_data!$A224)*(rawdata!$C$2:$C$3638=transformed_data!C$1))</f>
        <v>13994853.499700001</v>
      </c>
      <c r="D224" s="2" cm="1">
        <f t="array" ref="D224">_xlfn._xlws.FILTER(rawdata!$F$2:$F$3638,(rawdata!$A$2:$A$3638=transformed_data!$A224)*(rawdata!$C$2:$C$3638=transformed_data!D$1))</f>
        <v>4515268.1727999998</v>
      </c>
      <c r="E224" s="2" cm="1">
        <f t="array" ref="E224">SUM(-B224:D224,_xlfn._xlws.FILTER(rawdata!$F$2:$F$3638,(rawdata!$A$2:$A$3638=transformed_data!$A224)*(rawdata!$B$2:$B$3638="Total Marketable")))</f>
        <v>2541480.4452201985</v>
      </c>
      <c r="F224" s="2" cm="1">
        <f t="array" ref="F224">_xlfn._xlws.FILTER(rawdata!$F$2:$F$3638,(rawdata!$A$2:$A$3638=transformed_data!$A224)*(rawdata!$B$2:$B$3638="Total Nonmarketable"))</f>
        <v>7698627.8085047901</v>
      </c>
      <c r="G224" s="2" cm="1">
        <f t="array" ref="G224">_xlfn._xlws.FILTER(rawdata!$D$2:$D$3638,(rawdata!$A$2:$A$3638=transformed_data!$A224)*(rawdata!$B$2:$B$3638="Total Public Debt Outstanding"))</f>
        <v>27480960.204128101</v>
      </c>
      <c r="H224" s="2" cm="1">
        <f t="array" ref="H224">_xlfn._xlws.FILTER(rawdata!$E$2:$E$3638,(rawdata!$A$2:$A$3638=transformed_data!$A224)*(rawdata!$B$2:$B$3638="Total Public Debt Outstanding"))</f>
        <v>7136034.1701968201</v>
      </c>
      <c r="I224" s="2" cm="1">
        <f t="array" ref="I224">_xlfn._xlws.FILTER(rawdata!$F$2:$F$3638,(rawdata!$A$2:$A$3638=transformed_data!$A224)*(rawdata!$B$2:$B$3638="Total Public Debt Outstanding"))</f>
        <v>34616994.374324903</v>
      </c>
      <c r="K224" s="2"/>
      <c r="L224" s="2"/>
    </row>
    <row r="225" spans="1:12" x14ac:dyDescent="0.3">
      <c r="A225" s="1">
        <v>45443</v>
      </c>
      <c r="B225" s="2" cm="1">
        <f t="array" ref="B225">_xlfn._xlws.FILTER(rawdata!$F$2:$F$3638,(rawdata!$A$2:$A$3638=transformed_data!$A225)*(rawdata!$C$2:$C$3638=transformed_data!B$1))</f>
        <v>5866780.3756999997</v>
      </c>
      <c r="C225" s="2" cm="1">
        <f t="array" ref="C225">_xlfn._xlws.FILTER(rawdata!$F$2:$F$3638,(rawdata!$A$2:$A$3638=transformed_data!$A225)*(rawdata!$C$2:$C$3638=transformed_data!C$1))</f>
        <v>14013772.202500001</v>
      </c>
      <c r="D225" s="2" cm="1">
        <f t="array" ref="D225">_xlfn._xlws.FILTER(rawdata!$F$2:$F$3638,(rawdata!$A$2:$A$3638=transformed_data!$A225)*(rawdata!$C$2:$C$3638=transformed_data!D$1))</f>
        <v>4560357.9354999997</v>
      </c>
      <c r="E225" s="2" cm="1">
        <f t="array" ref="E225">SUM(-B225:D225,_xlfn._xlws.FILTER(rawdata!$F$2:$F$3638,(rawdata!$A$2:$A$3638=transformed_data!$A225)*(rawdata!$B$2:$B$3638="Total Marketable")))</f>
        <v>2601255.6706338003</v>
      </c>
      <c r="F225" s="2" cm="1">
        <f t="array" ref="F225">_xlfn._xlws.FILTER(rawdata!$F$2:$F$3638,(rawdata!$A$2:$A$3638=transformed_data!$A225)*(rawdata!$B$2:$B$3638="Total Nonmarketable"))</f>
        <v>7624950.2540880404</v>
      </c>
      <c r="G225" s="2" cm="1">
        <f t="array" ref="G225">_xlfn._xlws.FILTER(rawdata!$D$2:$D$3638,(rawdata!$A$2:$A$3638=transformed_data!$A225)*(rawdata!$B$2:$B$3638="Total Public Debt Outstanding"))</f>
        <v>27606806.583404198</v>
      </c>
      <c r="H225" s="2" cm="1">
        <f t="array" ref="H225">_xlfn._xlws.FILTER(rawdata!$E$2:$E$3638,(rawdata!$A$2:$A$3638=transformed_data!$A225)*(rawdata!$B$2:$B$3638="Total Public Debt Outstanding"))</f>
        <v>7060308.8550176499</v>
      </c>
      <c r="I225" s="2" cm="1">
        <f t="array" ref="I225">_xlfn._xlws.FILTER(rawdata!$F$2:$F$3638,(rawdata!$A$2:$A$3638=transformed_data!$A225)*(rawdata!$B$2:$B$3638="Total Public Debt Outstanding"))</f>
        <v>34667115.438421801</v>
      </c>
      <c r="K225" s="2"/>
      <c r="L225" s="2"/>
    </row>
    <row r="226" spans="1:12" x14ac:dyDescent="0.3">
      <c r="A226" s="1">
        <v>45473</v>
      </c>
      <c r="B226" s="2" cm="1">
        <f t="array" ref="B226">_xlfn._xlws.FILTER(rawdata!$F$2:$F$3638,(rawdata!$A$2:$A$3638=transformed_data!$A226)*(rawdata!$C$2:$C$3638=transformed_data!B$1))</f>
        <v>5765830.0899</v>
      </c>
      <c r="C226" s="2" cm="1">
        <f t="array" ref="C226">_xlfn._xlws.FILTER(rawdata!$F$2:$F$3638,(rawdata!$A$2:$A$3638=transformed_data!$A226)*(rawdata!$C$2:$C$3638=transformed_data!C$1))</f>
        <v>14046707.3817</v>
      </c>
      <c r="D226" s="2" cm="1">
        <f t="array" ref="D226">_xlfn._xlws.FILTER(rawdata!$F$2:$F$3638,(rawdata!$A$2:$A$3638=transformed_data!$A226)*(rawdata!$C$2:$C$3638=transformed_data!D$1))</f>
        <v>4581064.9061000003</v>
      </c>
      <c r="E226" s="2" cm="1">
        <f t="array" ref="E226">SUM(-B226:D226,_xlfn._xlws.FILTER(rawdata!$F$2:$F$3638,(rawdata!$A$2:$A$3638=transformed_data!$A226)*(rawdata!$B$2:$B$3638="Total Marketable")))</f>
        <v>2656391.829434</v>
      </c>
      <c r="F226" s="2" cm="1">
        <f t="array" ref="F226">_xlfn._xlws.FILTER(rawdata!$F$2:$F$3638,(rawdata!$A$2:$A$3638=transformed_data!$A226)*(rawdata!$B$2:$B$3638="Total Nonmarketable"))</f>
        <v>7781639.7786783297</v>
      </c>
      <c r="G226" s="2" cm="1">
        <f t="array" ref="G226">_xlfn._xlws.FILTER(rawdata!$D$2:$D$3638,(rawdata!$A$2:$A$3638=transformed_data!$A226)*(rawdata!$B$2:$B$3638="Total Public Debt Outstanding"))</f>
        <v>27612897.138644401</v>
      </c>
      <c r="H226" s="2" cm="1">
        <f t="array" ref="H226">_xlfn._xlws.FILTER(rawdata!$E$2:$E$3638,(rawdata!$A$2:$A$3638=transformed_data!$A226)*(rawdata!$B$2:$B$3638="Total Public Debt Outstanding"))</f>
        <v>7218737.8471678998</v>
      </c>
      <c r="I226" s="2" cm="1">
        <f t="array" ref="I226">_xlfn._xlws.FILTER(rawdata!$F$2:$F$3638,(rawdata!$A$2:$A$3638=transformed_data!$A226)*(rawdata!$B$2:$B$3638="Total Public Debt Outstanding"))</f>
        <v>34831633.985812299</v>
      </c>
      <c r="K226" s="2"/>
      <c r="L226" s="2"/>
    </row>
    <row r="227" spans="1:12" x14ac:dyDescent="0.3">
      <c r="A227" s="1">
        <v>45504</v>
      </c>
      <c r="B227" s="2" cm="1">
        <f t="array" ref="B227">_xlfn._xlws.FILTER(rawdata!$F$2:$F$3638,(rawdata!$A$2:$A$3638=transformed_data!$A227)*(rawdata!$C$2:$C$3638=transformed_data!B$1))</f>
        <v>5915782.1836999999</v>
      </c>
      <c r="C227" s="2" cm="1">
        <f t="array" ref="C227">_xlfn._xlws.FILTER(rawdata!$F$2:$F$3638,(rawdata!$A$2:$A$3638=transformed_data!$A227)*(rawdata!$C$2:$C$3638=transformed_data!C$1))</f>
        <v>14226985.2226</v>
      </c>
      <c r="D227" s="2" cm="1">
        <f t="array" ref="D227">_xlfn._xlws.FILTER(rawdata!$F$2:$F$3638,(rawdata!$A$2:$A$3638=transformed_data!$A227)*(rawdata!$C$2:$C$3638=transformed_data!D$1))</f>
        <v>4631803.5488</v>
      </c>
      <c r="E227" s="2" cm="1">
        <f t="array" ref="E227">SUM(-B227:D227,_xlfn._xlws.FILTER(rawdata!$F$2:$F$3638,(rawdata!$A$2:$A$3638=transformed_data!$A227)*(rawdata!$B$2:$B$3638="Total Marketable")))</f>
        <v>2587806.1402160004</v>
      </c>
      <c r="F227" s="2" cm="1">
        <f t="array" ref="F227">_xlfn._xlws.FILTER(rawdata!$F$2:$F$3638,(rawdata!$A$2:$A$3638=transformed_data!$A227)*(rawdata!$B$2:$B$3638="Total Nonmarketable"))</f>
        <v>7742393.5232122699</v>
      </c>
      <c r="G227" s="2" cm="1">
        <f t="array" ref="G227">_xlfn._xlws.FILTER(rawdata!$D$2:$D$3638,(rawdata!$A$2:$A$3638=transformed_data!$A227)*(rawdata!$B$2:$B$3638="Total Public Debt Outstanding"))</f>
        <v>27930512.4980211</v>
      </c>
      <c r="H227" s="2" cm="1">
        <f t="array" ref="H227">_xlfn._xlws.FILTER(rawdata!$E$2:$E$3638,(rawdata!$A$2:$A$3638=transformed_data!$A227)*(rawdata!$B$2:$B$3638="Total Public Debt Outstanding"))</f>
        <v>7174259.1205072002</v>
      </c>
      <c r="I227" s="2" cm="1">
        <f t="array" ref="I227">_xlfn._xlws.FILTER(rawdata!$F$2:$F$3638,(rawdata!$A$2:$A$3638=transformed_data!$A227)*(rawdata!$B$2:$B$3638="Total Public Debt Outstanding"))</f>
        <v>35104770.618528299</v>
      </c>
      <c r="K227" s="2"/>
      <c r="L227" s="2"/>
    </row>
    <row r="228" spans="1:12" x14ac:dyDescent="0.3">
      <c r="A228" s="1">
        <v>45535</v>
      </c>
      <c r="B228" s="2" cm="1">
        <f t="array" ref="B228">_xlfn._xlws.FILTER(rawdata!$F$2:$F$3638,(rawdata!$A$2:$A$3638=transformed_data!$A228)*(rawdata!$C$2:$C$3638=transformed_data!B$1))</f>
        <v>6121801.8453000002</v>
      </c>
      <c r="C228" s="2" cm="1">
        <f t="array" ref="C228">_xlfn._xlws.FILTER(rawdata!$F$2:$F$3638,(rawdata!$A$2:$A$3638=transformed_data!$A228)*(rawdata!$C$2:$C$3638=transformed_data!C$1))</f>
        <v>14192205.4659</v>
      </c>
      <c r="D228" s="2" cm="1">
        <f t="array" ref="D228">_xlfn._xlws.FILTER(rawdata!$F$2:$F$3638,(rawdata!$A$2:$A$3638=transformed_data!$A228)*(rawdata!$C$2:$C$3638=transformed_data!D$1))</f>
        <v>4657558.2077000001</v>
      </c>
      <c r="E228" s="2" cm="1">
        <f t="array" ref="E228">SUM(-B228:D228,_xlfn._xlws.FILTER(rawdata!$F$2:$F$3638,(rawdata!$A$2:$A$3638=transformed_data!$A228)*(rawdata!$B$2:$B$3638="Total Marketable")))</f>
        <v>2624290.0248310007</v>
      </c>
      <c r="F228" s="2" cm="1">
        <f t="array" ref="F228">_xlfn._xlws.FILTER(rawdata!$F$2:$F$3638,(rawdata!$A$2:$A$3638=transformed_data!$A228)*(rawdata!$B$2:$B$3638="Total Nonmarketable"))</f>
        <v>7660201.03607349</v>
      </c>
      <c r="G228" s="2" cm="1">
        <f t="array" ref="G228">_xlfn._xlws.FILTER(rawdata!$D$2:$D$3638,(rawdata!$A$2:$A$3638=transformed_data!$A228)*(rawdata!$B$2:$B$3638="Total Public Debt Outstanding"))</f>
        <v>28168005.136298601</v>
      </c>
      <c r="H228" s="2" cm="1">
        <f t="array" ref="H228">_xlfn._xlws.FILTER(rawdata!$E$2:$E$3638,(rawdata!$A$2:$A$3638=transformed_data!$A228)*(rawdata!$B$2:$B$3638="Total Public Debt Outstanding"))</f>
        <v>7088052.4435059596</v>
      </c>
      <c r="I228" s="2" cm="1">
        <f t="array" ref="I228">_xlfn._xlws.FILTER(rawdata!$F$2:$F$3638,(rawdata!$A$2:$A$3638=transformed_data!$A228)*(rawdata!$B$2:$B$3638="Total Public Debt Outstanding"))</f>
        <v>35256056.579804502</v>
      </c>
      <c r="K228" s="2"/>
      <c r="L228" s="2"/>
    </row>
    <row r="229" spans="1:12" x14ac:dyDescent="0.3">
      <c r="A229" s="1">
        <v>45565</v>
      </c>
      <c r="B229" s="2" cm="1">
        <f t="array" ref="B229">_xlfn._xlws.FILTER(rawdata!$F$2:$F$3638,(rawdata!$A$2:$A$3638=transformed_data!$A229)*(rawdata!$C$2:$C$3638=transformed_data!B$1))</f>
        <v>6004760.6776999999</v>
      </c>
      <c r="C229" s="2" cm="1">
        <f t="array" ref="C229">_xlfn._xlws.FILTER(rawdata!$F$2:$F$3638,(rawdata!$A$2:$A$3638=transformed_data!$A229)*(rawdata!$C$2:$C$3638=transformed_data!C$1))</f>
        <v>14343433.823799999</v>
      </c>
      <c r="D229" s="2" cm="1">
        <f t="array" ref="D229">_xlfn._xlws.FILTER(rawdata!$F$2:$F$3638,(rawdata!$A$2:$A$3638=transformed_data!$A229)*(rawdata!$C$2:$C$3638=transformed_data!D$1))</f>
        <v>4708307.8279999997</v>
      </c>
      <c r="E229" s="2" cm="1">
        <f t="array" ref="E229">SUM(-B229:D229,_xlfn._xlws.FILTER(rawdata!$F$2:$F$3638,(rawdata!$A$2:$A$3638=transformed_data!$A229)*(rawdata!$B$2:$B$3638="Total Marketable")))</f>
        <v>2671835.1308614016</v>
      </c>
      <c r="F229" s="2" cm="1">
        <f t="array" ref="F229">_xlfn._xlws.FILTER(rawdata!$F$2:$F$3638,(rawdata!$A$2:$A$3638=transformed_data!$A229)*(rawdata!$B$2:$B$3638="Total Nonmarketable"))</f>
        <v>7736336.4571189303</v>
      </c>
      <c r="G229" s="2" cm="1">
        <f t="array" ref="G229">_xlfn._xlws.FILTER(rawdata!$D$2:$D$3638,(rawdata!$A$2:$A$3638=transformed_data!$A229)*(rawdata!$B$2:$B$3638="Total Public Debt Outstanding"))</f>
        <v>28307312.267010398</v>
      </c>
      <c r="H229" s="2" cm="1">
        <f t="array" ref="H229">_xlfn._xlws.FILTER(rawdata!$E$2:$E$3638,(rawdata!$A$2:$A$3638=transformed_data!$A229)*(rawdata!$B$2:$B$3638="Total Public Debt Outstanding"))</f>
        <v>7157361.6504699299</v>
      </c>
      <c r="I229" s="2" cm="1">
        <f t="array" ref="I229">_xlfn._xlws.FILTER(rawdata!$F$2:$F$3638,(rawdata!$A$2:$A$3638=transformed_data!$A229)*(rawdata!$B$2:$B$3638="Total Public Debt Outstanding"))</f>
        <v>35464673.917480297</v>
      </c>
      <c r="K229" s="2"/>
      <c r="L229" s="2"/>
    </row>
    <row r="230" spans="1:12" x14ac:dyDescent="0.3">
      <c r="A230" s="1">
        <v>45596</v>
      </c>
      <c r="B230" s="2" cm="1">
        <f t="array" ref="B230">_xlfn._xlws.FILTER(rawdata!$F$2:$F$3638,(rawdata!$A$2:$A$3638=transformed_data!$A230)*(rawdata!$C$2:$C$3638=transformed_data!B$1))</f>
        <v>6186777.7925000004</v>
      </c>
      <c r="C230" s="2" cm="1">
        <f t="array" ref="C230">_xlfn._xlws.FILTER(rawdata!$F$2:$F$3638,(rawdata!$A$2:$A$3638=transformed_data!$A230)*(rawdata!$C$2:$C$3638=transformed_data!C$1))</f>
        <v>14443632.6176</v>
      </c>
      <c r="D230" s="2" cm="1">
        <f t="array" ref="D230">_xlfn._xlws.FILTER(rawdata!$F$2:$F$3638,(rawdata!$A$2:$A$3638=transformed_data!$A230)*(rawdata!$C$2:$C$3638=transformed_data!D$1))</f>
        <v>4743828.2596000005</v>
      </c>
      <c r="E230" s="2" cm="1">
        <f t="array" ref="E230">SUM(-B230:D230,_xlfn._xlws.FILTER(rawdata!$F$2:$F$3638,(rawdata!$A$2:$A$3638=transformed_data!$A230)*(rawdata!$B$2:$B$3638="Total Marketable")))</f>
        <v>2616532.3372246027</v>
      </c>
      <c r="F230" s="2" cm="1">
        <f t="array" ref="F230">_xlfn._xlws.FILTER(rawdata!$F$2:$F$3638,(rawdata!$A$2:$A$3638=transformed_data!$A230)*(rawdata!$B$2:$B$3638="Total Nonmarketable"))</f>
        <v>7960830.1808168702</v>
      </c>
      <c r="G230" s="2" cm="1">
        <f t="array" ref="G230">_xlfn._xlws.FILTER(rawdata!$D$2:$D$3638,(rawdata!$A$2:$A$3638=transformed_data!$A230)*(rawdata!$B$2:$B$3638="Total Public Debt Outstanding"))</f>
        <v>28572149.0401484</v>
      </c>
      <c r="H230" s="2" cm="1">
        <f t="array" ref="H230">_xlfn._xlws.FILTER(rawdata!$E$2:$E$3638,(rawdata!$A$2:$A$3638=transformed_data!$A230)*(rawdata!$B$2:$B$3638="Total Public Debt Outstanding"))</f>
        <v>7379452.147593</v>
      </c>
      <c r="I230" s="2" cm="1">
        <f t="array" ref="I230">_xlfn._xlws.FILTER(rawdata!$F$2:$F$3638,(rawdata!$A$2:$A$3638=transformed_data!$A230)*(rawdata!$B$2:$B$3638="Total Public Debt Outstanding"))</f>
        <v>35951601.187741503</v>
      </c>
      <c r="K230" s="2"/>
      <c r="L230" s="2"/>
    </row>
    <row r="231" spans="1:12" x14ac:dyDescent="0.3">
      <c r="A231" s="1">
        <v>45626</v>
      </c>
      <c r="B231" s="2" cm="1">
        <f t="array" ref="B231">_xlfn._xlws.FILTER(rawdata!$F$2:$F$3638,(rawdata!$A$2:$A$3638=transformed_data!$A231)*(rawdata!$C$2:$C$3638=transformed_data!B$1))</f>
        <v>6389763.2319999998</v>
      </c>
      <c r="C231" s="2" cm="1">
        <f t="array" ref="C231">_xlfn._xlws.FILTER(rawdata!$F$2:$F$3638,(rawdata!$A$2:$A$3638=transformed_data!$A231)*(rawdata!$C$2:$C$3638=transformed_data!C$1))</f>
        <v>14409501.922599999</v>
      </c>
      <c r="D231" s="2" cm="1">
        <f t="array" ref="D231">_xlfn._xlws.FILTER(rawdata!$F$2:$F$3638,(rawdata!$A$2:$A$3638=transformed_data!$A231)*(rawdata!$C$2:$C$3638=transformed_data!D$1))</f>
        <v>4759296.1254000003</v>
      </c>
      <c r="E231" s="2" cm="1">
        <f t="array" ref="E231">SUM(-B231:D231,_xlfn._xlws.FILTER(rawdata!$F$2:$F$3638,(rawdata!$A$2:$A$3638=transformed_data!$A231)*(rawdata!$B$2:$B$3638="Total Marketable")))</f>
        <v>2664498.3913116008</v>
      </c>
      <c r="F231" s="2" cm="1">
        <f t="array" ref="F231">_xlfn._xlws.FILTER(rawdata!$F$2:$F$3638,(rawdata!$A$2:$A$3638=transformed_data!$A231)*(rawdata!$B$2:$B$3638="Total Nonmarketable"))</f>
        <v>7864302.6808527401</v>
      </c>
      <c r="G231" s="2" cm="1">
        <f t="array" ref="G231">_xlfn._xlws.FILTER(rawdata!$D$2:$D$3638,(rawdata!$A$2:$A$3638=transformed_data!$A231)*(rawdata!$B$2:$B$3638="Total Public Debt Outstanding"))</f>
        <v>28791208.127993599</v>
      </c>
      <c r="H231" s="2" cm="1">
        <f t="array" ref="H231">_xlfn._xlws.FILTER(rawdata!$E$2:$E$3638,(rawdata!$A$2:$A$3638=transformed_data!$A231)*(rawdata!$B$2:$B$3638="Total Public Debt Outstanding"))</f>
        <v>7296155.2241708003</v>
      </c>
      <c r="I231" s="2" cm="1">
        <f t="array" ref="I231">_xlfn._xlws.FILTER(rawdata!$F$2:$F$3638,(rawdata!$A$2:$A$3638=transformed_data!$A231)*(rawdata!$B$2:$B$3638="Total Public Debt Outstanding"))</f>
        <v>36087363.352164403</v>
      </c>
      <c r="K231" s="2"/>
      <c r="L231" s="2"/>
    </row>
    <row r="232" spans="1:12" x14ac:dyDescent="0.3">
      <c r="A232" s="1">
        <v>45657</v>
      </c>
      <c r="B232" s="2" cm="1">
        <f t="array" ref="B232">_xlfn._xlws.FILTER(rawdata!$F$2:$F$3638,(rawdata!$A$2:$A$3638=transformed_data!$A232)*(rawdata!$C$2:$C$3638=transformed_data!B$1))</f>
        <v>6186882.0707</v>
      </c>
      <c r="C232" s="2" cm="1">
        <f t="array" ref="C232">_xlfn._xlws.FILTER(rawdata!$F$2:$F$3638,(rawdata!$A$2:$A$3638=transformed_data!$A232)*(rawdata!$C$2:$C$3638=transformed_data!C$1))</f>
        <v>14565431.063100001</v>
      </c>
      <c r="D232" s="2" cm="1">
        <f t="array" ref="D232">_xlfn._xlws.FILTER(rawdata!$F$2:$F$3638,(rawdata!$A$2:$A$3638=transformed_data!$A232)*(rawdata!$C$2:$C$3638=transformed_data!D$1))</f>
        <v>4811667.7061000001</v>
      </c>
      <c r="E232" s="2" cm="1">
        <f t="array" ref="E232">SUM(-B232:D232,_xlfn._xlws.FILTER(rawdata!$F$2:$F$3638,(rawdata!$A$2:$A$3638=transformed_data!$A232)*(rawdata!$B$2:$B$3638="Total Marketable")))</f>
        <v>2716687.8176745996</v>
      </c>
      <c r="F232" s="2" cm="1">
        <f t="array" ref="F232">_xlfn._xlws.FILTER(rawdata!$F$2:$F$3638,(rawdata!$A$2:$A$3638=transformed_data!$A232)*(rawdata!$B$2:$B$3638="Total Nonmarketable"))</f>
        <v>7937936.6448058402</v>
      </c>
      <c r="G232" s="2" cm="1">
        <f t="array" ref="G232">_xlfn._xlws.FILTER(rawdata!$D$2:$D$3638,(rawdata!$A$2:$A$3638=transformed_data!$A232)*(rawdata!$B$2:$B$3638="Total Public Debt Outstanding"))</f>
        <v>28836996.083105899</v>
      </c>
      <c r="H232" s="2" cm="1">
        <f t="array" ref="H232">_xlfn._xlws.FILTER(rawdata!$E$2:$E$3638,(rawdata!$A$2:$A$3638=transformed_data!$A232)*(rawdata!$B$2:$B$3638="Total Public Debt Outstanding"))</f>
        <v>7381609.2192744799</v>
      </c>
      <c r="I232" s="2" cm="1">
        <f t="array" ref="I232">_xlfn._xlws.FILTER(rawdata!$F$2:$F$3638,(rawdata!$A$2:$A$3638=transformed_data!$A232)*(rawdata!$B$2:$B$3638="Total Public Debt Outstanding"))</f>
        <v>36218605.302380398</v>
      </c>
      <c r="K232" s="2"/>
      <c r="L232" s="2"/>
    </row>
    <row r="233" spans="1:12" x14ac:dyDescent="0.3">
      <c r="A233" s="1">
        <v>45688</v>
      </c>
      <c r="B233" s="2" cm="1">
        <f t="array" ref="B233">_xlfn._xlws.FILTER(rawdata!$F$2:$F$3638,(rawdata!$A$2:$A$3638=transformed_data!$A233)*(rawdata!$C$2:$C$3638=transformed_data!B$1))</f>
        <v>6379924.9601999996</v>
      </c>
      <c r="C233" s="2" cm="1">
        <f t="array" ref="C233">_xlfn._xlws.FILTER(rawdata!$F$2:$F$3638,(rawdata!$A$2:$A$3638=transformed_data!$A233)*(rawdata!$C$2:$C$3638=transformed_data!C$1))</f>
        <v>14691030.376800001</v>
      </c>
      <c r="D233" s="2" cm="1">
        <f t="array" ref="D233">_xlfn._xlws.FILTER(rawdata!$F$2:$F$3638,(rawdata!$A$2:$A$3638=transformed_data!$A233)*(rawdata!$C$2:$C$3638=transformed_data!D$1))</f>
        <v>4850208.2671999997</v>
      </c>
      <c r="E233" s="2" cm="1">
        <f t="array" ref="E233">SUM(-B233:D233,_xlfn._xlws.FILTER(rawdata!$F$2:$F$3638,(rawdata!$A$2:$A$3638=transformed_data!$A233)*(rawdata!$B$2:$B$3638="Total Marketable")))</f>
        <v>2597689.4670520984</v>
      </c>
      <c r="F233" s="2" cm="1">
        <f t="array" ref="F233">_xlfn._xlws.FILTER(rawdata!$F$2:$F$3638,(rawdata!$A$2:$A$3638=transformed_data!$A233)*(rawdata!$B$2:$B$3638="Total Nonmarketable"))</f>
        <v>7701353.63688411</v>
      </c>
      <c r="G233" s="2" cm="1">
        <f t="array" ref="G233">_xlfn._xlws.FILTER(rawdata!$D$2:$D$3638,(rawdata!$A$2:$A$3638=transformed_data!$A233)*(rawdata!$B$2:$B$3638="Total Public Debt Outstanding"))</f>
        <v>28911508.6287813</v>
      </c>
      <c r="H233" s="2" cm="1">
        <f t="array" ref="H233">_xlfn._xlws.FILTER(rawdata!$E$2:$E$3638,(rawdata!$A$2:$A$3638=transformed_data!$A233)*(rawdata!$B$2:$B$3638="Total Public Debt Outstanding"))</f>
        <v>7308698.0793548701</v>
      </c>
      <c r="I233" s="2" cm="1">
        <f t="array" ref="I233">_xlfn._xlws.FILTER(rawdata!$F$2:$F$3638,(rawdata!$A$2:$A$3638=transformed_data!$A233)*(rawdata!$B$2:$B$3638="Total Public Debt Outstanding"))</f>
        <v>36220206.708136201</v>
      </c>
      <c r="K233" s="2"/>
      <c r="L233" s="2"/>
    </row>
    <row r="234" spans="1:12" x14ac:dyDescent="0.3">
      <c r="A234" s="1">
        <v>45716</v>
      </c>
      <c r="B234" s="2" cm="1">
        <f t="array" ref="B234">_xlfn._xlws.FILTER(rawdata!$F$2:$F$3638,(rawdata!$A$2:$A$3638=transformed_data!$A234)*(rawdata!$C$2:$C$3638=transformed_data!B$1))</f>
        <v>6367951.7093000002</v>
      </c>
      <c r="C234" s="2" cm="1">
        <f t="array" ref="C234">_xlfn._xlws.FILTER(rawdata!$F$2:$F$3638,(rawdata!$A$2:$A$3638=transformed_data!$A234)*(rawdata!$C$2:$C$3638=transformed_data!C$1))</f>
        <v>14736013.5853</v>
      </c>
      <c r="D234" s="2" cm="1">
        <f t="array" ref="D234">_xlfn._xlws.FILTER(rawdata!$F$2:$F$3638,(rawdata!$A$2:$A$3638=transformed_data!$A234)*(rawdata!$C$2:$C$3638=transformed_data!D$1))</f>
        <v>4886175.8746999996</v>
      </c>
      <c r="E234" s="2" cm="1">
        <f t="array" ref="E234">SUM(-B234:D234,_xlfn._xlws.FILTER(rawdata!$F$2:$F$3638,(rawdata!$A$2:$A$3638=transformed_data!$A234)*(rawdata!$B$2:$B$3638="Total Marketable")))</f>
        <v>2638409.9776654989</v>
      </c>
      <c r="F234" s="2" cm="1">
        <f t="array" ref="F234">_xlfn._xlws.FILTER(rawdata!$F$2:$F$3638,(rawdata!$A$2:$A$3638=transformed_data!$A234)*(rawdata!$B$2:$B$3638="Total Nonmarketable"))</f>
        <v>7590372.1679439601</v>
      </c>
      <c r="G234" s="2" cm="1">
        <f t="array" ref="G234">_xlfn._xlws.FILTER(rawdata!$D$2:$D$3638,(rawdata!$A$2:$A$3638=transformed_data!$A234)*(rawdata!$B$2:$B$3638="Total Public Debt Outstanding"))</f>
        <v>28914410.533359699</v>
      </c>
      <c r="H234" s="2" cm="1">
        <f t="array" ref="H234">_xlfn._xlws.FILTER(rawdata!$E$2:$E$3638,(rawdata!$A$2:$A$3638=transformed_data!$A234)*(rawdata!$B$2:$B$3638="Total Public Debt Outstanding"))</f>
        <v>7304512.7815497601</v>
      </c>
      <c r="I234" s="2" cm="1">
        <f t="array" ref="I234">_xlfn._xlws.FILTER(rawdata!$F$2:$F$3638,(rawdata!$A$2:$A$3638=transformed_data!$A234)*(rawdata!$B$2:$B$3638="Total Public Debt Outstanding"))</f>
        <v>36218923.314909503</v>
      </c>
      <c r="K234" s="2"/>
      <c r="L234" s="2"/>
    </row>
    <row r="235" spans="1:12" x14ac:dyDescent="0.3">
      <c r="A235" s="1">
        <v>45747</v>
      </c>
      <c r="B235" s="2" cm="1">
        <f t="array" ref="B235">_xlfn._xlws.FILTER(rawdata!$F$2:$F$3638,(rawdata!$A$2:$A$3638=transformed_data!$A235)*(rawdata!$C$2:$C$3638=transformed_data!B$1))</f>
        <v>6155950.4395000003</v>
      </c>
      <c r="C235" s="2" cm="1">
        <f t="array" ref="C235">_xlfn._xlws.FILTER(rawdata!$F$2:$F$3638,(rawdata!$A$2:$A$3638=transformed_data!$A235)*(rawdata!$C$2:$C$3638=transformed_data!C$1))</f>
        <v>14813886.517100001</v>
      </c>
      <c r="D235" s="2" cm="1">
        <f t="array" ref="D235">_xlfn._xlws.FILTER(rawdata!$F$2:$F$3638,(rawdata!$A$2:$A$3638=transformed_data!$A235)*(rawdata!$C$2:$C$3638=transformed_data!D$1))</f>
        <v>4919912.8173000002</v>
      </c>
      <c r="E235" s="2" cm="1">
        <f t="array" ref="E235">SUM(-B235:D235,_xlfn._xlws.FILTER(rawdata!$F$2:$F$3638,(rawdata!$A$2:$A$3638=transformed_data!$A235)*(rawdata!$B$2:$B$3638="Total Marketable")))</f>
        <v>2697300.6972299963</v>
      </c>
      <c r="F235" s="2" cm="1">
        <f t="array" ref="F235">_xlfn._xlws.FILTER(rawdata!$F$2:$F$3638,(rawdata!$A$2:$A$3638=transformed_data!$A235)*(rawdata!$B$2:$B$3638="Total Nonmarketable"))</f>
        <v>7627259.9350475203</v>
      </c>
      <c r="G235" s="2" cm="1">
        <f t="array" ref="G235">_xlfn._xlws.FILTER(rawdata!$D$2:$D$3638,(rawdata!$A$2:$A$3638=transformed_data!$A235)*(rawdata!$B$2:$B$3638="Total Public Debt Outstanding"))</f>
        <v>28909508.836279001</v>
      </c>
      <c r="H235" s="2" cm="1">
        <f t="array" ref="H235">_xlfn._xlws.FILTER(rawdata!$E$2:$E$3638,(rawdata!$A$2:$A$3638=transformed_data!$A235)*(rawdata!$B$2:$B$3638="Total Public Debt Outstanding"))</f>
        <v>7304801.5698985504</v>
      </c>
      <c r="I235" s="2" cm="1">
        <f t="array" ref="I235">_xlfn._xlws.FILTER(rawdata!$F$2:$F$3638,(rawdata!$A$2:$A$3638=transformed_data!$A235)*(rawdata!$B$2:$B$3638="Total Public Debt Outstanding"))</f>
        <v>36214310.406177498</v>
      </c>
      <c r="K235" s="2"/>
      <c r="L235" s="2"/>
    </row>
    <row r="236" spans="1:12" x14ac:dyDescent="0.3">
      <c r="A236" s="1">
        <v>45777</v>
      </c>
      <c r="B236" s="2" cm="1">
        <f t="array" ref="B236">_xlfn._xlws.FILTER(rawdata!$F$2:$F$3638,(rawdata!$A$2:$A$3638=transformed_data!$A236)*(rawdata!$C$2:$C$3638=transformed_data!B$1))</f>
        <v>6060018.6605000002</v>
      </c>
      <c r="C236" s="2" cm="1">
        <f t="array" ref="C236">_xlfn._xlws.FILTER(rawdata!$F$2:$F$3638,(rawdata!$A$2:$A$3638=transformed_data!$A236)*(rawdata!$C$2:$C$3638=transformed_data!C$1))</f>
        <v>14907753.197799999</v>
      </c>
      <c r="D236" s="2" cm="1">
        <f t="array" ref="D236">_xlfn._xlws.FILTER(rawdata!$F$2:$F$3638,(rawdata!$A$2:$A$3638=transformed_data!$A236)*(rawdata!$C$2:$C$3638=transformed_data!D$1))</f>
        <v>4957464.5207000002</v>
      </c>
      <c r="E236" s="2" cm="1">
        <f t="array" ref="E236">SUM(-B236:D236,_xlfn._xlws.FILTER(rawdata!$F$2:$F$3638,(rawdata!$A$2:$A$3638=transformed_data!$A236)*(rawdata!$B$2:$B$3638="Total Marketable")))</f>
        <v>2650521.7592111006</v>
      </c>
      <c r="F236" s="2" cm="1">
        <f t="array" ref="F236">_xlfn._xlws.FILTER(rawdata!$F$2:$F$3638,(rawdata!$A$2:$A$3638=transformed_data!$A236)*(rawdata!$B$2:$B$3638="Total Nonmarketable"))</f>
        <v>7637799.0399192898</v>
      </c>
      <c r="G236" s="2" cm="1">
        <f t="array" ref="G236">_xlfn._xlws.FILTER(rawdata!$D$2:$D$3638,(rawdata!$A$2:$A$3638=transformed_data!$A236)*(rawdata!$B$2:$B$3638="Total Public Debt Outstanding"))</f>
        <v>28852660.931639001</v>
      </c>
      <c r="H236" s="2" cm="1">
        <f t="array" ref="H236">_xlfn._xlws.FILTER(rawdata!$E$2:$E$3638,(rawdata!$A$2:$A$3638=transformed_data!$A236)*(rawdata!$B$2:$B$3638="Total Public Debt Outstanding"))</f>
        <v>7360896.2464914396</v>
      </c>
      <c r="I236" s="2" cm="1">
        <f t="array" ref="I236">_xlfn._xlws.FILTER(rawdata!$F$2:$F$3638,(rawdata!$A$2:$A$3638=transformed_data!$A236)*(rawdata!$B$2:$B$3638="Total Public Debt Outstanding"))</f>
        <v>36213557.178130403</v>
      </c>
      <c r="K236" s="2"/>
      <c r="L236" s="2"/>
    </row>
    <row r="237" spans="1:12" x14ac:dyDescent="0.3">
      <c r="A237" s="1">
        <v>45808</v>
      </c>
      <c r="B237" s="2" cm="1">
        <f t="array" ref="B237">_xlfn._xlws.FILTER(rawdata!$F$2:$F$3638,(rawdata!$A$2:$A$3638=transformed_data!$A237)*(rawdata!$C$2:$C$3638=transformed_data!B$1))</f>
        <v>6003024.2416000003</v>
      </c>
      <c r="C237" s="2" cm="1">
        <f t="array" ref="C237">_xlfn._xlws.FILTER(rawdata!$F$2:$F$3638,(rawdata!$A$2:$A$3638=transformed_data!$A237)*(rawdata!$C$2:$C$3638=transformed_data!C$1))</f>
        <v>14897646.643200001</v>
      </c>
      <c r="D237" s="2" cm="1">
        <f t="array" ref="D237">_xlfn._xlws.FILTER(rawdata!$F$2:$F$3638,(rawdata!$A$2:$A$3638=transformed_data!$A237)*(rawdata!$C$2:$C$3638=transformed_data!D$1))</f>
        <v>4987268.9903999995</v>
      </c>
      <c r="E237" s="2" cm="1">
        <f t="array" ref="E237">SUM(-B237:D237,_xlfn._xlws.FILTER(rawdata!$F$2:$F$3638,(rawdata!$A$2:$A$3638=transformed_data!$A237)*(rawdata!$B$2:$B$3638="Total Marketable")))</f>
        <v>2700531.4184437953</v>
      </c>
      <c r="F237" s="2" cm="1">
        <f t="array" ref="F237">_xlfn._xlws.FILTER(rawdata!$F$2:$F$3638,(rawdata!$A$2:$A$3638=transformed_data!$A237)*(rawdata!$B$2:$B$3638="Total Nonmarketable"))</f>
        <v>7627347.0799770597</v>
      </c>
      <c r="G237" s="2" cm="1">
        <f t="array" ref="G237">_xlfn._xlws.FILTER(rawdata!$D$2:$D$3638,(rawdata!$A$2:$A$3638=transformed_data!$A237)*(rawdata!$B$2:$B$3638="Total Public Debt Outstanding"))</f>
        <v>28952461.137501299</v>
      </c>
      <c r="H237" s="2" cm="1">
        <f t="array" ref="H237">_xlfn._xlws.FILTER(rawdata!$E$2:$E$3638,(rawdata!$A$2:$A$3638=transformed_data!$A237)*(rawdata!$B$2:$B$3638="Total Public Debt Outstanding"))</f>
        <v>7263357.23611956</v>
      </c>
      <c r="I237" s="2" cm="1">
        <f t="array" ref="I237">_xlfn._xlws.FILTER(rawdata!$F$2:$F$3638,(rawdata!$A$2:$A$3638=transformed_data!$A237)*(rawdata!$B$2:$B$3638="Total Public Debt Outstanding"))</f>
        <v>36215818.373620801</v>
      </c>
      <c r="K237" s="2"/>
      <c r="L237" s="2"/>
    </row>
    <row r="238" spans="1:12" x14ac:dyDescent="0.3">
      <c r="A238" s="1">
        <v>45838</v>
      </c>
      <c r="B238" s="2" cm="1">
        <f t="array" ref="B238">_xlfn._xlws.FILTER(rawdata!$F$2:$F$3638,(rawdata!$A$2:$A$3638=transformed_data!$A238)*(rawdata!$C$2:$C$3638=transformed_data!B$1))</f>
        <v>5784061.0517999995</v>
      </c>
      <c r="C238" s="2" cm="1">
        <f t="array" ref="C238">_xlfn._xlws.FILTER(rawdata!$F$2:$F$3638,(rawdata!$A$2:$A$3638=transformed_data!$A238)*(rawdata!$C$2:$C$3638=transformed_data!C$1))</f>
        <v>15073596.704399999</v>
      </c>
      <c r="D238" s="2" cm="1">
        <f t="array" ref="D238">_xlfn._xlws.FILTER(rawdata!$F$2:$F$3638,(rawdata!$A$2:$A$3638=transformed_data!$A238)*(rawdata!$C$2:$C$3638=transformed_data!D$1))</f>
        <v>5040146.4793999996</v>
      </c>
      <c r="E238" s="2" cm="1">
        <f t="array" ref="E238">SUM(-B238:D238,_xlfn._xlws.FILTER(rawdata!$F$2:$F$3638,(rawdata!$A$2:$A$3638=transformed_data!$A238)*(rawdata!$B$2:$B$3638="Total Marketable")))</f>
        <v>2759483.7451886982</v>
      </c>
      <c r="F238" s="2" cm="1">
        <f t="array" ref="F238">_xlfn._xlws.FILTER(rawdata!$F$2:$F$3638,(rawdata!$A$2:$A$3638=transformed_data!$A238)*(rawdata!$B$2:$B$3638="Total Nonmarketable"))</f>
        <v>7554181.3400317105</v>
      </c>
      <c r="G238" s="2" cm="1">
        <f t="array" ref="G238">_xlfn._xlws.FILTER(rawdata!$D$2:$D$3638,(rawdata!$A$2:$A$3638=transformed_data!$A238)*(rawdata!$B$2:$B$3638="Total Public Debt Outstanding"))</f>
        <v>28953497.4743427</v>
      </c>
      <c r="H238" s="2" cm="1">
        <f t="array" ref="H238">_xlfn._xlws.FILTER(rawdata!$E$2:$E$3638,(rawdata!$A$2:$A$3638=transformed_data!$A238)*(rawdata!$B$2:$B$3638="Total Public Debt Outstanding"))</f>
        <v>7257972.8464777702</v>
      </c>
      <c r="I238" s="2" cm="1">
        <f t="array" ref="I238">_xlfn._xlws.FILTER(rawdata!$F$2:$F$3638,(rawdata!$A$2:$A$3638=transformed_data!$A238)*(rawdata!$B$2:$B$3638="Total Public Debt Outstanding"))</f>
        <v>36211469.320820399</v>
      </c>
      <c r="K238" s="2"/>
      <c r="L238" s="2"/>
    </row>
    <row r="239" spans="1:12" x14ac:dyDescent="0.3">
      <c r="A239" s="1">
        <v>45869</v>
      </c>
      <c r="B239" s="2" cm="1">
        <f t="array" ref="B239">_xlfn._xlws.FILTER(rawdata!$F$2:$F$3638,(rawdata!$A$2:$A$3638=transformed_data!$A239)*(rawdata!$C$2:$C$3638=transformed_data!B$1))</f>
        <v>5995910.2789000003</v>
      </c>
      <c r="C239" s="2" cm="1">
        <f t="array" ref="C239">_xlfn._xlws.FILTER(rawdata!$F$2:$F$3638,(rawdata!$A$2:$A$3638=transformed_data!$A239)*(rawdata!$C$2:$C$3638=transformed_data!C$1))</f>
        <v>15206990.3684</v>
      </c>
      <c r="D239" s="2" cm="1">
        <f t="array" ref="D239">_xlfn._xlws.FILTER(rawdata!$F$2:$F$3638,(rawdata!$A$2:$A$3638=transformed_data!$A239)*(rawdata!$C$2:$C$3638=transformed_data!D$1))</f>
        <v>5076632.5811000001</v>
      </c>
      <c r="E239" s="2" cm="1">
        <f t="array" ref="E239">SUM(-B239:D239,_xlfn._xlws.FILTER(rawdata!$F$2:$F$3638,(rawdata!$A$2:$A$3638=transformed_data!$A239)*(rawdata!$B$2:$B$3638="Total Marketable")))</f>
        <v>2690431.3099879995</v>
      </c>
      <c r="F239" s="2" cm="1">
        <f t="array" ref="F239">_xlfn._xlws.FILTER(rawdata!$F$2:$F$3638,(rawdata!$A$2:$A$3638=transformed_data!$A239)*(rawdata!$B$2:$B$3638="Total Nonmarketable"))</f>
        <v>7947023.3114930904</v>
      </c>
      <c r="G239" s="2" cm="1">
        <f t="array" ref="G239">_xlfn._xlws.FILTER(rawdata!$D$2:$D$3638,(rawdata!$A$2:$A$3638=transformed_data!$A239)*(rawdata!$B$2:$B$3638="Total Public Debt Outstanding"))</f>
        <v>29531340.685479201</v>
      </c>
      <c r="H239" s="2" cm="1">
        <f t="array" ref="H239">_xlfn._xlws.FILTER(rawdata!$E$2:$E$3638,(rawdata!$A$2:$A$3638=transformed_data!$A239)*(rawdata!$B$2:$B$3638="Total Public Debt Outstanding"))</f>
        <v>7385647.1644018898</v>
      </c>
      <c r="I239" s="2" cm="1">
        <f t="array" ref="I239">_xlfn._xlws.FILTER(rawdata!$F$2:$F$3638,(rawdata!$A$2:$A$3638=transformed_data!$A239)*(rawdata!$B$2:$B$3638="Total Public Debt Outstanding"))</f>
        <v>36916986.849881098</v>
      </c>
      <c r="K239" s="2"/>
      <c r="L239" s="2"/>
    </row>
    <row r="240" spans="1:12" x14ac:dyDescent="0.3">
      <c r="A240" s="1">
        <v>45900</v>
      </c>
      <c r="B240" s="2" cm="1">
        <f t="array" ref="B240">_xlfn._xlws.FILTER(rawdata!$F$2:$F$3638,(rawdata!$A$2:$A$3638=transformed_data!$A240)*(rawdata!$C$2:$C$3638=transformed_data!B$1))</f>
        <v>6369006.6390000004</v>
      </c>
      <c r="C240" s="2" cm="1">
        <f t="array" ref="C240">_xlfn._xlws.FILTER(rawdata!$F$2:$F$3638,(rawdata!$A$2:$A$3638=transformed_data!$A240)*(rawdata!$C$2:$C$3638=transformed_data!C$1))</f>
        <v>15211301.9838</v>
      </c>
      <c r="D240" s="2" cm="1">
        <f t="array" ref="D240">_xlfn._xlws.FILTER(rawdata!$F$2:$F$3638,(rawdata!$A$2:$A$3638=transformed_data!$A240)*(rawdata!$C$2:$C$3638=transformed_data!D$1))</f>
        <v>5094927.9239999996</v>
      </c>
      <c r="E240" s="2" cm="1">
        <f t="array" ref="E240">SUM(-B240:D240,_xlfn._xlws.FILTER(rawdata!$F$2:$F$3638,(rawdata!$A$2:$A$3638=transformed_data!$A240)*(rawdata!$B$2:$B$3638="Total Marketable")))</f>
        <v>2731608.5045743026</v>
      </c>
      <c r="F240" s="2" cm="1">
        <f t="array" ref="F240">_xlfn._xlws.FILTER(rawdata!$F$2:$F$3638,(rawdata!$A$2:$A$3638=transformed_data!$A240)*(rawdata!$B$2:$B$3638="Total Nonmarketable"))</f>
        <v>7867420.8975577801</v>
      </c>
      <c r="G240" s="2" cm="1">
        <f t="array" ref="G240">_xlfn._xlws.FILTER(rawdata!$D$2:$D$3638,(rawdata!$A$2:$A$3638=transformed_data!$A240)*(rawdata!$B$2:$B$3638="Total Public Debt Outstanding"))</f>
        <v>29968531.276469301</v>
      </c>
      <c r="H240" s="2" cm="1">
        <f t="array" ref="H240">_xlfn._xlws.FILTER(rawdata!$E$2:$E$3638,(rawdata!$A$2:$A$3638=transformed_data!$A240)*(rawdata!$B$2:$B$3638="Total Public Debt Outstanding"))</f>
        <v>7305734.67246278</v>
      </c>
      <c r="I240" s="2" cm="1">
        <f t="array" ref="I240">_xlfn._xlws.FILTER(rawdata!$F$2:$F$3638,(rawdata!$A$2:$A$3638=transformed_data!$A240)*(rawdata!$B$2:$B$3638="Total Public Debt Outstanding"))</f>
        <v>37274265.948932096</v>
      </c>
      <c r="K240" s="2"/>
      <c r="L240" s="2"/>
    </row>
    <row r="241" spans="1:12" x14ac:dyDescent="0.3">
      <c r="A241" s="1">
        <v>45930</v>
      </c>
      <c r="B241" s="2" cm="1">
        <f t="array" ref="B241">_xlfn._xlws.FILTER(rawdata!$F$2:$F$3638,(rawdata!$A$2:$A$3638=transformed_data!$A241)*(rawdata!$C$2:$C$3638=transformed_data!B$1))</f>
        <v>6397045.0500999996</v>
      </c>
      <c r="C241" s="2" cm="1">
        <f t="array" ref="C241">_xlfn._xlws.FILTER(rawdata!$F$2:$F$3638,(rawdata!$A$2:$A$3638=transformed_data!$A241)*(rawdata!$C$2:$C$3638=transformed_data!C$1))</f>
        <v>15392478.881200001</v>
      </c>
      <c r="D241" s="2" cm="1">
        <f t="array" ref="D241">_xlfn._xlws.FILTER(rawdata!$F$2:$F$3638,(rawdata!$A$2:$A$3638=transformed_data!$A241)*(rawdata!$C$2:$C$3638=transformed_data!D$1))</f>
        <v>5142560.5762</v>
      </c>
      <c r="E241" s="2" cm="1">
        <f t="array" ref="E241">SUM(-B241:D241,_xlfn._xlws.FILTER(rawdata!$F$2:$F$3638,(rawdata!$A$2:$A$3638=transformed_data!$A241)*(rawdata!$B$2:$B$3638="Total Marketable")))</f>
        <v>2782628.8110455982</v>
      </c>
      <c r="F241" s="2" cm="1">
        <f t="array" ref="F241">_xlfn._xlws.FILTER(rawdata!$F$2:$F$3638,(rawdata!$A$2:$A$3638=transformed_data!$A241)*(rawdata!$B$2:$B$3638="Total Nonmarketable"))</f>
        <v>7922840.2084686495</v>
      </c>
      <c r="G241" s="2" cm="1">
        <f t="array" ref="G241">_xlfn._xlws.FILTER(rawdata!$D$2:$D$3638,(rawdata!$A$2:$A$3638=transformed_data!$A241)*(rawdata!$B$2:$B$3638="Total Public Debt Outstanding"))</f>
        <v>30277766.420262799</v>
      </c>
      <c r="H241" s="2" cm="1">
        <f t="array" ref="H241">_xlfn._xlws.FILTER(rawdata!$E$2:$E$3638,(rawdata!$A$2:$A$3638=transformed_data!$A241)*(rawdata!$B$2:$B$3638="Total Public Debt Outstanding"))</f>
        <v>7359787.1067514196</v>
      </c>
      <c r="I241" s="2" cm="1">
        <f t="array" ref="I241">_xlfn._xlws.FILTER(rawdata!$F$2:$F$3638,(rawdata!$A$2:$A$3638=transformed_data!$A241)*(rawdata!$B$2:$B$3638="Total Public Debt Outstanding"))</f>
        <v>37637552.527014203</v>
      </c>
      <c r="K241" s="2"/>
      <c r="L241" s="2"/>
    </row>
    <row r="242" spans="1:12" x14ac:dyDescent="0.3">
      <c r="A242" s="1">
        <v>45961</v>
      </c>
      <c r="B242" s="2" cm="1">
        <f t="array" ref="B242">_xlfn._xlws.FILTER(rawdata!$F$2:$F$3638,(rawdata!$A$2:$A$3638=transformed_data!$A242)*(rawdata!$C$2:$C$3638=transformed_data!B$1))</f>
        <v>6593194.1854999997</v>
      </c>
      <c r="C242" s="2" cm="1">
        <f t="array" ref="C242">_xlfn._xlws.FILTER(rawdata!$F$2:$F$3638,(rawdata!$A$2:$A$3638=transformed_data!$A242)*(rawdata!$C$2:$C$3638=transformed_data!C$1))</f>
        <v>15505681.5835</v>
      </c>
      <c r="D242" s="2" cm="1">
        <f t="array" ref="D242">_xlfn._xlws.FILTER(rawdata!$F$2:$F$3638,(rawdata!$A$2:$A$3638=transformed_data!$A242)*(rawdata!$C$2:$C$3638=transformed_data!D$1))</f>
        <v>5172699.2598000001</v>
      </c>
      <c r="E242" s="2" cm="1">
        <f t="array" ref="E242">SUM(-B242:D242,_xlfn._xlws.FILTER(rawdata!$F$2:$F$3638,(rawdata!$A$2:$A$3638=transformed_data!$A242)*(rawdata!$B$2:$B$3638="Total Marketable")))</f>
        <v>2726988.8322594985</v>
      </c>
      <c r="F242" s="2" cm="1">
        <f t="array" ref="F242">_xlfn._xlws.FILTER(rawdata!$F$2:$F$3638,(rawdata!$A$2:$A$3638=transformed_data!$A242)*(rawdata!$B$2:$B$3638="Total Nonmarketable"))</f>
        <v>8041529.9445784297</v>
      </c>
      <c r="G242" s="2" cm="1">
        <f t="array" ref="G242">_xlfn._xlws.FILTER(rawdata!$D$2:$D$3638,(rawdata!$A$2:$A$3638=transformed_data!$A242)*(rawdata!$B$2:$B$3638="Total Public Debt Outstanding"))</f>
        <v>30570708.449539602</v>
      </c>
      <c r="H242" s="2" cm="1">
        <f t="array" ref="H242">_xlfn._xlws.FILTER(rawdata!$E$2:$E$3638,(rawdata!$A$2:$A$3638=transformed_data!$A242)*(rawdata!$B$2:$B$3638="Total Public Debt Outstanding"))</f>
        <v>7469385.3560982896</v>
      </c>
      <c r="I242" s="2" cm="1">
        <f t="array" ref="I242">_xlfn._xlws.FILTER(rawdata!$F$2:$F$3638,(rawdata!$A$2:$A$3638=transformed_data!$A242)*(rawdata!$B$2:$B$3638="Total Public Debt Outstanding"))</f>
        <v>38040093.805637904</v>
      </c>
      <c r="K242" s="2"/>
      <c r="L242" s="2"/>
    </row>
    <row r="243" spans="1:12" x14ac:dyDescent="0.3">
      <c r="L243" s="2"/>
    </row>
    <row r="244" spans="1:12" x14ac:dyDescent="0.3">
      <c r="L24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8B9C-B864-43CE-B55E-B0A7F6616025}">
  <dimension ref="A1:G242"/>
  <sheetViews>
    <sheetView topLeftCell="G1" zoomScaleNormal="100" workbookViewId="0">
      <selection activeCell="B1" sqref="B1:E1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4" width="7.109375" bestFit="1" customWidth="1"/>
    <col min="5" max="5" width="15.109375" bestFit="1" customWidth="1"/>
    <col min="6" max="6" width="18" bestFit="1" customWidth="1"/>
    <col min="7" max="7" width="26.6640625" bestFit="1" customWidth="1"/>
  </cols>
  <sheetData>
    <row r="1" spans="1:7" x14ac:dyDescent="0.3">
      <c r="A1" t="s">
        <v>30</v>
      </c>
      <c r="B1" t="s">
        <v>7</v>
      </c>
      <c r="C1" t="s">
        <v>8</v>
      </c>
      <c r="D1" t="s">
        <v>9</v>
      </c>
      <c r="E1" t="s">
        <v>26</v>
      </c>
      <c r="F1" t="s">
        <v>21</v>
      </c>
      <c r="G1" t="s">
        <v>27</v>
      </c>
    </row>
    <row r="2" spans="1:7" x14ac:dyDescent="0.3">
      <c r="A2" s="1" cm="1">
        <f t="array" ref="A2:A242">_xlfn.UNIQUE(rawdata!A2:A3638)</f>
        <v>38656</v>
      </c>
      <c r="B2" s="5">
        <f>transformed_data!B2/transformed_data!$I2</f>
        <v>0.11667891097278876</v>
      </c>
      <c r="C2" s="5">
        <f>transformed_data!C2/transformed_data!$I2</f>
        <v>0.29100982029014516</v>
      </c>
      <c r="D2" s="5">
        <f>transformed_data!D2/transformed_data!$I2</f>
        <v>6.4867794597337686E-2</v>
      </c>
      <c r="E2" s="5">
        <f>transformed_data!E2/transformed_data!$I2</f>
        <v>4.2110537751049504E-2</v>
      </c>
      <c r="F2" s="5">
        <f>transformed_data!F2/transformed_data!$I2</f>
        <v>0.48533306096631479</v>
      </c>
      <c r="G2" s="5">
        <f t="shared" ref="G2:G65" si="0">SUM(B2:F2)</f>
        <v>1.0000001245776358</v>
      </c>
    </row>
    <row r="3" spans="1:7" x14ac:dyDescent="0.3">
      <c r="A3" s="1">
        <v>38686</v>
      </c>
      <c r="B3" s="5">
        <f>transformed_data!B3/transformed_data!$I3</f>
        <v>0.12195933061932845</v>
      </c>
      <c r="C3" s="5">
        <f>transformed_data!C3/transformed_data!$I3</f>
        <v>0.28913767342017604</v>
      </c>
      <c r="D3" s="5">
        <f>transformed_data!D3/transformed_data!$I3</f>
        <v>6.3841630367053037E-2</v>
      </c>
      <c r="E3" s="5">
        <f>transformed_data!E3/transformed_data!$I3</f>
        <v>4.2250834574983194E-2</v>
      </c>
      <c r="F3" s="5">
        <f>transformed_data!F3/transformed_data!$I3</f>
        <v>0.48281053101845928</v>
      </c>
      <c r="G3" s="5">
        <f t="shared" si="0"/>
        <v>1</v>
      </c>
    </row>
    <row r="4" spans="1:7" x14ac:dyDescent="0.3">
      <c r="A4" s="1">
        <v>38717</v>
      </c>
      <c r="B4" s="5">
        <f>transformed_data!B4/transformed_data!$I4</f>
        <v>0.11797037161008773</v>
      </c>
      <c r="C4" s="5">
        <f>transformed_data!C4/transformed_data!$I4</f>
        <v>0.28894415565220055</v>
      </c>
      <c r="D4" s="5">
        <f>transformed_data!D4/transformed_data!$I4</f>
        <v>6.3230697695732641E-2</v>
      </c>
      <c r="E4" s="5">
        <f>transformed_data!E4/transformed_data!$I4</f>
        <v>4.194129902833401E-2</v>
      </c>
      <c r="F4" s="5">
        <f>transformed_data!F4/transformed_data!$I4</f>
        <v>0.48791335362083127</v>
      </c>
      <c r="G4" s="5">
        <f t="shared" si="0"/>
        <v>0.99999987760718612</v>
      </c>
    </row>
    <row r="5" spans="1:7" x14ac:dyDescent="0.3">
      <c r="A5" s="1">
        <v>38748</v>
      </c>
      <c r="B5" s="5">
        <f>transformed_data!B5/transformed_data!$I5</f>
        <v>0.1166717518954188</v>
      </c>
      <c r="C5" s="5">
        <f>transformed_data!C5/transformed_data!$I5</f>
        <v>0.28807739425925194</v>
      </c>
      <c r="D5" s="5">
        <f>transformed_data!D5/transformed_data!$I5</f>
        <v>6.3032504227886116E-2</v>
      </c>
      <c r="E5" s="5">
        <f>transformed_data!E5/transformed_data!$I5</f>
        <v>4.4028490998553257E-2</v>
      </c>
      <c r="F5" s="5">
        <f>transformed_data!F5/transformed_data!$I5</f>
        <v>0.48818998062858776</v>
      </c>
      <c r="G5" s="5">
        <f t="shared" si="0"/>
        <v>1.0000001220096979</v>
      </c>
    </row>
    <row r="6" spans="1:7" x14ac:dyDescent="0.3">
      <c r="A6" s="1">
        <v>38776</v>
      </c>
      <c r="B6" s="5">
        <f>transformed_data!B6/transformed_data!$I6</f>
        <v>0.12086757748224103</v>
      </c>
      <c r="C6" s="5">
        <f>transformed_data!C6/transformed_data!$I6</f>
        <v>0.28921098600328354</v>
      </c>
      <c r="D6" s="5">
        <f>transformed_data!D6/transformed_data!$I6</f>
        <v>6.3690897435455016E-2</v>
      </c>
      <c r="E6" s="5">
        <f>transformed_data!E6/transformed_data!$I6</f>
        <v>4.3477107455909519E-2</v>
      </c>
      <c r="F6" s="5">
        <f>transformed_data!F6/transformed_data!$I6</f>
        <v>0.48275331070246469</v>
      </c>
      <c r="G6" s="5">
        <f t="shared" si="0"/>
        <v>0.99999987907935384</v>
      </c>
    </row>
    <row r="7" spans="1:7" x14ac:dyDescent="0.3">
      <c r="A7" s="1">
        <v>38807</v>
      </c>
      <c r="B7" s="5">
        <f>transformed_data!B7/transformed_data!$I7</f>
        <v>0.12448101833797034</v>
      </c>
      <c r="C7" s="5">
        <f>transformed_data!C7/transformed_data!$I7</f>
        <v>0.28786309808052762</v>
      </c>
      <c r="D7" s="5">
        <f>transformed_data!D7/transformed_data!$I7</f>
        <v>6.2918870535850838E-2</v>
      </c>
      <c r="E7" s="5">
        <f>transformed_data!E7/transformed_data!$I7</f>
        <v>4.3231684160725072E-2</v>
      </c>
      <c r="F7" s="5">
        <f>transformed_data!F7/transformed_data!$I7</f>
        <v>0.4815054483427455</v>
      </c>
      <c r="G7" s="5">
        <f t="shared" si="0"/>
        <v>1.0000001194578194</v>
      </c>
    </row>
    <row r="8" spans="1:7" x14ac:dyDescent="0.3">
      <c r="A8" s="1">
        <v>38837</v>
      </c>
      <c r="B8" s="5">
        <f>transformed_data!B8/transformed_data!$I8</f>
        <v>0.11550261308023176</v>
      </c>
      <c r="C8" s="5">
        <f>transformed_data!C8/transformed_data!$I8</f>
        <v>0.28839411483923305</v>
      </c>
      <c r="D8" s="5">
        <f>transformed_data!D8/transformed_data!$I8</f>
        <v>6.3034889960900675E-2</v>
      </c>
      <c r="E8" s="5">
        <f>transformed_data!E8/transformed_data!$I8</f>
        <v>4.5676073417926608E-2</v>
      </c>
      <c r="F8" s="5">
        <f>transformed_data!F8/transformed_data!$I8</f>
        <v>0.48739230870170797</v>
      </c>
      <c r="G8" s="5">
        <f t="shared" si="0"/>
        <v>1</v>
      </c>
    </row>
    <row r="9" spans="1:7" x14ac:dyDescent="0.3">
      <c r="A9" s="1">
        <v>38868</v>
      </c>
      <c r="B9" s="5">
        <f>transformed_data!B9/transformed_data!$I9</f>
        <v>0.11421163026301166</v>
      </c>
      <c r="C9" s="5">
        <f>transformed_data!C9/transformed_data!$I9</f>
        <v>0.28814764399635406</v>
      </c>
      <c r="D9" s="5">
        <f>transformed_data!D9/transformed_data!$I9</f>
        <v>6.2603789833989426E-2</v>
      </c>
      <c r="E9" s="5">
        <f>transformed_data!E9/transformed_data!$I9</f>
        <v>4.5908960849565555E-2</v>
      </c>
      <c r="F9" s="5">
        <f>transformed_data!F9/transformed_data!$I9</f>
        <v>0.48912797505707933</v>
      </c>
      <c r="G9" s="5">
        <f t="shared" si="0"/>
        <v>1</v>
      </c>
    </row>
    <row r="10" spans="1:7" x14ac:dyDescent="0.3">
      <c r="A10" s="1">
        <v>38898</v>
      </c>
      <c r="B10" s="5">
        <f>transformed_data!B10/transformed_data!$I10</f>
        <v>0.10887197169434837</v>
      </c>
      <c r="C10" s="5">
        <f>transformed_data!C10/transformed_data!$I10</f>
        <v>0.28828803756697857</v>
      </c>
      <c r="D10" s="5">
        <f>transformed_data!D10/transformed_data!$I10</f>
        <v>6.2132357732936183E-2</v>
      </c>
      <c r="E10" s="5">
        <f>transformed_data!E10/transformed_data!$I10</f>
        <v>4.5932870835835804E-2</v>
      </c>
      <c r="F10" s="5">
        <f>transformed_data!F10/transformed_data!$I10</f>
        <v>0.49477476216990096</v>
      </c>
      <c r="G10" s="5">
        <f t="shared" si="0"/>
        <v>1</v>
      </c>
    </row>
    <row r="11" spans="1:7" x14ac:dyDescent="0.3">
      <c r="A11" s="1">
        <v>38929</v>
      </c>
      <c r="B11" s="5">
        <f>transformed_data!B11/transformed_data!$I11</f>
        <v>0.11045185359702986</v>
      </c>
      <c r="C11" s="5">
        <f>transformed_data!C11/transformed_data!$I11</f>
        <v>0.28621555384237757</v>
      </c>
      <c r="D11" s="5">
        <f>transformed_data!D11/transformed_data!$I11</f>
        <v>6.1953357767199728E-2</v>
      </c>
      <c r="E11" s="5">
        <f>transformed_data!E11/transformed_data!$I11</f>
        <v>4.8275785332077291E-2</v>
      </c>
      <c r="F11" s="5">
        <f>transformed_data!F11/transformed_data!$I11</f>
        <v>0.49310344946131557</v>
      </c>
      <c r="G11" s="5">
        <f t="shared" si="0"/>
        <v>1</v>
      </c>
    </row>
    <row r="12" spans="1:7" x14ac:dyDescent="0.3">
      <c r="A12" s="1">
        <v>38960</v>
      </c>
      <c r="B12" s="5">
        <f>transformed_data!B12/transformed_data!$I12</f>
        <v>0.11301340003530894</v>
      </c>
      <c r="C12" s="5">
        <f>transformed_data!C12/transformed_data!$I12</f>
        <v>0.2864536834361518</v>
      </c>
      <c r="D12" s="5">
        <f>transformed_data!D12/transformed_data!$I12</f>
        <v>6.2796085149103009E-2</v>
      </c>
      <c r="E12" s="5">
        <f>transformed_data!E12/transformed_data!$I12</f>
        <v>4.7972254860808639E-2</v>
      </c>
      <c r="F12" s="5">
        <f>transformed_data!F12/transformed_data!$I12</f>
        <v>0.4897645765186277</v>
      </c>
      <c r="G12" s="5">
        <f t="shared" si="0"/>
        <v>1</v>
      </c>
    </row>
    <row r="13" spans="1:7" x14ac:dyDescent="0.3">
      <c r="A13" s="1">
        <v>38990</v>
      </c>
      <c r="B13" s="5">
        <f>transformed_data!B13/transformed_data!$I13</f>
        <v>0.10715097458469706</v>
      </c>
      <c r="C13" s="5">
        <f>transformed_data!C13/transformed_data!$I13</f>
        <v>0.28766516882712811</v>
      </c>
      <c r="D13" s="5">
        <f>transformed_data!D13/transformed_data!$I13</f>
        <v>6.2855472893519296E-2</v>
      </c>
      <c r="E13" s="5">
        <f>transformed_data!E13/transformed_data!$I13</f>
        <v>4.8153229691439793E-2</v>
      </c>
      <c r="F13" s="5">
        <f>transformed_data!F13/transformed_data!$I13</f>
        <v>0.49417515400321577</v>
      </c>
      <c r="G13" s="5">
        <f t="shared" si="0"/>
        <v>1</v>
      </c>
    </row>
    <row r="14" spans="1:7" x14ac:dyDescent="0.3">
      <c r="A14" s="1">
        <v>39021</v>
      </c>
      <c r="B14" s="5">
        <f>transformed_data!B14/transformed_data!$I14</f>
        <v>0.10828062626467763</v>
      </c>
      <c r="C14" s="5">
        <f>transformed_data!C14/transformed_data!$I14</f>
        <v>0.28474968463950978</v>
      </c>
      <c r="D14" s="5">
        <f>transformed_data!D14/transformed_data!$I14</f>
        <v>6.2288978275641907E-2</v>
      </c>
      <c r="E14" s="5">
        <f>transformed_data!E14/transformed_data!$I14</f>
        <v>5.0016569299960088E-2</v>
      </c>
      <c r="F14" s="5">
        <f>transformed_data!F14/transformed_data!$I14</f>
        <v>0.49466414152021049</v>
      </c>
      <c r="G14" s="5">
        <f t="shared" si="0"/>
        <v>0.99999999999999978</v>
      </c>
    </row>
    <row r="15" spans="1:7" x14ac:dyDescent="0.3">
      <c r="A15" s="1">
        <v>39051</v>
      </c>
      <c r="B15" s="5">
        <f>transformed_data!B15/transformed_data!$I15</f>
        <v>0.11456133246414864</v>
      </c>
      <c r="C15" s="5">
        <f>transformed_data!C15/transformed_data!$I15</f>
        <v>0.28191737325093275</v>
      </c>
      <c r="D15" s="5">
        <f>transformed_data!D15/transformed_data!$I15</f>
        <v>6.1471008668079002E-2</v>
      </c>
      <c r="E15" s="5">
        <f>transformed_data!E15/transformed_data!$I15</f>
        <v>4.9508414966743824E-2</v>
      </c>
      <c r="F15" s="5">
        <f>transformed_data!F15/transformed_data!$I15</f>
        <v>0.49254175481881474</v>
      </c>
      <c r="G15" s="5">
        <f t="shared" si="0"/>
        <v>0.99999988416871899</v>
      </c>
    </row>
    <row r="16" spans="1:7" x14ac:dyDescent="0.3">
      <c r="A16" s="1">
        <v>39082</v>
      </c>
      <c r="B16" s="5">
        <f>transformed_data!B16/transformed_data!$I16</f>
        <v>0.10877870701811423</v>
      </c>
      <c r="C16" s="5">
        <f>transformed_data!C16/transformed_data!$I16</f>
        <v>0.28131301850095008</v>
      </c>
      <c r="D16" s="5">
        <f>transformed_data!D16/transformed_data!$I16</f>
        <v>6.1136906284190932E-2</v>
      </c>
      <c r="E16" s="5">
        <f>transformed_data!E16/transformed_data!$I16</f>
        <v>4.8984089426952926E-2</v>
      </c>
      <c r="F16" s="5">
        <f>transformed_data!F16/transformed_data!$I16</f>
        <v>0.49978739397419381</v>
      </c>
      <c r="G16" s="5">
        <f t="shared" si="0"/>
        <v>1.000000115204402</v>
      </c>
    </row>
    <row r="17" spans="1:7" x14ac:dyDescent="0.3">
      <c r="A17" s="1">
        <v>39113</v>
      </c>
      <c r="B17" s="5">
        <f>transformed_data!B17/transformed_data!$I17</f>
        <v>0.10704206916495128</v>
      </c>
      <c r="C17" s="5">
        <f>transformed_data!C17/transformed_data!$I17</f>
        <v>0.28248323777786166</v>
      </c>
      <c r="D17" s="5">
        <f>transformed_data!D17/transformed_data!$I17</f>
        <v>6.0944253787313982E-2</v>
      </c>
      <c r="E17" s="5">
        <f>transformed_data!E17/transformed_data!$I17</f>
        <v>4.8802485056778609E-2</v>
      </c>
      <c r="F17" s="5">
        <f>transformed_data!F17/transformed_data!$I17</f>
        <v>0.50072795421309435</v>
      </c>
      <c r="G17" s="5">
        <f t="shared" si="0"/>
        <v>0.99999999999999989</v>
      </c>
    </row>
    <row r="18" spans="1:7" x14ac:dyDescent="0.3">
      <c r="A18" s="1">
        <v>39141</v>
      </c>
      <c r="B18" s="5">
        <f>transformed_data!B18/transformed_data!$I18</f>
        <v>0.11187928693724006</v>
      </c>
      <c r="C18" s="5">
        <f>transformed_data!C18/transformed_data!$I18</f>
        <v>0.28029843430953533</v>
      </c>
      <c r="D18" s="5">
        <f>transformed_data!D18/transformed_data!$I18</f>
        <v>6.1573265004103109E-2</v>
      </c>
      <c r="E18" s="5">
        <f>transformed_data!E18/transformed_data!$I18</f>
        <v>4.8471116866026537E-2</v>
      </c>
      <c r="F18" s="5">
        <f>transformed_data!F18/transformed_data!$I18</f>
        <v>0.49777789688309498</v>
      </c>
      <c r="G18" s="5">
        <f t="shared" si="0"/>
        <v>1</v>
      </c>
    </row>
    <row r="19" spans="1:7" x14ac:dyDescent="0.3">
      <c r="A19" s="1">
        <v>39172</v>
      </c>
      <c r="B19" s="5">
        <f>transformed_data!B19/transformed_data!$I19</f>
        <v>0.11673843135898801</v>
      </c>
      <c r="C19" s="5">
        <f>transformed_data!C19/transformed_data!$I19</f>
        <v>0.27893599505422884</v>
      </c>
      <c r="D19" s="5">
        <f>transformed_data!D19/transformed_data!$I19</f>
        <v>6.1075197994227885E-2</v>
      </c>
      <c r="E19" s="5">
        <f>transformed_data!E19/transformed_data!$I19</f>
        <v>4.8217138376844763E-2</v>
      </c>
      <c r="F19" s="5">
        <f>transformed_data!F19/transformed_data!$I19</f>
        <v>0.49503323721571052</v>
      </c>
      <c r="G19" s="5">
        <f t="shared" si="0"/>
        <v>1</v>
      </c>
    </row>
    <row r="20" spans="1:7" x14ac:dyDescent="0.3">
      <c r="A20" s="1">
        <v>39202</v>
      </c>
      <c r="B20" s="5">
        <f>transformed_data!B20/transformed_data!$I20</f>
        <v>0.10679513034523855</v>
      </c>
      <c r="C20" s="5">
        <f>transformed_data!C20/transformed_data!$I20</f>
        <v>0.28084533317434018</v>
      </c>
      <c r="D20" s="5">
        <f>transformed_data!D20/transformed_data!$I20</f>
        <v>6.1140711442923455E-2</v>
      </c>
      <c r="E20" s="5">
        <f>transformed_data!E20/transformed_data!$I20</f>
        <v>5.0347974061858987E-2</v>
      </c>
      <c r="F20" s="5">
        <f>transformed_data!F20/transformed_data!$I20</f>
        <v>0.50087096409566378</v>
      </c>
      <c r="G20" s="5">
        <f t="shared" si="0"/>
        <v>1.0000001131200249</v>
      </c>
    </row>
    <row r="21" spans="1:7" x14ac:dyDescent="0.3">
      <c r="A21" s="1">
        <v>39233</v>
      </c>
      <c r="B21" s="5">
        <f>transformed_data!B21/transformed_data!$I21</f>
        <v>0.10409783947925806</v>
      </c>
      <c r="C21" s="5">
        <f>transformed_data!C21/transformed_data!$I21</f>
        <v>0.27896474869804933</v>
      </c>
      <c r="D21" s="5">
        <f>transformed_data!D21/transformed_data!$I21</f>
        <v>6.1984046968204191E-2</v>
      </c>
      <c r="E21" s="5">
        <f>transformed_data!E21/transformed_data!$I21</f>
        <v>5.0850652617664936E-2</v>
      </c>
      <c r="F21" s="5">
        <f>transformed_data!F21/transformed_data!$I21</f>
        <v>0.5041028255000426</v>
      </c>
      <c r="G21" s="5">
        <f t="shared" si="0"/>
        <v>1.000000113263219</v>
      </c>
    </row>
    <row r="22" spans="1:7" x14ac:dyDescent="0.3">
      <c r="A22" s="1">
        <v>39263</v>
      </c>
      <c r="B22" s="5">
        <f>transformed_data!B22/transformed_data!$I22</f>
        <v>9.8002191096563815E-2</v>
      </c>
      <c r="C22" s="5">
        <f>transformed_data!C22/transformed_data!$I22</f>
        <v>0.27864978131711576</v>
      </c>
      <c r="D22" s="5">
        <f>transformed_data!D22/transformed_data!$I22</f>
        <v>6.1713498669381646E-2</v>
      </c>
      <c r="E22" s="5">
        <f>transformed_data!E22/transformed_data!$I22</f>
        <v>5.0951188836349207E-2</v>
      </c>
      <c r="F22" s="5">
        <f>transformed_data!F22/transformed_data!$I22</f>
        <v>0.51068334008058947</v>
      </c>
      <c r="G22" s="5">
        <f t="shared" si="0"/>
        <v>0.99999999999999989</v>
      </c>
    </row>
    <row r="23" spans="1:7" x14ac:dyDescent="0.3">
      <c r="A23" s="1">
        <v>39294</v>
      </c>
      <c r="B23" s="5">
        <f>transformed_data!B23/transformed_data!$I23</f>
        <v>9.9868397275461276E-2</v>
      </c>
      <c r="C23" s="5">
        <f>transformed_data!C23/transformed_data!$I23</f>
        <v>0.27921375136091997</v>
      </c>
      <c r="D23" s="5">
        <f>transformed_data!D23/transformed_data!$I23</f>
        <v>6.1265867817798067E-2</v>
      </c>
      <c r="E23" s="5">
        <f>transformed_data!E23/transformed_data!$I23</f>
        <v>5.2621676198546442E-2</v>
      </c>
      <c r="F23" s="5">
        <f>transformed_data!F23/transformed_data!$I23</f>
        <v>0.50703030734727417</v>
      </c>
      <c r="G23" s="5">
        <f t="shared" si="0"/>
        <v>1</v>
      </c>
    </row>
    <row r="24" spans="1:7" x14ac:dyDescent="0.3">
      <c r="A24" s="1">
        <v>39325</v>
      </c>
      <c r="B24" s="5">
        <f>transformed_data!B24/transformed_data!$I24</f>
        <v>0.11260341542357317</v>
      </c>
      <c r="C24" s="5">
        <f>transformed_data!C24/transformed_data!$I24</f>
        <v>0.27205604676181022</v>
      </c>
      <c r="D24" s="5">
        <f>transformed_data!D24/transformed_data!$I24</f>
        <v>6.2305190871032846E-2</v>
      </c>
      <c r="E24" s="5">
        <f>transformed_data!E24/transformed_data!$I24</f>
        <v>5.2299687435428524E-2</v>
      </c>
      <c r="F24" s="5">
        <f>transformed_data!F24/transformed_data!$I24</f>
        <v>0.50073565950815513</v>
      </c>
      <c r="G24" s="5">
        <f t="shared" si="0"/>
        <v>0.99999999999999989</v>
      </c>
    </row>
    <row r="25" spans="1:7" x14ac:dyDescent="0.3">
      <c r="A25" s="1">
        <v>39355</v>
      </c>
      <c r="B25" s="5">
        <f>transformed_data!B25/transformed_data!$I25</f>
        <v>0.10636302516621063</v>
      </c>
      <c r="C25" s="5">
        <f>transformed_data!C25/transformed_data!$I25</f>
        <v>0.27288335119205104</v>
      </c>
      <c r="D25" s="5">
        <f>transformed_data!D25/transformed_data!$I25</f>
        <v>6.2291267716674377E-2</v>
      </c>
      <c r="E25" s="5">
        <f>transformed_data!E25/transformed_data!$I25</f>
        <v>5.2279529248674225E-2</v>
      </c>
      <c r="F25" s="5">
        <f>transformed_data!F25/transformed_data!$I25</f>
        <v>0.50618282667638981</v>
      </c>
      <c r="G25" s="5">
        <f t="shared" si="0"/>
        <v>1</v>
      </c>
    </row>
    <row r="26" spans="1:7" x14ac:dyDescent="0.3">
      <c r="A26" s="1">
        <v>39386</v>
      </c>
      <c r="B26" s="5">
        <f>transformed_data!B26/transformed_data!$I26</f>
        <v>0.10332237081965295</v>
      </c>
      <c r="C26" s="5">
        <f>transformed_data!C26/transformed_data!$I26</f>
        <v>0.27338806439056101</v>
      </c>
      <c r="D26" s="5">
        <f>transformed_data!D26/transformed_data!$I26</f>
        <v>6.1801109059451256E-2</v>
      </c>
      <c r="E26" s="5">
        <f>transformed_data!E26/transformed_data!$I26</f>
        <v>5.3248338948964385E-2</v>
      </c>
      <c r="F26" s="5">
        <f>transformed_data!F26/transformed_data!$I26</f>
        <v>0.50824011678137038</v>
      </c>
      <c r="G26" s="5">
        <f t="shared" si="0"/>
        <v>1</v>
      </c>
    </row>
    <row r="27" spans="1:7" x14ac:dyDescent="0.3">
      <c r="A27" s="1">
        <v>39416</v>
      </c>
      <c r="B27" s="5">
        <f>transformed_data!B27/transformed_data!$I27</f>
        <v>0.11312829541857097</v>
      </c>
      <c r="C27" s="5">
        <f>transformed_data!C27/transformed_data!$I27</f>
        <v>0.26941833380052971</v>
      </c>
      <c r="D27" s="5">
        <f>transformed_data!D27/transformed_data!$I27</f>
        <v>6.104720889539203E-2</v>
      </c>
      <c r="E27" s="5">
        <f>transformed_data!E27/transformed_data!$I27</f>
        <v>5.2973058309815135E-2</v>
      </c>
      <c r="F27" s="5">
        <f>transformed_data!F27/transformed_data!$I27</f>
        <v>0.5034332128731821</v>
      </c>
      <c r="G27" s="5">
        <f t="shared" si="0"/>
        <v>1.0000001092974899</v>
      </c>
    </row>
    <row r="28" spans="1:7" x14ac:dyDescent="0.3">
      <c r="A28" s="1">
        <v>39447</v>
      </c>
      <c r="B28" s="5">
        <f>transformed_data!B28/transformed_data!$I28</f>
        <v>0.10877190109443427</v>
      </c>
      <c r="C28" s="5">
        <f>transformed_data!C28/transformed_data!$I28</f>
        <v>0.26963268778368105</v>
      </c>
      <c r="D28" s="5">
        <f>transformed_data!D28/transformed_data!$I28</f>
        <v>6.0518731899276618E-2</v>
      </c>
      <c r="E28" s="5">
        <f>transformed_data!E28/transformed_data!$I28</f>
        <v>5.2625097923039384E-2</v>
      </c>
      <c r="F28" s="5">
        <f>transformed_data!F28/transformed_data!$I28</f>
        <v>0.50845147294749626</v>
      </c>
      <c r="G28" s="5">
        <f t="shared" si="0"/>
        <v>0.99999989164792757</v>
      </c>
    </row>
    <row r="29" spans="1:7" x14ac:dyDescent="0.3">
      <c r="A29" s="1">
        <v>39478</v>
      </c>
      <c r="B29" s="5">
        <f>transformed_data!B29/transformed_data!$I29</f>
        <v>0.10655842820789806</v>
      </c>
      <c r="C29" s="5">
        <f>transformed_data!C29/transformed_data!$I29</f>
        <v>0.27104860727079477</v>
      </c>
      <c r="D29" s="5">
        <f>transformed_data!D29/transformed_data!$I29</f>
        <v>6.0460739970846403E-2</v>
      </c>
      <c r="E29" s="5">
        <f>transformed_data!E29/transformed_data!$I29</f>
        <v>5.2610109503453573E-2</v>
      </c>
      <c r="F29" s="5">
        <f>transformed_data!F29/transformed_data!$I29</f>
        <v>0.50932211504700731</v>
      </c>
      <c r="G29" s="5">
        <f t="shared" si="0"/>
        <v>1</v>
      </c>
    </row>
    <row r="30" spans="1:7" x14ac:dyDescent="0.3">
      <c r="A30" s="1">
        <v>39507</v>
      </c>
      <c r="B30" s="5">
        <f>transformed_data!B30/transformed_data!$I30</f>
        <v>0.12025931390762951</v>
      </c>
      <c r="C30" s="5">
        <f>transformed_data!C30/transformed_data!$I30</f>
        <v>0.26483791957550407</v>
      </c>
      <c r="D30" s="5">
        <f>transformed_data!D30/transformed_data!$I30</f>
        <v>6.1105715855322908E-2</v>
      </c>
      <c r="E30" s="5">
        <f>transformed_data!E30/transformed_data!$I30</f>
        <v>5.1912236097639633E-2</v>
      </c>
      <c r="F30" s="5">
        <f>transformed_data!F30/transformed_data!$I30</f>
        <v>0.50188481456390388</v>
      </c>
      <c r="G30" s="5">
        <f t="shared" si="0"/>
        <v>1</v>
      </c>
    </row>
    <row r="31" spans="1:7" x14ac:dyDescent="0.3">
      <c r="A31" s="1">
        <v>39538</v>
      </c>
      <c r="B31" s="5">
        <f>transformed_data!B31/transformed_data!$I31</f>
        <v>0.12274188611138541</v>
      </c>
      <c r="C31" s="5">
        <f>transformed_data!C31/transformed_data!$I31</f>
        <v>0.26639069137390459</v>
      </c>
      <c r="D31" s="5">
        <f>transformed_data!D31/transformed_data!$I31</f>
        <v>6.0590614524240291E-2</v>
      </c>
      <c r="E31" s="5">
        <f>transformed_data!E31/transformed_data!$I31</f>
        <v>5.1714061208176225E-2</v>
      </c>
      <c r="F31" s="5">
        <f>transformed_data!F31/transformed_data!$I31</f>
        <v>0.49856274678229334</v>
      </c>
      <c r="G31" s="5">
        <f t="shared" si="0"/>
        <v>0.99999999999999978</v>
      </c>
    </row>
    <row r="32" spans="1:7" x14ac:dyDescent="0.3">
      <c r="A32" s="1">
        <v>39568</v>
      </c>
      <c r="B32" s="5">
        <f>transformed_data!B32/transformed_data!$I32</f>
        <v>0.10937990299009408</v>
      </c>
      <c r="C32" s="5">
        <f>transformed_data!C32/transformed_data!$I32</f>
        <v>0.27093892773049072</v>
      </c>
      <c r="D32" s="5">
        <f>transformed_data!D32/transformed_data!$I32</f>
        <v>6.0978454494669862E-2</v>
      </c>
      <c r="E32" s="5">
        <f>transformed_data!E32/transformed_data!$I32</f>
        <v>5.3774300677260599E-2</v>
      </c>
      <c r="F32" s="5">
        <f>transformed_data!F32/transformed_data!$I32</f>
        <v>0.50492841410748479</v>
      </c>
      <c r="G32" s="5">
        <f t="shared" si="0"/>
        <v>1</v>
      </c>
    </row>
    <row r="33" spans="1:7" x14ac:dyDescent="0.3">
      <c r="A33" s="1">
        <v>39599</v>
      </c>
      <c r="B33" s="5">
        <f>transformed_data!B33/transformed_data!$I33</f>
        <v>0.11921071631882896</v>
      </c>
      <c r="C33" s="5">
        <f>transformed_data!C33/transformed_data!$I33</f>
        <v>0.26378075130526818</v>
      </c>
      <c r="D33" s="5">
        <f>transformed_data!D33/transformed_data!$I33</f>
        <v>6.1888555829565761E-2</v>
      </c>
      <c r="E33" s="5">
        <f>transformed_data!E33/transformed_data!$I33</f>
        <v>5.4138398466934211E-2</v>
      </c>
      <c r="F33" s="5">
        <f>transformed_data!F33/transformed_data!$I33</f>
        <v>0.50098157807940291</v>
      </c>
      <c r="G33" s="5">
        <f t="shared" si="0"/>
        <v>1</v>
      </c>
    </row>
    <row r="34" spans="1:7" x14ac:dyDescent="0.3">
      <c r="A34" s="1">
        <v>39629</v>
      </c>
      <c r="B34" s="5">
        <f>transformed_data!B34/transformed_data!$I34</f>
        <v>0.11172104601637625</v>
      </c>
      <c r="C34" s="5">
        <f>transformed_data!C34/transformed_data!$I34</f>
        <v>0.26795617990715498</v>
      </c>
      <c r="D34" s="5">
        <f>transformed_data!D34/transformed_data!$I34</f>
        <v>6.1215605179964189E-2</v>
      </c>
      <c r="E34" s="5">
        <f>transformed_data!E34/transformed_data!$I34</f>
        <v>5.3884117057050193E-2</v>
      </c>
      <c r="F34" s="5">
        <f>transformed_data!F34/transformed_data!$I34</f>
        <v>0.50522315719126665</v>
      </c>
      <c r="G34" s="5">
        <f t="shared" si="0"/>
        <v>1.0000001053518122</v>
      </c>
    </row>
    <row r="35" spans="1:7" x14ac:dyDescent="0.3">
      <c r="A35" s="1">
        <v>39660</v>
      </c>
      <c r="B35" s="5">
        <f>transformed_data!B35/transformed_data!$I35</f>
        <v>0.1184902484645773</v>
      </c>
      <c r="C35" s="5">
        <f>transformed_data!C35/transformed_data!$I35</f>
        <v>0.26860970755559921</v>
      </c>
      <c r="D35" s="5">
        <f>transformed_data!D35/transformed_data!$I35</f>
        <v>6.0618534055817755E-2</v>
      </c>
      <c r="E35" s="5">
        <f>transformed_data!E35/transformed_data!$I35</f>
        <v>5.5346889245012729E-2</v>
      </c>
      <c r="F35" s="5">
        <f>transformed_data!F35/transformed_data!$I35</f>
        <v>0.49693451635453967</v>
      </c>
      <c r="G35" s="5">
        <f t="shared" si="0"/>
        <v>0.99999989567554659</v>
      </c>
    </row>
    <row r="36" spans="1:7" x14ac:dyDescent="0.3">
      <c r="A36" s="1">
        <v>39691</v>
      </c>
      <c r="B36" s="5">
        <f>transformed_data!B36/transformed_data!$I36</f>
        <v>0.12722615282111946</v>
      </c>
      <c r="C36" s="5">
        <f>transformed_data!C36/transformed_data!$I36</f>
        <v>0.26503248088863235</v>
      </c>
      <c r="D36" s="5">
        <f>transformed_data!D36/transformed_data!$I36</f>
        <v>6.0428044415556235E-2</v>
      </c>
      <c r="E36" s="5">
        <f>transformed_data!E36/transformed_data!$I36</f>
        <v>5.5504727635701974E-2</v>
      </c>
      <c r="F36" s="5">
        <f>transformed_data!F36/transformed_data!$I36</f>
        <v>0.49180859423899004</v>
      </c>
      <c r="G36" s="5">
        <f t="shared" si="0"/>
        <v>1</v>
      </c>
    </row>
    <row r="37" spans="1:7" x14ac:dyDescent="0.3">
      <c r="A37" s="1">
        <v>39721</v>
      </c>
      <c r="B37" s="5">
        <f>transformed_data!B37/transformed_data!$I37</f>
        <v>0.14861337384434548</v>
      </c>
      <c r="C37" s="5">
        <f>transformed_data!C37/transformed_data!$I37</f>
        <v>0.26182852921636363</v>
      </c>
      <c r="D37" s="5">
        <f>transformed_data!D37/transformed_data!$I37</f>
        <v>5.8143392445520942E-2</v>
      </c>
      <c r="E37" s="5">
        <f>transformed_data!E37/transformed_data!$I37</f>
        <v>5.3720905732802735E-2</v>
      </c>
      <c r="F37" s="5">
        <f>transformed_data!F37/transformed_data!$I37</f>
        <v>0.47769379876096213</v>
      </c>
      <c r="G37" s="5">
        <f t="shared" si="0"/>
        <v>0.99999999999999489</v>
      </c>
    </row>
    <row r="38" spans="1:7" x14ac:dyDescent="0.3">
      <c r="A38" s="1">
        <v>39752</v>
      </c>
      <c r="B38" s="5">
        <f>transformed_data!B38/transformed_data!$I38</f>
        <v>0.18060512664990833</v>
      </c>
      <c r="C38" s="5">
        <f>transformed_data!C38/transformed_data!$I38</f>
        <v>0.25407417650270314</v>
      </c>
      <c r="D38" s="5">
        <f>transformed_data!D38/transformed_data!$I38</f>
        <v>5.5122486320582732E-2</v>
      </c>
      <c r="E38" s="5">
        <f>transformed_data!E38/transformed_data!$I38</f>
        <v>5.2028099983735698E-2</v>
      </c>
      <c r="F38" s="5">
        <f>transformed_data!F38/transformed_data!$I38</f>
        <v>0.45817011054307388</v>
      </c>
      <c r="G38" s="5">
        <f t="shared" si="0"/>
        <v>1.000000000000004</v>
      </c>
    </row>
    <row r="39" spans="1:7" x14ac:dyDescent="0.3">
      <c r="A39" s="1">
        <v>39782</v>
      </c>
      <c r="B39" s="5">
        <f>transformed_data!B39/transformed_data!$I39</f>
        <v>0.18794418662903367</v>
      </c>
      <c r="C39" s="5">
        <f>transformed_data!C39/transformed_data!$I39</f>
        <v>0.25089919622579571</v>
      </c>
      <c r="D39" s="5">
        <f>transformed_data!D39/transformed_data!$I39</f>
        <v>5.5776371802768059E-2</v>
      </c>
      <c r="E39" s="5">
        <f>transformed_data!E39/transformed_data!$I39</f>
        <v>5.1536281805699094E-2</v>
      </c>
      <c r="F39" s="5">
        <f>transformed_data!F39/transformed_data!$I39</f>
        <v>0.45384396353670814</v>
      </c>
      <c r="G39" s="5">
        <f t="shared" si="0"/>
        <v>1.0000000000000047</v>
      </c>
    </row>
    <row r="40" spans="1:7" x14ac:dyDescent="0.3">
      <c r="A40" s="1">
        <v>39813</v>
      </c>
      <c r="B40" s="5">
        <f>transformed_data!B40/transformed_data!$I40</f>
        <v>0.17445797844340349</v>
      </c>
      <c r="C40" s="5">
        <f>transformed_data!C40/transformed_data!$I40</f>
        <v>0.26095862223182781</v>
      </c>
      <c r="D40" s="5">
        <f>transformed_data!D40/transformed_data!$I40</f>
        <v>5.5574952187895592E-2</v>
      </c>
      <c r="E40" s="5">
        <f>transformed_data!E40/transformed_data!$I40</f>
        <v>5.0854210336926262E-2</v>
      </c>
      <c r="F40" s="5">
        <f>transformed_data!F40/transformed_data!$I40</f>
        <v>0.45815423679994971</v>
      </c>
      <c r="G40" s="5">
        <f t="shared" si="0"/>
        <v>1.0000000000000029</v>
      </c>
    </row>
    <row r="41" spans="1:7" x14ac:dyDescent="0.3">
      <c r="A41" s="1">
        <v>39844</v>
      </c>
      <c r="B41" s="5">
        <f>transformed_data!B41/transformed_data!$I41</f>
        <v>0.16916377331419472</v>
      </c>
      <c r="C41" s="5">
        <f>transformed_data!C41/transformed_data!$I41</f>
        <v>0.26580023494184052</v>
      </c>
      <c r="D41" s="5">
        <f>transformed_data!D41/transformed_data!$I41</f>
        <v>5.5928930872312613E-2</v>
      </c>
      <c r="E41" s="5">
        <f>transformed_data!E41/transformed_data!$I41</f>
        <v>4.9915278272238128E-2</v>
      </c>
      <c r="F41" s="5">
        <f>transformed_data!F41/transformed_data!$I41</f>
        <v>0.45919178259940929</v>
      </c>
      <c r="G41" s="5">
        <f t="shared" si="0"/>
        <v>0.99999999999999523</v>
      </c>
    </row>
    <row r="42" spans="1:7" x14ac:dyDescent="0.3">
      <c r="A42" s="1">
        <v>39872</v>
      </c>
      <c r="B42" s="5">
        <f>transformed_data!B42/transformed_data!$I42</f>
        <v>0.18254487018825497</v>
      </c>
      <c r="C42" s="5">
        <f>transformed_data!C42/transformed_data!$I42</f>
        <v>0.26587502072141284</v>
      </c>
      <c r="D42" s="5">
        <f>transformed_data!D42/transformed_data!$I42</f>
        <v>5.6021424935638123E-2</v>
      </c>
      <c r="E42" s="5">
        <f>transformed_data!E42/transformed_data!$I42</f>
        <v>4.8313251595658045E-2</v>
      </c>
      <c r="F42" s="5">
        <f>transformed_data!F42/transformed_data!$I42</f>
        <v>0.4472454325590341</v>
      </c>
      <c r="G42" s="5">
        <f t="shared" si="0"/>
        <v>0.999999999999998</v>
      </c>
    </row>
    <row r="43" spans="1:7" x14ac:dyDescent="0.3">
      <c r="A43" s="1">
        <v>39903</v>
      </c>
      <c r="B43" s="5">
        <f>transformed_data!B43/transformed_data!$I43</f>
        <v>0.18276051663903897</v>
      </c>
      <c r="C43" s="5">
        <f>transformed_data!C43/transformed_data!$I43</f>
        <v>0.27724485500954432</v>
      </c>
      <c r="D43" s="5">
        <f>transformed_data!D43/transformed_data!$I43</f>
        <v>5.5769903612850086E-2</v>
      </c>
      <c r="E43" s="5">
        <f>transformed_data!E43/transformed_data!$I43</f>
        <v>4.7373276522301111E-2</v>
      </c>
      <c r="F43" s="5">
        <f>transformed_data!F43/transformed_data!$I43</f>
        <v>0.43685153808822436</v>
      </c>
      <c r="G43" s="5">
        <f t="shared" si="0"/>
        <v>1.0000000898719588</v>
      </c>
    </row>
    <row r="44" spans="1:7" x14ac:dyDescent="0.3">
      <c r="A44" s="1">
        <v>39933</v>
      </c>
      <c r="B44" s="5">
        <f>transformed_data!B44/transformed_data!$I44</f>
        <v>0.17747181850174945</v>
      </c>
      <c r="C44" s="5">
        <f>transformed_data!C44/transformed_data!$I44</f>
        <v>0.28512927936336424</v>
      </c>
      <c r="D44" s="5">
        <f>transformed_data!D44/transformed_data!$I44</f>
        <v>5.5215838098000777E-2</v>
      </c>
      <c r="E44" s="5">
        <f>transformed_data!E44/transformed_data!$I44</f>
        <v>4.8391991328161889E-2</v>
      </c>
      <c r="F44" s="5">
        <f>transformed_data!F44/transformed_data!$I44</f>
        <v>0.43379107270871919</v>
      </c>
      <c r="G44" s="5">
        <f t="shared" si="0"/>
        <v>0.99999999999999556</v>
      </c>
    </row>
    <row r="45" spans="1:7" x14ac:dyDescent="0.3">
      <c r="A45" s="1">
        <v>39964</v>
      </c>
      <c r="B45" s="5">
        <f>transformed_data!B45/transformed_data!$I45</f>
        <v>0.18243016346357749</v>
      </c>
      <c r="C45" s="5">
        <f>transformed_data!C45/transformed_data!$I45</f>
        <v>0.28364391202682881</v>
      </c>
      <c r="D45" s="5">
        <f>transformed_data!D45/transformed_data!$I45</f>
        <v>5.5870719302097867E-2</v>
      </c>
      <c r="E45" s="5">
        <f>transformed_data!E45/transformed_data!$I45</f>
        <v>4.8139787666180482E-2</v>
      </c>
      <c r="F45" s="5">
        <f>transformed_data!F45/transformed_data!$I45</f>
        <v>0.42991541754131801</v>
      </c>
      <c r="G45" s="5">
        <f t="shared" si="0"/>
        <v>1.0000000000000027</v>
      </c>
    </row>
    <row r="46" spans="1:7" x14ac:dyDescent="0.3">
      <c r="A46" s="1">
        <v>39994</v>
      </c>
      <c r="B46" s="5">
        <f>transformed_data!B46/transformed_data!$I46</f>
        <v>0.17379082724498449</v>
      </c>
      <c r="C46" s="5">
        <f>transformed_data!C46/transformed_data!$I46</f>
        <v>0.29602934206484616</v>
      </c>
      <c r="D46" s="5">
        <f>transformed_data!D46/transformed_data!$I46</f>
        <v>5.5750973571129972E-2</v>
      </c>
      <c r="E46" s="5">
        <f>transformed_data!E46/transformed_data!$I46</f>
        <v>4.7140211663588484E-2</v>
      </c>
      <c r="F46" s="5">
        <f>transformed_data!F46/transformed_data!$I46</f>
        <v>0.42728864545545098</v>
      </c>
      <c r="G46" s="5">
        <f t="shared" si="0"/>
        <v>1</v>
      </c>
    </row>
    <row r="47" spans="1:7" x14ac:dyDescent="0.3">
      <c r="A47" s="1">
        <v>40025</v>
      </c>
      <c r="B47" s="5">
        <f>transformed_data!B47/transformed_data!$I47</f>
        <v>0.17314559270618771</v>
      </c>
      <c r="C47" s="5">
        <f>transformed_data!C47/transformed_data!$I47</f>
        <v>0.30400190184099113</v>
      </c>
      <c r="D47" s="5">
        <f>transformed_data!D47/transformed_data!$I47</f>
        <v>5.6117047769675528E-2</v>
      </c>
      <c r="E47" s="5">
        <f>transformed_data!E47/transformed_data!$I47</f>
        <v>4.7986629844642407E-2</v>
      </c>
      <c r="F47" s="5">
        <f>transformed_data!F47/transformed_data!$I47</f>
        <v>0.41874874214338886</v>
      </c>
      <c r="G47" s="5">
        <f t="shared" si="0"/>
        <v>0.99999991430488566</v>
      </c>
    </row>
    <row r="48" spans="1:7" x14ac:dyDescent="0.3">
      <c r="A48" s="1">
        <v>40056</v>
      </c>
      <c r="B48" s="5">
        <f>transformed_data!B48/transformed_data!$I48</f>
        <v>0.17510516031188447</v>
      </c>
      <c r="C48" s="5">
        <f>transformed_data!C48/transformed_data!$I48</f>
        <v>0.30802294414959636</v>
      </c>
      <c r="D48" s="5">
        <f>transformed_data!D48/transformed_data!$I48</f>
        <v>5.6529548487768144E-2</v>
      </c>
      <c r="E48" s="5">
        <f>transformed_data!E48/transformed_data!$I48</f>
        <v>4.7772774861908757E-2</v>
      </c>
      <c r="F48" s="5">
        <f>transformed_data!F48/transformed_data!$I48</f>
        <v>0.41256957218884394</v>
      </c>
      <c r="G48" s="5">
        <f t="shared" si="0"/>
        <v>1.0000000000000018</v>
      </c>
    </row>
    <row r="49" spans="1:7" x14ac:dyDescent="0.3">
      <c r="A49" s="1">
        <v>40086</v>
      </c>
      <c r="B49" s="5">
        <f>transformed_data!B49/transformed_data!$I49</f>
        <v>0.16729946133909243</v>
      </c>
      <c r="C49" s="5">
        <f>transformed_data!C49/transformed_data!$I49</f>
        <v>0.31686158897102362</v>
      </c>
      <c r="D49" s="5">
        <f>transformed_data!D49/transformed_data!$I49</f>
        <v>5.7078910401049759E-2</v>
      </c>
      <c r="E49" s="5">
        <f>transformed_data!E49/transformed_data!$I49</f>
        <v>4.7327149320789463E-2</v>
      </c>
      <c r="F49" s="5">
        <f>transformed_data!F49/transformed_data!$I49</f>
        <v>0.41143297393230777</v>
      </c>
      <c r="G49" s="5">
        <f t="shared" si="0"/>
        <v>1.0000000839642629</v>
      </c>
    </row>
    <row r="50" spans="1:7" x14ac:dyDescent="0.3">
      <c r="A50" s="1">
        <v>40117</v>
      </c>
      <c r="B50" s="5">
        <f>transformed_data!B50/transformed_data!$I50</f>
        <v>0.15626776725008135</v>
      </c>
      <c r="C50" s="5">
        <f>transformed_data!C50/transformed_data!$I50</f>
        <v>0.3210455434310498</v>
      </c>
      <c r="D50" s="5">
        <f>transformed_data!D50/transformed_data!$I50</f>
        <v>5.8175598033008355E-2</v>
      </c>
      <c r="E50" s="5">
        <f>transformed_data!E50/transformed_data!$I50</f>
        <v>4.8684964237726169E-2</v>
      </c>
      <c r="F50" s="5">
        <f>transformed_data!F50/transformed_data!$I50</f>
        <v>0.41582612704813599</v>
      </c>
      <c r="G50" s="5">
        <f t="shared" si="0"/>
        <v>1.0000000000000016</v>
      </c>
    </row>
    <row r="51" spans="1:7" x14ac:dyDescent="0.3">
      <c r="A51" s="1">
        <v>40147</v>
      </c>
      <c r="B51" s="5">
        <f>transformed_data!B51/transformed_data!$I51</f>
        <v>0.15276910111412625</v>
      </c>
      <c r="C51" s="5">
        <f>transformed_data!C51/transformed_data!$I51</f>
        <v>0.33350614679328006</v>
      </c>
      <c r="D51" s="5">
        <f>transformed_data!D51/transformed_data!$I51</f>
        <v>5.8190298887834266E-2</v>
      </c>
      <c r="E51" s="5">
        <f>transformed_data!E51/transformed_data!$I51</f>
        <v>4.7835650104984355E-2</v>
      </c>
      <c r="F51" s="5">
        <f>transformed_data!F51/transformed_data!$I51</f>
        <v>0.40769880309977752</v>
      </c>
      <c r="G51" s="5">
        <f t="shared" si="0"/>
        <v>1.0000000000000024</v>
      </c>
    </row>
    <row r="52" spans="1:7" x14ac:dyDescent="0.3">
      <c r="A52" s="1">
        <v>40178</v>
      </c>
      <c r="B52" s="5">
        <f>transformed_data!B52/transformed_data!$I52</f>
        <v>0.14567700021494076</v>
      </c>
      <c r="C52" s="5">
        <f>transformed_data!C52/transformed_data!$I52</f>
        <v>0.33961410236726675</v>
      </c>
      <c r="D52" s="5">
        <f>transformed_data!D52/transformed_data!$I52</f>
        <v>5.8314579276845607E-2</v>
      </c>
      <c r="E52" s="5">
        <f>transformed_data!E52/transformed_data!$I52</f>
        <v>4.7109076376396726E-2</v>
      </c>
      <c r="F52" s="5">
        <f>transformed_data!F52/transformed_data!$I52</f>
        <v>0.40928516053868452</v>
      </c>
      <c r="G52" s="5">
        <f t="shared" si="0"/>
        <v>0.99999991877413441</v>
      </c>
    </row>
    <row r="53" spans="1:7" x14ac:dyDescent="0.3">
      <c r="A53" s="1">
        <v>40209</v>
      </c>
      <c r="B53" s="5">
        <f>transformed_data!B53/transformed_data!$I53</f>
        <v>0.13759286535323423</v>
      </c>
      <c r="C53" s="5">
        <f>transformed_data!C53/transformed_data!$I53</f>
        <v>0.34445765230573316</v>
      </c>
      <c r="D53" s="5">
        <f>transformed_data!D53/transformed_data!$I53</f>
        <v>5.9569788996246771E-2</v>
      </c>
      <c r="E53" s="5">
        <f>transformed_data!E53/transformed_data!$I53</f>
        <v>4.6926433987339797E-2</v>
      </c>
      <c r="F53" s="5">
        <f>transformed_data!F53/transformed_data!$I53</f>
        <v>0.4114532593574492</v>
      </c>
      <c r="G53" s="5">
        <f t="shared" si="0"/>
        <v>1.0000000000000031</v>
      </c>
    </row>
    <row r="54" spans="1:7" x14ac:dyDescent="0.3">
      <c r="A54" s="1">
        <v>40237</v>
      </c>
      <c r="B54" s="5">
        <f>transformed_data!B54/transformed_data!$I54</f>
        <v>0.13958568358630352</v>
      </c>
      <c r="C54" s="5">
        <f>transformed_data!C54/transformed_data!$I54</f>
        <v>0.34865865688491343</v>
      </c>
      <c r="D54" s="5">
        <f>transformed_data!D54/transformed_data!$I54</f>
        <v>6.0227348666777161E-2</v>
      </c>
      <c r="E54" s="5">
        <f>transformed_data!E54/transformed_data!$I54</f>
        <v>4.6893330406243647E-2</v>
      </c>
      <c r="F54" s="5">
        <f>transformed_data!F54/transformed_data!$I54</f>
        <v>0.4046349804557583</v>
      </c>
      <c r="G54" s="5">
        <f t="shared" si="0"/>
        <v>0.99999999999999611</v>
      </c>
    </row>
    <row r="55" spans="1:7" x14ac:dyDescent="0.3">
      <c r="A55" s="1">
        <v>40268</v>
      </c>
      <c r="B55" s="5">
        <f>transformed_data!B55/transformed_data!$I55</f>
        <v>0.14432477975113997</v>
      </c>
      <c r="C55" s="5">
        <f>transformed_data!C55/transformed_data!$I55</f>
        <v>0.35747379629703951</v>
      </c>
      <c r="D55" s="5">
        <f>transformed_data!D55/transformed_data!$I55</f>
        <v>5.9686731411340274E-2</v>
      </c>
      <c r="E55" s="5">
        <f>transformed_data!E55/transformed_data!$I55</f>
        <v>4.5808710527511044E-2</v>
      </c>
      <c r="F55" s="5">
        <f>transformed_data!F55/transformed_data!$I55</f>
        <v>0.39270598201297235</v>
      </c>
      <c r="G55" s="5">
        <f t="shared" si="0"/>
        <v>1.0000000000000031</v>
      </c>
    </row>
    <row r="56" spans="1:7" x14ac:dyDescent="0.3">
      <c r="A56" s="1">
        <v>40298</v>
      </c>
      <c r="B56" s="5">
        <f>transformed_data!B56/transformed_data!$I56</f>
        <v>0.14268029741127927</v>
      </c>
      <c r="C56" s="5">
        <f>transformed_data!C56/transformed_data!$I56</f>
        <v>0.36330044150767432</v>
      </c>
      <c r="D56" s="5">
        <f>transformed_data!D56/transformed_data!$I56</f>
        <v>5.9954677668181328E-2</v>
      </c>
      <c r="E56" s="5">
        <f>transformed_data!E56/transformed_data!$I56</f>
        <v>4.4261325363336747E-2</v>
      </c>
      <c r="F56" s="5">
        <f>transformed_data!F56/transformed_data!$I56</f>
        <v>0.38980325804953142</v>
      </c>
      <c r="G56" s="5">
        <f t="shared" si="0"/>
        <v>1.0000000000000031</v>
      </c>
    </row>
    <row r="57" spans="1:7" x14ac:dyDescent="0.3">
      <c r="A57" s="1">
        <v>40329</v>
      </c>
      <c r="B57" s="5">
        <f>transformed_data!B57/transformed_data!$I57</f>
        <v>0.14281410187895321</v>
      </c>
      <c r="C57" s="5">
        <f>transformed_data!C57/transformed_data!$I57</f>
        <v>0.36436304756977456</v>
      </c>
      <c r="D57" s="5">
        <f>transformed_data!D57/transformed_data!$I57</f>
        <v>6.1091323924560646E-2</v>
      </c>
      <c r="E57" s="5">
        <f>transformed_data!E57/transformed_data!$I57</f>
        <v>4.4266876511876385E-2</v>
      </c>
      <c r="F57" s="5">
        <f>transformed_data!F57/transformed_data!$I57</f>
        <v>0.38746465011483444</v>
      </c>
      <c r="G57" s="5">
        <f t="shared" si="0"/>
        <v>0.99999999999999933</v>
      </c>
    </row>
    <row r="58" spans="1:7" x14ac:dyDescent="0.3">
      <c r="A58" s="1">
        <v>40359</v>
      </c>
      <c r="B58" s="5">
        <f>transformed_data!B58/transformed_data!$I58</f>
        <v>0.13502149009603129</v>
      </c>
      <c r="C58" s="5">
        <f>transformed_data!C58/transformed_data!$I58</f>
        <v>0.37406862659454654</v>
      </c>
      <c r="D58" s="5">
        <f>transformed_data!D58/transformed_data!$I58</f>
        <v>6.1113352113841696E-2</v>
      </c>
      <c r="E58" s="5">
        <f>transformed_data!E58/transformed_data!$I58</f>
        <v>4.3532039233693531E-2</v>
      </c>
      <c r="F58" s="5">
        <f>transformed_data!F58/transformed_data!$I58</f>
        <v>0.38626449196188317</v>
      </c>
      <c r="G58" s="5">
        <f t="shared" si="0"/>
        <v>0.99999999999999623</v>
      </c>
    </row>
    <row r="59" spans="1:7" x14ac:dyDescent="0.3">
      <c r="A59" s="1">
        <v>40390</v>
      </c>
      <c r="B59" s="5">
        <f>transformed_data!B59/transformed_data!$I59</f>
        <v>0.13525761056856225</v>
      </c>
      <c r="C59" s="5">
        <f>transformed_data!C59/transformed_data!$I59</f>
        <v>0.3763025041716212</v>
      </c>
      <c r="D59" s="5">
        <f>transformed_data!D59/transformed_data!$I59</f>
        <v>6.1929758408935935E-2</v>
      </c>
      <c r="E59" s="5">
        <f>transformed_data!E59/transformed_data!$I59</f>
        <v>4.4354298780623795E-2</v>
      </c>
      <c r="F59" s="5">
        <f>transformed_data!F59/transformed_data!$I59</f>
        <v>0.38215582807025672</v>
      </c>
      <c r="G59" s="5">
        <f t="shared" si="0"/>
        <v>0.99999999999999989</v>
      </c>
    </row>
    <row r="60" spans="1:7" x14ac:dyDescent="0.3">
      <c r="A60" s="1">
        <v>40421</v>
      </c>
      <c r="B60" s="5">
        <f>transformed_data!B60/transformed_data!$I60</f>
        <v>0.13572976745159013</v>
      </c>
      <c r="C60" s="5">
        <f>transformed_data!C60/transformed_data!$I60</f>
        <v>0.38278313118812729</v>
      </c>
      <c r="D60" s="5">
        <f>transformed_data!D60/transformed_data!$I60</f>
        <v>6.2214793627873438E-2</v>
      </c>
      <c r="E60" s="5">
        <f>transformed_data!E60/transformed_data!$I60</f>
        <v>4.4155629834629541E-2</v>
      </c>
      <c r="F60" s="5">
        <f>transformed_data!F60/transformed_data!$I60</f>
        <v>0.37511667789778258</v>
      </c>
      <c r="G60" s="5">
        <f t="shared" si="0"/>
        <v>1.0000000000000029</v>
      </c>
    </row>
    <row r="61" spans="1:7" x14ac:dyDescent="0.3">
      <c r="A61" s="1">
        <v>40451</v>
      </c>
      <c r="B61" s="5">
        <f>transformed_data!B61/transformed_data!$I61</f>
        <v>0.13187602686393551</v>
      </c>
      <c r="C61" s="5">
        <f>transformed_data!C61/transformed_data!$I61</f>
        <v>0.38755580885980773</v>
      </c>
      <c r="D61" s="5">
        <f>transformed_data!D61/transformed_data!$I61</f>
        <v>6.2670051623890916E-2</v>
      </c>
      <c r="E61" s="5">
        <f>transformed_data!E61/transformed_data!$I61</f>
        <v>4.4543256327973881E-2</v>
      </c>
      <c r="F61" s="5">
        <f>transformed_data!F61/transformed_data!$I61</f>
        <v>0.37335485632439208</v>
      </c>
      <c r="G61" s="5">
        <f t="shared" si="0"/>
        <v>1.0000000000000002</v>
      </c>
    </row>
    <row r="62" spans="1:7" x14ac:dyDescent="0.3">
      <c r="A62" s="1">
        <v>40482</v>
      </c>
      <c r="B62" s="5">
        <f>transformed_data!B62/transformed_data!$I62</f>
        <v>0.12937910160577476</v>
      </c>
      <c r="C62" s="5">
        <f>transformed_data!C62/transformed_data!$I62</f>
        <v>0.38747623105055112</v>
      </c>
      <c r="D62" s="5">
        <f>transformed_data!D62/transformed_data!$I62</f>
        <v>6.3137975581550335E-2</v>
      </c>
      <c r="E62" s="5">
        <f>transformed_data!E62/transformed_data!$I62</f>
        <v>4.4985015014591158E-2</v>
      </c>
      <c r="F62" s="5">
        <f>transformed_data!F62/transformed_data!$I62</f>
        <v>0.37502174990671244</v>
      </c>
      <c r="G62" s="5">
        <f t="shared" si="0"/>
        <v>1.0000000731591798</v>
      </c>
    </row>
    <row r="63" spans="1:7" x14ac:dyDescent="0.3">
      <c r="A63" s="1">
        <v>40512</v>
      </c>
      <c r="B63" s="5">
        <f>transformed_data!B63/transformed_data!$I63</f>
        <v>0.12809213073460765</v>
      </c>
      <c r="C63" s="5">
        <f>transformed_data!C63/transformed_data!$I63</f>
        <v>0.39447927343921235</v>
      </c>
      <c r="D63" s="5">
        <f>transformed_data!D63/transformed_data!$I63</f>
        <v>6.3448894293484395E-2</v>
      </c>
      <c r="E63" s="5">
        <f>transformed_data!E63/transformed_data!$I63</f>
        <v>4.5133959352141081E-2</v>
      </c>
      <c r="F63" s="5">
        <f>transformed_data!F63/transformed_data!$I63</f>
        <v>0.36884574218055671</v>
      </c>
      <c r="G63" s="5">
        <f t="shared" si="0"/>
        <v>1.0000000000000022</v>
      </c>
    </row>
    <row r="64" spans="1:7" x14ac:dyDescent="0.3">
      <c r="A64" s="1">
        <v>40543</v>
      </c>
      <c r="B64" s="5">
        <f>transformed_data!B64/transformed_data!$I64</f>
        <v>0.12638151024642033</v>
      </c>
      <c r="C64" s="5">
        <f>transformed_data!C64/transformed_data!$I64</f>
        <v>0.39726652760629338</v>
      </c>
      <c r="D64" s="5">
        <f>transformed_data!D64/transformed_data!$I64</f>
        <v>6.3645343248910635E-2</v>
      </c>
      <c r="E64" s="5">
        <f>transformed_data!E64/transformed_data!$I64</f>
        <v>4.4658461148917264E-2</v>
      </c>
      <c r="F64" s="5">
        <f>transformed_data!F64/transformed_data!$I64</f>
        <v>0.36804815774945926</v>
      </c>
      <c r="G64" s="5">
        <f t="shared" si="0"/>
        <v>1.0000000000000009</v>
      </c>
    </row>
    <row r="65" spans="1:7" x14ac:dyDescent="0.3">
      <c r="A65" s="1">
        <v>40574</v>
      </c>
      <c r="B65" s="5">
        <f>transformed_data!B65/transformed_data!$I65</f>
        <v>0.12458691970248581</v>
      </c>
      <c r="C65" s="5">
        <f>transformed_data!C65/transformed_data!$I65</f>
        <v>0.40139856797598039</v>
      </c>
      <c r="D65" s="5">
        <f>transformed_data!D65/transformed_data!$I65</f>
        <v>6.4108782992163202E-2</v>
      </c>
      <c r="E65" s="5">
        <f>transformed_data!E65/transformed_data!$I65</f>
        <v>4.4303325678473955E-2</v>
      </c>
      <c r="F65" s="5">
        <f>transformed_data!F65/transformed_data!$I65</f>
        <v>0.36560240365089386</v>
      </c>
      <c r="G65" s="5">
        <f t="shared" si="0"/>
        <v>0.99999999999999711</v>
      </c>
    </row>
    <row r="66" spans="1:7" x14ac:dyDescent="0.3">
      <c r="A66" s="1">
        <v>40602</v>
      </c>
      <c r="B66" s="5">
        <f>transformed_data!B66/transformed_data!$I66</f>
        <v>0.12247580451028661</v>
      </c>
      <c r="C66" s="5">
        <f>transformed_data!C66/transformed_data!$I66</f>
        <v>0.40513717442299907</v>
      </c>
      <c r="D66" s="5">
        <f>transformed_data!D66/transformed_data!$I66</f>
        <v>6.4973993117339882E-2</v>
      </c>
      <c r="E66" s="5">
        <f>transformed_data!E66/transformed_data!$I66</f>
        <v>4.4846283751162029E-2</v>
      </c>
      <c r="F66" s="5">
        <f>transformed_data!F66/transformed_data!$I66</f>
        <v>0.36256681464672641</v>
      </c>
      <c r="G66" s="5">
        <f t="shared" ref="G66:G129" si="1">SUM(B66:F66)</f>
        <v>1.0000000704485141</v>
      </c>
    </row>
    <row r="67" spans="1:7" x14ac:dyDescent="0.3">
      <c r="A67" s="1">
        <v>40633</v>
      </c>
      <c r="B67" s="5">
        <f>transformed_data!B67/transformed_data!$I67</f>
        <v>0.1190250286360654</v>
      </c>
      <c r="C67" s="5">
        <f>transformed_data!C67/transformed_data!$I67</f>
        <v>0.40979846950146837</v>
      </c>
      <c r="D67" s="5">
        <f>transformed_data!D67/transformed_data!$I67</f>
        <v>6.5541810859040345E-2</v>
      </c>
      <c r="E67" s="5">
        <f>transformed_data!E67/transformed_data!$I67</f>
        <v>4.5625336827768523E-2</v>
      </c>
      <c r="F67" s="5">
        <f>transformed_data!F67/transformed_data!$I67</f>
        <v>0.36000928409913541</v>
      </c>
      <c r="G67" s="5">
        <f t="shared" si="1"/>
        <v>0.99999992992347786</v>
      </c>
    </row>
    <row r="68" spans="1:7" x14ac:dyDescent="0.3">
      <c r="A68" s="1">
        <v>40663</v>
      </c>
      <c r="B68" s="5">
        <f>transformed_data!B68/transformed_data!$I68</f>
        <v>0.11467909999984532</v>
      </c>
      <c r="C68" s="5">
        <f>transformed_data!C68/transformed_data!$I68</f>
        <v>0.41318821232277902</v>
      </c>
      <c r="D68" s="5">
        <f>transformed_data!D68/transformed_data!$I68</f>
        <v>6.6416119697086287E-2</v>
      </c>
      <c r="E68" s="5">
        <f>transformed_data!E68/transformed_data!$I68</f>
        <v>4.519072191186474E-2</v>
      </c>
      <c r="F68" s="5">
        <f>transformed_data!F68/transformed_data!$I68</f>
        <v>0.36052584606842403</v>
      </c>
      <c r="G68" s="5">
        <f t="shared" si="1"/>
        <v>0.99999999999999933</v>
      </c>
    </row>
    <row r="69" spans="1:7" x14ac:dyDescent="0.3">
      <c r="A69" s="1">
        <v>40694</v>
      </c>
      <c r="B69" s="5">
        <f>transformed_data!B69/transformed_data!$I69</f>
        <v>0.11004122727553192</v>
      </c>
      <c r="C69" s="5">
        <f>transformed_data!C69/transformed_data!$I69</f>
        <v>0.42208992441861182</v>
      </c>
      <c r="D69" s="5">
        <f>transformed_data!D69/transformed_data!$I69</f>
        <v>6.7267424088944386E-2</v>
      </c>
      <c r="E69" s="5">
        <f>transformed_data!E69/transformed_data!$I69</f>
        <v>4.6292981599489136E-2</v>
      </c>
      <c r="F69" s="5">
        <f>transformed_data!F69/transformed_data!$I69</f>
        <v>0.35430844261742134</v>
      </c>
      <c r="G69" s="5">
        <f t="shared" si="1"/>
        <v>0.99999999999999856</v>
      </c>
    </row>
    <row r="70" spans="1:7" x14ac:dyDescent="0.3">
      <c r="A70" s="1">
        <v>40724</v>
      </c>
      <c r="B70" s="5">
        <f>transformed_data!B70/transformed_data!$I70</f>
        <v>0.1067758113166741</v>
      </c>
      <c r="C70" s="5">
        <f>transformed_data!C70/transformed_data!$I70</f>
        <v>0.42886610268520681</v>
      </c>
      <c r="D70" s="5">
        <f>transformed_data!D70/transformed_data!$I70</f>
        <v>6.8180871475535781E-2</v>
      </c>
      <c r="E70" s="5">
        <f>transformed_data!E70/transformed_data!$I70</f>
        <v>4.6988830319633315E-2</v>
      </c>
      <c r="F70" s="5">
        <f>transformed_data!F70/transformed_data!$I70</f>
        <v>0.34918831448295595</v>
      </c>
      <c r="G70" s="5">
        <f t="shared" si="1"/>
        <v>0.99999993028000589</v>
      </c>
    </row>
    <row r="71" spans="1:7" x14ac:dyDescent="0.3">
      <c r="A71" s="1">
        <v>40755</v>
      </c>
      <c r="B71" s="5">
        <f>transformed_data!B71/transformed_data!$I71</f>
        <v>0.10406208017150644</v>
      </c>
      <c r="C71" s="5">
        <f>transformed_data!C71/transformed_data!$I71</f>
        <v>0.43258288438781223</v>
      </c>
      <c r="D71" s="5">
        <f>transformed_data!D71/transformed_data!$I71</f>
        <v>6.9090686599241766E-2</v>
      </c>
      <c r="E71" s="5">
        <f>transformed_data!E71/transformed_data!$I71</f>
        <v>4.8105437757944423E-2</v>
      </c>
      <c r="F71" s="5">
        <f>transformed_data!F71/transformed_data!$I71</f>
        <v>0.34615891108349706</v>
      </c>
      <c r="G71" s="5">
        <f t="shared" si="1"/>
        <v>1.0000000000000018</v>
      </c>
    </row>
    <row r="72" spans="1:7" x14ac:dyDescent="0.3">
      <c r="A72" s="1">
        <v>40786</v>
      </c>
      <c r="B72" s="5">
        <f>transformed_data!B72/transformed_data!$I72</f>
        <v>0.1017079962571078</v>
      </c>
      <c r="C72" s="5">
        <f>transformed_data!C72/transformed_data!$I72</f>
        <v>0.43030155576343071</v>
      </c>
      <c r="D72" s="5">
        <f>transformed_data!D72/transformed_data!$I72</f>
        <v>6.8604863552665707E-2</v>
      </c>
      <c r="E72" s="5">
        <f>transformed_data!E72/transformed_data!$I72</f>
        <v>4.7820318490039468E-2</v>
      </c>
      <c r="F72" s="5">
        <f>transformed_data!F72/transformed_data!$I72</f>
        <v>0.35156533403673579</v>
      </c>
      <c r="G72" s="5">
        <f t="shared" si="1"/>
        <v>1.0000000680999794</v>
      </c>
    </row>
    <row r="73" spans="1:7" x14ac:dyDescent="0.3">
      <c r="A73" s="1">
        <v>40816</v>
      </c>
      <c r="B73" s="5">
        <f>transformed_data!B73/transformed_data!$I73</f>
        <v>9.9896636733679614E-2</v>
      </c>
      <c r="C73" s="5">
        <f>transformed_data!C73/transformed_data!$I73</f>
        <v>0.43355955871258101</v>
      </c>
      <c r="D73" s="5">
        <f>transformed_data!D73/transformed_data!$I73</f>
        <v>6.8991843569924521E-2</v>
      </c>
      <c r="E73" s="5">
        <f>transformed_data!E73/transformed_data!$I73</f>
        <v>4.8283816333330211E-2</v>
      </c>
      <c r="F73" s="5">
        <f>transformed_data!F73/transformed_data!$I73</f>
        <v>0.34926814465048595</v>
      </c>
      <c r="G73" s="5">
        <f t="shared" si="1"/>
        <v>1.0000000000000013</v>
      </c>
    </row>
    <row r="74" spans="1:7" x14ac:dyDescent="0.3">
      <c r="A74" s="1">
        <v>40847</v>
      </c>
      <c r="B74" s="5">
        <f>transformed_data!B74/transformed_data!$I74</f>
        <v>9.8874988972809594E-2</v>
      </c>
      <c r="C74" s="5">
        <f>transformed_data!C74/transformed_data!$I74</f>
        <v>0.43398148938390779</v>
      </c>
      <c r="D74" s="5">
        <f>transformed_data!D74/transformed_data!$I74</f>
        <v>6.892308253005483E-2</v>
      </c>
      <c r="E74" s="5">
        <f>transformed_data!E74/transformed_data!$I74</f>
        <v>4.8261867126806857E-2</v>
      </c>
      <c r="F74" s="5">
        <f>transformed_data!F74/transformed_data!$I74</f>
        <v>0.34995857198641811</v>
      </c>
      <c r="G74" s="5">
        <f t="shared" si="1"/>
        <v>0.99999999999999722</v>
      </c>
    </row>
    <row r="75" spans="1:7" x14ac:dyDescent="0.3">
      <c r="A75" s="1">
        <v>40877</v>
      </c>
      <c r="B75" s="5">
        <f>transformed_data!B75/transformed_data!$I75</f>
        <v>0.10009451155789428</v>
      </c>
      <c r="C75" s="5">
        <f>transformed_data!C75/transformed_data!$I75</f>
        <v>0.4353898579004547</v>
      </c>
      <c r="D75" s="5">
        <f>transformed_data!D75/transformed_data!$I75</f>
        <v>6.9530250877137018E-2</v>
      </c>
      <c r="E75" s="5">
        <f>transformed_data!E75/transformed_data!$I75</f>
        <v>4.8723995443092465E-2</v>
      </c>
      <c r="F75" s="5">
        <f>transformed_data!F75/transformed_data!$I75</f>
        <v>0.34626138422141894</v>
      </c>
      <c r="G75" s="5">
        <f t="shared" si="1"/>
        <v>0.99999999999999745</v>
      </c>
    </row>
    <row r="76" spans="1:7" x14ac:dyDescent="0.3">
      <c r="A76" s="1">
        <v>40908</v>
      </c>
      <c r="B76" s="5">
        <f>transformed_data!B76/transformed_data!$I76</f>
        <v>9.9883284112563697E-2</v>
      </c>
      <c r="C76" s="5">
        <f>transformed_data!C76/transformed_data!$I76</f>
        <v>0.43388830858236183</v>
      </c>
      <c r="D76" s="5">
        <f>transformed_data!D76/transformed_data!$I76</f>
        <v>6.9901892495598E-2</v>
      </c>
      <c r="E76" s="5">
        <f>transformed_data!E76/transformed_data!$I76</f>
        <v>4.9083613226146912E-2</v>
      </c>
      <c r="F76" s="5">
        <f>transformed_data!F76/transformed_data!$I76</f>
        <v>0.34724290158332949</v>
      </c>
      <c r="G76" s="5">
        <f t="shared" si="1"/>
        <v>1</v>
      </c>
    </row>
    <row r="77" spans="1:7" x14ac:dyDescent="0.3">
      <c r="A77" s="1">
        <v>40939</v>
      </c>
      <c r="B77" s="5">
        <f>transformed_data!B77/transformed_data!$I77</f>
        <v>9.9337831155276668E-2</v>
      </c>
      <c r="C77" s="5">
        <f>transformed_data!C77/transformed_data!$I77</f>
        <v>0.43704446881538095</v>
      </c>
      <c r="D77" s="5">
        <f>transformed_data!D77/transformed_data!$I77</f>
        <v>7.0202183339226357E-2</v>
      </c>
      <c r="E77" s="5">
        <f>transformed_data!E77/transformed_data!$I77</f>
        <v>4.9108238587335561E-2</v>
      </c>
      <c r="F77" s="5">
        <f>transformed_data!F77/transformed_data!$I77</f>
        <v>0.34430727810277723</v>
      </c>
      <c r="G77" s="5">
        <f t="shared" si="1"/>
        <v>0.99999999999999667</v>
      </c>
    </row>
    <row r="78" spans="1:7" x14ac:dyDescent="0.3">
      <c r="A78" s="1">
        <v>40968</v>
      </c>
      <c r="B78" s="5">
        <f>transformed_data!B78/transformed_data!$I78</f>
        <v>0.10397232969537221</v>
      </c>
      <c r="C78" s="5">
        <f>transformed_data!C78/transformed_data!$I78</f>
        <v>0.43608124220203542</v>
      </c>
      <c r="D78" s="5">
        <f>transformed_data!D78/transformed_data!$I78</f>
        <v>7.0759446480961455E-2</v>
      </c>
      <c r="E78" s="5">
        <f>transformed_data!E78/transformed_data!$I78</f>
        <v>4.9163032951996845E-2</v>
      </c>
      <c r="F78" s="5">
        <f>transformed_data!F78/transformed_data!$I78</f>
        <v>0.34002394866963354</v>
      </c>
      <c r="G78" s="5">
        <f t="shared" si="1"/>
        <v>0.99999999999999956</v>
      </c>
    </row>
    <row r="79" spans="1:7" x14ac:dyDescent="0.3">
      <c r="A79" s="1">
        <v>40999</v>
      </c>
      <c r="B79" s="5">
        <f>transformed_data!B79/transformed_data!$I79</f>
        <v>0.10745904810696578</v>
      </c>
      <c r="C79" s="5">
        <f>transformed_data!C79/transformed_data!$I79</f>
        <v>0.43488961569963691</v>
      </c>
      <c r="D79" s="5">
        <f>transformed_data!D79/transformed_data!$I79</f>
        <v>7.1228496039300912E-2</v>
      </c>
      <c r="E79" s="5">
        <f>transformed_data!E79/transformed_data!$I79</f>
        <v>4.9895648490401186E-2</v>
      </c>
      <c r="F79" s="5">
        <f>transformed_data!F79/transformed_data!$I79</f>
        <v>0.33652719166369566</v>
      </c>
      <c r="G79" s="5">
        <f t="shared" si="1"/>
        <v>1.0000000000000004</v>
      </c>
    </row>
    <row r="80" spans="1:7" x14ac:dyDescent="0.3">
      <c r="A80" s="1">
        <v>41029</v>
      </c>
      <c r="B80" s="5">
        <f>transformed_data!B80/transformed_data!$I80</f>
        <v>0.10281594082111614</v>
      </c>
      <c r="C80" s="5">
        <f>transformed_data!C80/transformed_data!$I80</f>
        <v>0.43864309976811827</v>
      </c>
      <c r="D80" s="5">
        <f>transformed_data!D80/transformed_data!$I80</f>
        <v>7.1707054069975074E-2</v>
      </c>
      <c r="E80" s="5">
        <f>transformed_data!E80/transformed_data!$I80</f>
        <v>4.9581337008643159E-2</v>
      </c>
      <c r="F80" s="5">
        <f>transformed_data!F80/transformed_data!$I80</f>
        <v>0.33725256833214662</v>
      </c>
      <c r="G80" s="5">
        <f t="shared" si="1"/>
        <v>0.99999999999999933</v>
      </c>
    </row>
    <row r="81" spans="1:7" x14ac:dyDescent="0.3">
      <c r="A81" s="1">
        <v>41060</v>
      </c>
      <c r="B81" s="5">
        <f>transformed_data!B81/transformed_data!$I81</f>
        <v>0.10179779066934844</v>
      </c>
      <c r="C81" s="5">
        <f>transformed_data!C81/transformed_data!$I81</f>
        <v>0.44015254532876752</v>
      </c>
      <c r="D81" s="5">
        <f>transformed_data!D81/transformed_data!$I81</f>
        <v>7.2428967572608804E-2</v>
      </c>
      <c r="E81" s="5">
        <f>transformed_data!E81/transformed_data!$I81</f>
        <v>5.0536119249713143E-2</v>
      </c>
      <c r="F81" s="5">
        <f>transformed_data!F81/transformed_data!$I81</f>
        <v>0.33508457717956203</v>
      </c>
      <c r="G81" s="5">
        <f t="shared" si="1"/>
        <v>1</v>
      </c>
    </row>
    <row r="82" spans="1:7" x14ac:dyDescent="0.3">
      <c r="A82" s="1">
        <v>41090</v>
      </c>
      <c r="B82" s="5">
        <f>transformed_data!B82/transformed_data!$I82</f>
        <v>0.10068736250189766</v>
      </c>
      <c r="C82" s="5">
        <f>transformed_data!C82/transformed_data!$I82</f>
        <v>0.43915881901127068</v>
      </c>
      <c r="D82" s="5">
        <f>transformed_data!D82/transformed_data!$I82</f>
        <v>7.2921445065060389E-2</v>
      </c>
      <c r="E82" s="5">
        <f>transformed_data!E82/transformed_data!$I82</f>
        <v>5.0785224165670544E-2</v>
      </c>
      <c r="F82" s="5">
        <f>transformed_data!F82/transformed_data!$I82</f>
        <v>0.33644722627206541</v>
      </c>
      <c r="G82" s="5">
        <f t="shared" si="1"/>
        <v>1.0000000770159647</v>
      </c>
    </row>
    <row r="83" spans="1:7" x14ac:dyDescent="0.3">
      <c r="A83" s="1">
        <v>41121</v>
      </c>
      <c r="B83" s="5">
        <f>transformed_data!B83/transformed_data!$I83</f>
        <v>9.9226069820541052E-2</v>
      </c>
      <c r="C83" s="5">
        <f>transformed_data!C83/transformed_data!$I83</f>
        <v>0.44354775440094074</v>
      </c>
      <c r="D83" s="5">
        <f>transformed_data!D83/transformed_data!$I83</f>
        <v>7.3379444822333925E-2</v>
      </c>
      <c r="E83" s="5">
        <f>transformed_data!E83/transformed_data!$I83</f>
        <v>4.9583923995371371E-2</v>
      </c>
      <c r="F83" s="5">
        <f>transformed_data!F83/transformed_data!$I83</f>
        <v>0.3342627441989181</v>
      </c>
      <c r="G83" s="5">
        <f t="shared" si="1"/>
        <v>0.99999993723810521</v>
      </c>
    </row>
    <row r="84" spans="1:7" x14ac:dyDescent="0.3">
      <c r="A84" s="1">
        <v>41152</v>
      </c>
      <c r="B84" s="5">
        <f>transformed_data!B84/transformed_data!$I84</f>
        <v>0.10383549682336729</v>
      </c>
      <c r="C84" s="5">
        <f>transformed_data!C84/transformed_data!$I84</f>
        <v>0.4436744930050685</v>
      </c>
      <c r="D84" s="5">
        <f>transformed_data!D84/transformed_data!$I84</f>
        <v>7.4000321707946015E-2</v>
      </c>
      <c r="E84" s="5">
        <f>transformed_data!E84/transformed_data!$I84</f>
        <v>5.0141736206556424E-2</v>
      </c>
      <c r="F84" s="5">
        <f>transformed_data!F84/transformed_data!$I84</f>
        <v>0.32834795225706565</v>
      </c>
      <c r="G84" s="5">
        <f t="shared" si="1"/>
        <v>1.0000000000000038</v>
      </c>
    </row>
    <row r="85" spans="1:7" x14ac:dyDescent="0.3">
      <c r="A85" s="1">
        <v>41182</v>
      </c>
      <c r="B85" s="5">
        <f>transformed_data!B85/transformed_data!$I85</f>
        <v>0.10058412654556165</v>
      </c>
      <c r="C85" s="5">
        <f>transformed_data!C85/transformed_data!$I85</f>
        <v>0.44320915781079945</v>
      </c>
      <c r="D85" s="5">
        <f>transformed_data!D85/transformed_data!$I85</f>
        <v>7.4576704060559773E-2</v>
      </c>
      <c r="E85" s="5">
        <f>transformed_data!E85/transformed_data!$I85</f>
        <v>5.0719792054326834E-2</v>
      </c>
      <c r="F85" s="5">
        <f>transformed_data!F85/transformed_data!$I85</f>
        <v>0.33091028177106296</v>
      </c>
      <c r="G85" s="5">
        <f t="shared" si="1"/>
        <v>1.0000000622423109</v>
      </c>
    </row>
    <row r="86" spans="1:7" x14ac:dyDescent="0.3">
      <c r="A86" s="1">
        <v>41213</v>
      </c>
      <c r="B86" s="5">
        <f>transformed_data!B86/transformed_data!$I86</f>
        <v>9.9745260572269984E-2</v>
      </c>
      <c r="C86" s="5">
        <f>transformed_data!C86/transformed_data!$I86</f>
        <v>0.44449660777873645</v>
      </c>
      <c r="D86" s="5">
        <f>transformed_data!D86/transformed_data!$I86</f>
        <v>7.4480791170334862E-2</v>
      </c>
      <c r="E86" s="5">
        <f>transformed_data!E86/transformed_data!$I86</f>
        <v>5.0802760884778524E-2</v>
      </c>
      <c r="F86" s="5">
        <f>transformed_data!F86/transformed_data!$I86</f>
        <v>0.33047451809883177</v>
      </c>
      <c r="G86" s="5">
        <f t="shared" si="1"/>
        <v>0.99999993850495161</v>
      </c>
    </row>
    <row r="87" spans="1:7" x14ac:dyDescent="0.3">
      <c r="A87" s="1">
        <v>41243</v>
      </c>
      <c r="B87" s="5">
        <f>transformed_data!B87/transformed_data!$I87</f>
        <v>0.10354526146830387</v>
      </c>
      <c r="C87" s="5">
        <f>transformed_data!C87/transformed_data!$I87</f>
        <v>0.44397953218323716</v>
      </c>
      <c r="D87" s="5">
        <f>transformed_data!D87/transformed_data!$I87</f>
        <v>7.4966156253351179E-2</v>
      </c>
      <c r="E87" s="5">
        <f>transformed_data!E87/transformed_data!$I87</f>
        <v>5.149119502111487E-2</v>
      </c>
      <c r="F87" s="5">
        <f>transformed_data!F87/transformed_data!$I87</f>
        <v>0.32601785507398878</v>
      </c>
      <c r="G87" s="5">
        <f t="shared" si="1"/>
        <v>0.999999999999996</v>
      </c>
    </row>
    <row r="88" spans="1:7" x14ac:dyDescent="0.3">
      <c r="A88" s="1">
        <v>41274</v>
      </c>
      <c r="B88" s="5">
        <f>transformed_data!B88/transformed_data!$I88</f>
        <v>9.912963802068285E-2</v>
      </c>
      <c r="C88" s="5">
        <f>transformed_data!C88/transformed_data!$I88</f>
        <v>0.44588546674637014</v>
      </c>
      <c r="D88" s="5">
        <f>transformed_data!D88/transformed_data!$I88</f>
        <v>7.5468965547201158E-2</v>
      </c>
      <c r="E88" s="5">
        <f>transformed_data!E88/transformed_data!$I88</f>
        <v>5.2149286679944042E-2</v>
      </c>
      <c r="F88" s="5">
        <f>transformed_data!F88/transformed_data!$I88</f>
        <v>0.32736664300580426</v>
      </c>
      <c r="G88" s="5">
        <f t="shared" si="1"/>
        <v>1.0000000000000024</v>
      </c>
    </row>
    <row r="89" spans="1:7" x14ac:dyDescent="0.3">
      <c r="A89" s="1">
        <v>41305</v>
      </c>
      <c r="B89" s="5">
        <f>transformed_data!B89/transformed_data!$I89</f>
        <v>9.7844002437261671E-2</v>
      </c>
      <c r="C89" s="5">
        <f>transformed_data!C89/transformed_data!$I89</f>
        <v>0.44944984027745272</v>
      </c>
      <c r="D89" s="5">
        <f>transformed_data!D89/transformed_data!$I89</f>
        <v>7.6255140960027126E-2</v>
      </c>
      <c r="E89" s="5">
        <f>transformed_data!E89/transformed_data!$I89</f>
        <v>5.2820850233811084E-2</v>
      </c>
      <c r="F89" s="5">
        <f>transformed_data!F89/transformed_data!$I89</f>
        <v>0.32363016609144751</v>
      </c>
      <c r="G89" s="5">
        <f t="shared" si="1"/>
        <v>1.0000000000000002</v>
      </c>
    </row>
    <row r="90" spans="1:7" x14ac:dyDescent="0.3">
      <c r="A90" s="1">
        <v>41333</v>
      </c>
      <c r="B90" s="5">
        <f>transformed_data!B90/transformed_data!$I90</f>
        <v>0.10438784423418607</v>
      </c>
      <c r="C90" s="5">
        <f>transformed_data!C90/transformed_data!$I90</f>
        <v>0.44479734138353083</v>
      </c>
      <c r="D90" s="5">
        <f>transformed_data!D90/transformed_data!$I90</f>
        <v>7.6055547437254886E-2</v>
      </c>
      <c r="E90" s="5">
        <f>transformed_data!E90/transformed_data!$I90</f>
        <v>5.2421980421214529E-2</v>
      </c>
      <c r="F90" s="5">
        <f>transformed_data!F90/transformed_data!$I90</f>
        <v>0.32233734644966233</v>
      </c>
      <c r="G90" s="5">
        <f t="shared" si="1"/>
        <v>1.0000000599258485</v>
      </c>
    </row>
    <row r="91" spans="1:7" x14ac:dyDescent="0.3">
      <c r="A91" s="1">
        <v>41364</v>
      </c>
      <c r="B91" s="5">
        <f>transformed_data!B91/transformed_data!$I91</f>
        <v>0.10678622707199614</v>
      </c>
      <c r="C91" s="5">
        <f>transformed_data!C91/transformed_data!$I91</f>
        <v>0.4433140626959714</v>
      </c>
      <c r="D91" s="5">
        <f>transformed_data!D91/transformed_data!$I91</f>
        <v>7.6449338263665317E-2</v>
      </c>
      <c r="E91" s="5">
        <f>transformed_data!E91/transformed_data!$I91</f>
        <v>5.3060877618353243E-2</v>
      </c>
      <c r="F91" s="5">
        <f>transformed_data!F91/transformed_data!$I91</f>
        <v>0.32038949435001518</v>
      </c>
      <c r="G91" s="5">
        <f t="shared" si="1"/>
        <v>1.0000000000000013</v>
      </c>
    </row>
    <row r="92" spans="1:7" x14ac:dyDescent="0.3">
      <c r="A92" s="1">
        <v>41394</v>
      </c>
      <c r="B92" s="5">
        <f>transformed_data!B92/transformed_data!$I92</f>
        <v>0.10071691711709577</v>
      </c>
      <c r="C92" s="5">
        <f>transformed_data!C92/transformed_data!$I92</f>
        <v>0.44732541767713746</v>
      </c>
      <c r="D92" s="5">
        <f>transformed_data!D92/transformed_data!$I92</f>
        <v>7.6960760621641131E-2</v>
      </c>
      <c r="E92" s="5">
        <f>transformed_data!E92/transformed_data!$I92</f>
        <v>5.3401221686618983E-2</v>
      </c>
      <c r="F92" s="5">
        <f>transformed_data!F92/transformed_data!$I92</f>
        <v>0.32159574231929294</v>
      </c>
      <c r="G92" s="5">
        <f t="shared" si="1"/>
        <v>1.0000000594217864</v>
      </c>
    </row>
    <row r="93" spans="1:7" x14ac:dyDescent="0.3">
      <c r="A93" s="1">
        <v>41425</v>
      </c>
      <c r="B93" s="5">
        <f>transformed_data!B93/transformed_data!$I93</f>
        <v>9.6000772092238187E-2</v>
      </c>
      <c r="C93" s="5">
        <f>transformed_data!C93/transformed_data!$I93</f>
        <v>0.45193916079792912</v>
      </c>
      <c r="D93" s="5">
        <f>transformed_data!D93/transformed_data!$I93</f>
        <v>7.833051599426577E-2</v>
      </c>
      <c r="E93" s="5">
        <f>transformed_data!E93/transformed_data!$I93</f>
        <v>5.4620411521449856E-2</v>
      </c>
      <c r="F93" s="5">
        <f>transformed_data!F93/transformed_data!$I93</f>
        <v>0.31910913959411275</v>
      </c>
      <c r="G93" s="5">
        <f t="shared" si="1"/>
        <v>0.99999999999999556</v>
      </c>
    </row>
    <row r="94" spans="1:7" x14ac:dyDescent="0.3">
      <c r="A94" s="1">
        <v>41455</v>
      </c>
      <c r="B94" s="5">
        <f>transformed_data!B94/transformed_data!$I94</f>
        <v>9.3793743905972893E-2</v>
      </c>
      <c r="C94" s="5">
        <f>transformed_data!C94/transformed_data!$I94</f>
        <v>0.45295579791489815</v>
      </c>
      <c r="D94" s="5">
        <f>transformed_data!D94/transformed_data!$I94</f>
        <v>7.9109519652462129E-2</v>
      </c>
      <c r="E94" s="5">
        <f>transformed_data!E94/transformed_data!$I94</f>
        <v>5.4914327626861915E-2</v>
      </c>
      <c r="F94" s="5">
        <f>transformed_data!F94/transformed_data!$I94</f>
        <v>0.31922661089979959</v>
      </c>
      <c r="G94" s="5">
        <f t="shared" si="1"/>
        <v>0.99999999999999467</v>
      </c>
    </row>
    <row r="95" spans="1:7" x14ac:dyDescent="0.3">
      <c r="A95" s="1">
        <v>41486</v>
      </c>
      <c r="B95" s="5">
        <f>transformed_data!B95/transformed_data!$I95</f>
        <v>9.2956271528505552E-2</v>
      </c>
      <c r="C95" s="5">
        <f>transformed_data!C95/transformed_data!$I95</f>
        <v>0.45882468235789831</v>
      </c>
      <c r="D95" s="5">
        <f>transformed_data!D95/transformed_data!$I95</f>
        <v>7.9884793270133411E-2</v>
      </c>
      <c r="E95" s="5">
        <f>transformed_data!E95/transformed_data!$I95</f>
        <v>5.4382741998124651E-2</v>
      </c>
      <c r="F95" s="5">
        <f>transformed_data!F95/transformed_data!$I95</f>
        <v>0.31395151084533746</v>
      </c>
      <c r="G95" s="5">
        <f t="shared" si="1"/>
        <v>0.99999999999999933</v>
      </c>
    </row>
    <row r="96" spans="1:7" x14ac:dyDescent="0.3">
      <c r="A96" s="1">
        <v>41517</v>
      </c>
      <c r="B96" s="5">
        <f>transformed_data!B96/transformed_data!$I96</f>
        <v>9.7855213497769752E-2</v>
      </c>
      <c r="C96" s="5">
        <f>transformed_data!C96/transformed_data!$I96</f>
        <v>0.45801334335770139</v>
      </c>
      <c r="D96" s="5">
        <f>transformed_data!D96/transformed_data!$I96</f>
        <v>8.0840353037658311E-2</v>
      </c>
      <c r="E96" s="5">
        <f>transformed_data!E96/transformed_data!$I96</f>
        <v>5.5472315319898803E-2</v>
      </c>
      <c r="F96" s="5">
        <f>transformed_data!F96/transformed_data!$I96</f>
        <v>0.30781877478696767</v>
      </c>
      <c r="G96" s="5">
        <f t="shared" si="1"/>
        <v>0.999999999999996</v>
      </c>
    </row>
    <row r="97" spans="1:7" x14ac:dyDescent="0.3">
      <c r="A97" s="1">
        <v>41547</v>
      </c>
      <c r="B97" s="5">
        <f>transformed_data!B97/transformed_data!$I97</f>
        <v>9.1406081193067826E-2</v>
      </c>
      <c r="C97" s="5">
        <f>transformed_data!C97/transformed_data!$I97</f>
        <v>0.46348821415183261</v>
      </c>
      <c r="D97" s="5">
        <f>transformed_data!D97/transformed_data!$I97</f>
        <v>8.1619266943130708E-2</v>
      </c>
      <c r="E97" s="5">
        <f>transformed_data!E97/transformed_data!$I97</f>
        <v>5.6282940811322034E-2</v>
      </c>
      <c r="F97" s="5">
        <f>transformed_data!F97/transformed_data!$I97</f>
        <v>0.30720349690064386</v>
      </c>
      <c r="G97" s="5">
        <f t="shared" si="1"/>
        <v>0.999999999999997</v>
      </c>
    </row>
    <row r="98" spans="1:7" x14ac:dyDescent="0.3">
      <c r="A98" s="1">
        <v>41578</v>
      </c>
      <c r="B98" s="5">
        <f>transformed_data!B98/transformed_data!$I98</f>
        <v>9.0053103407947879E-2</v>
      </c>
      <c r="C98" s="5">
        <f>transformed_data!C98/transformed_data!$I98</f>
        <v>0.45530555192420186</v>
      </c>
      <c r="D98" s="5">
        <f>transformed_data!D98/transformed_data!$I98</f>
        <v>8.0388717247476024E-2</v>
      </c>
      <c r="E98" s="5">
        <f>transformed_data!E98/transformed_data!$I98</f>
        <v>5.5933532983846949E-2</v>
      </c>
      <c r="F98" s="5">
        <f>transformed_data!F98/transformed_data!$I98</f>
        <v>0.31831909443652839</v>
      </c>
      <c r="G98" s="5">
        <f t="shared" si="1"/>
        <v>1.0000000000000011</v>
      </c>
    </row>
    <row r="99" spans="1:7" x14ac:dyDescent="0.3">
      <c r="A99" s="1">
        <v>41608</v>
      </c>
      <c r="B99" s="5">
        <f>transformed_data!B99/transformed_data!$I99</f>
        <v>9.4147725332137125E-2</v>
      </c>
      <c r="C99" s="5">
        <f>transformed_data!C99/transformed_data!$I99</f>
        <v>0.45314028803923229</v>
      </c>
      <c r="D99" s="5">
        <f>transformed_data!D99/transformed_data!$I99</f>
        <v>8.1032754065732307E-2</v>
      </c>
      <c r="E99" s="5">
        <f>transformed_data!E99/transformed_data!$I99</f>
        <v>5.6556582431308164E-2</v>
      </c>
      <c r="F99" s="5">
        <f>transformed_data!F99/transformed_data!$I99</f>
        <v>0.31512259204997706</v>
      </c>
      <c r="G99" s="5">
        <f t="shared" si="1"/>
        <v>0.99999994191838693</v>
      </c>
    </row>
    <row r="100" spans="1:7" x14ac:dyDescent="0.3">
      <c r="A100" s="1">
        <v>41639</v>
      </c>
      <c r="B100" s="5">
        <f>transformed_data!B100/transformed_data!$I100</f>
        <v>9.1744714551455872E-2</v>
      </c>
      <c r="C100" s="5">
        <f>transformed_data!C100/transformed_data!$I100</f>
        <v>0.45422700135467109</v>
      </c>
      <c r="D100" s="5">
        <f>transformed_data!D100/transformed_data!$I100</f>
        <v>8.1152333402860197E-2</v>
      </c>
      <c r="E100" s="5">
        <f>transformed_data!E100/transformed_data!$I100</f>
        <v>5.69154845968321E-2</v>
      </c>
      <c r="F100" s="5">
        <f>transformed_data!F100/transformed_data!$I100</f>
        <v>0.31596046609417683</v>
      </c>
      <c r="G100" s="5">
        <f t="shared" si="1"/>
        <v>0.999999999999996</v>
      </c>
    </row>
    <row r="101" spans="1:7" x14ac:dyDescent="0.3">
      <c r="A101" s="1">
        <v>41670</v>
      </c>
      <c r="B101" s="5">
        <f>transformed_data!B101/transformed_data!$I101</f>
        <v>8.5929276288474743E-2</v>
      </c>
      <c r="C101" s="5">
        <f>transformed_data!C101/transformed_data!$I101</f>
        <v>0.45851410685298127</v>
      </c>
      <c r="D101" s="5">
        <f>transformed_data!D101/transformed_data!$I101</f>
        <v>8.2180728206096079E-2</v>
      </c>
      <c r="E101" s="5">
        <f>transformed_data!E101/transformed_data!$I101</f>
        <v>5.7196406945749109E-2</v>
      </c>
      <c r="F101" s="5">
        <f>transformed_data!F101/transformed_data!$I101</f>
        <v>0.31617948170669946</v>
      </c>
      <c r="G101" s="5">
        <f t="shared" si="1"/>
        <v>1.0000000000000007</v>
      </c>
    </row>
    <row r="102" spans="1:7" x14ac:dyDescent="0.3">
      <c r="A102" s="1">
        <v>41698</v>
      </c>
      <c r="B102" s="5">
        <f>transformed_data!B102/transformed_data!$I102</f>
        <v>9.2421180736610598E-2</v>
      </c>
      <c r="C102" s="5">
        <f>transformed_data!C102/transformed_data!$I102</f>
        <v>0.45520415593313618</v>
      </c>
      <c r="D102" s="5">
        <f>transformed_data!D102/transformed_data!$I102</f>
        <v>8.2295926825954047E-2</v>
      </c>
      <c r="E102" s="5">
        <f>transformed_data!E102/transformed_data!$I102</f>
        <v>5.7892157105891122E-2</v>
      </c>
      <c r="F102" s="5">
        <f>transformed_data!F102/transformed_data!$I102</f>
        <v>0.31218657939841093</v>
      </c>
      <c r="G102" s="5">
        <f t="shared" si="1"/>
        <v>1.0000000000000029</v>
      </c>
    </row>
    <row r="103" spans="1:7" x14ac:dyDescent="0.3">
      <c r="A103" s="1">
        <v>41729</v>
      </c>
      <c r="B103" s="5">
        <f>transformed_data!B103/transformed_data!$I103</f>
        <v>9.3855303812430901E-2</v>
      </c>
      <c r="C103" s="5">
        <f>transformed_data!C103/transformed_data!$I103</f>
        <v>0.45410996034443024</v>
      </c>
      <c r="D103" s="5">
        <f>transformed_data!D103/transformed_data!$I103</f>
        <v>8.2389288455706755E-2</v>
      </c>
      <c r="E103" s="5">
        <f>transformed_data!E103/transformed_data!$I103</f>
        <v>5.9113974415719792E-2</v>
      </c>
      <c r="F103" s="5">
        <f>transformed_data!F103/transformed_data!$I103</f>
        <v>0.31053147297171235</v>
      </c>
      <c r="G103" s="5">
        <f t="shared" si="1"/>
        <v>0.99999999999999989</v>
      </c>
    </row>
    <row r="104" spans="1:7" x14ac:dyDescent="0.3">
      <c r="A104" s="1">
        <v>41759</v>
      </c>
      <c r="B104" s="5">
        <f>transformed_data!B104/transformed_data!$I104</f>
        <v>8.3329573627582171E-2</v>
      </c>
      <c r="C104" s="5">
        <f>transformed_data!C104/transformed_data!$I104</f>
        <v>0.45887369624190832</v>
      </c>
      <c r="D104" s="5">
        <f>transformed_data!D104/transformed_data!$I104</f>
        <v>8.3568425229349735E-2</v>
      </c>
      <c r="E104" s="5">
        <f>transformed_data!E104/transformed_data!$I104</f>
        <v>6.055465365774261E-2</v>
      </c>
      <c r="F104" s="5">
        <f>transformed_data!F104/transformed_data!$I104</f>
        <v>0.31367365124341584</v>
      </c>
      <c r="G104" s="5">
        <f t="shared" si="1"/>
        <v>0.99999999999999867</v>
      </c>
    </row>
    <row r="105" spans="1:7" x14ac:dyDescent="0.3">
      <c r="A105" s="1">
        <v>41790</v>
      </c>
      <c r="B105" s="5">
        <f>transformed_data!B105/transformed_data!$I105</f>
        <v>8.2718935132152935E-2</v>
      </c>
      <c r="C105" s="5">
        <f>transformed_data!C105/transformed_data!$I105</f>
        <v>0.45829034384576006</v>
      </c>
      <c r="D105" s="5">
        <f>transformed_data!D105/transformed_data!$I105</f>
        <v>8.4440894795999713E-2</v>
      </c>
      <c r="E105" s="5">
        <f>transformed_data!E105/transformed_data!$I105</f>
        <v>6.2364238810939901E-2</v>
      </c>
      <c r="F105" s="5">
        <f>transformed_data!F105/transformed_data!$I105</f>
        <v>0.31218558741514346</v>
      </c>
      <c r="G105" s="5">
        <f t="shared" si="1"/>
        <v>0.999999999999996</v>
      </c>
    </row>
    <row r="106" spans="1:7" x14ac:dyDescent="0.3">
      <c r="A106" s="1">
        <v>41820</v>
      </c>
      <c r="B106" s="5">
        <f>transformed_data!B106/transformed_data!$I106</f>
        <v>7.8717037483405389E-2</v>
      </c>
      <c r="C106" s="5">
        <f>transformed_data!C106/transformed_data!$I106</f>
        <v>0.45876874276041274</v>
      </c>
      <c r="D106" s="5">
        <f>transformed_data!D106/transformed_data!$I106</f>
        <v>8.4624337702993546E-2</v>
      </c>
      <c r="E106" s="5">
        <f>transformed_data!E106/transformed_data!$I106</f>
        <v>6.322345980153013E-2</v>
      </c>
      <c r="F106" s="5">
        <f>transformed_data!F106/transformed_data!$I106</f>
        <v>0.31466642225165814</v>
      </c>
      <c r="G106" s="5">
        <f t="shared" si="1"/>
        <v>0.99999999999999978</v>
      </c>
    </row>
    <row r="107" spans="1:7" x14ac:dyDescent="0.3">
      <c r="A107" s="1">
        <v>41851</v>
      </c>
      <c r="B107" s="5">
        <f>transformed_data!B107/transformed_data!$I107</f>
        <v>7.9718189222218294E-2</v>
      </c>
      <c r="C107" s="5">
        <f>transformed_data!C107/transformed_data!$I107</f>
        <v>0.4592793418663963</v>
      </c>
      <c r="D107" s="5">
        <f>transformed_data!D107/transformed_data!$I107</f>
        <v>8.5098256997850952E-2</v>
      </c>
      <c r="E107" s="5">
        <f>transformed_data!E107/transformed_data!$I107</f>
        <v>6.3571823335735508E-2</v>
      </c>
      <c r="F107" s="5">
        <f>transformed_data!F107/transformed_data!$I107</f>
        <v>0.31233233203953642</v>
      </c>
      <c r="G107" s="5">
        <f t="shared" si="1"/>
        <v>0.99999994346173748</v>
      </c>
    </row>
    <row r="108" spans="1:7" x14ac:dyDescent="0.3">
      <c r="A108" s="1">
        <v>41882</v>
      </c>
      <c r="B108" s="5">
        <f>transformed_data!B108/transformed_data!$I108</f>
        <v>8.1806499610527814E-2</v>
      </c>
      <c r="C108" s="5">
        <f>transformed_data!C108/transformed_data!$I108</f>
        <v>0.45729647553484792</v>
      </c>
      <c r="D108" s="5">
        <f>transformed_data!D108/transformed_data!$I108</f>
        <v>8.5702273778131763E-2</v>
      </c>
      <c r="E108" s="5">
        <f>transformed_data!E108/transformed_data!$I108</f>
        <v>6.5101366616216641E-2</v>
      </c>
      <c r="F108" s="5">
        <f>transformed_data!F108/transformed_data!$I108</f>
        <v>0.31009338446027745</v>
      </c>
      <c r="G108" s="5">
        <f t="shared" si="1"/>
        <v>1.0000000000000018</v>
      </c>
    </row>
    <row r="109" spans="1:7" x14ac:dyDescent="0.3">
      <c r="A109" s="1">
        <v>41912</v>
      </c>
      <c r="B109" s="5">
        <f>transformed_data!B109/transformed_data!$I109</f>
        <v>7.9161491577992696E-2</v>
      </c>
      <c r="C109" s="5">
        <f>transformed_data!C109/transformed_data!$I109</f>
        <v>0.45824317002018844</v>
      </c>
      <c r="D109" s="5">
        <f>transformed_data!D109/transformed_data!$I109</f>
        <v>8.607149698336751E-2</v>
      </c>
      <c r="E109" s="5">
        <f>transformed_data!E109/transformed_data!$I109</f>
        <v>6.6277203164711779E-2</v>
      </c>
      <c r="F109" s="5">
        <f>transformed_data!F109/transformed_data!$I109</f>
        <v>0.31024669435765101</v>
      </c>
      <c r="G109" s="5">
        <f t="shared" si="1"/>
        <v>1.0000000561039113</v>
      </c>
    </row>
    <row r="110" spans="1:7" x14ac:dyDescent="0.3">
      <c r="A110" s="1">
        <v>41943</v>
      </c>
      <c r="B110" s="5">
        <f>transformed_data!B110/transformed_data!$I110</f>
        <v>7.8827705154044608E-2</v>
      </c>
      <c r="C110" s="5">
        <f>transformed_data!C110/transformed_data!$I110</f>
        <v>0.4571357871291572</v>
      </c>
      <c r="D110" s="5">
        <f>transformed_data!D110/transformed_data!$I110</f>
        <v>8.6253585207264213E-2</v>
      </c>
      <c r="E110" s="5">
        <f>transformed_data!E110/transformed_data!$I110</f>
        <v>6.6998719576688751E-2</v>
      </c>
      <c r="F110" s="5">
        <f>transformed_data!F110/transformed_data!$I110</f>
        <v>0.31078420293284864</v>
      </c>
      <c r="G110" s="5">
        <f t="shared" si="1"/>
        <v>1.0000000000000036</v>
      </c>
    </row>
    <row r="111" spans="1:7" x14ac:dyDescent="0.3">
      <c r="A111" s="1">
        <v>41973</v>
      </c>
      <c r="B111" s="5">
        <f>transformed_data!B111/transformed_data!$I111</f>
        <v>7.9971016331189984E-2</v>
      </c>
      <c r="C111" s="5">
        <f>transformed_data!C111/transformed_data!$I111</f>
        <v>0.45485213694649557</v>
      </c>
      <c r="D111" s="5">
        <f>transformed_data!D111/transformed_data!$I111</f>
        <v>8.6815778390263887E-2</v>
      </c>
      <c r="E111" s="5">
        <f>transformed_data!E111/transformed_data!$I111</f>
        <v>6.8226227141730864E-2</v>
      </c>
      <c r="F111" s="5">
        <f>transformed_data!F111/transformed_data!$I111</f>
        <v>0.31013484119031587</v>
      </c>
      <c r="G111" s="5">
        <f t="shared" si="1"/>
        <v>0.99999999999999623</v>
      </c>
    </row>
    <row r="112" spans="1:7" x14ac:dyDescent="0.3">
      <c r="A112" s="1">
        <v>42004</v>
      </c>
      <c r="B112" s="5">
        <f>transformed_data!B112/transformed_data!$I112</f>
        <v>8.036213114140503E-2</v>
      </c>
      <c r="C112" s="5">
        <f>transformed_data!C112/transformed_data!$I112</f>
        <v>0.45361252200193231</v>
      </c>
      <c r="D112" s="5">
        <f>transformed_data!D112/transformed_data!$I112</f>
        <v>8.6882047541234977E-2</v>
      </c>
      <c r="E112" s="5">
        <f>transformed_data!E112/transformed_data!$I112</f>
        <v>6.9187279410157579E-2</v>
      </c>
      <c r="F112" s="5">
        <f>transformed_data!F112/transformed_data!$I112</f>
        <v>0.30995601990526633</v>
      </c>
      <c r="G112" s="5">
        <f t="shared" si="1"/>
        <v>0.99999999999999623</v>
      </c>
    </row>
    <row r="113" spans="1:7" x14ac:dyDescent="0.3">
      <c r="A113" s="1">
        <v>42035</v>
      </c>
      <c r="B113" s="5">
        <f>transformed_data!B113/transformed_data!$I113</f>
        <v>7.8136485237550832E-2</v>
      </c>
      <c r="C113" s="5">
        <f>transformed_data!C113/transformed_data!$I113</f>
        <v>0.45568966511560433</v>
      </c>
      <c r="D113" s="5">
        <f>transformed_data!D113/transformed_data!$I113</f>
        <v>8.7885157081317389E-2</v>
      </c>
      <c r="E113" s="5">
        <f>transformed_data!E113/transformed_data!$I113</f>
        <v>6.8648921173094776E-2</v>
      </c>
      <c r="F113" s="5">
        <f>transformed_data!F113/transformed_data!$I113</f>
        <v>0.30963977139243154</v>
      </c>
      <c r="G113" s="5">
        <f t="shared" si="1"/>
        <v>0.99999999999999889</v>
      </c>
    </row>
    <row r="114" spans="1:7" x14ac:dyDescent="0.3">
      <c r="A114" s="1">
        <v>42063</v>
      </c>
      <c r="B114" s="5">
        <f>transformed_data!B114/transformed_data!$I114</f>
        <v>8.1124673875479475E-2</v>
      </c>
      <c r="C114" s="5">
        <f>transformed_data!C114/transformed_data!$I114</f>
        <v>0.45330367625982015</v>
      </c>
      <c r="D114" s="5">
        <f>transformed_data!D114/transformed_data!$I114</f>
        <v>8.7831077425460743E-2</v>
      </c>
      <c r="E114" s="5">
        <f>transformed_data!E114/transformed_data!$I114</f>
        <v>7.0097137135454429E-2</v>
      </c>
      <c r="F114" s="5">
        <f>transformed_data!F114/transformed_data!$I114</f>
        <v>0.30764343530378008</v>
      </c>
      <c r="G114" s="5">
        <f t="shared" si="1"/>
        <v>0.99999999999999489</v>
      </c>
    </row>
    <row r="115" spans="1:7" x14ac:dyDescent="0.3">
      <c r="A115" s="1">
        <v>42094</v>
      </c>
      <c r="B115" s="5">
        <f>transformed_data!B115/transformed_data!$I115</f>
        <v>8.1417751933069119E-2</v>
      </c>
      <c r="C115" s="5">
        <f>transformed_data!C115/transformed_data!$I115</f>
        <v>0.45528908241528182</v>
      </c>
      <c r="D115" s="5">
        <f>transformed_data!D115/transformed_data!$I115</f>
        <v>8.8565558404924777E-2</v>
      </c>
      <c r="E115" s="5">
        <f>transformed_data!E115/transformed_data!$I115</f>
        <v>7.1277167931940499E-2</v>
      </c>
      <c r="F115" s="5">
        <f>transformed_data!F115/transformed_data!$I115</f>
        <v>0.30345049440495941</v>
      </c>
      <c r="G115" s="5">
        <f t="shared" si="1"/>
        <v>1.0000000550901755</v>
      </c>
    </row>
    <row r="116" spans="1:7" x14ac:dyDescent="0.3">
      <c r="A116" s="1">
        <v>42124</v>
      </c>
      <c r="B116" s="5">
        <f>transformed_data!B116/transformed_data!$I116</f>
        <v>7.8938432331405087E-2</v>
      </c>
      <c r="C116" s="5">
        <f>transformed_data!C116/transformed_data!$I116</f>
        <v>0.45635565894840868</v>
      </c>
      <c r="D116" s="5">
        <f>transformed_data!D116/transformed_data!$I116</f>
        <v>8.9279198985525721E-2</v>
      </c>
      <c r="E116" s="5">
        <f>transformed_data!E116/transformed_data!$I116</f>
        <v>7.2050466172752667E-2</v>
      </c>
      <c r="F116" s="5">
        <f>transformed_data!F116/transformed_data!$I116</f>
        <v>0.30337629865055782</v>
      </c>
      <c r="G116" s="5">
        <f t="shared" si="1"/>
        <v>1.0000000550886501</v>
      </c>
    </row>
    <row r="117" spans="1:7" x14ac:dyDescent="0.3">
      <c r="A117" s="1">
        <v>42155</v>
      </c>
      <c r="B117" s="5">
        <f>transformed_data!B117/transformed_data!$I117</f>
        <v>7.9709698019451908E-2</v>
      </c>
      <c r="C117" s="5">
        <f>transformed_data!C117/transformed_data!$I117</f>
        <v>0.45528024014505036</v>
      </c>
      <c r="D117" s="5">
        <f>transformed_data!D117/transformed_data!$I117</f>
        <v>9.0179091885647364E-2</v>
      </c>
      <c r="E117" s="5">
        <f>transformed_data!E117/transformed_data!$I117</f>
        <v>7.3785525289618736E-2</v>
      </c>
      <c r="F117" s="5">
        <f>transformed_data!F117/transformed_data!$I117</f>
        <v>0.30104544466023109</v>
      </c>
      <c r="G117" s="5">
        <f t="shared" si="1"/>
        <v>0.99999999999999933</v>
      </c>
    </row>
    <row r="118" spans="1:7" x14ac:dyDescent="0.3">
      <c r="A118" s="1">
        <v>42185</v>
      </c>
      <c r="B118" s="5">
        <f>transformed_data!B118/transformed_data!$I118</f>
        <v>7.6850575140945995E-2</v>
      </c>
      <c r="C118" s="5">
        <f>transformed_data!C118/transformed_data!$I118</f>
        <v>0.45754627811634219</v>
      </c>
      <c r="D118" s="5">
        <f>transformed_data!D118/transformed_data!$I118</f>
        <v>9.0899488054334565E-2</v>
      </c>
      <c r="E118" s="5">
        <f>transformed_data!E118/transformed_data!$I118</f>
        <v>7.4962318515714443E-2</v>
      </c>
      <c r="F118" s="5">
        <f>transformed_data!F118/transformed_data!$I118</f>
        <v>0.29974134017266024</v>
      </c>
      <c r="G118" s="5">
        <f t="shared" si="1"/>
        <v>0.99999999999999734</v>
      </c>
    </row>
    <row r="119" spans="1:7" x14ac:dyDescent="0.3">
      <c r="A119" s="1">
        <v>42216</v>
      </c>
      <c r="B119" s="5">
        <f>transformed_data!B119/transformed_data!$I119</f>
        <v>7.9332440470655269E-2</v>
      </c>
      <c r="C119" s="5">
        <f>transformed_data!C119/transformed_data!$I119</f>
        <v>0.45920319249294617</v>
      </c>
      <c r="D119" s="5">
        <f>transformed_data!D119/transformed_data!$I119</f>
        <v>9.1619071931703031E-2</v>
      </c>
      <c r="E119" s="5">
        <f>transformed_data!E119/transformed_data!$I119</f>
        <v>7.5768050420580102E-2</v>
      </c>
      <c r="F119" s="5">
        <f>transformed_data!F119/transformed_data!$I119</f>
        <v>0.29407724468411706</v>
      </c>
      <c r="G119" s="5">
        <f t="shared" si="1"/>
        <v>1.0000000000000016</v>
      </c>
    </row>
    <row r="120" spans="1:7" x14ac:dyDescent="0.3">
      <c r="A120" s="1">
        <v>42247</v>
      </c>
      <c r="B120" s="5">
        <f>transformed_data!B120/transformed_data!$I120</f>
        <v>7.8450957826623202E-2</v>
      </c>
      <c r="C120" s="5">
        <f>transformed_data!C120/transformed_data!$I120</f>
        <v>0.45940664004386045</v>
      </c>
      <c r="D120" s="5">
        <f>transformed_data!D120/transformed_data!$I120</f>
        <v>9.2297517629051126E-2</v>
      </c>
      <c r="E120" s="5">
        <f>transformed_data!E120/transformed_data!$I120</f>
        <v>7.759888746264583E-2</v>
      </c>
      <c r="F120" s="5">
        <f>transformed_data!F120/transformed_data!$I120</f>
        <v>0.29224599703782322</v>
      </c>
      <c r="G120" s="5">
        <f t="shared" si="1"/>
        <v>1.0000000000000038</v>
      </c>
    </row>
    <row r="121" spans="1:7" x14ac:dyDescent="0.3">
      <c r="A121" s="1">
        <v>42277</v>
      </c>
      <c r="B121" s="5">
        <f>transformed_data!B121/transformed_data!$I121</f>
        <v>7.4818222650444813E-2</v>
      </c>
      <c r="C121" s="5">
        <f>transformed_data!C121/transformed_data!$I121</f>
        <v>0.46128769514205897</v>
      </c>
      <c r="D121" s="5">
        <f>transformed_data!D121/transformed_data!$I121</f>
        <v>9.3016401923911196E-2</v>
      </c>
      <c r="E121" s="5">
        <f>transformed_data!E121/transformed_data!$I121</f>
        <v>7.9049191639845875E-2</v>
      </c>
      <c r="F121" s="5">
        <f>transformed_data!F121/transformed_data!$I121</f>
        <v>0.29182843354919569</v>
      </c>
      <c r="G121" s="5">
        <f t="shared" si="1"/>
        <v>0.99999994490545663</v>
      </c>
    </row>
    <row r="122" spans="1:7" x14ac:dyDescent="0.3">
      <c r="A122" s="1">
        <v>42308</v>
      </c>
      <c r="B122" s="5">
        <f>transformed_data!B122/transformed_data!$I122</f>
        <v>7.0126109111911542E-2</v>
      </c>
      <c r="C122" s="5">
        <f>transformed_data!C122/transformed_data!$I122</f>
        <v>0.46194379783918871</v>
      </c>
      <c r="D122" s="5">
        <f>transformed_data!D122/transformed_data!$I122</f>
        <v>9.3720409739792454E-2</v>
      </c>
      <c r="E122" s="5">
        <f>transformed_data!E122/transformed_data!$I122</f>
        <v>7.9494300686555233E-2</v>
      </c>
      <c r="F122" s="5">
        <f>transformed_data!F122/transformed_data!$I122</f>
        <v>0.29471538262254815</v>
      </c>
      <c r="G122" s="5">
        <f t="shared" si="1"/>
        <v>0.99999999999999611</v>
      </c>
    </row>
    <row r="123" spans="1:7" x14ac:dyDescent="0.3">
      <c r="A123" s="1">
        <v>42338</v>
      </c>
      <c r="B123" s="5">
        <f>transformed_data!B123/transformed_data!$I123</f>
        <v>7.9988792873635098E-2</v>
      </c>
      <c r="C123" s="5">
        <f>transformed_data!C123/transformed_data!$I123</f>
        <v>0.44735965521674342</v>
      </c>
      <c r="D123" s="5">
        <f>transformed_data!D123/transformed_data!$I123</f>
        <v>9.0921184254908846E-2</v>
      </c>
      <c r="E123" s="5">
        <f>transformed_data!E123/transformed_data!$I123</f>
        <v>7.8730305670530895E-2</v>
      </c>
      <c r="F123" s="5">
        <f>transformed_data!F123/transformed_data!$I123</f>
        <v>0.30300006198418344</v>
      </c>
      <c r="G123" s="5">
        <f t="shared" si="1"/>
        <v>1.0000000000000016</v>
      </c>
    </row>
    <row r="124" spans="1:7" x14ac:dyDescent="0.3">
      <c r="A124" s="1">
        <v>42369</v>
      </c>
      <c r="B124" s="5">
        <f>transformed_data!B124/transformed_data!$I124</f>
        <v>8.000966594466738E-2</v>
      </c>
      <c r="C124" s="5">
        <f>transformed_data!C124/transformed_data!$I124</f>
        <v>0.4469269100273926</v>
      </c>
      <c r="D124" s="5">
        <f>transformed_data!D124/transformed_data!$I124</f>
        <v>9.1152407363022478E-2</v>
      </c>
      <c r="E124" s="5">
        <f>transformed_data!E124/transformed_data!$I124</f>
        <v>7.9851533590736712E-2</v>
      </c>
      <c r="F124" s="5">
        <f>transformed_data!F124/transformed_data!$I124</f>
        <v>0.30205948307418506</v>
      </c>
      <c r="G124" s="5">
        <f t="shared" si="1"/>
        <v>1.0000000000000042</v>
      </c>
    </row>
    <row r="125" spans="1:7" x14ac:dyDescent="0.3">
      <c r="A125" s="1">
        <v>42400</v>
      </c>
      <c r="B125" s="5">
        <f>transformed_data!B125/transformed_data!$I125</f>
        <v>7.7733503780060109E-2</v>
      </c>
      <c r="C125" s="5">
        <f>transformed_data!C125/transformed_data!$I125</f>
        <v>0.44547972815042564</v>
      </c>
      <c r="D125" s="5">
        <f>transformed_data!D125/transformed_data!$I125</f>
        <v>9.1401288427317193E-2</v>
      </c>
      <c r="E125" s="5">
        <f>transformed_data!E125/transformed_data!$I125</f>
        <v>7.9072884411333977E-2</v>
      </c>
      <c r="F125" s="5">
        <f>transformed_data!F125/transformed_data!$I125</f>
        <v>0.30631259523086213</v>
      </c>
      <c r="G125" s="5">
        <f t="shared" si="1"/>
        <v>0.99999999999999911</v>
      </c>
    </row>
    <row r="126" spans="1:7" x14ac:dyDescent="0.3">
      <c r="A126" s="1">
        <v>42429</v>
      </c>
      <c r="B126" s="5">
        <f>transformed_data!B126/transformed_data!$I126</f>
        <v>8.1145630186565357E-2</v>
      </c>
      <c r="C126" s="5">
        <f>transformed_data!C126/transformed_data!$I126</f>
        <v>0.44526726310739945</v>
      </c>
      <c r="D126" s="5">
        <f>transformed_data!D126/transformed_data!$I126</f>
        <v>9.1424831822043418E-2</v>
      </c>
      <c r="E126" s="5">
        <f>transformed_data!E126/transformed_data!$I126</f>
        <v>7.8236206588979326E-2</v>
      </c>
      <c r="F126" s="5">
        <f>transformed_data!F126/transformed_data!$I126</f>
        <v>0.30392606829501462</v>
      </c>
      <c r="G126" s="5">
        <f t="shared" si="1"/>
        <v>1.0000000000000022</v>
      </c>
    </row>
    <row r="127" spans="1:7" x14ac:dyDescent="0.3">
      <c r="A127" s="1">
        <v>42460</v>
      </c>
      <c r="B127" s="5">
        <f>transformed_data!B127/transformed_data!$I127</f>
        <v>8.3984674077476978E-2</v>
      </c>
      <c r="C127" s="5">
        <f>transformed_data!C127/transformed_data!$I127</f>
        <v>0.44345844250536981</v>
      </c>
      <c r="D127" s="5">
        <f>transformed_data!D127/transformed_data!$I127</f>
        <v>9.1385684428908098E-2</v>
      </c>
      <c r="E127" s="5">
        <f>transformed_data!E127/transformed_data!$I127</f>
        <v>7.9130358403815729E-2</v>
      </c>
      <c r="F127" s="5">
        <f>transformed_data!F127/transformed_data!$I127</f>
        <v>0.30204084058442932</v>
      </c>
      <c r="G127" s="5">
        <f t="shared" si="1"/>
        <v>1</v>
      </c>
    </row>
    <row r="128" spans="1:7" x14ac:dyDescent="0.3">
      <c r="A128" s="1">
        <v>42490</v>
      </c>
      <c r="B128" s="5">
        <f>transformed_data!B128/transformed_data!$I128</f>
        <v>7.9581234777428164E-2</v>
      </c>
      <c r="C128" s="5">
        <f>transformed_data!C128/transformed_data!$I128</f>
        <v>0.44589101596830755</v>
      </c>
      <c r="D128" s="5">
        <f>transformed_data!D128/transformed_data!$I128</f>
        <v>9.2384544302537883E-2</v>
      </c>
      <c r="E128" s="5">
        <f>transformed_data!E128/transformed_data!$I128</f>
        <v>7.8182284316670375E-2</v>
      </c>
      <c r="F128" s="5">
        <f>transformed_data!F128/transformed_data!$I128</f>
        <v>0.30396097275262868</v>
      </c>
      <c r="G128" s="5">
        <f t="shared" si="1"/>
        <v>1.0000000521175725</v>
      </c>
    </row>
    <row r="129" spans="1:7" x14ac:dyDescent="0.3">
      <c r="A129" s="1">
        <v>42521</v>
      </c>
      <c r="B129" s="5">
        <f>transformed_data!B129/transformed_data!$I129</f>
        <v>7.9103098353063034E-2</v>
      </c>
      <c r="C129" s="5">
        <f>transformed_data!C129/transformed_data!$I129</f>
        <v>0.44575547035283442</v>
      </c>
      <c r="D129" s="5">
        <f>transformed_data!D129/transformed_data!$I129</f>
        <v>9.1988332512237925E-2</v>
      </c>
      <c r="E129" s="5">
        <f>transformed_data!E129/transformed_data!$I129</f>
        <v>7.8362981314673411E-2</v>
      </c>
      <c r="F129" s="5">
        <f>transformed_data!F129/transformed_data!$I129</f>
        <v>0.30479011746719165</v>
      </c>
      <c r="G129" s="5">
        <f t="shared" si="1"/>
        <v>1.0000000000000004</v>
      </c>
    </row>
    <row r="130" spans="1:7" x14ac:dyDescent="0.3">
      <c r="A130" s="1">
        <v>42551</v>
      </c>
      <c r="B130" s="5">
        <f>transformed_data!B130/transformed_data!$I130</f>
        <v>7.7803057451299257E-2</v>
      </c>
      <c r="C130" s="5">
        <f>transformed_data!C130/transformed_data!$I130</f>
        <v>0.44406092758434351</v>
      </c>
      <c r="D130" s="5">
        <f>transformed_data!D130/transformed_data!$I130</f>
        <v>9.2056002439035903E-2</v>
      </c>
      <c r="E130" s="5">
        <f>transformed_data!E130/transformed_data!$I130</f>
        <v>7.9046643954554061E-2</v>
      </c>
      <c r="F130" s="5">
        <f>transformed_data!F130/transformed_data!$I130</f>
        <v>0.30703336857076519</v>
      </c>
      <c r="G130" s="5">
        <f t="shared" ref="G130:G193" si="2">SUM(B130:F130)</f>
        <v>0.999999999999998</v>
      </c>
    </row>
    <row r="131" spans="1:7" x14ac:dyDescent="0.3">
      <c r="A131" s="1">
        <v>42582</v>
      </c>
      <c r="B131" s="5">
        <f>transformed_data!B131/transformed_data!$I131</f>
        <v>7.9779524794261619E-2</v>
      </c>
      <c r="C131" s="5">
        <f>transformed_data!C131/transformed_data!$I131</f>
        <v>0.44377226012390547</v>
      </c>
      <c r="D131" s="5">
        <f>transformed_data!D131/transformed_data!$I131</f>
        <v>9.2495344926139061E-2</v>
      </c>
      <c r="E131" s="5">
        <f>transformed_data!E131/transformed_data!$I131</f>
        <v>7.8539759664010486E-2</v>
      </c>
      <c r="F131" s="5">
        <f>transformed_data!F131/transformed_data!$I131</f>
        <v>0.30541305901877891</v>
      </c>
      <c r="G131" s="5">
        <f t="shared" si="2"/>
        <v>0.99999994852709562</v>
      </c>
    </row>
    <row r="132" spans="1:7" x14ac:dyDescent="0.3">
      <c r="A132" s="1">
        <v>42613</v>
      </c>
      <c r="B132" s="5">
        <f>transformed_data!B132/transformed_data!$I132</f>
        <v>8.3696773835097507E-2</v>
      </c>
      <c r="C132" s="5">
        <f>transformed_data!C132/transformed_data!$I132</f>
        <v>0.44177858674546805</v>
      </c>
      <c r="D132" s="5">
        <f>transformed_data!D132/transformed_data!$I132</f>
        <v>9.2951291946956713E-2</v>
      </c>
      <c r="E132" s="5">
        <f>transformed_data!E132/transformed_data!$I132</f>
        <v>7.8593596013718764E-2</v>
      </c>
      <c r="F132" s="5">
        <f>transformed_data!F132/transformed_data!$I132</f>
        <v>0.30297975145875844</v>
      </c>
      <c r="G132" s="5">
        <f t="shared" si="2"/>
        <v>0.99999999999999944</v>
      </c>
    </row>
    <row r="133" spans="1:7" x14ac:dyDescent="0.3">
      <c r="A133" s="1">
        <v>42643</v>
      </c>
      <c r="B133" s="5">
        <f>transformed_data!B133/transformed_data!$I133</f>
        <v>8.4142780059262109E-2</v>
      </c>
      <c r="C133" s="5">
        <f>transformed_data!C133/transformed_data!$I133</f>
        <v>0.44095419311967871</v>
      </c>
      <c r="D133" s="5">
        <f>transformed_data!D133/transformed_data!$I133</f>
        <v>9.3264475443391406E-2</v>
      </c>
      <c r="E133" s="5">
        <f>transformed_data!E133/transformed_data!$I133</f>
        <v>7.9553723892887562E-2</v>
      </c>
      <c r="F133" s="5">
        <f>transformed_data!F133/transformed_data!$I133</f>
        <v>0.30208482748477772</v>
      </c>
      <c r="G133" s="5">
        <f t="shared" si="2"/>
        <v>0.99999999999999745</v>
      </c>
    </row>
    <row r="134" spans="1:7" x14ac:dyDescent="0.3">
      <c r="A134" s="1">
        <v>42674</v>
      </c>
      <c r="B134" s="5">
        <f>transformed_data!B134/transformed_data!$I134</f>
        <v>8.8507219937309381E-2</v>
      </c>
      <c r="C134" s="5">
        <f>transformed_data!C134/transformed_data!$I134</f>
        <v>0.43629972201407419</v>
      </c>
      <c r="D134" s="5">
        <f>transformed_data!D134/transformed_data!$I134</f>
        <v>9.2776520613944036E-2</v>
      </c>
      <c r="E134" s="5">
        <f>transformed_data!E134/transformed_data!$I134</f>
        <v>7.767317845912089E-2</v>
      </c>
      <c r="F134" s="5">
        <f>transformed_data!F134/transformed_data!$I134</f>
        <v>0.30474335897554811</v>
      </c>
      <c r="G134" s="5">
        <f t="shared" si="2"/>
        <v>0.99999999999999667</v>
      </c>
    </row>
    <row r="135" spans="1:7" x14ac:dyDescent="0.3">
      <c r="A135" s="1">
        <v>42704</v>
      </c>
      <c r="B135" s="5">
        <f>transformed_data!B135/transformed_data!$I135</f>
        <v>9.3891539006557612E-2</v>
      </c>
      <c r="C135" s="5">
        <f>transformed_data!C135/transformed_data!$I135</f>
        <v>0.43337751352361031</v>
      </c>
      <c r="D135" s="5">
        <f>transformed_data!D135/transformed_data!$I135</f>
        <v>9.2089210011623138E-2</v>
      </c>
      <c r="E135" s="5">
        <f>transformed_data!E135/transformed_data!$I135</f>
        <v>7.8527470434498967E-2</v>
      </c>
      <c r="F135" s="5">
        <f>transformed_data!F135/transformed_data!$I135</f>
        <v>0.30211426702370942</v>
      </c>
      <c r="G135" s="5">
        <f t="shared" si="2"/>
        <v>0.99999999999999956</v>
      </c>
    </row>
    <row r="136" spans="1:7" x14ac:dyDescent="0.3">
      <c r="A136" s="1">
        <v>42735</v>
      </c>
      <c r="B136" s="5">
        <f>transformed_data!B136/transformed_data!$I136</f>
        <v>9.1003606600876558E-2</v>
      </c>
      <c r="C136" s="5">
        <f>transformed_data!C136/transformed_data!$I136</f>
        <v>0.43345310152007432</v>
      </c>
      <c r="D136" s="5">
        <f>transformed_data!D136/transformed_data!$I136</f>
        <v>9.2557312624078722E-2</v>
      </c>
      <c r="E136" s="5">
        <f>transformed_data!E136/transformed_data!$I136</f>
        <v>7.9856668344814447E-2</v>
      </c>
      <c r="F136" s="5">
        <f>transformed_data!F136/transformed_data!$I136</f>
        <v>0.30312931091015544</v>
      </c>
      <c r="G136" s="5">
        <f t="shared" si="2"/>
        <v>0.99999999999999956</v>
      </c>
    </row>
    <row r="137" spans="1:7" x14ac:dyDescent="0.3">
      <c r="A137" s="1">
        <v>42766</v>
      </c>
      <c r="B137" s="5">
        <f>transformed_data!B137/transformed_data!$I137</f>
        <v>8.8376170695587938E-2</v>
      </c>
      <c r="C137" s="5">
        <f>transformed_data!C137/transformed_data!$I137</f>
        <v>0.43528948467673284</v>
      </c>
      <c r="D137" s="5">
        <f>transformed_data!D137/transformed_data!$I137</f>
        <v>9.3376225032790819E-2</v>
      </c>
      <c r="E137" s="5">
        <f>transformed_data!E137/transformed_data!$I137</f>
        <v>7.8327484839848388E-2</v>
      </c>
      <c r="F137" s="5">
        <f>transformed_data!F137/transformed_data!$I137</f>
        <v>0.30463063475504248</v>
      </c>
      <c r="G137" s="5">
        <f t="shared" si="2"/>
        <v>1.0000000000000027</v>
      </c>
    </row>
    <row r="138" spans="1:7" x14ac:dyDescent="0.3">
      <c r="A138" s="1">
        <v>42794</v>
      </c>
      <c r="B138" s="5">
        <f>transformed_data!B138/transformed_data!$I138</f>
        <v>8.7825582773047153E-2</v>
      </c>
      <c r="C138" s="5">
        <f>transformed_data!C138/transformed_data!$I138</f>
        <v>0.43511083323711608</v>
      </c>
      <c r="D138" s="5">
        <f>transformed_data!D138/transformed_data!$I138</f>
        <v>9.411002620882794E-2</v>
      </c>
      <c r="E138" s="5">
        <f>transformed_data!E138/transformed_data!$I138</f>
        <v>7.9306746657675509E-2</v>
      </c>
      <c r="F138" s="5">
        <f>transformed_data!F138/transformed_data!$I138</f>
        <v>0.3036468111233328</v>
      </c>
      <c r="G138" s="5">
        <f t="shared" si="2"/>
        <v>0.99999999999999956</v>
      </c>
    </row>
    <row r="139" spans="1:7" x14ac:dyDescent="0.3">
      <c r="A139" s="1">
        <v>42825</v>
      </c>
      <c r="B139" s="5">
        <f>transformed_data!B139/transformed_data!$I139</f>
        <v>8.8527824753559414E-2</v>
      </c>
      <c r="C139" s="5">
        <f>transformed_data!C139/transformed_data!$I139</f>
        <v>0.43848581271769238</v>
      </c>
      <c r="D139" s="5">
        <f>transformed_data!D139/transformed_data!$I139</f>
        <v>9.5251311269600777E-2</v>
      </c>
      <c r="E139" s="5">
        <f>transformed_data!E139/transformed_data!$I139</f>
        <v>8.1472532197970127E-2</v>
      </c>
      <c r="F139" s="5">
        <f>transformed_data!F139/transformed_data!$I139</f>
        <v>0.29626251906117673</v>
      </c>
      <c r="G139" s="5">
        <f t="shared" si="2"/>
        <v>0.99999999999999933</v>
      </c>
    </row>
    <row r="140" spans="1:7" x14ac:dyDescent="0.3">
      <c r="A140" s="1">
        <v>42855</v>
      </c>
      <c r="B140" s="5">
        <f>transformed_data!B140/transformed_data!$I140</f>
        <v>8.7774841784882193E-2</v>
      </c>
      <c r="C140" s="5">
        <f>transformed_data!C140/transformed_data!$I140</f>
        <v>0.43921464443880814</v>
      </c>
      <c r="D140" s="5">
        <f>transformed_data!D140/transformed_data!$I140</f>
        <v>9.586232501920286E-2</v>
      </c>
      <c r="E140" s="5">
        <f>transformed_data!E140/transformed_data!$I140</f>
        <v>8.0073479804977157E-2</v>
      </c>
      <c r="F140" s="5">
        <f>transformed_data!F140/transformed_data!$I140</f>
        <v>0.29707470895213106</v>
      </c>
      <c r="G140" s="5">
        <f t="shared" si="2"/>
        <v>1.0000000000000013</v>
      </c>
    </row>
    <row r="141" spans="1:7" x14ac:dyDescent="0.3">
      <c r="A141" s="1">
        <v>42886</v>
      </c>
      <c r="B141" s="5">
        <f>transformed_data!B141/transformed_data!$I141</f>
        <v>8.8076378355923884E-2</v>
      </c>
      <c r="C141" s="5">
        <f>transformed_data!C141/transformed_data!$I141</f>
        <v>0.44018414909163495</v>
      </c>
      <c r="D141" s="5">
        <f>transformed_data!D141/transformed_data!$I141</f>
        <v>9.6084499833594281E-2</v>
      </c>
      <c r="E141" s="5">
        <f>transformed_data!E141/transformed_data!$I141</f>
        <v>8.0214817753048534E-2</v>
      </c>
      <c r="F141" s="5">
        <f>transformed_data!F141/transformed_data!$I141</f>
        <v>0.2954401549657994</v>
      </c>
      <c r="G141" s="5">
        <f t="shared" si="2"/>
        <v>1.0000000000000009</v>
      </c>
    </row>
    <row r="142" spans="1:7" x14ac:dyDescent="0.3">
      <c r="A142" s="1">
        <v>42916</v>
      </c>
      <c r="B142" s="5">
        <f>transformed_data!B142/transformed_data!$I142</f>
        <v>8.6570756302266835E-2</v>
      </c>
      <c r="C142" s="5">
        <f>transformed_data!C142/transformed_data!$I142</f>
        <v>0.44134612105832721</v>
      </c>
      <c r="D142" s="5">
        <f>transformed_data!D142/transformed_data!$I142</f>
        <v>9.6695893557764354E-2</v>
      </c>
      <c r="E142" s="5">
        <f>transformed_data!E142/transformed_data!$I142</f>
        <v>8.1344985052344568E-2</v>
      </c>
      <c r="F142" s="5">
        <f>transformed_data!F142/transformed_data!$I142</f>
        <v>0.29404224402929763</v>
      </c>
      <c r="G142" s="5">
        <f t="shared" si="2"/>
        <v>1.0000000000000004</v>
      </c>
    </row>
    <row r="143" spans="1:7" x14ac:dyDescent="0.3">
      <c r="A143" s="1">
        <v>42947</v>
      </c>
      <c r="B143" s="5">
        <f>transformed_data!B143/transformed_data!$I143</f>
        <v>8.8584759939365654E-2</v>
      </c>
      <c r="C143" s="5">
        <f>transformed_data!C143/transformed_data!$I143</f>
        <v>0.44254725483176227</v>
      </c>
      <c r="D143" s="5">
        <f>transformed_data!D143/transformed_data!$I143</f>
        <v>9.7312627175981339E-2</v>
      </c>
      <c r="E143" s="5">
        <f>transformed_data!E143/transformed_data!$I143</f>
        <v>8.005816461065296E-2</v>
      </c>
      <c r="F143" s="5">
        <f>transformed_data!F143/transformed_data!$I143</f>
        <v>0.29149719344223873</v>
      </c>
      <c r="G143" s="5">
        <f t="shared" si="2"/>
        <v>1.0000000000000009</v>
      </c>
    </row>
    <row r="144" spans="1:7" x14ac:dyDescent="0.3">
      <c r="A144" s="1">
        <v>42978</v>
      </c>
      <c r="B144" s="5">
        <f>transformed_data!B144/transformed_data!$I144</f>
        <v>8.8080801657631672E-2</v>
      </c>
      <c r="C144" s="5">
        <f>transformed_data!C144/transformed_data!$I144</f>
        <v>0.44286780080399302</v>
      </c>
      <c r="D144" s="5">
        <f>transformed_data!D144/transformed_data!$I144</f>
        <v>9.7745054821406704E-2</v>
      </c>
      <c r="E144" s="5">
        <f>transformed_data!E144/transformed_data!$I144</f>
        <v>8.1505110241253453E-2</v>
      </c>
      <c r="F144" s="5">
        <f>transformed_data!F144/transformed_data!$I144</f>
        <v>0.2898012324757131</v>
      </c>
      <c r="G144" s="5">
        <f t="shared" si="2"/>
        <v>0.999999999999998</v>
      </c>
    </row>
    <row r="145" spans="1:7" x14ac:dyDescent="0.3">
      <c r="A145" s="1">
        <v>43008</v>
      </c>
      <c r="B145" s="5">
        <f>transformed_data!B145/transformed_data!$I145</f>
        <v>8.9006921902281322E-2</v>
      </c>
      <c r="C145" s="5">
        <f>transformed_data!C145/transformed_data!$I145</f>
        <v>0.43494898661401477</v>
      </c>
      <c r="D145" s="5">
        <f>transformed_data!D145/transformed_data!$I145</f>
        <v>9.6404764360551204E-2</v>
      </c>
      <c r="E145" s="5">
        <f>transformed_data!E145/transformed_data!$I145</f>
        <v>8.1040252982618757E-2</v>
      </c>
      <c r="F145" s="5">
        <f>transformed_data!F145/transformed_data!$I145</f>
        <v>0.29859907414053205</v>
      </c>
      <c r="G145" s="5">
        <f t="shared" si="2"/>
        <v>0.99999999999999822</v>
      </c>
    </row>
    <row r="146" spans="1:7" x14ac:dyDescent="0.3">
      <c r="A146" s="1">
        <v>43039</v>
      </c>
      <c r="B146" s="5">
        <f>transformed_data!B146/transformed_data!$I146</f>
        <v>9.0787873764850771E-2</v>
      </c>
      <c r="C146" s="5">
        <f>transformed_data!C146/transformed_data!$I146</f>
        <v>0.43195030134934415</v>
      </c>
      <c r="D146" s="5">
        <f>transformed_data!D146/transformed_data!$I146</f>
        <v>9.6059997051260351E-2</v>
      </c>
      <c r="E146" s="5">
        <f>transformed_data!E146/transformed_data!$I146</f>
        <v>7.9438158015381413E-2</v>
      </c>
      <c r="F146" s="5">
        <f>transformed_data!F146/transformed_data!$I146</f>
        <v>0.30176366981916436</v>
      </c>
      <c r="G146" s="5">
        <f t="shared" si="2"/>
        <v>1.0000000000000011</v>
      </c>
    </row>
    <row r="147" spans="1:7" x14ac:dyDescent="0.3">
      <c r="A147" s="1">
        <v>43069</v>
      </c>
      <c r="B147" s="5">
        <f>transformed_data!B147/transformed_data!$I147</f>
        <v>9.5719884240248743E-2</v>
      </c>
      <c r="C147" s="5">
        <f>transformed_data!C147/transformed_data!$I147</f>
        <v>0.42887695932690728</v>
      </c>
      <c r="D147" s="5">
        <f>transformed_data!D147/transformed_data!$I147</f>
        <v>9.6186854116272869E-2</v>
      </c>
      <c r="E147" s="5">
        <f>transformed_data!E147/transformed_data!$I147</f>
        <v>8.039485398371865E-2</v>
      </c>
      <c r="F147" s="5">
        <f>transformed_data!F147/transformed_data!$I147</f>
        <v>0.2988214483328549</v>
      </c>
      <c r="G147" s="5">
        <f t="shared" si="2"/>
        <v>1.0000000000000024</v>
      </c>
    </row>
    <row r="148" spans="1:7" x14ac:dyDescent="0.3">
      <c r="A148" s="1">
        <v>43100</v>
      </c>
      <c r="B148" s="5">
        <f>transformed_data!B148/transformed_data!$I148</f>
        <v>9.5445111479762965E-2</v>
      </c>
      <c r="C148" s="5">
        <f>transformed_data!C148/transformed_data!$I148</f>
        <v>0.43184759551728047</v>
      </c>
      <c r="D148" s="5">
        <f>transformed_data!D148/transformed_data!$I148</f>
        <v>9.7230694560440645E-2</v>
      </c>
      <c r="E148" s="5">
        <f>transformed_data!E148/transformed_data!$I148</f>
        <v>8.207963872369381E-2</v>
      </c>
      <c r="F148" s="5">
        <f>transformed_data!F148/transformed_data!$I148</f>
        <v>0.29339691092107079</v>
      </c>
      <c r="G148" s="5">
        <f t="shared" si="2"/>
        <v>0.99999995120224872</v>
      </c>
    </row>
    <row r="149" spans="1:7" x14ac:dyDescent="0.3">
      <c r="A149" s="1">
        <v>43131</v>
      </c>
      <c r="B149" s="5">
        <f>transformed_data!B149/transformed_data!$I149</f>
        <v>9.5977617329007212E-2</v>
      </c>
      <c r="C149" s="5">
        <f>transformed_data!C149/transformed_data!$I149</f>
        <v>0.43375097157484049</v>
      </c>
      <c r="D149" s="5">
        <f>transformed_data!D149/transformed_data!$I149</f>
        <v>9.7831373102843969E-2</v>
      </c>
      <c r="E149" s="5">
        <f>transformed_data!E149/transformed_data!$I149</f>
        <v>8.0683247098681188E-2</v>
      </c>
      <c r="F149" s="5">
        <f>transformed_data!F149/transformed_data!$I149</f>
        <v>0.29175679089462919</v>
      </c>
      <c r="G149" s="5">
        <f t="shared" si="2"/>
        <v>1.000000000000002</v>
      </c>
    </row>
    <row r="150" spans="1:7" x14ac:dyDescent="0.3">
      <c r="A150" s="1">
        <v>43159</v>
      </c>
      <c r="B150" s="5">
        <f>transformed_data!B150/transformed_data!$I150</f>
        <v>9.9635547402813995E-2</v>
      </c>
      <c r="C150" s="5">
        <f>transformed_data!C150/transformed_data!$I150</f>
        <v>0.42672115012030487</v>
      </c>
      <c r="D150" s="5">
        <f>transformed_data!D150/transformed_data!$I150</f>
        <v>9.7045627630497344E-2</v>
      </c>
      <c r="E150" s="5">
        <f>transformed_data!E150/transformed_data!$I150</f>
        <v>8.0384238305329717E-2</v>
      </c>
      <c r="F150" s="5">
        <f>transformed_data!F150/transformed_data!$I150</f>
        <v>0.29621343654105214</v>
      </c>
      <c r="G150" s="5">
        <f t="shared" si="2"/>
        <v>0.99999999999999811</v>
      </c>
    </row>
    <row r="151" spans="1:7" x14ac:dyDescent="0.3">
      <c r="A151" s="1">
        <v>43190</v>
      </c>
      <c r="B151" s="5">
        <f>transformed_data!B151/transformed_data!$I151</f>
        <v>0.10853521689990807</v>
      </c>
      <c r="C151" s="5">
        <f>transformed_data!C151/transformed_data!$I151</f>
        <v>0.42317242645409525</v>
      </c>
      <c r="D151" s="5">
        <f>transformed_data!D151/transformed_data!$I151</f>
        <v>9.6585409110029954E-2</v>
      </c>
      <c r="E151" s="5">
        <f>transformed_data!E151/transformed_data!$I151</f>
        <v>8.0336097783609006E-2</v>
      </c>
      <c r="F151" s="5">
        <f>transformed_data!F151/transformed_data!$I151</f>
        <v>0.29137084975236144</v>
      </c>
      <c r="G151" s="5">
        <f t="shared" si="2"/>
        <v>1.0000000000000038</v>
      </c>
    </row>
    <row r="152" spans="1:7" x14ac:dyDescent="0.3">
      <c r="A152" s="1">
        <v>43220</v>
      </c>
      <c r="B152" s="5">
        <f>transformed_data!B152/transformed_data!$I152</f>
        <v>0.10295074725129068</v>
      </c>
      <c r="C152" s="5">
        <f>transformed_data!C152/transformed_data!$I152</f>
        <v>0.42596041862965228</v>
      </c>
      <c r="D152" s="5">
        <f>transformed_data!D152/transformed_data!$I152</f>
        <v>9.7301805471153052E-2</v>
      </c>
      <c r="E152" s="5">
        <f>transformed_data!E152/transformed_data!$I152</f>
        <v>7.8635698682243377E-2</v>
      </c>
      <c r="F152" s="5">
        <f>transformed_data!F152/transformed_data!$I152</f>
        <v>0.2951513299656644</v>
      </c>
      <c r="G152" s="5">
        <f t="shared" si="2"/>
        <v>1.000000000000004</v>
      </c>
    </row>
    <row r="153" spans="1:7" x14ac:dyDescent="0.3">
      <c r="A153" s="1">
        <v>43251</v>
      </c>
      <c r="B153" s="5">
        <f>transformed_data!B153/transformed_data!$I153</f>
        <v>0.10328493312788196</v>
      </c>
      <c r="C153" s="5">
        <f>transformed_data!C153/transformed_data!$I153</f>
        <v>0.42573212271304345</v>
      </c>
      <c r="D153" s="5">
        <f>transformed_data!D153/transformed_data!$I153</f>
        <v>9.7627507932614835E-2</v>
      </c>
      <c r="E153" s="5">
        <f>transformed_data!E153/transformed_data!$I153</f>
        <v>7.9869626829268084E-2</v>
      </c>
      <c r="F153" s="5">
        <f>transformed_data!F153/transformed_data!$I153</f>
        <v>0.29348580939719121</v>
      </c>
      <c r="G153" s="5">
        <f t="shared" si="2"/>
        <v>0.99999999999999956</v>
      </c>
    </row>
    <row r="154" spans="1:7" x14ac:dyDescent="0.3">
      <c r="A154" s="1">
        <v>43281</v>
      </c>
      <c r="B154" s="5">
        <f>transformed_data!B154/transformed_data!$I154</f>
        <v>0.10181522293312005</v>
      </c>
      <c r="C154" s="5">
        <f>transformed_data!C154/transformed_data!$I154</f>
        <v>0.42614610022073263</v>
      </c>
      <c r="D154" s="5">
        <f>transformed_data!D154/transformed_data!$I154</f>
        <v>9.8058396362152758E-2</v>
      </c>
      <c r="E154" s="5">
        <f>transformed_data!E154/transformed_data!$I154</f>
        <v>8.0861917208090509E-2</v>
      </c>
      <c r="F154" s="5">
        <f>transformed_data!F154/transformed_data!$I154</f>
        <v>0.29311836327590352</v>
      </c>
      <c r="G154" s="5">
        <f t="shared" si="2"/>
        <v>0.99999999999999956</v>
      </c>
    </row>
    <row r="155" spans="1:7" x14ac:dyDescent="0.3">
      <c r="A155" s="1">
        <v>43312</v>
      </c>
      <c r="B155" s="5">
        <f>transformed_data!B155/transformed_data!$I155</f>
        <v>0.10349972733218971</v>
      </c>
      <c r="C155" s="5">
        <f>transformed_data!C155/transformed_data!$I155</f>
        <v>0.42673086301729202</v>
      </c>
      <c r="D155" s="5">
        <f>transformed_data!D155/transformed_data!$I155</f>
        <v>9.8174910863422962E-2</v>
      </c>
      <c r="E155" s="5">
        <f>transformed_data!E155/transformed_data!$I155</f>
        <v>7.9390627316261411E-2</v>
      </c>
      <c r="F155" s="5">
        <f>transformed_data!F155/transformed_data!$I155</f>
        <v>0.29220387147083338</v>
      </c>
      <c r="G155" s="5">
        <f t="shared" si="2"/>
        <v>0.99999999999999956</v>
      </c>
    </row>
    <row r="156" spans="1:7" x14ac:dyDescent="0.3">
      <c r="A156" s="1">
        <v>43343</v>
      </c>
      <c r="B156" s="5">
        <f>transformed_data!B156/transformed_data!$I156</f>
        <v>0.10908893564789933</v>
      </c>
      <c r="C156" s="5">
        <f>transformed_data!C156/transformed_data!$I156</f>
        <v>0.42501721318000019</v>
      </c>
      <c r="D156" s="5">
        <f>transformed_data!D156/transformed_data!$I156</f>
        <v>9.8459265281244712E-2</v>
      </c>
      <c r="E156" s="5">
        <f>transformed_data!E156/transformed_data!$I156</f>
        <v>8.0512770360600741E-2</v>
      </c>
      <c r="F156" s="5">
        <f>transformed_data!F156/transformed_data!$I156</f>
        <v>0.28692181553025653</v>
      </c>
      <c r="G156" s="5">
        <f t="shared" si="2"/>
        <v>1.0000000000000016</v>
      </c>
    </row>
    <row r="157" spans="1:7" x14ac:dyDescent="0.3">
      <c r="A157" s="1">
        <v>43373</v>
      </c>
      <c r="B157" s="5">
        <f>transformed_data!B157/transformed_data!$I157</f>
        <v>0.10410533034975979</v>
      </c>
      <c r="C157" s="5">
        <f>transformed_data!C157/transformed_data!$I157</f>
        <v>0.42546733507901607</v>
      </c>
      <c r="D157" s="5">
        <f>transformed_data!D157/transformed_data!$I157</f>
        <v>9.8894629045040455E-2</v>
      </c>
      <c r="E157" s="5">
        <f>transformed_data!E157/transformed_data!$I157</f>
        <v>8.1609128764793357E-2</v>
      </c>
      <c r="F157" s="5">
        <f>transformed_data!F157/transformed_data!$I157</f>
        <v>0.28992362323830773</v>
      </c>
      <c r="G157" s="5">
        <f t="shared" si="2"/>
        <v>1.0000000464769174</v>
      </c>
    </row>
    <row r="158" spans="1:7" x14ac:dyDescent="0.3">
      <c r="A158" s="1">
        <v>43404</v>
      </c>
      <c r="B158" s="5">
        <f>transformed_data!B158/transformed_data!$I158</f>
        <v>0.10404400192675757</v>
      </c>
      <c r="C158" s="5">
        <f>transformed_data!C158/transformed_data!$I158</f>
        <v>0.42475592688609681</v>
      </c>
      <c r="D158" s="5">
        <f>transformed_data!D158/transformed_data!$I158</f>
        <v>9.8736787198808851E-2</v>
      </c>
      <c r="E158" s="5">
        <f>transformed_data!E158/transformed_data!$I158</f>
        <v>8.0123152053954136E-2</v>
      </c>
      <c r="F158" s="5">
        <f>transformed_data!F158/transformed_data!$I158</f>
        <v>0.2923401319343808</v>
      </c>
      <c r="G158" s="5">
        <f t="shared" si="2"/>
        <v>0.99999999999999822</v>
      </c>
    </row>
    <row r="159" spans="1:7" x14ac:dyDescent="0.3">
      <c r="A159" s="1">
        <v>43434</v>
      </c>
      <c r="B159" s="5">
        <f>transformed_data!B159/transformed_data!$I159</f>
        <v>0.1093404957525701</v>
      </c>
      <c r="C159" s="5">
        <f>transformed_data!C159/transformed_data!$I159</f>
        <v>0.42290132410088482</v>
      </c>
      <c r="D159" s="5">
        <f>transformed_data!D159/transformed_data!$I159</f>
        <v>9.8787729929535315E-2</v>
      </c>
      <c r="E159" s="5">
        <f>transformed_data!E159/transformed_data!$I159</f>
        <v>8.1100530590513698E-2</v>
      </c>
      <c r="F159" s="5">
        <f>transformed_data!F159/transformed_data!$I159</f>
        <v>0.28786991962649428</v>
      </c>
      <c r="G159" s="5">
        <f t="shared" si="2"/>
        <v>0.99999999999999822</v>
      </c>
    </row>
    <row r="160" spans="1:7" x14ac:dyDescent="0.3">
      <c r="A160" s="1">
        <v>43465</v>
      </c>
      <c r="B160" s="5">
        <f>transformed_data!B160/transformed_data!$I160</f>
        <v>0.10648868618606809</v>
      </c>
      <c r="C160" s="5">
        <f>transformed_data!C160/transformed_data!$I160</f>
        <v>0.42309124387190566</v>
      </c>
      <c r="D160" s="5">
        <f>transformed_data!D160/transformed_data!$I160</f>
        <v>9.8958389972153435E-2</v>
      </c>
      <c r="E160" s="5">
        <f>transformed_data!E160/transformed_data!$I160</f>
        <v>8.2221617648647161E-2</v>
      </c>
      <c r="F160" s="5">
        <f>transformed_data!F160/transformed_data!$I160</f>
        <v>0.28924006232122518</v>
      </c>
      <c r="G160" s="5">
        <f t="shared" si="2"/>
        <v>0.99999999999999956</v>
      </c>
    </row>
    <row r="161" spans="1:7" x14ac:dyDescent="0.3">
      <c r="A161" s="1">
        <v>43496</v>
      </c>
      <c r="B161" s="5">
        <f>transformed_data!B161/transformed_data!$I161</f>
        <v>0.1045865087279414</v>
      </c>
      <c r="C161" s="5">
        <f>transformed_data!C161/transformed_data!$I161</f>
        <v>0.42560593631847465</v>
      </c>
      <c r="D161" s="5">
        <f>transformed_data!D161/transformed_data!$I161</f>
        <v>9.9648510276308125E-2</v>
      </c>
      <c r="E161" s="5">
        <f>transformed_data!E161/transformed_data!$I161</f>
        <v>8.0719805272617545E-2</v>
      </c>
      <c r="F161" s="5">
        <f>transformed_data!F161/transformed_data!$I161</f>
        <v>0.28943923940465832</v>
      </c>
      <c r="G161" s="5">
        <f t="shared" si="2"/>
        <v>1</v>
      </c>
    </row>
    <row r="162" spans="1:7" x14ac:dyDescent="0.3">
      <c r="A162" s="1">
        <v>43524</v>
      </c>
      <c r="B162" s="5">
        <f>transformed_data!B162/transformed_data!$I162</f>
        <v>0.10834207129519656</v>
      </c>
      <c r="C162" s="5">
        <f>transformed_data!C162/transformed_data!$I162</f>
        <v>0.42396779925921446</v>
      </c>
      <c r="D162" s="5">
        <f>transformed_data!D162/transformed_data!$I162</f>
        <v>9.9522831103028092E-2</v>
      </c>
      <c r="E162" s="5">
        <f>transformed_data!E162/transformed_data!$I162</f>
        <v>8.122636762625679E-2</v>
      </c>
      <c r="F162" s="5">
        <f>transformed_data!F162/transformed_data!$I162</f>
        <v>0.28694093071630228</v>
      </c>
      <c r="G162" s="5">
        <f t="shared" si="2"/>
        <v>0.99999999999999822</v>
      </c>
    </row>
    <row r="163" spans="1:7" x14ac:dyDescent="0.3">
      <c r="A163" s="1">
        <v>43555</v>
      </c>
      <c r="B163" s="5">
        <f>transformed_data!B163/transformed_data!$I163</f>
        <v>0.11258619675040443</v>
      </c>
      <c r="C163" s="5">
        <f>transformed_data!C163/transformed_data!$I163</f>
        <v>0.42737975726451249</v>
      </c>
      <c r="D163" s="5">
        <f>transformed_data!D163/transformed_data!$I163</f>
        <v>0.10064516631772998</v>
      </c>
      <c r="E163" s="5">
        <f>transformed_data!E163/transformed_data!$I163</f>
        <v>8.2967295343747777E-2</v>
      </c>
      <c r="F163" s="5">
        <f>transformed_data!F163/transformed_data!$I163</f>
        <v>0.27642162972062395</v>
      </c>
      <c r="G163" s="5">
        <f t="shared" si="2"/>
        <v>1.0000000453970186</v>
      </c>
    </row>
    <row r="164" spans="1:7" x14ac:dyDescent="0.3">
      <c r="A164" s="1">
        <v>43585</v>
      </c>
      <c r="B164" s="5">
        <f>transformed_data!B164/transformed_data!$I164</f>
        <v>0.1082272143928843</v>
      </c>
      <c r="C164" s="5">
        <f>transformed_data!C164/transformed_data!$I164</f>
        <v>0.43088486676196414</v>
      </c>
      <c r="D164" s="5">
        <f>transformed_data!D164/transformed_data!$I164</f>
        <v>0.10137258236584572</v>
      </c>
      <c r="E164" s="5">
        <f>transformed_data!E164/transformed_data!$I164</f>
        <v>8.0468264876802448E-2</v>
      </c>
      <c r="F164" s="5">
        <f>transformed_data!F164/transformed_data!$I164</f>
        <v>0.27904711699995499</v>
      </c>
      <c r="G164" s="5">
        <f t="shared" si="2"/>
        <v>1.0000000453974516</v>
      </c>
    </row>
    <row r="165" spans="1:7" x14ac:dyDescent="0.3">
      <c r="A165" s="1">
        <v>43616</v>
      </c>
      <c r="B165" s="5">
        <f>transformed_data!B165/transformed_data!$I165</f>
        <v>0.10686919444023904</v>
      </c>
      <c r="C165" s="5">
        <f>transformed_data!C165/transformed_data!$I165</f>
        <v>0.43204434472540865</v>
      </c>
      <c r="D165" s="5">
        <f>transformed_data!D165/transformed_data!$I165</f>
        <v>0.10253475586277702</v>
      </c>
      <c r="E165" s="5">
        <f>transformed_data!E165/transformed_data!$I165</f>
        <v>8.2284745619821437E-2</v>
      </c>
      <c r="F165" s="5">
        <f>transformed_data!F165/transformed_data!$I165</f>
        <v>0.2762669593517515</v>
      </c>
      <c r="G165" s="5">
        <f t="shared" si="2"/>
        <v>0.99999999999999767</v>
      </c>
    </row>
    <row r="166" spans="1:7" x14ac:dyDescent="0.3">
      <c r="A166" s="1">
        <v>43646</v>
      </c>
      <c r="B166" s="5">
        <f>transformed_data!B166/transformed_data!$I166</f>
        <v>0.10220700970871226</v>
      </c>
      <c r="C166" s="5">
        <f>transformed_data!C166/transformed_data!$I166</f>
        <v>0.43383253985680487</v>
      </c>
      <c r="D166" s="5">
        <f>transformed_data!D166/transformed_data!$I166</f>
        <v>0.10327586852188757</v>
      </c>
      <c r="E166" s="5">
        <f>transformed_data!E166/transformed_data!$I166</f>
        <v>8.4050834818295256E-2</v>
      </c>
      <c r="F166" s="5">
        <f>transformed_data!F166/transformed_data!$I166</f>
        <v>0.27663374709429606</v>
      </c>
      <c r="G166" s="5">
        <f t="shared" si="2"/>
        <v>0.999999999999996</v>
      </c>
    </row>
    <row r="167" spans="1:7" x14ac:dyDescent="0.3">
      <c r="A167" s="1">
        <v>43677</v>
      </c>
      <c r="B167" s="5">
        <f>transformed_data!B167/transformed_data!$I167</f>
        <v>0.10016619068432338</v>
      </c>
      <c r="C167" s="5">
        <f>transformed_data!C167/transformed_data!$I167</f>
        <v>0.43783759101001085</v>
      </c>
      <c r="D167" s="5">
        <f>transformed_data!D167/transformed_data!$I167</f>
        <v>0.10401286090251678</v>
      </c>
      <c r="E167" s="5">
        <f>transformed_data!E167/transformed_data!$I167</f>
        <v>8.3070660948838859E-2</v>
      </c>
      <c r="F167" s="5">
        <f>transformed_data!F167/transformed_data!$I167</f>
        <v>0.27491265104593743</v>
      </c>
      <c r="G167" s="5">
        <f t="shared" si="2"/>
        <v>0.99999995459162738</v>
      </c>
    </row>
    <row r="168" spans="1:7" x14ac:dyDescent="0.3">
      <c r="A168" s="1">
        <v>43708</v>
      </c>
      <c r="B168" s="5">
        <f>transformed_data!B168/transformed_data!$I168</f>
        <v>0.10382309348702427</v>
      </c>
      <c r="C168" s="5">
        <f>transformed_data!C168/transformed_data!$I168</f>
        <v>0.42992972078419783</v>
      </c>
      <c r="D168" s="5">
        <f>transformed_data!D168/transformed_data!$I168</f>
        <v>0.10253870658761501</v>
      </c>
      <c r="E168" s="5">
        <f>transformed_data!E168/transformed_data!$I168</f>
        <v>8.2585212763631954E-2</v>
      </c>
      <c r="F168" s="5">
        <f>transformed_data!F168/transformed_data!$I168</f>
        <v>0.28112326637753343</v>
      </c>
      <c r="G168" s="5">
        <f t="shared" si="2"/>
        <v>1.0000000000000024</v>
      </c>
    </row>
    <row r="169" spans="1:7" x14ac:dyDescent="0.3">
      <c r="A169" s="1">
        <v>43738</v>
      </c>
      <c r="B169" s="5">
        <f>transformed_data!B169/transformed_data!$I169</f>
        <v>0.10462237926575951</v>
      </c>
      <c r="C169" s="5">
        <f>transformed_data!C169/transformed_data!$I169</f>
        <v>0.42971129344777526</v>
      </c>
      <c r="D169" s="5">
        <f>transformed_data!D169/transformed_data!$I169</f>
        <v>0.10207420750067665</v>
      </c>
      <c r="E169" s="5">
        <f>transformed_data!E169/transformed_data!$I169</f>
        <v>8.312426547615874E-2</v>
      </c>
      <c r="F169" s="5">
        <f>transformed_data!F169/transformed_data!$I169</f>
        <v>0.28046781029438922</v>
      </c>
      <c r="G169" s="5">
        <f t="shared" si="2"/>
        <v>0.99999995598475944</v>
      </c>
    </row>
    <row r="170" spans="1:7" x14ac:dyDescent="0.3">
      <c r="A170" s="1">
        <v>43769</v>
      </c>
      <c r="B170" s="5">
        <f>transformed_data!B170/transformed_data!$I170</f>
        <v>0.10674685253123492</v>
      </c>
      <c r="C170" s="5">
        <f>transformed_data!C170/transformed_data!$I170</f>
        <v>0.42745001413287997</v>
      </c>
      <c r="D170" s="5">
        <f>transformed_data!D170/transformed_data!$I170</f>
        <v>0.10148744573118949</v>
      </c>
      <c r="E170" s="5">
        <f>transformed_data!E170/transformed_data!$I170</f>
        <v>8.2058613704715719E-2</v>
      </c>
      <c r="F170" s="5">
        <f>transformed_data!F170/transformed_data!$I170</f>
        <v>0.28225703043761124</v>
      </c>
      <c r="G170" s="5">
        <f t="shared" si="2"/>
        <v>0.99999995653763141</v>
      </c>
    </row>
    <row r="171" spans="1:7" x14ac:dyDescent="0.3">
      <c r="A171" s="1">
        <v>43799</v>
      </c>
      <c r="B171" s="5">
        <f>transformed_data!B171/transformed_data!$I171</f>
        <v>0.10899230133343141</v>
      </c>
      <c r="C171" s="5">
        <f>transformed_data!C171/transformed_data!$I171</f>
        <v>0.42599860736407386</v>
      </c>
      <c r="D171" s="5">
        <f>transformed_data!D171/transformed_data!$I171</f>
        <v>0.10240240971375539</v>
      </c>
      <c r="E171" s="5">
        <f>transformed_data!E171/transformed_data!$I171</f>
        <v>8.3164906222673446E-2</v>
      </c>
      <c r="F171" s="5">
        <f>transformed_data!F171/transformed_data!$I171</f>
        <v>0.27944177536606501</v>
      </c>
      <c r="G171" s="5">
        <f t="shared" si="2"/>
        <v>0.99999999999999911</v>
      </c>
    </row>
    <row r="172" spans="1:7" x14ac:dyDescent="0.3">
      <c r="A172" s="1">
        <v>43830</v>
      </c>
      <c r="B172" s="5">
        <f>transformed_data!B172/transformed_data!$I172</f>
        <v>0.10416898501638014</v>
      </c>
      <c r="C172" s="5">
        <f>transformed_data!C172/transformed_data!$I172</f>
        <v>0.42795861822574782</v>
      </c>
      <c r="D172" s="5">
        <f>transformed_data!D172/transformed_data!$I172</f>
        <v>0.10253947039796137</v>
      </c>
      <c r="E172" s="5">
        <f>transformed_data!E172/transformed_data!$I172</f>
        <v>8.434774472238922E-2</v>
      </c>
      <c r="F172" s="5">
        <f>transformed_data!F172/transformed_data!$I172</f>
        <v>0.28098518163752223</v>
      </c>
      <c r="G172" s="5">
        <f t="shared" si="2"/>
        <v>1.0000000000000009</v>
      </c>
    </row>
    <row r="173" spans="1:7" x14ac:dyDescent="0.3">
      <c r="A173" s="1">
        <v>43861</v>
      </c>
      <c r="B173" s="5">
        <f>transformed_data!B173/transformed_data!$I173</f>
        <v>0.10352696069624906</v>
      </c>
      <c r="C173" s="5">
        <f>transformed_data!C173/transformed_data!$I173</f>
        <v>0.43053808572788577</v>
      </c>
      <c r="D173" s="5">
        <f>transformed_data!D173/transformed_data!$I173</f>
        <v>0.10315140126139505</v>
      </c>
      <c r="E173" s="5">
        <f>transformed_data!E173/transformed_data!$I173</f>
        <v>8.2734327149370304E-2</v>
      </c>
      <c r="F173" s="5">
        <f>transformed_data!F173/transformed_data!$I173</f>
        <v>0.28004922516510067</v>
      </c>
      <c r="G173" s="5">
        <f t="shared" si="2"/>
        <v>1.0000000000000009</v>
      </c>
    </row>
    <row r="174" spans="1:7" x14ac:dyDescent="0.3">
      <c r="A174" s="1">
        <v>43890</v>
      </c>
      <c r="B174" s="5">
        <f>transformed_data!B174/transformed_data!$I174</f>
        <v>0.10955094345481026</v>
      </c>
      <c r="C174" s="5">
        <f>transformed_data!C174/transformed_data!$I174</f>
        <v>0.42692407138864247</v>
      </c>
      <c r="D174" s="5">
        <f>transformed_data!D174/transformed_data!$I174</f>
        <v>0.10309894361895423</v>
      </c>
      <c r="E174" s="5">
        <f>transformed_data!E174/transformed_data!$I174</f>
        <v>8.3132356595108148E-2</v>
      </c>
      <c r="F174" s="5">
        <f>transformed_data!F174/transformed_data!$I174</f>
        <v>0.27729368494248574</v>
      </c>
      <c r="G174" s="5">
        <f t="shared" si="2"/>
        <v>1.0000000000000009</v>
      </c>
    </row>
    <row r="175" spans="1:7" x14ac:dyDescent="0.3">
      <c r="A175" s="1">
        <v>43921</v>
      </c>
      <c r="B175" s="5">
        <f>transformed_data!B175/transformed_data!$I175</f>
        <v>0.11219039224982065</v>
      </c>
      <c r="C175" s="5">
        <f>transformed_data!C175/transformed_data!$I175</f>
        <v>0.42607980747864549</v>
      </c>
      <c r="D175" s="5">
        <f>transformed_data!D175/transformed_data!$I175</f>
        <v>0.10256978177127128</v>
      </c>
      <c r="E175" s="5">
        <f>transformed_data!E175/transformed_data!$I175</f>
        <v>8.373046735539369E-2</v>
      </c>
      <c r="F175" s="5">
        <f>transformed_data!F175/transformed_data!$I175</f>
        <v>0.27542955114486722</v>
      </c>
      <c r="G175" s="5">
        <f t="shared" si="2"/>
        <v>0.99999999999999833</v>
      </c>
    </row>
    <row r="176" spans="1:7" x14ac:dyDescent="0.3">
      <c r="A176" s="1">
        <v>43951</v>
      </c>
      <c r="B176" s="5">
        <f>transformed_data!B176/transformed_data!$I176</f>
        <v>0.16023647258833942</v>
      </c>
      <c r="C176" s="5">
        <f>transformed_data!C176/transformed_data!$I176</f>
        <v>0.40696951831579714</v>
      </c>
      <c r="D176" s="5">
        <f>transformed_data!D176/transformed_data!$I176</f>
        <v>9.7965735678715887E-2</v>
      </c>
      <c r="E176" s="5">
        <f>transformed_data!E176/transformed_data!$I176</f>
        <v>7.7019211257813205E-2</v>
      </c>
      <c r="F176" s="5">
        <f>transformed_data!F176/transformed_data!$I176</f>
        <v>0.2578090621593363</v>
      </c>
      <c r="G176" s="5">
        <f t="shared" si="2"/>
        <v>1.000000000000002</v>
      </c>
    </row>
    <row r="177" spans="1:7" x14ac:dyDescent="0.3">
      <c r="A177" s="1">
        <v>43982</v>
      </c>
      <c r="B177" s="5">
        <f>transformed_data!B177/transformed_data!$I177</f>
        <v>0.17982878192662149</v>
      </c>
      <c r="C177" s="5">
        <f>transformed_data!C177/transformed_data!$I177</f>
        <v>0.39526956694119125</v>
      </c>
      <c r="D177" s="5">
        <f>transformed_data!D177/transformed_data!$I177</f>
        <v>9.6039799383824009E-2</v>
      </c>
      <c r="E177" s="5">
        <f>transformed_data!E177/transformed_data!$I177</f>
        <v>7.5845653092559875E-2</v>
      </c>
      <c r="F177" s="5">
        <f>transformed_data!F177/transformed_data!$I177</f>
        <v>0.25301619865580216</v>
      </c>
      <c r="G177" s="5">
        <f t="shared" si="2"/>
        <v>0.99999999999999878</v>
      </c>
    </row>
    <row r="178" spans="1:7" x14ac:dyDescent="0.3">
      <c r="A178" s="1">
        <v>44012</v>
      </c>
      <c r="B178" s="5">
        <f>transformed_data!B178/transformed_data!$I178</f>
        <v>0.19184877099800776</v>
      </c>
      <c r="C178" s="5">
        <f>transformed_data!C178/transformed_data!$I178</f>
        <v>0.38955966445393653</v>
      </c>
      <c r="D178" s="5">
        <f>transformed_data!D178/transformed_data!$I178</f>
        <v>9.5680689668270008E-2</v>
      </c>
      <c r="E178" s="5">
        <f>transformed_data!E178/transformed_data!$I178</f>
        <v>7.4725055177127298E-2</v>
      </c>
      <c r="F178" s="5">
        <f>transformed_data!F178/transformed_data!$I178</f>
        <v>0.24818581970265763</v>
      </c>
      <c r="G178" s="5">
        <f t="shared" si="2"/>
        <v>0.99999999999999933</v>
      </c>
    </row>
    <row r="179" spans="1:7" x14ac:dyDescent="0.3">
      <c r="A179" s="1">
        <v>44043</v>
      </c>
      <c r="B179" s="5">
        <f>transformed_data!B179/transformed_data!$I179</f>
        <v>0.1914778485771928</v>
      </c>
      <c r="C179" s="5">
        <f>transformed_data!C179/transformed_data!$I179</f>
        <v>0.39312525439991303</v>
      </c>
      <c r="D179" s="5">
        <f>transformed_data!D179/transformed_data!$I179</f>
        <v>9.7001466318654431E-2</v>
      </c>
      <c r="E179" s="5">
        <f>transformed_data!E179/transformed_data!$I179</f>
        <v>7.2698897676327118E-2</v>
      </c>
      <c r="F179" s="5">
        <f>transformed_data!F179/transformed_data!$I179</f>
        <v>0.24569657072826015</v>
      </c>
      <c r="G179" s="5">
        <f t="shared" si="2"/>
        <v>1.0000000377003475</v>
      </c>
    </row>
    <row r="180" spans="1:7" x14ac:dyDescent="0.3">
      <c r="A180" s="1">
        <v>44074</v>
      </c>
      <c r="B180" s="5">
        <f>transformed_data!B180/transformed_data!$I180</f>
        <v>0.18993425200236205</v>
      </c>
      <c r="C180" s="5">
        <f>transformed_data!C180/transformed_data!$I180</f>
        <v>0.39373326706541856</v>
      </c>
      <c r="D180" s="5">
        <f>transformed_data!D180/transformed_data!$I180</f>
        <v>9.8191159945078557E-2</v>
      </c>
      <c r="E180" s="5">
        <f>transformed_data!E180/transformed_data!$I180</f>
        <v>7.35332313083676E-2</v>
      </c>
      <c r="F180" s="5">
        <f>transformed_data!F180/transformed_data!$I180</f>
        <v>0.2446080896787699</v>
      </c>
      <c r="G180" s="5">
        <f t="shared" si="2"/>
        <v>0.99999999999999667</v>
      </c>
    </row>
    <row r="181" spans="1:7" x14ac:dyDescent="0.3">
      <c r="A181" s="1">
        <v>44104</v>
      </c>
      <c r="B181" s="5">
        <f>transformed_data!B181/transformed_data!$I181</f>
        <v>0.18663331390974902</v>
      </c>
      <c r="C181" s="5">
        <f>transformed_data!C181/transformed_data!$I181</f>
        <v>0.39575464257564569</v>
      </c>
      <c r="D181" s="5">
        <f>transformed_data!D181/transformed_data!$I181</f>
        <v>9.9218926696615167E-2</v>
      </c>
      <c r="E181" s="5">
        <f>transformed_data!E181/transformed_data!$I181</f>
        <v>7.4549904795831068E-2</v>
      </c>
      <c r="F181" s="5">
        <f>transformed_data!F181/transformed_data!$I181</f>
        <v>0.24384321202215836</v>
      </c>
      <c r="G181" s="5">
        <f t="shared" si="2"/>
        <v>0.99999999999999911</v>
      </c>
    </row>
    <row r="182" spans="1:7" x14ac:dyDescent="0.3">
      <c r="A182" s="1">
        <v>44135</v>
      </c>
      <c r="B182" s="5">
        <f>transformed_data!B182/transformed_data!$I182</f>
        <v>0.18372035950854493</v>
      </c>
      <c r="C182" s="5">
        <f>transformed_data!C182/transformed_data!$I182</f>
        <v>0.39539388849099188</v>
      </c>
      <c r="D182" s="5">
        <f>transformed_data!D182/transformed_data!$I182</f>
        <v>9.939520130449464E-2</v>
      </c>
      <c r="E182" s="5">
        <f>transformed_data!E182/transformed_data!$I182</f>
        <v>7.4830070585460359E-2</v>
      </c>
      <c r="F182" s="5">
        <f>transformed_data!F182/transformed_data!$I182</f>
        <v>0.24666048011050898</v>
      </c>
      <c r="G182" s="5">
        <f t="shared" si="2"/>
        <v>1.0000000000000007</v>
      </c>
    </row>
    <row r="183" spans="1:7" x14ac:dyDescent="0.3">
      <c r="A183" s="1">
        <v>44165</v>
      </c>
      <c r="B183" s="5">
        <f>transformed_data!B183/transformed_data!$I183</f>
        <v>0.18012138709862754</v>
      </c>
      <c r="C183" s="5">
        <f>transformed_data!C183/transformed_data!$I183</f>
        <v>0.39783652280856824</v>
      </c>
      <c r="D183" s="5">
        <f>transformed_data!D183/transformed_data!$I183</f>
        <v>0.10152991419441178</v>
      </c>
      <c r="E183" s="5">
        <f>transformed_data!E183/transformed_data!$I183</f>
        <v>7.4435967031491107E-2</v>
      </c>
      <c r="F183" s="5">
        <f>transformed_data!F183/transformed_data!$I183</f>
        <v>0.24607620886690212</v>
      </c>
      <c r="G183" s="5">
        <f t="shared" si="2"/>
        <v>1.0000000000000009</v>
      </c>
    </row>
    <row r="184" spans="1:7" x14ac:dyDescent="0.3">
      <c r="A184" s="1">
        <v>44196</v>
      </c>
      <c r="B184" s="5">
        <f>transformed_data!B184/transformed_data!$I184</f>
        <v>0.17890212189639546</v>
      </c>
      <c r="C184" s="5">
        <f>transformed_data!C184/transformed_data!$I184</f>
        <v>0.3997407068367349</v>
      </c>
      <c r="D184" s="5">
        <f>transformed_data!D184/transformed_data!$I184</f>
        <v>0.10232498277844955</v>
      </c>
      <c r="E184" s="5">
        <f>transformed_data!E184/transformed_data!$I184</f>
        <v>7.514233611876972E-2</v>
      </c>
      <c r="F184" s="5">
        <f>transformed_data!F184/transformed_data!$I184</f>
        <v>0.243889888408548</v>
      </c>
      <c r="G184" s="5">
        <f t="shared" si="2"/>
        <v>1.0000000360388976</v>
      </c>
    </row>
    <row r="185" spans="1:7" x14ac:dyDescent="0.3">
      <c r="A185" s="1">
        <v>44227</v>
      </c>
      <c r="B185" s="5">
        <f>transformed_data!B185/transformed_data!$I185</f>
        <v>0.17833471130025755</v>
      </c>
      <c r="C185" s="5">
        <f>transformed_data!C185/transformed_data!$I185</f>
        <v>0.40212134969402208</v>
      </c>
      <c r="D185" s="5">
        <f>transformed_data!D185/transformed_data!$I185</f>
        <v>0.10314024256850039</v>
      </c>
      <c r="E185" s="5">
        <f>transformed_data!E185/transformed_data!$I185</f>
        <v>7.3981686298676214E-2</v>
      </c>
      <c r="F185" s="5">
        <f>transformed_data!F185/transformed_data!$I185</f>
        <v>0.242422046129767</v>
      </c>
      <c r="G185" s="5">
        <f t="shared" si="2"/>
        <v>1.0000000359912231</v>
      </c>
    </row>
    <row r="186" spans="1:7" x14ac:dyDescent="0.3">
      <c r="A186" s="1">
        <v>44255</v>
      </c>
      <c r="B186" s="5">
        <f>transformed_data!B186/transformed_data!$I186</f>
        <v>0.17414412761167924</v>
      </c>
      <c r="C186" s="5">
        <f>transformed_data!C186/transformed_data!$I186</f>
        <v>0.40542356586461287</v>
      </c>
      <c r="D186" s="5">
        <f>transformed_data!D186/transformed_data!$I186</f>
        <v>0.10463874608718805</v>
      </c>
      <c r="E186" s="5">
        <f>transformed_data!E186/transformed_data!$I186</f>
        <v>7.4099194273147331E-2</v>
      </c>
      <c r="F186" s="5">
        <f>transformed_data!F186/transformed_data!$I186</f>
        <v>0.24169436616337009</v>
      </c>
      <c r="G186" s="5">
        <f t="shared" si="2"/>
        <v>0.99999999999999756</v>
      </c>
    </row>
    <row r="187" spans="1:7" x14ac:dyDescent="0.3">
      <c r="A187" s="1">
        <v>44286</v>
      </c>
      <c r="B187" s="5">
        <f>transformed_data!B187/transformed_data!$I187</f>
        <v>0.16596558737018358</v>
      </c>
      <c r="C187" s="5">
        <f>transformed_data!C187/transformed_data!$I187</f>
        <v>0.41223453778958752</v>
      </c>
      <c r="D187" s="5">
        <f>transformed_data!D187/transformed_data!$I187</f>
        <v>0.10686242033758882</v>
      </c>
      <c r="E187" s="5">
        <f>transformed_data!E187/transformed_data!$I187</f>
        <v>7.5198601129187678E-2</v>
      </c>
      <c r="F187" s="5">
        <f>transformed_data!F187/transformed_data!$I187</f>
        <v>0.23973885337345285</v>
      </c>
      <c r="G187" s="5">
        <f t="shared" si="2"/>
        <v>1.0000000000000004</v>
      </c>
    </row>
    <row r="188" spans="1:7" x14ac:dyDescent="0.3">
      <c r="A188" s="1">
        <v>44316</v>
      </c>
      <c r="B188" s="5">
        <f>transformed_data!B188/transformed_data!$I188</f>
        <v>0.16113918178364275</v>
      </c>
      <c r="C188" s="5">
        <f>transformed_data!C188/transformed_data!$I188</f>
        <v>0.41822266695827065</v>
      </c>
      <c r="D188" s="5">
        <f>transformed_data!D188/transformed_data!$I188</f>
        <v>0.10869967339511384</v>
      </c>
      <c r="E188" s="5">
        <f>transformed_data!E188/transformed_data!$I188</f>
        <v>7.3502684246147185E-2</v>
      </c>
      <c r="F188" s="5">
        <f>transformed_data!F188/transformed_data!$I188</f>
        <v>0.23843582910964614</v>
      </c>
      <c r="G188" s="5">
        <f t="shared" si="2"/>
        <v>1.0000000354928207</v>
      </c>
    </row>
    <row r="189" spans="1:7" x14ac:dyDescent="0.3">
      <c r="A189" s="1">
        <v>44347</v>
      </c>
      <c r="B189" s="5">
        <f>transformed_data!B189/transformed_data!$I189</f>
        <v>0.15522098278135932</v>
      </c>
      <c r="C189" s="5">
        <f>transformed_data!C189/transformed_data!$I189</f>
        <v>0.41953089558693663</v>
      </c>
      <c r="D189" s="5">
        <f>transformed_data!D189/transformed_data!$I189</f>
        <v>0.10971446664780364</v>
      </c>
      <c r="E189" s="5">
        <f>transformed_data!E189/transformed_data!$I189</f>
        <v>7.5181914023926419E-2</v>
      </c>
      <c r="F189" s="5">
        <f>transformed_data!F189/transformed_data!$I189</f>
        <v>0.24035174095997366</v>
      </c>
      <c r="G189" s="5">
        <f t="shared" si="2"/>
        <v>0.99999999999999956</v>
      </c>
    </row>
    <row r="190" spans="1:7" x14ac:dyDescent="0.3">
      <c r="A190" s="1">
        <v>44377</v>
      </c>
      <c r="B190" s="5">
        <f>transformed_data!B190/transformed_data!$I190</f>
        <v>0.14984845644913863</v>
      </c>
      <c r="C190" s="5">
        <f>transformed_data!C190/transformed_data!$I190</f>
        <v>0.42434598076160657</v>
      </c>
      <c r="D190" s="5">
        <f>transformed_data!D190/transformed_data!$I190</f>
        <v>0.11146131919483361</v>
      </c>
      <c r="E190" s="5">
        <f>transformed_data!E190/transformed_data!$I190</f>
        <v>7.6330042668741466E-2</v>
      </c>
      <c r="F190" s="5">
        <f>transformed_data!F190/transformed_data!$I190</f>
        <v>0.23801420092567863</v>
      </c>
      <c r="G190" s="5">
        <f t="shared" si="2"/>
        <v>0.99999999999999889</v>
      </c>
    </row>
    <row r="191" spans="1:7" x14ac:dyDescent="0.3">
      <c r="A191" s="1">
        <v>44408</v>
      </c>
      <c r="B191" s="5">
        <f>transformed_data!B191/transformed_data!$I191</f>
        <v>0.1457073044882396</v>
      </c>
      <c r="C191" s="5">
        <f>transformed_data!C191/transformed_data!$I191</f>
        <v>0.4286318126566781</v>
      </c>
      <c r="D191" s="5">
        <f>transformed_data!D191/transformed_data!$I191</f>
        <v>0.11284335681115011</v>
      </c>
      <c r="E191" s="5">
        <f>transformed_data!E191/transformed_data!$I191</f>
        <v>7.6105634402514569E-2</v>
      </c>
      <c r="F191" s="5">
        <f>transformed_data!F191/transformed_data!$I191</f>
        <v>0.23671189164141732</v>
      </c>
      <c r="G191" s="5">
        <f t="shared" si="2"/>
        <v>0.99999999999999978</v>
      </c>
    </row>
    <row r="192" spans="1:7" x14ac:dyDescent="0.3">
      <c r="A192" s="1">
        <v>44439</v>
      </c>
      <c r="B192" s="5">
        <f>transformed_data!B192/transformed_data!$I192</f>
        <v>0.14205043631068665</v>
      </c>
      <c r="C192" s="5">
        <f>transformed_data!C192/transformed_data!$I192</f>
        <v>0.4366192237336351</v>
      </c>
      <c r="D192" s="5">
        <f>transformed_data!D192/transformed_data!$I192</f>
        <v>0.11587831789958244</v>
      </c>
      <c r="E192" s="5">
        <f>transformed_data!E192/transformed_data!$I192</f>
        <v>7.697006477009781E-2</v>
      </c>
      <c r="F192" s="5">
        <f>transformed_data!F192/transformed_data!$I192</f>
        <v>0.22848195728599838</v>
      </c>
      <c r="G192" s="5">
        <f t="shared" si="2"/>
        <v>1.0000000000000004</v>
      </c>
    </row>
    <row r="193" spans="1:7" x14ac:dyDescent="0.3">
      <c r="A193" s="1">
        <v>44469</v>
      </c>
      <c r="B193" s="5">
        <f>transformed_data!B193/transformed_data!$I193</f>
        <v>0.13064578901527882</v>
      </c>
      <c r="C193" s="5">
        <f>transformed_data!C193/transformed_data!$I193</f>
        <v>0.44246990361948091</v>
      </c>
      <c r="D193" s="5">
        <f>transformed_data!D193/transformed_data!$I193</f>
        <v>0.11775176804318953</v>
      </c>
      <c r="E193" s="5">
        <f>transformed_data!E193/transformed_data!$I193</f>
        <v>7.8725717513438737E-2</v>
      </c>
      <c r="F193" s="5">
        <f>transformed_data!F193/transformed_data!$I193</f>
        <v>0.23040678663316608</v>
      </c>
      <c r="G193" s="5">
        <f t="shared" si="2"/>
        <v>0.999999964824554</v>
      </c>
    </row>
    <row r="194" spans="1:7" x14ac:dyDescent="0.3">
      <c r="A194" s="1">
        <v>44500</v>
      </c>
      <c r="B194" s="5">
        <f>transformed_data!B194/transformed_data!$I194</f>
        <v>0.1332504505772229</v>
      </c>
      <c r="C194" s="5">
        <f>transformed_data!C194/transformed_data!$I194</f>
        <v>0.43745087292977947</v>
      </c>
      <c r="D194" s="5">
        <f>transformed_data!D194/transformed_data!$I194</f>
        <v>0.11668988222548415</v>
      </c>
      <c r="E194" s="5">
        <f>transformed_data!E194/transformed_data!$I194</f>
        <v>7.8192595101290174E-2</v>
      </c>
      <c r="F194" s="5">
        <f>transformed_data!F194/transformed_data!$I194</f>
        <v>0.23441619916622428</v>
      </c>
      <c r="G194" s="5">
        <f t="shared" ref="G194:G242" si="3">SUM(B194:F194)</f>
        <v>1.0000000000000011</v>
      </c>
    </row>
    <row r="195" spans="1:7" x14ac:dyDescent="0.3">
      <c r="A195" s="1">
        <v>44530</v>
      </c>
      <c r="B195" s="5">
        <f>transformed_data!B195/transformed_data!$I195</f>
        <v>0.13097059529616342</v>
      </c>
      <c r="C195" s="5">
        <f>transformed_data!C195/transformed_data!$I195</f>
        <v>0.44467160751201357</v>
      </c>
      <c r="D195" s="5">
        <f>transformed_data!D195/transformed_data!$I195</f>
        <v>0.11877427757776786</v>
      </c>
      <c r="E195" s="5">
        <f>transformed_data!E195/transformed_data!$I195</f>
        <v>7.8781826418499915E-2</v>
      </c>
      <c r="F195" s="5">
        <f>transformed_data!F195/transformed_data!$I195</f>
        <v>0.22680165860304097</v>
      </c>
      <c r="G195" s="5">
        <f t="shared" si="3"/>
        <v>0.99999996540748581</v>
      </c>
    </row>
    <row r="196" spans="1:7" x14ac:dyDescent="0.3">
      <c r="A196" s="1">
        <v>44561</v>
      </c>
      <c r="B196" s="5">
        <f>transformed_data!B196/transformed_data!$I196</f>
        <v>0.12729304997518764</v>
      </c>
      <c r="C196" s="5">
        <f>transformed_data!C196/transformed_data!$I196</f>
        <v>0.4389510193285005</v>
      </c>
      <c r="D196" s="5">
        <f>transformed_data!D196/transformed_data!$I196</f>
        <v>0.11755026296700909</v>
      </c>
      <c r="E196" s="5">
        <f>transformed_data!E196/transformed_data!$I196</f>
        <v>7.8940851545522828E-2</v>
      </c>
      <c r="F196" s="5">
        <f>transformed_data!F196/transformed_data!$I196</f>
        <v>0.23726481618378212</v>
      </c>
      <c r="G196" s="5">
        <f t="shared" si="3"/>
        <v>1.000000000000002</v>
      </c>
    </row>
    <row r="197" spans="1:7" x14ac:dyDescent="0.3">
      <c r="A197" s="1">
        <v>44592</v>
      </c>
      <c r="B197" s="5">
        <f>transformed_data!B197/transformed_data!$I197</f>
        <v>0.13198055650983931</v>
      </c>
      <c r="C197" s="5">
        <f>transformed_data!C197/transformed_data!$I197</f>
        <v>0.43787091808677492</v>
      </c>
      <c r="D197" s="5">
        <f>transformed_data!D197/transformed_data!$I197</f>
        <v>0.11761908785534331</v>
      </c>
      <c r="E197" s="5">
        <f>transformed_data!E197/transformed_data!$I197</f>
        <v>7.6177436107517607E-2</v>
      </c>
      <c r="F197" s="5">
        <f>transformed_data!F197/transformed_data!$I197</f>
        <v>0.23635203476010022</v>
      </c>
      <c r="G197" s="5">
        <f t="shared" si="3"/>
        <v>1.0000000333195753</v>
      </c>
    </row>
    <row r="198" spans="1:7" x14ac:dyDescent="0.3">
      <c r="A198" s="1">
        <v>44620</v>
      </c>
      <c r="B198" s="5">
        <f>transformed_data!B198/transformed_data!$I198</f>
        <v>0.13387105930058527</v>
      </c>
      <c r="C198" s="5">
        <f>transformed_data!C198/transformed_data!$I198</f>
        <v>0.43669430748191579</v>
      </c>
      <c r="D198" s="5">
        <f>transformed_data!D198/transformed_data!$I198</f>
        <v>0.11849302564021646</v>
      </c>
      <c r="E198" s="5">
        <f>transformed_data!E198/transformed_data!$I198</f>
        <v>7.6728718782927002E-2</v>
      </c>
      <c r="F198" s="5">
        <f>transformed_data!F198/transformed_data!$I198</f>
        <v>0.23421288879435567</v>
      </c>
      <c r="G198" s="5">
        <f t="shared" si="3"/>
        <v>1.0000000000000002</v>
      </c>
    </row>
    <row r="199" spans="1:7" x14ac:dyDescent="0.3">
      <c r="A199" s="1">
        <v>44651</v>
      </c>
      <c r="B199" s="5">
        <f>transformed_data!B199/transformed_data!$I199</f>
        <v>0.12923805437913879</v>
      </c>
      <c r="C199" s="5">
        <f>transformed_data!C199/transformed_data!$I199</f>
        <v>0.43908033211697656</v>
      </c>
      <c r="D199" s="5">
        <f>transformed_data!D199/transformed_data!$I199</f>
        <v>0.11945367763615486</v>
      </c>
      <c r="E199" s="5">
        <f>transformed_data!E199/transformed_data!$I199</f>
        <v>7.8194286570038032E-2</v>
      </c>
      <c r="F199" s="5">
        <f>transformed_data!F199/transformed_data!$I199</f>
        <v>0.23403364929769149</v>
      </c>
      <c r="G199" s="5">
        <f t="shared" si="3"/>
        <v>0.99999999999999978</v>
      </c>
    </row>
    <row r="200" spans="1:7" x14ac:dyDescent="0.3">
      <c r="A200" s="1">
        <v>44681</v>
      </c>
      <c r="B200" s="5">
        <f>transformed_data!B200/transformed_data!$I200</f>
        <v>0.12602582954735075</v>
      </c>
      <c r="C200" s="5">
        <f>transformed_data!C200/transformed_data!$I200</f>
        <v>0.44147859446444621</v>
      </c>
      <c r="D200" s="5">
        <f>transformed_data!D200/transformed_data!$I200</f>
        <v>0.120374616304372</v>
      </c>
      <c r="E200" s="5">
        <f>transformed_data!E200/transformed_data!$I200</f>
        <v>7.7726435405882574E-2</v>
      </c>
      <c r="F200" s="5">
        <f>transformed_data!F200/transformed_data!$I200</f>
        <v>0.23439449135522142</v>
      </c>
      <c r="G200" s="5">
        <f t="shared" si="3"/>
        <v>0.9999999670772729</v>
      </c>
    </row>
    <row r="201" spans="1:7" x14ac:dyDescent="0.3">
      <c r="A201" s="1">
        <v>44712</v>
      </c>
      <c r="B201" s="5">
        <f>transformed_data!B201/transformed_data!$I201</f>
        <v>0.12042521875568571</v>
      </c>
      <c r="C201" s="5">
        <f>transformed_data!C201/transformed_data!$I201</f>
        <v>0.44316391563513136</v>
      </c>
      <c r="D201" s="5">
        <f>transformed_data!D201/transformed_data!$I201</f>
        <v>0.12234356526089751</v>
      </c>
      <c r="E201" s="5">
        <f>transformed_data!E201/transformed_data!$I201</f>
        <v>7.8245867468714994E-2</v>
      </c>
      <c r="F201" s="5">
        <f>transformed_data!F201/transformed_data!$I201</f>
        <v>0.23582140009227745</v>
      </c>
      <c r="G201" s="5">
        <f t="shared" si="3"/>
        <v>0.99999996721270701</v>
      </c>
    </row>
    <row r="202" spans="1:7" x14ac:dyDescent="0.3">
      <c r="A202" s="1">
        <v>44742</v>
      </c>
      <c r="B202" s="5">
        <f>transformed_data!B202/transformed_data!$I202</f>
        <v>0.11527932002251058</v>
      </c>
      <c r="C202" s="5">
        <f>transformed_data!C202/transformed_data!$I202</f>
        <v>0.44436465632687316</v>
      </c>
      <c r="D202" s="5">
        <f>transformed_data!D202/transformed_data!$I202</f>
        <v>0.1232186646458403</v>
      </c>
      <c r="E202" s="5">
        <f>transformed_data!E202/transformed_data!$I202</f>
        <v>7.9736759305908109E-2</v>
      </c>
      <c r="F202" s="5">
        <f>transformed_data!F202/transformed_data!$I202</f>
        <v>0.23740059969886765</v>
      </c>
      <c r="G202" s="5">
        <f t="shared" si="3"/>
        <v>0.99999999999999978</v>
      </c>
    </row>
    <row r="203" spans="1:7" x14ac:dyDescent="0.3">
      <c r="A203" s="1">
        <v>44773</v>
      </c>
      <c r="B203" s="5">
        <f>transformed_data!B203/transformed_data!$I203</f>
        <v>0.11488555391450007</v>
      </c>
      <c r="C203" s="5">
        <f>transformed_data!C203/transformed_data!$I203</f>
        <v>0.44552753117405519</v>
      </c>
      <c r="D203" s="5">
        <f>transformed_data!D203/transformed_data!$I203</f>
        <v>0.12381199488967089</v>
      </c>
      <c r="E203" s="5">
        <f>transformed_data!E203/transformed_data!$I203</f>
        <v>7.9123932055449334E-2</v>
      </c>
      <c r="F203" s="5">
        <f>transformed_data!F203/transformed_data!$I203</f>
        <v>0.23665098796632605</v>
      </c>
      <c r="G203" s="5">
        <f t="shared" si="3"/>
        <v>1.0000000000000016</v>
      </c>
    </row>
    <row r="204" spans="1:7" x14ac:dyDescent="0.3">
      <c r="A204" s="1">
        <v>44804</v>
      </c>
      <c r="B204" s="5">
        <f>transformed_data!B204/transformed_data!$I204</f>
        <v>0.12040891931961431</v>
      </c>
      <c r="C204" s="5">
        <f>transformed_data!C204/transformed_data!$I204</f>
        <v>0.44194829915975387</v>
      </c>
      <c r="D204" s="5">
        <f>transformed_data!D204/transformed_data!$I204</f>
        <v>0.12426763088870024</v>
      </c>
      <c r="E204" s="5">
        <f>transformed_data!E204/transformed_data!$I204</f>
        <v>7.8661575498287922E-2</v>
      </c>
      <c r="F204" s="5">
        <f>transformed_data!F204/transformed_data!$I204</f>
        <v>0.23471357513364471</v>
      </c>
      <c r="G204" s="5">
        <f t="shared" si="3"/>
        <v>1.0000000000000011</v>
      </c>
    </row>
    <row r="205" spans="1:7" x14ac:dyDescent="0.3">
      <c r="A205" s="1">
        <v>44834</v>
      </c>
      <c r="B205" s="5">
        <f>transformed_data!B205/transformed_data!$I205</f>
        <v>0.11783861808860276</v>
      </c>
      <c r="C205" s="5">
        <f>transformed_data!C205/transformed_data!$I205</f>
        <v>0.44307396055435</v>
      </c>
      <c r="D205" s="5">
        <f>transformed_data!D205/transformed_data!$I205</f>
        <v>0.12526635903589006</v>
      </c>
      <c r="E205" s="5">
        <f>transformed_data!E205/transformed_data!$I205</f>
        <v>7.9904403964735415E-2</v>
      </c>
      <c r="F205" s="5">
        <f>transformed_data!F205/transformed_data!$I205</f>
        <v>0.23391665835642447</v>
      </c>
      <c r="G205" s="5">
        <f t="shared" si="3"/>
        <v>1.0000000000000027</v>
      </c>
    </row>
    <row r="206" spans="1:7" x14ac:dyDescent="0.3">
      <c r="A206" s="1">
        <v>44865</v>
      </c>
      <c r="B206" s="5">
        <f>transformed_data!B206/transformed_data!$I206</f>
        <v>0.11735524383750308</v>
      </c>
      <c r="C206" s="5">
        <f>transformed_data!C206/transformed_data!$I206</f>
        <v>0.43965928200952425</v>
      </c>
      <c r="D206" s="5">
        <f>transformed_data!D206/transformed_data!$I206</f>
        <v>0.12498567881715238</v>
      </c>
      <c r="E206" s="5">
        <f>transformed_data!E206/transformed_data!$I206</f>
        <v>7.8075875429772776E-2</v>
      </c>
      <c r="F206" s="5">
        <f>transformed_data!F206/transformed_data!$I206</f>
        <v>0.23992391990604722</v>
      </c>
      <c r="G206" s="5">
        <f t="shared" si="3"/>
        <v>0.99999999999999978</v>
      </c>
    </row>
    <row r="207" spans="1:7" x14ac:dyDescent="0.3">
      <c r="A207" s="1">
        <v>44895</v>
      </c>
      <c r="B207" s="5">
        <f>transformed_data!B207/transformed_data!$I207</f>
        <v>0.12134676806200231</v>
      </c>
      <c r="C207" s="5">
        <f>transformed_data!C207/transformed_data!$I207</f>
        <v>0.43669170565200016</v>
      </c>
      <c r="D207" s="5">
        <f>transformed_data!D207/transformed_data!$I207</f>
        <v>0.12548463980495442</v>
      </c>
      <c r="E207" s="5">
        <f>transformed_data!E207/transformed_data!$I207</f>
        <v>7.9003688745021269E-2</v>
      </c>
      <c r="F207" s="5">
        <f>transformed_data!F207/transformed_data!$I207</f>
        <v>0.23747319773602166</v>
      </c>
      <c r="G207" s="5">
        <f t="shared" si="3"/>
        <v>0.99999999999999978</v>
      </c>
    </row>
    <row r="208" spans="1:7" x14ac:dyDescent="0.3">
      <c r="A208" s="1">
        <v>44926</v>
      </c>
      <c r="B208" s="5">
        <f>transformed_data!B208/transformed_data!$I208</f>
        <v>0.11767736131142607</v>
      </c>
      <c r="C208" s="5">
        <f>transformed_data!C208/transformed_data!$I208</f>
        <v>0.43768468514278047</v>
      </c>
      <c r="D208" s="5">
        <f>transformed_data!D208/transformed_data!$I208</f>
        <v>0.12603159609610193</v>
      </c>
      <c r="E208" s="5">
        <f>transformed_data!E208/transformed_data!$I208</f>
        <v>8.0526677401471944E-2</v>
      </c>
      <c r="F208" s="5">
        <f>transformed_data!F208/transformed_data!$I208</f>
        <v>0.23807968323093762</v>
      </c>
      <c r="G208" s="5">
        <f t="shared" si="3"/>
        <v>1.0000000031827179</v>
      </c>
    </row>
    <row r="209" spans="1:7" x14ac:dyDescent="0.3">
      <c r="A209" s="1">
        <v>44957</v>
      </c>
      <c r="B209" s="5">
        <f>transformed_data!B209/transformed_data!$I209</f>
        <v>0.12522256228351153</v>
      </c>
      <c r="C209" s="5">
        <f>transformed_data!C209/transformed_data!$I209</f>
        <v>0.43725316864967489</v>
      </c>
      <c r="D209" s="5">
        <f>transformed_data!D209/transformed_data!$I209</f>
        <v>0.12722505143347168</v>
      </c>
      <c r="E209" s="5">
        <f>transformed_data!E209/transformed_data!$I209</f>
        <v>7.7351294453251618E-2</v>
      </c>
      <c r="F209" s="5">
        <f>transformed_data!F209/transformed_data!$I209</f>
        <v>0.23294792635923653</v>
      </c>
      <c r="G209" s="5">
        <f t="shared" si="3"/>
        <v>1.0000000031791463</v>
      </c>
    </row>
    <row r="210" spans="1:7" x14ac:dyDescent="0.3">
      <c r="A210" s="1">
        <v>44985</v>
      </c>
      <c r="B210" s="5">
        <f>transformed_data!B210/transformed_data!$I210</f>
        <v>0.12898506088287098</v>
      </c>
      <c r="C210" s="5">
        <f>transformed_data!C210/transformed_data!$I210</f>
        <v>0.43645370734345867</v>
      </c>
      <c r="D210" s="5">
        <f>transformed_data!D210/transformed_data!$I210</f>
        <v>0.12821948388688542</v>
      </c>
      <c r="E210" s="5">
        <f>transformed_data!E210/transformed_data!$I210</f>
        <v>7.8214341836517196E-2</v>
      </c>
      <c r="F210" s="5">
        <f>transformed_data!F210/transformed_data!$I210</f>
        <v>0.22812740605026924</v>
      </c>
      <c r="G210" s="5">
        <f t="shared" si="3"/>
        <v>1.0000000000000016</v>
      </c>
    </row>
    <row r="211" spans="1:7" x14ac:dyDescent="0.3">
      <c r="A211" s="1">
        <v>45016</v>
      </c>
      <c r="B211" s="5">
        <f>transformed_data!B211/transformed_data!$I211</f>
        <v>0.12933995317005162</v>
      </c>
      <c r="C211" s="5">
        <f>transformed_data!C211/transformed_data!$I211</f>
        <v>0.43669851077205246</v>
      </c>
      <c r="D211" s="5">
        <f>transformed_data!D211/transformed_data!$I211</f>
        <v>0.12917658863307502</v>
      </c>
      <c r="E211" s="5">
        <f>transformed_data!E211/transformed_data!$I211</f>
        <v>7.9847004167757946E-2</v>
      </c>
      <c r="F211" s="5">
        <f>transformed_data!F211/transformed_data!$I211</f>
        <v>0.22493794325706204</v>
      </c>
      <c r="G211" s="5">
        <f t="shared" si="3"/>
        <v>0.99999999999999911</v>
      </c>
    </row>
    <row r="212" spans="1:7" x14ac:dyDescent="0.3">
      <c r="A212" s="1">
        <v>45046</v>
      </c>
      <c r="B212" s="5">
        <f>transformed_data!B212/transformed_data!$I212</f>
        <v>0.12533119042098359</v>
      </c>
      <c r="C212" s="5">
        <f>transformed_data!C212/transformed_data!$I212</f>
        <v>0.43786561487015851</v>
      </c>
      <c r="D212" s="5">
        <f>transformed_data!D212/transformed_data!$I212</f>
        <v>0.1297873046483202</v>
      </c>
      <c r="E212" s="5">
        <f>transformed_data!E212/transformed_data!$I212</f>
        <v>7.9027413248419318E-2</v>
      </c>
      <c r="F212" s="5">
        <f>transformed_data!F212/transformed_data!$I212</f>
        <v>0.22798847681211903</v>
      </c>
      <c r="G212" s="5">
        <f t="shared" si="3"/>
        <v>1.0000000000000007</v>
      </c>
    </row>
    <row r="213" spans="1:7" x14ac:dyDescent="0.3">
      <c r="A213" s="1">
        <v>45077</v>
      </c>
      <c r="B213" s="5">
        <f>transformed_data!B213/transformed_data!$I213</f>
        <v>0.1269184823181832</v>
      </c>
      <c r="C213" s="5">
        <f>transformed_data!C213/transformed_data!$I213</f>
        <v>0.43599281626747061</v>
      </c>
      <c r="D213" s="5">
        <f>transformed_data!D213/transformed_data!$I213</f>
        <v>0.13159303762321292</v>
      </c>
      <c r="E213" s="5">
        <f>transformed_data!E213/transformed_data!$I213</f>
        <v>7.8691300233459105E-2</v>
      </c>
      <c r="F213" s="5">
        <f>transformed_data!F213/transformed_data!$I213</f>
        <v>0.22680436355767475</v>
      </c>
      <c r="G213" s="5">
        <f t="shared" si="3"/>
        <v>1.0000000000000004</v>
      </c>
    </row>
    <row r="214" spans="1:7" x14ac:dyDescent="0.3">
      <c r="A214" s="1">
        <v>45107</v>
      </c>
      <c r="B214" s="5">
        <f>transformed_data!B214/transformed_data!$I214</f>
        <v>0.13814981608577412</v>
      </c>
      <c r="C214" s="5">
        <f>transformed_data!C214/transformed_data!$I214</f>
        <v>0.42446653891717068</v>
      </c>
      <c r="D214" s="5">
        <f>transformed_data!D214/transformed_data!$I214</f>
        <v>0.12898882961908936</v>
      </c>
      <c r="E214" s="5">
        <f>transformed_data!E214/transformed_data!$I214</f>
        <v>7.8110225237581196E-2</v>
      </c>
      <c r="F214" s="5">
        <f>transformed_data!F214/transformed_data!$I214</f>
        <v>0.23028459014038677</v>
      </c>
      <c r="G214" s="5">
        <f t="shared" si="3"/>
        <v>1.000000000000002</v>
      </c>
    </row>
    <row r="215" spans="1:7" x14ac:dyDescent="0.3">
      <c r="A215" s="1">
        <v>45138</v>
      </c>
      <c r="B215" s="5">
        <f>transformed_data!B215/transformed_data!$I215</f>
        <v>0.14629627687510161</v>
      </c>
      <c r="C215" s="5">
        <f>transformed_data!C215/transformed_data!$I215</f>
        <v>0.42111935820102175</v>
      </c>
      <c r="D215" s="5">
        <f>transformed_data!D215/transformed_data!$I215</f>
        <v>0.12881119490409432</v>
      </c>
      <c r="E215" s="5">
        <f>transformed_data!E215/transformed_data!$I215</f>
        <v>7.4674322368602108E-2</v>
      </c>
      <c r="F215" s="5">
        <f>transformed_data!F215/transformed_data!$I215</f>
        <v>0.22909884765118169</v>
      </c>
      <c r="G215" s="5">
        <f t="shared" si="3"/>
        <v>1.0000000000000016</v>
      </c>
    </row>
    <row r="216" spans="1:7" x14ac:dyDescent="0.3">
      <c r="A216" s="1">
        <v>45169</v>
      </c>
      <c r="B216" s="5">
        <f>transformed_data!B216/transformed_data!$I216</f>
        <v>0.15415626781901565</v>
      </c>
      <c r="C216" s="5">
        <f>transformed_data!C216/transformed_data!$I216</f>
        <v>0.41631175552185307</v>
      </c>
      <c r="D216" s="5">
        <f>transformed_data!D216/transformed_data!$I216</f>
        <v>0.12842280175497436</v>
      </c>
      <c r="E216" s="5">
        <f>transformed_data!E216/transformed_data!$I216</f>
        <v>7.5170287701822325E-2</v>
      </c>
      <c r="F216" s="5">
        <f>transformed_data!F216/transformed_data!$I216</f>
        <v>0.2259388872023339</v>
      </c>
      <c r="G216" s="5">
        <f t="shared" si="3"/>
        <v>0.99999999999999933</v>
      </c>
    </row>
    <row r="217" spans="1:7" x14ac:dyDescent="0.3">
      <c r="A217" s="1">
        <v>45199</v>
      </c>
      <c r="B217" s="5">
        <f>transformed_data!B217/transformed_data!$I217</f>
        <v>0.1586020435674097</v>
      </c>
      <c r="C217" s="5">
        <f>transformed_data!C217/transformed_data!$I217</f>
        <v>0.41394603341803893</v>
      </c>
      <c r="D217" s="5">
        <f>transformed_data!D217/transformed_data!$I217</f>
        <v>0.12804545283167465</v>
      </c>
      <c r="E217" s="5">
        <f>transformed_data!E217/transformed_data!$I217</f>
        <v>7.5883795321805461E-2</v>
      </c>
      <c r="F217" s="5">
        <f>transformed_data!F217/transformed_data!$I217</f>
        <v>0.22352267486107175</v>
      </c>
      <c r="G217" s="5">
        <f t="shared" si="3"/>
        <v>1.0000000000000004</v>
      </c>
    </row>
    <row r="218" spans="1:7" x14ac:dyDescent="0.3">
      <c r="A218" s="1">
        <v>45230</v>
      </c>
      <c r="B218" s="5">
        <f>transformed_data!B218/transformed_data!$I218</f>
        <v>0.16193075640863952</v>
      </c>
      <c r="C218" s="5">
        <f>transformed_data!C218/transformed_data!$I218</f>
        <v>0.40838216251505971</v>
      </c>
      <c r="D218" s="5">
        <f>transformed_data!D218/transformed_data!$I218</f>
        <v>0.12738810173342763</v>
      </c>
      <c r="E218" s="5">
        <f>transformed_data!E218/transformed_data!$I218</f>
        <v>7.3924835022682073E-2</v>
      </c>
      <c r="F218" s="5">
        <f>transformed_data!F218/transformed_data!$I218</f>
        <v>0.22837414432018835</v>
      </c>
      <c r="G218" s="5">
        <f t="shared" si="3"/>
        <v>0.99999999999999734</v>
      </c>
    </row>
    <row r="219" spans="1:7" x14ac:dyDescent="0.3">
      <c r="A219" s="1">
        <v>45260</v>
      </c>
      <c r="B219" s="5">
        <f>transformed_data!B219/transformed_data!$I219</f>
        <v>0.16739582004922321</v>
      </c>
      <c r="C219" s="5">
        <f>transformed_data!C219/transformed_data!$I219</f>
        <v>0.40525814631946039</v>
      </c>
      <c r="D219" s="5">
        <f>transformed_data!D219/transformed_data!$I219</f>
        <v>0.12791423919715728</v>
      </c>
      <c r="E219" s="5">
        <f>transformed_data!E219/transformed_data!$I219</f>
        <v>7.4902588979599199E-2</v>
      </c>
      <c r="F219" s="5">
        <f>transformed_data!F219/transformed_data!$I219</f>
        <v>0.22452920545455857</v>
      </c>
      <c r="G219" s="5">
        <f t="shared" si="3"/>
        <v>0.99999999999999867</v>
      </c>
    </row>
    <row r="220" spans="1:7" x14ac:dyDescent="0.3">
      <c r="A220" s="1">
        <v>45291</v>
      </c>
      <c r="B220" s="5">
        <f>transformed_data!B220/transformed_data!$I220</f>
        <v>0.16692740421682081</v>
      </c>
      <c r="C220" s="5">
        <f>transformed_data!C220/transformed_data!$I220</f>
        <v>0.40463530835616907</v>
      </c>
      <c r="D220" s="5">
        <f>transformed_data!D220/transformed_data!$I220</f>
        <v>0.12806946122589258</v>
      </c>
      <c r="E220" s="5">
        <f>transformed_data!E220/transformed_data!$I220</f>
        <v>7.597221933300051E-2</v>
      </c>
      <c r="F220" s="5">
        <f>transformed_data!F220/transformed_data!$I220</f>
        <v>0.22439560686811766</v>
      </c>
      <c r="G220" s="5">
        <f t="shared" si="3"/>
        <v>1.0000000000000004</v>
      </c>
    </row>
    <row r="221" spans="1:7" x14ac:dyDescent="0.3">
      <c r="A221" s="1">
        <v>45322</v>
      </c>
      <c r="B221" s="5">
        <f>transformed_data!B221/transformed_data!$I221</f>
        <v>0.1690567213611732</v>
      </c>
      <c r="C221" s="5">
        <f>transformed_data!C221/transformed_data!$I221</f>
        <v>0.40452522140879882</v>
      </c>
      <c r="D221" s="5">
        <f>transformed_data!D221/transformed_data!$I221</f>
        <v>0.12873354577095714</v>
      </c>
      <c r="E221" s="5">
        <f>transformed_data!E221/transformed_data!$I221</f>
        <v>7.304121135582621E-2</v>
      </c>
      <c r="F221" s="5">
        <f>transformed_data!F221/transformed_data!$I221</f>
        <v>0.22464327085591027</v>
      </c>
      <c r="G221" s="5">
        <f t="shared" si="3"/>
        <v>0.99999997075266556</v>
      </c>
    </row>
    <row r="222" spans="1:7" x14ac:dyDescent="0.3">
      <c r="A222" s="1">
        <v>45351</v>
      </c>
      <c r="B222" s="5">
        <f>transformed_data!B222/transformed_data!$I222</f>
        <v>0.17438490253312766</v>
      </c>
      <c r="C222" s="5">
        <f>transformed_data!C222/transformed_data!$I222</f>
        <v>0.40119981824126866</v>
      </c>
      <c r="D222" s="5">
        <f>transformed_data!D222/transformed_data!$I222</f>
        <v>0.12895089565635343</v>
      </c>
      <c r="E222" s="5">
        <f>transformed_data!E222/transformed_data!$I222</f>
        <v>7.3474474131487069E-2</v>
      </c>
      <c r="F222" s="5">
        <f>transformed_data!F222/transformed_data!$I222</f>
        <v>0.22198990943776314</v>
      </c>
      <c r="G222" s="5">
        <f t="shared" si="3"/>
        <v>1</v>
      </c>
    </row>
    <row r="223" spans="1:7" x14ac:dyDescent="0.3">
      <c r="A223" s="1">
        <v>45382</v>
      </c>
      <c r="B223" s="5">
        <f>transformed_data!B223/transformed_data!$I223</f>
        <v>0.17529555137397593</v>
      </c>
      <c r="C223" s="5">
        <f>transformed_data!C223/transformed_data!$I223</f>
        <v>0.4008263876735853</v>
      </c>
      <c r="D223" s="5">
        <f>transformed_data!D223/transformed_data!$I223</f>
        <v>0.12915594552190732</v>
      </c>
      <c r="E223" s="5">
        <f>transformed_data!E223/transformed_data!$I223</f>
        <v>7.3970733990951137E-2</v>
      </c>
      <c r="F223" s="5">
        <f>transformed_data!F223/transformed_data!$I223</f>
        <v>0.22075143926555524</v>
      </c>
      <c r="G223" s="5">
        <f t="shared" si="3"/>
        <v>1.0000000578259749</v>
      </c>
    </row>
    <row r="224" spans="1:7" x14ac:dyDescent="0.3">
      <c r="A224" s="1">
        <v>45412</v>
      </c>
      <c r="B224" s="5">
        <f>transformed_data!B224/transformed_data!$I224</f>
        <v>0.16947636714674807</v>
      </c>
      <c r="C224" s="5">
        <f>transformed_data!C224/transformed_data!$I224</f>
        <v>0.40427696721353285</v>
      </c>
      <c r="D224" s="5">
        <f>transformed_data!D224/transformed_data!$I224</f>
        <v>0.13043501477843297</v>
      </c>
      <c r="E224" s="5">
        <f>transformed_data!E224/transformed_data!$I224</f>
        <v>7.3417131994139573E-2</v>
      </c>
      <c r="F224" s="5">
        <f>transformed_data!F224/transformed_data!$I224</f>
        <v>0.22239446109205799</v>
      </c>
      <c r="G224" s="5">
        <f t="shared" si="3"/>
        <v>0.99999994222491151</v>
      </c>
    </row>
    <row r="225" spans="1:7" x14ac:dyDescent="0.3">
      <c r="A225" s="1">
        <v>45443</v>
      </c>
      <c r="B225" s="5">
        <f>transformed_data!B225/transformed_data!$I225</f>
        <v>0.16923185853524481</v>
      </c>
      <c r="C225" s="5">
        <f>transformed_data!C225/transformed_data!$I225</f>
        <v>0.40423819591774979</v>
      </c>
      <c r="D225" s="5">
        <f>transformed_data!D225/transformed_data!$I225</f>
        <v>0.13154708367935694</v>
      </c>
      <c r="E225" s="5">
        <f>transformed_data!E225/transformed_data!$I225</f>
        <v>7.5035249911528865E-2</v>
      </c>
      <c r="F225" s="5">
        <f>transformed_data!F225/transformed_data!$I225</f>
        <v>0.21994764080190116</v>
      </c>
      <c r="G225" s="5">
        <f t="shared" si="3"/>
        <v>1.0000000288457815</v>
      </c>
    </row>
    <row r="226" spans="1:7" x14ac:dyDescent="0.3">
      <c r="A226" s="1">
        <v>45473</v>
      </c>
      <c r="B226" s="5">
        <f>transformed_data!B226/transformed_data!$I226</f>
        <v>0.16553429828323735</v>
      </c>
      <c r="C226" s="5">
        <f>transformed_data!C226/transformed_data!$I226</f>
        <v>0.4032744311513361</v>
      </c>
      <c r="D226" s="5">
        <f>transformed_data!D226/transformed_data!$I226</f>
        <v>0.13152024128313849</v>
      </c>
      <c r="E226" s="5">
        <f>transformed_data!E226/transformed_data!$I226</f>
        <v>7.6263773055148878E-2</v>
      </c>
      <c r="F226" s="5">
        <f>transformed_data!F226/transformed_data!$I226</f>
        <v>0.22340725622714011</v>
      </c>
      <c r="G226" s="5">
        <f t="shared" si="3"/>
        <v>1.0000000000000009</v>
      </c>
    </row>
    <row r="227" spans="1:7" x14ac:dyDescent="0.3">
      <c r="A227" s="1">
        <v>45504</v>
      </c>
      <c r="B227" s="5">
        <f>transformed_data!B227/transformed_data!$I227</f>
        <v>0.16851789883445784</v>
      </c>
      <c r="C227" s="5">
        <f>transformed_data!C227/transformed_data!$I227</f>
        <v>0.40527213173388454</v>
      </c>
      <c r="D227" s="5">
        <f>transformed_data!D227/transformed_data!$I227</f>
        <v>0.1319422821226279</v>
      </c>
      <c r="E227" s="5">
        <f>transformed_data!E227/transformed_data!$I227</f>
        <v>7.3716651458481719E-2</v>
      </c>
      <c r="F227" s="5">
        <f>transformed_data!F227/transformed_data!$I227</f>
        <v>0.22055103585054717</v>
      </c>
      <c r="G227" s="5">
        <f t="shared" si="3"/>
        <v>0.99999999999999911</v>
      </c>
    </row>
    <row r="228" spans="1:7" x14ac:dyDescent="0.3">
      <c r="A228" s="1">
        <v>45535</v>
      </c>
      <c r="B228" s="5">
        <f>transformed_data!B228/transformed_data!$I228</f>
        <v>0.17363830329245364</v>
      </c>
      <c r="C228" s="5">
        <f>transformed_data!C228/transformed_data!$I228</f>
        <v>0.40254659320094321</v>
      </c>
      <c r="D228" s="5">
        <f>transformed_data!D228/transformed_data!$I228</f>
        <v>0.13210661258037459</v>
      </c>
      <c r="E228" s="5">
        <f>transformed_data!E228/transformed_data!$I228</f>
        <v>7.4435154677345725E-2</v>
      </c>
      <c r="F228" s="5">
        <f>transformed_data!F228/transformed_data!$I228</f>
        <v>0.21727333624888251</v>
      </c>
      <c r="G228" s="5">
        <f t="shared" si="3"/>
        <v>0.99999999999999978</v>
      </c>
    </row>
    <row r="229" spans="1:7" x14ac:dyDescent="0.3">
      <c r="A229" s="1">
        <v>45565</v>
      </c>
      <c r="B229" s="5">
        <f>transformed_data!B229/transformed_data!$I229</f>
        <v>0.16931667528290156</v>
      </c>
      <c r="C229" s="5">
        <f>transformed_data!C229/transformed_data!$I229</f>
        <v>0.40444285085419096</v>
      </c>
      <c r="D229" s="5">
        <f>transformed_data!D229/transformed_data!$I229</f>
        <v>0.13276049961590952</v>
      </c>
      <c r="E229" s="5">
        <f>transformed_data!E229/transformed_data!$I229</f>
        <v>7.5337930276146492E-2</v>
      </c>
      <c r="F229" s="5">
        <f>transformed_data!F229/transformed_data!$I229</f>
        <v>0.21814204397085243</v>
      </c>
      <c r="G229" s="5">
        <f t="shared" si="3"/>
        <v>1.0000000000000009</v>
      </c>
    </row>
    <row r="230" spans="1:7" x14ac:dyDescent="0.3">
      <c r="A230" s="1">
        <v>45596</v>
      </c>
      <c r="B230" s="5">
        <f>transformed_data!B230/transformed_data!$I230</f>
        <v>0.17208629346415646</v>
      </c>
      <c r="C230" s="5">
        <f>transformed_data!C230/transformed_data!$I230</f>
        <v>0.40175213732969639</v>
      </c>
      <c r="D230" s="5">
        <f>transformed_data!D230/transformed_data!$I230</f>
        <v>0.13195040284374077</v>
      </c>
      <c r="E230" s="5">
        <f>transformed_data!E230/transformed_data!$I230</f>
        <v>7.2779299134992842E-2</v>
      </c>
      <c r="F230" s="5">
        <f>transformed_data!F230/transformed_data!$I230</f>
        <v>0.22143186722741273</v>
      </c>
      <c r="G230" s="5">
        <f t="shared" si="3"/>
        <v>0.99999999999999922</v>
      </c>
    </row>
    <row r="231" spans="1:7" x14ac:dyDescent="0.3">
      <c r="A231" s="1">
        <v>45626</v>
      </c>
      <c r="B231" s="5">
        <f>transformed_data!B231/transformed_data!$I231</f>
        <v>0.17706373196746064</v>
      </c>
      <c r="C231" s="5">
        <f>transformed_data!C231/transformed_data!$I231</f>
        <v>0.39929494937001997</v>
      </c>
      <c r="D231" s="5">
        <f>transformed_data!D231/transformed_data!$I231</f>
        <v>0.13188262270522885</v>
      </c>
      <c r="E231" s="5">
        <f>transformed_data!E231/transformed_data!$I231</f>
        <v>7.3834665207032718E-2</v>
      </c>
      <c r="F231" s="5">
        <f>transformed_data!F231/transformed_data!$I231</f>
        <v>0.21792400303972512</v>
      </c>
      <c r="G231" s="5">
        <f t="shared" si="3"/>
        <v>0.99999997228946735</v>
      </c>
    </row>
    <row r="232" spans="1:7" x14ac:dyDescent="0.3">
      <c r="A232" s="1">
        <v>45657</v>
      </c>
      <c r="B232" s="5">
        <f>transformed_data!B232/transformed_data!$I232</f>
        <v>0.17082054979884548</v>
      </c>
      <c r="C232" s="5">
        <f>transformed_data!C232/transformed_data!$I232</f>
        <v>0.40215328396819067</v>
      </c>
      <c r="D232" s="5">
        <f>transformed_data!D232/transformed_data!$I232</f>
        <v>0.13285071763334197</v>
      </c>
      <c r="E232" s="5">
        <f>transformed_data!E232/transformed_data!$I232</f>
        <v>7.5008073750869986E-2</v>
      </c>
      <c r="F232" s="5">
        <f>transformed_data!F232/transformed_data!$I232</f>
        <v>0.21916737484875307</v>
      </c>
      <c r="G232" s="5">
        <f t="shared" si="3"/>
        <v>1.0000000000000011</v>
      </c>
    </row>
    <row r="233" spans="1:7" x14ac:dyDescent="0.3">
      <c r="A233" s="1">
        <v>45688</v>
      </c>
      <c r="B233" s="5">
        <f>transformed_data!B233/transformed_data!$I233</f>
        <v>0.17614269878716257</v>
      </c>
      <c r="C233" s="5">
        <f>transformed_data!C233/transformed_data!$I233</f>
        <v>0.40560316221221154</v>
      </c>
      <c r="D233" s="5">
        <f>transformed_data!D233/transformed_data!$I233</f>
        <v>0.13390890632632668</v>
      </c>
      <c r="E233" s="5">
        <f>transformed_data!E233/transformed_data!$I233</f>
        <v>7.1719344066266066E-2</v>
      </c>
      <c r="F233" s="5">
        <f>transformed_data!F233/transformed_data!$I233</f>
        <v>0.21262588860803336</v>
      </c>
      <c r="G233" s="5">
        <f t="shared" si="3"/>
        <v>1.0000000000000002</v>
      </c>
    </row>
    <row r="234" spans="1:7" x14ac:dyDescent="0.3">
      <c r="A234" s="1">
        <v>45716</v>
      </c>
      <c r="B234" s="5">
        <f>transformed_data!B234/transformed_data!$I234</f>
        <v>0.17581836030665871</v>
      </c>
      <c r="C234" s="5">
        <f>transformed_data!C234/transformed_data!$I234</f>
        <v>0.40685951531954917</v>
      </c>
      <c r="D234" s="5">
        <f>transformed_data!D234/transformed_data!$I234</f>
        <v>0.13490671249988836</v>
      </c>
      <c r="E234" s="5">
        <f>transformed_data!E234/transformed_data!$I234</f>
        <v>7.284617366246772E-2</v>
      </c>
      <c r="F234" s="5">
        <f>transformed_data!F234/transformed_data!$I234</f>
        <v>0.20956923821143483</v>
      </c>
      <c r="G234" s="5">
        <f t="shared" si="3"/>
        <v>0.99999999999999878</v>
      </c>
    </row>
    <row r="235" spans="1:7" x14ac:dyDescent="0.3">
      <c r="A235" s="1">
        <v>45747</v>
      </c>
      <c r="B235" s="5">
        <f>transformed_data!B235/transformed_data!$I235</f>
        <v>0.16998668124438199</v>
      </c>
      <c r="C235" s="5">
        <f>transformed_data!C235/transformed_data!$I235</f>
        <v>0.40906167619784423</v>
      </c>
      <c r="D235" s="5">
        <f>transformed_data!D235/transformed_data!$I235</f>
        <v>0.13585548812385376</v>
      </c>
      <c r="E235" s="5">
        <f>transformed_data!E235/transformed_data!$I235</f>
        <v>7.4481625274021135E-2</v>
      </c>
      <c r="F235" s="5">
        <f>transformed_data!F235/transformed_data!$I235</f>
        <v>0.21061452915989945</v>
      </c>
      <c r="G235" s="5">
        <f t="shared" si="3"/>
        <v>1.0000000000000007</v>
      </c>
    </row>
    <row r="236" spans="1:7" x14ac:dyDescent="0.3">
      <c r="A236" s="1">
        <v>45777</v>
      </c>
      <c r="B236" s="5">
        <f>transformed_data!B236/transformed_data!$I236</f>
        <v>0.16734115985047954</v>
      </c>
      <c r="C236" s="5">
        <f>transformed_data!C236/transformed_data!$I236</f>
        <v>0.41166221601679293</v>
      </c>
      <c r="D236" s="5">
        <f>transformed_data!D236/transformed_data!$I236</f>
        <v>0.13689526539231678</v>
      </c>
      <c r="E236" s="5">
        <f>transformed_data!E236/transformed_data!$I236</f>
        <v>7.3191422377356721E-2</v>
      </c>
      <c r="F236" s="5">
        <f>transformed_data!F236/transformed_data!$I236</f>
        <v>0.21090993636305369</v>
      </c>
      <c r="G236" s="5">
        <f t="shared" si="3"/>
        <v>0.99999999999999967</v>
      </c>
    </row>
    <row r="237" spans="1:7" x14ac:dyDescent="0.3">
      <c r="A237" s="1">
        <v>45808</v>
      </c>
      <c r="B237" s="5">
        <f>transformed_data!B237/transformed_data!$I237</f>
        <v>0.16575696784398875</v>
      </c>
      <c r="C237" s="5">
        <f>transformed_data!C237/transformed_data!$I237</f>
        <v>0.4113574485466075</v>
      </c>
      <c r="D237" s="5">
        <f>transformed_data!D237/transformed_data!$I237</f>
        <v>0.13770968638479453</v>
      </c>
      <c r="E237" s="5">
        <f>transformed_data!E237/transformed_data!$I237</f>
        <v>7.4567731442204063E-2</v>
      </c>
      <c r="F237" s="5">
        <f>transformed_data!F237/transformed_data!$I237</f>
        <v>0.21060816578240668</v>
      </c>
      <c r="G237" s="5">
        <f t="shared" si="3"/>
        <v>1.0000000000000016</v>
      </c>
    </row>
    <row r="238" spans="1:7" x14ac:dyDescent="0.3">
      <c r="A238" s="1">
        <v>45838</v>
      </c>
      <c r="B238" s="5">
        <f>transformed_data!B238/transformed_data!$I238</f>
        <v>0.15973008442588535</v>
      </c>
      <c r="C238" s="5">
        <f>transformed_data!C238/transformed_data!$I238</f>
        <v>0.41626581265878598</v>
      </c>
      <c r="D238" s="5">
        <f>transformed_data!D238/transformed_data!$I238</f>
        <v>0.13918646699326509</v>
      </c>
      <c r="E238" s="5">
        <f>transformed_data!E238/transformed_data!$I238</f>
        <v>7.620468865100942E-2</v>
      </c>
      <c r="F238" s="5">
        <f>transformed_data!F238/transformed_data!$I238</f>
        <v>0.20861294727105442</v>
      </c>
      <c r="G238" s="5">
        <f t="shared" si="3"/>
        <v>1.0000000000000002</v>
      </c>
    </row>
    <row r="239" spans="1:7" x14ac:dyDescent="0.3">
      <c r="A239" s="1">
        <v>45869</v>
      </c>
      <c r="B239" s="5">
        <f>transformed_data!B239/transformed_data!$I239</f>
        <v>0.1624160255353915</v>
      </c>
      <c r="C239" s="5">
        <f>transformed_data!C239/transformed_data!$I239</f>
        <v>0.41192393166423819</v>
      </c>
      <c r="D239" s="5">
        <f>transformed_data!D239/transformed_data!$I239</f>
        <v>0.13751481402703783</v>
      </c>
      <c r="E239" s="5">
        <f>transformed_data!E239/transformed_data!$I239</f>
        <v>7.2877868416735769E-2</v>
      </c>
      <c r="F239" s="5">
        <f>transformed_data!F239/transformed_data!$I239</f>
        <v>0.21526738744439772</v>
      </c>
      <c r="G239" s="5">
        <f t="shared" si="3"/>
        <v>1.0000000270878011</v>
      </c>
    </row>
    <row r="240" spans="1:7" x14ac:dyDescent="0.3">
      <c r="A240" s="1">
        <v>45900</v>
      </c>
      <c r="B240" s="5">
        <f>transformed_data!B240/transformed_data!$I240</f>
        <v>0.17086873414827025</v>
      </c>
      <c r="C240" s="5">
        <f>transformed_data!C240/transformed_data!$I240</f>
        <v>0.40809125536208718</v>
      </c>
      <c r="D240" s="5">
        <f>transformed_data!D240/transformed_data!$I240</f>
        <v>0.13668754553021503</v>
      </c>
      <c r="E240" s="5">
        <f>transformed_data!E240/transformed_data!$I240</f>
        <v>7.3284032160868429E-2</v>
      </c>
      <c r="F240" s="5">
        <f>transformed_data!F240/transformed_data!$I240</f>
        <v>0.21106843279855872</v>
      </c>
      <c r="G240" s="5">
        <f t="shared" si="3"/>
        <v>0.99999999999999956</v>
      </c>
    </row>
    <row r="241" spans="1:7" x14ac:dyDescent="0.3">
      <c r="A241" s="1">
        <v>45930</v>
      </c>
      <c r="B241" s="5">
        <f>transformed_data!B241/transformed_data!$I241</f>
        <v>0.16996442703091669</v>
      </c>
      <c r="C241" s="5">
        <f>transformed_data!C241/transformed_data!$I241</f>
        <v>0.40896598869313061</v>
      </c>
      <c r="D241" s="5">
        <f>transformed_data!D241/transformed_data!$I241</f>
        <v>0.1366337668345716</v>
      </c>
      <c r="E241" s="5">
        <f>transformed_data!E241/transformed_data!$I241</f>
        <v>7.3932246498982029E-2</v>
      </c>
      <c r="F241" s="5">
        <f>transformed_data!F241/transformed_data!$I241</f>
        <v>0.21050359751160924</v>
      </c>
      <c r="G241" s="5">
        <f t="shared" si="3"/>
        <v>1.0000000265692102</v>
      </c>
    </row>
    <row r="242" spans="1:7" x14ac:dyDescent="0.3">
      <c r="A242" s="1">
        <v>45961</v>
      </c>
      <c r="B242" s="5">
        <f>transformed_data!B242/transformed_data!$I242</f>
        <v>0.17332223782589162</v>
      </c>
      <c r="C242" s="5">
        <f>transformed_data!C242/transformed_data!$I242</f>
        <v>0.40761417841724434</v>
      </c>
      <c r="D242" s="5">
        <f>transformed_data!D242/transformed_data!$I242</f>
        <v>0.13598019201081352</v>
      </c>
      <c r="E242" s="5">
        <f>transformed_data!E242/transformed_data!$I242</f>
        <v>7.1687226803192922E-2</v>
      </c>
      <c r="F242" s="5">
        <f>transformed_data!F242/transformed_data!$I242</f>
        <v>0.21139616494285823</v>
      </c>
      <c r="G242" s="5">
        <f t="shared" si="3"/>
        <v>1.0000000000000007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7275-001E-45FF-90A0-F6A0264C2477}">
  <dimension ref="A1:E242"/>
  <sheetViews>
    <sheetView topLeftCell="D1" workbookViewId="0">
      <selection activeCell="U14" sqref="U14"/>
    </sheetView>
  </sheetViews>
  <sheetFormatPr defaultRowHeight="14.4" x14ac:dyDescent="0.3"/>
  <cols>
    <col min="1" max="1" width="10.33203125" bestFit="1" customWidth="1"/>
    <col min="5" max="5" width="15" bestFit="1" customWidth="1"/>
  </cols>
  <sheetData>
    <row r="1" spans="1:5" x14ac:dyDescent="0.3">
      <c r="A1" t="s">
        <v>30</v>
      </c>
      <c r="B1" t="s">
        <v>7</v>
      </c>
      <c r="C1" t="s">
        <v>8</v>
      </c>
      <c r="D1" t="s">
        <v>9</v>
      </c>
      <c r="E1" t="s">
        <v>26</v>
      </c>
    </row>
    <row r="2" spans="1:5" x14ac:dyDescent="0.3">
      <c r="A2" s="1">
        <v>38656</v>
      </c>
      <c r="B2" s="8">
        <f>transformed_data!$B2/SUM(transformed_data!$B2:$E2)</f>
        <v>0.22670755372235205</v>
      </c>
      <c r="C2" s="8">
        <f>transformed_data!$C2/SUM(transformed_data!$B2:$E2)</f>
        <v>0.56543315254756055</v>
      </c>
      <c r="D2" s="8">
        <f>transformed_data!$D2/SUM(transformed_data!$B2:$E2)</f>
        <v>0.12603836379614558</v>
      </c>
      <c r="E2" s="8">
        <f>transformed_data!$E2/SUM(transformed_data!$B2:$E2)</f>
        <v>8.1820929933941869E-2</v>
      </c>
    </row>
    <row r="3" spans="1:5" x14ac:dyDescent="0.3">
      <c r="A3" s="1">
        <v>38686</v>
      </c>
      <c r="B3" s="8">
        <f>transformed_data!$B3/SUM(transformed_data!$B3:$E3)</f>
        <v>0.23581170525280234</v>
      </c>
      <c r="C3" s="8">
        <f>transformed_data!$C3/SUM(transformed_data!$B3:$E3)</f>
        <v>0.55905560874924887</v>
      </c>
      <c r="D3" s="8">
        <f>transformed_data!$D3/SUM(transformed_data!$B3:$E3)</f>
        <v>0.12343954043142288</v>
      </c>
      <c r="E3" s="8">
        <f>transformed_data!$E3/SUM(transformed_data!$B3:$E3)</f>
        <v>8.1693145566525807E-2</v>
      </c>
    </row>
    <row r="4" spans="1:5" x14ac:dyDescent="0.3">
      <c r="A4" s="1">
        <v>38717</v>
      </c>
      <c r="B4" s="8">
        <f>transformed_data!$B4/SUM(transformed_data!$B4:$E4)</f>
        <v>0.23037195099715452</v>
      </c>
      <c r="C4" s="8">
        <f>transformed_data!$C4/SUM(transformed_data!$B4:$E4)</f>
        <v>0.56424870040106689</v>
      </c>
      <c r="D4" s="8">
        <f>transformed_data!$D4/SUM(transformed_data!$B4:$E4)</f>
        <v>0.12347658986124284</v>
      </c>
      <c r="E4" s="8">
        <f>transformed_data!$E4/SUM(transformed_data!$B4:$E4)</f>
        <v>8.1902758740535778E-2</v>
      </c>
    </row>
    <row r="5" spans="1:5" x14ac:dyDescent="0.3">
      <c r="A5" s="1">
        <v>38748</v>
      </c>
      <c r="B5" s="8">
        <f>transformed_data!$B5/SUM(transformed_data!$B5:$E5)</f>
        <v>0.22795904665074093</v>
      </c>
      <c r="C5" s="8">
        <f>transformed_data!$C5/SUM(transformed_data!$B5:$E5)</f>
        <v>0.56285987902052992</v>
      </c>
      <c r="D5" s="8">
        <f>transformed_data!$D5/SUM(transformed_data!$B5:$E5)</f>
        <v>0.12315602824475903</v>
      </c>
      <c r="E5" s="8">
        <f>transformed_data!$E5/SUM(transformed_data!$B5:$E5)</f>
        <v>8.6025046083970103E-2</v>
      </c>
    </row>
    <row r="6" spans="1:5" x14ac:dyDescent="0.3">
      <c r="A6" s="1">
        <v>38776</v>
      </c>
      <c r="B6" s="8">
        <f>transformed_data!$B6/SUM(transformed_data!$B6:$E6)</f>
        <v>0.23367497219270381</v>
      </c>
      <c r="C6" s="8">
        <f>transformed_data!$C6/SUM(transformed_data!$B6:$E6)</f>
        <v>0.55913563024849577</v>
      </c>
      <c r="D6" s="8">
        <f>transformed_data!$D6/SUM(transformed_data!$B6:$E6)</f>
        <v>0.12313449973252788</v>
      </c>
      <c r="E6" s="8">
        <f>transformed_data!$E6/SUM(transformed_data!$B6:$E6)</f>
        <v>8.4054897826272568E-2</v>
      </c>
    </row>
    <row r="7" spans="1:5" x14ac:dyDescent="0.3">
      <c r="A7" s="1">
        <v>38807</v>
      </c>
      <c r="B7" s="8">
        <f>transformed_data!$B7/SUM(transformed_data!$B7:$E7)</f>
        <v>0.24008157705895347</v>
      </c>
      <c r="C7" s="8">
        <f>transformed_data!$C7/SUM(transformed_data!$B7:$E7)</f>
        <v>0.55519008027883809</v>
      </c>
      <c r="D7" s="8">
        <f>transformed_data!$D7/SUM(transformed_data!$B7:$E7)</f>
        <v>0.12134911705174831</v>
      </c>
      <c r="E7" s="8">
        <f>transformed_data!$E7/SUM(transformed_data!$B7:$E7)</f>
        <v>8.3379225610460142E-2</v>
      </c>
    </row>
    <row r="8" spans="1:5" x14ac:dyDescent="0.3">
      <c r="A8" s="1">
        <v>38837</v>
      </c>
      <c r="B8" s="8">
        <f>transformed_data!$B8/SUM(transformed_data!$B8:$E8)</f>
        <v>0.2253236052461404</v>
      </c>
      <c r="C8" s="8">
        <f>transformed_data!$C8/SUM(transformed_data!$B8:$E8)</f>
        <v>0.56260200487591461</v>
      </c>
      <c r="D8" s="8">
        <f>transformed_data!$D8/SUM(transformed_data!$B8:$E8)</f>
        <v>0.12296906782894908</v>
      </c>
      <c r="E8" s="8">
        <f>transformed_data!$E8/SUM(transformed_data!$B8:$E8)</f>
        <v>8.9105322048995933E-2</v>
      </c>
    </row>
    <row r="9" spans="1:5" x14ac:dyDescent="0.3">
      <c r="A9" s="1">
        <v>38868</v>
      </c>
      <c r="B9" s="8">
        <f>transformed_data!$B9/SUM(transformed_data!$B9:$E9)</f>
        <v>0.22356211475030843</v>
      </c>
      <c r="C9" s="8">
        <f>transformed_data!$C9/SUM(transformed_data!$B9:$E9)</f>
        <v>0.56403097043442252</v>
      </c>
      <c r="D9" s="8">
        <f>transformed_data!$D9/SUM(transformed_data!$B9:$E9)</f>
        <v>0.1225429985934033</v>
      </c>
      <c r="E9" s="8">
        <f>transformed_data!$E9/SUM(transformed_data!$B9:$E9)</f>
        <v>8.9863916221865792E-2</v>
      </c>
    </row>
    <row r="10" spans="1:5" x14ac:dyDescent="0.3">
      <c r="A10" s="1">
        <v>38898</v>
      </c>
      <c r="B10" s="8">
        <f>transformed_data!$B10/SUM(transformed_data!$B10:$E10)</f>
        <v>0.21549195001014712</v>
      </c>
      <c r="C10" s="8">
        <f>transformed_data!$C10/SUM(transformed_data!$B10:$E10)</f>
        <v>0.57061289892237399</v>
      </c>
      <c r="D10" s="8">
        <f>transformed_data!$D10/SUM(transformed_data!$B10:$E10)</f>
        <v>0.12297952097521807</v>
      </c>
      <c r="E10" s="8">
        <f>transformed_data!$E10/SUM(transformed_data!$B10:$E10)</f>
        <v>9.0915630092260891E-2</v>
      </c>
    </row>
    <row r="11" spans="1:5" x14ac:dyDescent="0.3">
      <c r="A11" s="1">
        <v>38929</v>
      </c>
      <c r="B11" s="8">
        <f>transformed_data!$B11/SUM(transformed_data!$B11:$E11)</f>
        <v>0.21789821508876214</v>
      </c>
      <c r="C11" s="8">
        <f>transformed_data!$C11/SUM(transformed_data!$B11:$E11)</f>
        <v>0.56464293066941018</v>
      </c>
      <c r="D11" s="8">
        <f>transformed_data!$D11/SUM(transformed_data!$B11:$E11)</f>
        <v>0.12222091016670211</v>
      </c>
      <c r="E11" s="8">
        <f>transformed_data!$E11/SUM(transformed_data!$B11:$E11)</f>
        <v>9.5237944075125563E-2</v>
      </c>
    </row>
    <row r="12" spans="1:5" x14ac:dyDescent="0.3">
      <c r="A12" s="1">
        <v>38960</v>
      </c>
      <c r="B12" s="8">
        <f>transformed_data!$B12/SUM(transformed_data!$B12:$E12)</f>
        <v>0.22149265777003588</v>
      </c>
      <c r="C12" s="8">
        <f>transformed_data!$C12/SUM(transformed_data!$B12:$E12)</f>
        <v>0.56141473181469459</v>
      </c>
      <c r="D12" s="8">
        <f>transformed_data!$D12/SUM(transformed_data!$B12:$E12)</f>
        <v>0.12307276652930305</v>
      </c>
      <c r="E12" s="8">
        <f>transformed_data!$E12/SUM(transformed_data!$B12:$E12)</f>
        <v>9.40198438859665E-2</v>
      </c>
    </row>
    <row r="13" spans="1:5" x14ac:dyDescent="0.3">
      <c r="A13" s="1">
        <v>38990</v>
      </c>
      <c r="B13" s="8">
        <f>transformed_data!$B13/SUM(transformed_data!$B13:$E13)</f>
        <v>0.21183414660769406</v>
      </c>
      <c r="C13" s="8">
        <f>transformed_data!$C13/SUM(transformed_data!$B13:$E13)</f>
        <v>0.56870509842246242</v>
      </c>
      <c r="D13" s="8">
        <f>transformed_data!$D13/SUM(transformed_data!$B13:$E13)</f>
        <v>0.12426331642459275</v>
      </c>
      <c r="E13" s="8">
        <f>transformed_data!$E13/SUM(transformed_data!$B13:$E13)</f>
        <v>9.5197438545250757E-2</v>
      </c>
    </row>
    <row r="14" spans="1:5" x14ac:dyDescent="0.3">
      <c r="A14" s="1">
        <v>39021</v>
      </c>
      <c r="B14" s="8">
        <f>transformed_data!$B14/SUM(transformed_data!$B14:$E14)</f>
        <v>0.21427457491423646</v>
      </c>
      <c r="C14" s="8">
        <f>transformed_data!$C14/SUM(transformed_data!$B14:$E14)</f>
        <v>0.56348600611111821</v>
      </c>
      <c r="D14" s="8">
        <f>transformed_data!$D14/SUM(transformed_data!$B14:$E14)</f>
        <v>0.12326253368012893</v>
      </c>
      <c r="E14" s="8">
        <f>transformed_data!$E14/SUM(transformed_data!$B14:$E14)</f>
        <v>9.8976885294516398E-2</v>
      </c>
    </row>
    <row r="15" spans="1:5" x14ac:dyDescent="0.3">
      <c r="A15" s="1">
        <v>39051</v>
      </c>
      <c r="B15" s="8">
        <f>transformed_data!$B15/SUM(transformed_data!$B15:$E15)</f>
        <v>0.22575524134554936</v>
      </c>
      <c r="C15" s="8">
        <f>transformed_data!$C15/SUM(transformed_data!$B15:$E15)</f>
        <v>0.55554804809628766</v>
      </c>
      <c r="D15" s="8">
        <f>transformed_data!$D15/SUM(transformed_data!$B15:$E15)</f>
        <v>0.12113513433478432</v>
      </c>
      <c r="E15" s="8">
        <f>transformed_data!$E15/SUM(transformed_data!$B15:$E15)</f>
        <v>9.756157622337866E-2</v>
      </c>
    </row>
    <row r="16" spans="1:5" x14ac:dyDescent="0.3">
      <c r="A16" s="1">
        <v>39082</v>
      </c>
      <c r="B16" s="8">
        <f>transformed_data!$B16/SUM(transformed_data!$B16:$E16)</f>
        <v>0.21746489523614501</v>
      </c>
      <c r="C16" s="8">
        <f>transformed_data!$C16/SUM(transformed_data!$B16:$E16)</f>
        <v>0.56238677378915369</v>
      </c>
      <c r="D16" s="8">
        <f>transformed_data!$D16/SUM(transformed_data!$B16:$E16)</f>
        <v>0.12222181421902398</v>
      </c>
      <c r="E16" s="8">
        <f>transformed_data!$E16/SUM(transformed_data!$B16:$E16)</f>
        <v>9.7926516755677304E-2</v>
      </c>
    </row>
    <row r="17" spans="1:5" x14ac:dyDescent="0.3">
      <c r="A17" s="1">
        <v>39113</v>
      </c>
      <c r="B17" s="8">
        <f>transformed_data!$B17/SUM(transformed_data!$B17:$E17)</f>
        <v>0.21439627968003228</v>
      </c>
      <c r="C17" s="8">
        <f>transformed_data!$C17/SUM(transformed_data!$B17:$E17)</f>
        <v>0.56579021429617227</v>
      </c>
      <c r="D17" s="8">
        <f>transformed_data!$D17/SUM(transformed_data!$B17:$E17)</f>
        <v>0.12206622481989632</v>
      </c>
      <c r="E17" s="8">
        <f>transformed_data!$E17/SUM(transformed_data!$B17:$E17)</f>
        <v>9.7747281203899028E-2</v>
      </c>
    </row>
    <row r="18" spans="1:5" x14ac:dyDescent="0.3">
      <c r="A18" s="1">
        <v>39141</v>
      </c>
      <c r="B18" s="8">
        <f>transformed_data!$B18/SUM(transformed_data!$B18:$E18)</f>
        <v>0.22276854452022654</v>
      </c>
      <c r="C18" s="8">
        <f>transformed_data!$C18/SUM(transformed_data!$B18:$E18)</f>
        <v>0.55811648386229762</v>
      </c>
      <c r="D18" s="8">
        <f>transformed_data!$D18/SUM(transformed_data!$B18:$E18)</f>
        <v>0.12260166293352158</v>
      </c>
      <c r="E18" s="8">
        <f>transformed_data!$E18/SUM(transformed_data!$B18:$E18)</f>
        <v>9.6513308683954205E-2</v>
      </c>
    </row>
    <row r="19" spans="1:5" x14ac:dyDescent="0.3">
      <c r="A19" s="1">
        <v>39172</v>
      </c>
      <c r="B19" s="8">
        <f>transformed_data!$B19/SUM(transformed_data!$B19:$E19)</f>
        <v>0.23118042604490399</v>
      </c>
      <c r="C19" s="8">
        <f>transformed_data!$C19/SUM(transformed_data!$B19:$E19)</f>
        <v>0.55238486096833284</v>
      </c>
      <c r="D19" s="8">
        <f>transformed_data!$D19/SUM(transformed_data!$B19:$E19)</f>
        <v>0.12094894653555219</v>
      </c>
      <c r="E19" s="8">
        <f>transformed_data!$E19/SUM(transformed_data!$B19:$E19)</f>
        <v>9.5485766451211068E-2</v>
      </c>
    </row>
    <row r="20" spans="1:5" x14ac:dyDescent="0.3">
      <c r="A20" s="1">
        <v>39202</v>
      </c>
      <c r="B20" s="8">
        <f>transformed_data!$B20/SUM(transformed_data!$B20:$E20)</f>
        <v>0.21396292032631048</v>
      </c>
      <c r="C20" s="8">
        <f>transformed_data!$C20/SUM(transformed_data!$B20:$E20)</f>
        <v>0.56267067095420797</v>
      </c>
      <c r="D20" s="8">
        <f>transformed_data!$D20/SUM(transformed_data!$B20:$E20)</f>
        <v>0.12249477226973041</v>
      </c>
      <c r="E20" s="8">
        <f>transformed_data!$E20/SUM(transformed_data!$B20:$E20)</f>
        <v>0.10087163644975107</v>
      </c>
    </row>
    <row r="21" spans="1:5" x14ac:dyDescent="0.3">
      <c r="A21" s="1">
        <v>39233</v>
      </c>
      <c r="B21" s="8">
        <f>transformed_data!$B21/SUM(transformed_data!$B21:$E21)</f>
        <v>0.20991814645489976</v>
      </c>
      <c r="C21" s="8">
        <f>transformed_data!$C21/SUM(transformed_data!$B21:$E21)</f>
        <v>0.56254542136409769</v>
      </c>
      <c r="D21" s="8">
        <f>transformed_data!$D21/SUM(transformed_data!$B21:$E21)</f>
        <v>0.12499372046940019</v>
      </c>
      <c r="E21" s="8">
        <f>transformed_data!$E21/SUM(transformed_data!$B21:$E21)</f>
        <v>0.10254271171160238</v>
      </c>
    </row>
    <row r="22" spans="1:5" x14ac:dyDescent="0.3">
      <c r="A22" s="1">
        <v>39263</v>
      </c>
      <c r="B22" s="8">
        <f>transformed_data!$B22/SUM(transformed_data!$B22:$E22)</f>
        <v>0.20028378169814329</v>
      </c>
      <c r="C22" s="8">
        <f>transformed_data!$C22/SUM(transformed_data!$B22:$E22)</f>
        <v>0.56946718585671885</v>
      </c>
      <c r="D22" s="8">
        <f>transformed_data!$D22/SUM(transformed_data!$B22:$E22)</f>
        <v>0.12612180153348088</v>
      </c>
      <c r="E22" s="8">
        <f>transformed_data!$E22/SUM(transformed_data!$B22:$E22)</f>
        <v>0.10412723091165703</v>
      </c>
    </row>
    <row r="23" spans="1:5" x14ac:dyDescent="0.3">
      <c r="A23" s="1">
        <v>39294</v>
      </c>
      <c r="B23" s="8">
        <f>transformed_data!$B23/SUM(transformed_data!$B23:$E23)</f>
        <v>0.20258526794630743</v>
      </c>
      <c r="C23" s="8">
        <f>transformed_data!$C23/SUM(transformed_data!$B23:$E23)</f>
        <v>0.56639131273656829</v>
      </c>
      <c r="D23" s="8">
        <f>transformed_data!$D23/SUM(transformed_data!$B23:$E23)</f>
        <v>0.12427917726162736</v>
      </c>
      <c r="E23" s="8">
        <f>transformed_data!$E23/SUM(transformed_data!$B23:$E23)</f>
        <v>0.10674424205549683</v>
      </c>
    </row>
    <row r="24" spans="1:5" x14ac:dyDescent="0.3">
      <c r="A24" s="1">
        <v>39325</v>
      </c>
      <c r="B24" s="8">
        <f>transformed_data!$B24/SUM(transformed_data!$B24:$E24)</f>
        <v>0.22553867018149776</v>
      </c>
      <c r="C24" s="8">
        <f>transformed_data!$C24/SUM(transformed_data!$B24:$E24)</f>
        <v>0.54491383561220741</v>
      </c>
      <c r="D24" s="8">
        <f>transformed_data!$D24/SUM(transformed_data!$B24:$E24)</f>
        <v>0.12479399351784982</v>
      </c>
      <c r="E24" s="8">
        <f>transformed_data!$E24/SUM(transformed_data!$B24:$E24)</f>
        <v>0.10475350068844504</v>
      </c>
    </row>
    <row r="25" spans="1:5" x14ac:dyDescent="0.3">
      <c r="A25" s="1">
        <v>39355</v>
      </c>
      <c r="B25" s="8">
        <f>transformed_data!$B25/SUM(transformed_data!$B25:$E25)</f>
        <v>0.21538948200270139</v>
      </c>
      <c r="C25" s="8">
        <f>transformed_data!$C25/SUM(transformed_data!$B25:$E25)</f>
        <v>0.55259996195641414</v>
      </c>
      <c r="D25" s="8">
        <f>transformed_data!$D25/SUM(transformed_data!$B25:$E25)</f>
        <v>0.12614236823200439</v>
      </c>
      <c r="E25" s="8">
        <f>transformed_data!$E25/SUM(transformed_data!$B25:$E25)</f>
        <v>0.10586818780888001</v>
      </c>
    </row>
    <row r="26" spans="1:5" x14ac:dyDescent="0.3">
      <c r="A26" s="1">
        <v>39386</v>
      </c>
      <c r="B26" s="8">
        <f>transformed_data!$B26/SUM(transformed_data!$B26:$E26)</f>
        <v>0.2101073600054465</v>
      </c>
      <c r="C26" s="8">
        <f>transformed_data!$C26/SUM(transformed_data!$B26:$E26)</f>
        <v>0.55593811882580191</v>
      </c>
      <c r="D26" s="8">
        <f>transformed_data!$D26/SUM(transformed_data!$B26:$E26)</f>
        <v>0.12567334418365991</v>
      </c>
      <c r="E26" s="8">
        <f>transformed_data!$E26/SUM(transformed_data!$B26:$E26)</f>
        <v>0.10828117698509154</v>
      </c>
    </row>
    <row r="27" spans="1:5" x14ac:dyDescent="0.3">
      <c r="A27" s="1">
        <v>39416</v>
      </c>
      <c r="B27" s="8">
        <f>transformed_data!$B27/SUM(transformed_data!$B27:$E27)</f>
        <v>0.22782085602803614</v>
      </c>
      <c r="C27" s="8">
        <f>transformed_data!$C27/SUM(transformed_data!$B27:$E27)</f>
        <v>0.54256201075940513</v>
      </c>
      <c r="D27" s="8">
        <f>transformed_data!$D27/SUM(transformed_data!$B27:$E27)</f>
        <v>0.12293853926828872</v>
      </c>
      <c r="E27" s="8">
        <f>transformed_data!$E27/SUM(transformed_data!$B27:$E27)</f>
        <v>0.10667859394427004</v>
      </c>
    </row>
    <row r="28" spans="1:5" x14ac:dyDescent="0.3">
      <c r="A28" s="1">
        <v>39447</v>
      </c>
      <c r="B28" s="8">
        <f>transformed_data!$B28/SUM(transformed_data!$B28:$E28)</f>
        <v>0.22128420508809343</v>
      </c>
      <c r="C28" s="8">
        <f>transformed_data!$C28/SUM(transformed_data!$B28:$E28)</f>
        <v>0.54853739230113496</v>
      </c>
      <c r="D28" s="8">
        <f>transformed_data!$D28/SUM(transformed_data!$B28:$E28)</f>
        <v>0.12311855678282445</v>
      </c>
      <c r="E28" s="8">
        <f>transformed_data!$E28/SUM(transformed_data!$B28:$E28)</f>
        <v>0.10705984582794713</v>
      </c>
    </row>
    <row r="29" spans="1:5" x14ac:dyDescent="0.3">
      <c r="A29" s="1">
        <v>39478</v>
      </c>
      <c r="B29" s="8">
        <f>transformed_data!$B29/SUM(transformed_data!$B29:$E29)</f>
        <v>0.21716574452526305</v>
      </c>
      <c r="C29" s="8">
        <f>transformed_data!$C29/SUM(transformed_data!$B29:$E29)</f>
        <v>0.55239621670897476</v>
      </c>
      <c r="D29" s="8">
        <f>transformed_data!$D29/SUM(transformed_data!$B29:$E29)</f>
        <v>0.12321879959321699</v>
      </c>
      <c r="E29" s="8">
        <f>transformed_data!$E29/SUM(transformed_data!$B29:$E29)</f>
        <v>0.10721923917254524</v>
      </c>
    </row>
    <row r="30" spans="1:5" x14ac:dyDescent="0.3">
      <c r="A30" s="1">
        <v>39507</v>
      </c>
      <c r="B30" s="8">
        <f>transformed_data!$B30/SUM(transformed_data!$B30:$E30)</f>
        <v>0.2414287245676788</v>
      </c>
      <c r="C30" s="8">
        <f>transformed_data!$C30/SUM(transformed_data!$B30:$E30)</f>
        <v>0.53168007585161337</v>
      </c>
      <c r="D30" s="8">
        <f>transformed_data!$D30/SUM(transformed_data!$B30:$E30)</f>
        <v>0.12267386669174782</v>
      </c>
      <c r="E30" s="8">
        <f>transformed_data!$E30/SUM(transformed_data!$B30:$E30)</f>
        <v>0.10421733288895992</v>
      </c>
    </row>
    <row r="31" spans="1:5" x14ac:dyDescent="0.3">
      <c r="A31" s="1">
        <v>39538</v>
      </c>
      <c r="B31" s="8">
        <f>transformed_data!$B31/SUM(transformed_data!$B31:$E31)</f>
        <v>0.24478015010602963</v>
      </c>
      <c r="C31" s="8">
        <f>transformed_data!$C31/SUM(transformed_data!$B31:$E31)</f>
        <v>0.53125428887559545</v>
      </c>
      <c r="D31" s="8">
        <f>transformed_data!$D31/SUM(transformed_data!$B31:$E31)</f>
        <v>0.12083389125046511</v>
      </c>
      <c r="E31" s="8">
        <f>transformed_data!$E31/SUM(transformed_data!$B31:$E31)</f>
        <v>0.10313166976790969</v>
      </c>
    </row>
    <row r="32" spans="1:5" x14ac:dyDescent="0.3">
      <c r="A32" s="1">
        <v>39568</v>
      </c>
      <c r="B32" s="8">
        <f>transformed_data!$B32/SUM(transformed_data!$B32:$E32)</f>
        <v>0.22093754945136659</v>
      </c>
      <c r="C32" s="8">
        <f>transformed_data!$C32/SUM(transformed_data!$B32:$E32)</f>
        <v>0.54727222375738227</v>
      </c>
      <c r="D32" s="8">
        <f>transformed_data!$D32/SUM(transformed_data!$B32:$E32)</f>
        <v>0.12317098422188355</v>
      </c>
      <c r="E32" s="8">
        <f>transformed_data!$E32/SUM(transformed_data!$B32:$E32)</f>
        <v>0.10861924256936756</v>
      </c>
    </row>
    <row r="33" spans="1:5" x14ac:dyDescent="0.3">
      <c r="A33" s="1">
        <v>39599</v>
      </c>
      <c r="B33" s="8">
        <f>transformed_data!$B33/SUM(transformed_data!$B33:$E33)</f>
        <v>0.23889041182090376</v>
      </c>
      <c r="C33" s="8">
        <f>transformed_data!$C33/SUM(transformed_data!$B33:$E33)</f>
        <v>0.52859922543548998</v>
      </c>
      <c r="D33" s="8">
        <f>transformed_data!$D33/SUM(transformed_data!$B33:$E33)</f>
        <v>0.12402058343131339</v>
      </c>
      <c r="E33" s="8">
        <f>transformed_data!$E33/SUM(transformed_data!$B33:$E33)</f>
        <v>0.10848977931229283</v>
      </c>
    </row>
    <row r="34" spans="1:5" x14ac:dyDescent="0.3">
      <c r="A34" s="1">
        <v>39629</v>
      </c>
      <c r="B34" s="8">
        <f>transformed_data!$B34/SUM(transformed_data!$B34:$E34)</f>
        <v>0.22580083092336167</v>
      </c>
      <c r="C34" s="8">
        <f>transformed_data!$C34/SUM(transformed_data!$B34:$E34)</f>
        <v>0.54156965255424205</v>
      </c>
      <c r="D34" s="8">
        <f>transformed_data!$D34/SUM(transformed_data!$B34:$E34)</f>
        <v>0.12372364033439345</v>
      </c>
      <c r="E34" s="8">
        <f>transformed_data!$E34/SUM(transformed_data!$B34:$E34)</f>
        <v>0.10890587618800265</v>
      </c>
    </row>
    <row r="35" spans="1:5" x14ac:dyDescent="0.3">
      <c r="A35" s="1">
        <v>39660</v>
      </c>
      <c r="B35" s="8">
        <f>transformed_data!$B35/SUM(transformed_data!$B35:$E35)</f>
        <v>0.23553647962120733</v>
      </c>
      <c r="C35" s="8">
        <f>transformed_data!$C35/SUM(transformed_data!$B35:$E35)</f>
        <v>0.53394592153835896</v>
      </c>
      <c r="D35" s="8">
        <f>transformed_data!$D35/SUM(transformed_data!$B35:$E35)</f>
        <v>0.12049832198279133</v>
      </c>
      <c r="E35" s="8">
        <f>transformed_data!$E35/SUM(transformed_data!$B35:$E35)</f>
        <v>0.11001927685764232</v>
      </c>
    </row>
    <row r="36" spans="1:5" x14ac:dyDescent="0.3">
      <c r="A36" s="1">
        <v>39691</v>
      </c>
      <c r="B36" s="8">
        <f>transformed_data!$B36/SUM(transformed_data!$B36:$E36)</f>
        <v>0.2503508547740983</v>
      </c>
      <c r="C36" s="8">
        <f>transformed_data!$C36/SUM(transformed_data!$B36:$E36)</f>
        <v>0.52152098182721074</v>
      </c>
      <c r="D36" s="8">
        <f>transformed_data!$D36/SUM(transformed_data!$B36:$E36)</f>
        <v>0.11890804081006846</v>
      </c>
      <c r="E36" s="8">
        <f>transformed_data!$E36/SUM(transformed_data!$B36:$E36)</f>
        <v>0.10922012258862263</v>
      </c>
    </row>
    <row r="37" spans="1:5" x14ac:dyDescent="0.3">
      <c r="A37" s="1">
        <v>39721</v>
      </c>
      <c r="B37" s="8">
        <f>transformed_data!$B37/SUM(transformed_data!$B37:$E37)</f>
        <v>0.28453304496825754</v>
      </c>
      <c r="C37" s="8">
        <f>transformed_data!$C37/SUM(transformed_data!$B37:$E37)</f>
        <v>0.50129316595369722</v>
      </c>
      <c r="D37" s="8">
        <f>transformed_data!$D37/SUM(transformed_data!$B37:$E37)</f>
        <v>0.11132050951643152</v>
      </c>
      <c r="E37" s="8">
        <f>transformed_data!$E37/SUM(transformed_data!$B37:$E37)</f>
        <v>0.10285327956161376</v>
      </c>
    </row>
    <row r="38" spans="1:5" x14ac:dyDescent="0.3">
      <c r="A38" s="1">
        <v>39752</v>
      </c>
      <c r="B38" s="8">
        <f>transformed_data!$B38/SUM(transformed_data!$B38:$E38)</f>
        <v>0.3333244070956049</v>
      </c>
      <c r="C38" s="8">
        <f>transformed_data!$C38/SUM(transformed_data!$B38:$E38)</f>
        <v>0.46891871682708181</v>
      </c>
      <c r="D38" s="8">
        <f>transformed_data!$D38/SUM(transformed_data!$B38:$E38)</f>
        <v>0.10173393419811408</v>
      </c>
      <c r="E38" s="8">
        <f>transformed_data!$E38/SUM(transformed_data!$B38:$E38)</f>
        <v>9.6022941879199186E-2</v>
      </c>
    </row>
    <row r="39" spans="1:5" x14ac:dyDescent="0.3">
      <c r="A39" s="1">
        <v>39782</v>
      </c>
      <c r="B39" s="8">
        <f>transformed_data!$B39/SUM(transformed_data!$B39:$E39)</f>
        <v>0.34412177854169729</v>
      </c>
      <c r="C39" s="8">
        <f>transformed_data!$C39/SUM(transformed_data!$B39:$E39)</f>
        <v>0.45939105214422904</v>
      </c>
      <c r="D39" s="8">
        <f>transformed_data!$D39/SUM(transformed_data!$B39:$E39)</f>
        <v>0.10212534162206668</v>
      </c>
      <c r="E39" s="8">
        <f>transformed_data!$E39/SUM(transformed_data!$B39:$E39)</f>
        <v>9.436182769200703E-2</v>
      </c>
    </row>
    <row r="40" spans="1:5" x14ac:dyDescent="0.3">
      <c r="A40" s="1">
        <v>39813</v>
      </c>
      <c r="B40" s="8">
        <f>transformed_data!$B40/SUM(transformed_data!$B40:$E40)</f>
        <v>0.32196981187613793</v>
      </c>
      <c r="C40" s="8">
        <f>transformed_data!$C40/SUM(transformed_data!$B40:$E40)</f>
        <v>0.48161052453496833</v>
      </c>
      <c r="D40" s="8">
        <f>transformed_data!$D40/SUM(transformed_data!$B40:$E40)</f>
        <v>0.10256599933471648</v>
      </c>
      <c r="E40" s="8">
        <f>transformed_data!$E40/SUM(transformed_data!$B40:$E40)</f>
        <v>9.3853664254177321E-2</v>
      </c>
    </row>
    <row r="41" spans="1:5" x14ac:dyDescent="0.3">
      <c r="A41" s="1">
        <v>39844</v>
      </c>
      <c r="B41" s="8">
        <f>transformed_data!$B41/SUM(transformed_data!$B41:$E41)</f>
        <v>0.31279808233552081</v>
      </c>
      <c r="C41" s="8">
        <f>transformed_data!$C41/SUM(transformed_data!$B41:$E41)</f>
        <v>0.49148704917876218</v>
      </c>
      <c r="D41" s="8">
        <f>transformed_data!$D41/SUM(transformed_data!$B41:$E41)</f>
        <v>0.10341730963545084</v>
      </c>
      <c r="E41" s="8">
        <f>transformed_data!$E41/SUM(transformed_data!$B41:$E41)</f>
        <v>9.2297558850266179E-2</v>
      </c>
    </row>
    <row r="42" spans="1:5" x14ac:dyDescent="0.3">
      <c r="A42" s="1">
        <v>39872</v>
      </c>
      <c r="B42" s="8">
        <f>transformed_data!$B42/SUM(transformed_data!$B42:$E42)</f>
        <v>0.33024579251034653</v>
      </c>
      <c r="C42" s="8">
        <f>transformed_data!$C42/SUM(transformed_data!$B42:$E42)</f>
        <v>0.48100013348113885</v>
      </c>
      <c r="D42" s="8">
        <f>transformed_data!$D42/SUM(transformed_data!$B42:$E42)</f>
        <v>0.10134954686126839</v>
      </c>
      <c r="E42" s="8">
        <f>transformed_data!$E42/SUM(transformed_data!$B42:$E42)</f>
        <v>8.7404527147246155E-2</v>
      </c>
    </row>
    <row r="43" spans="1:5" x14ac:dyDescent="0.3">
      <c r="A43" s="1">
        <v>39903</v>
      </c>
      <c r="B43" s="8">
        <f>transformed_data!$B43/SUM(transformed_data!$B43:$E43)</f>
        <v>0.32453340430363808</v>
      </c>
      <c r="C43" s="8">
        <f>transformed_data!$C43/SUM(transformed_data!$B43:$E43)</f>
        <v>0.49231211574883782</v>
      </c>
      <c r="D43" s="8">
        <f>transformed_data!$D43/SUM(transformed_data!$B43:$E43)</f>
        <v>9.903231294159015E-2</v>
      </c>
      <c r="E43" s="8">
        <f>transformed_data!$E43/SUM(transformed_data!$B43:$E43)</f>
        <v>8.4122167005933862E-2</v>
      </c>
    </row>
    <row r="44" spans="1:5" x14ac:dyDescent="0.3">
      <c r="A44" s="1">
        <v>39933</v>
      </c>
      <c r="B44" s="8">
        <f>transformed_data!$B44/SUM(transformed_data!$B44:$E44)</f>
        <v>0.31343875016377509</v>
      </c>
      <c r="C44" s="8">
        <f>transformed_data!$C44/SUM(transformed_data!$B44:$E44)</f>
        <v>0.50357609288750127</v>
      </c>
      <c r="D44" s="8">
        <f>transformed_data!$D44/SUM(transformed_data!$B44:$E44)</f>
        <v>9.7518487322606179E-2</v>
      </c>
      <c r="E44" s="8">
        <f>transformed_data!$E44/SUM(transformed_data!$B44:$E44)</f>
        <v>8.5466669626117472E-2</v>
      </c>
    </row>
    <row r="45" spans="1:5" x14ac:dyDescent="0.3">
      <c r="A45" s="1">
        <v>39964</v>
      </c>
      <c r="B45" s="8">
        <f>transformed_data!$B45/SUM(transformed_data!$B45:$E45)</f>
        <v>0.32000543266191317</v>
      </c>
      <c r="C45" s="8">
        <f>transformed_data!$C45/SUM(transformed_data!$B45:$E45)</f>
        <v>0.49754706714487434</v>
      </c>
      <c r="D45" s="8">
        <f>transformed_data!$D45/SUM(transformed_data!$B45:$E45)</f>
        <v>9.8004262913296641E-2</v>
      </c>
      <c r="E45" s="8">
        <f>transformed_data!$E45/SUM(transformed_data!$B45:$E45)</f>
        <v>8.4443237279915886E-2</v>
      </c>
    </row>
    <row r="46" spans="1:5" x14ac:dyDescent="0.3">
      <c r="A46" s="1">
        <v>39994</v>
      </c>
      <c r="B46" s="8">
        <f>transformed_data!$B46/SUM(transformed_data!$B46:$E46)</f>
        <v>0.30345273559870717</v>
      </c>
      <c r="C46" s="8">
        <f>transformed_data!$C46/SUM(transformed_data!$B46:$E46)</f>
        <v>0.516890995290751</v>
      </c>
      <c r="D46" s="8">
        <f>transformed_data!$D46/SUM(transformed_data!$B46:$E46)</f>
        <v>9.7345675319229788E-2</v>
      </c>
      <c r="E46" s="8">
        <f>transformed_data!$E46/SUM(transformed_data!$B46:$E46)</f>
        <v>8.2310593791312073E-2</v>
      </c>
    </row>
    <row r="47" spans="1:5" x14ac:dyDescent="0.3">
      <c r="A47" s="1">
        <v>40025</v>
      </c>
      <c r="B47" s="8">
        <f>transformed_data!$B47/SUM(transformed_data!$B47:$E47)</f>
        <v>0.29788428995732047</v>
      </c>
      <c r="C47" s="8">
        <f>transformed_data!$C47/SUM(transformed_data!$B47:$E47)</f>
        <v>0.52301296995324809</v>
      </c>
      <c r="D47" s="8">
        <f>transformed_data!$D47/SUM(transformed_data!$B47:$E47)</f>
        <v>9.6545263833177741E-2</v>
      </c>
      <c r="E47" s="8">
        <f>transformed_data!$E47/SUM(transformed_data!$B47:$E47)</f>
        <v>8.2557476256253703E-2</v>
      </c>
    </row>
    <row r="48" spans="1:5" x14ac:dyDescent="0.3">
      <c r="A48" s="1">
        <v>40056</v>
      </c>
      <c r="B48" s="8">
        <f>transformed_data!$B48/SUM(transformed_data!$B48:$E48)</f>
        <v>0.29808663634321614</v>
      </c>
      <c r="C48" s="8">
        <f>transformed_data!$C48/SUM(transformed_data!$B48:$E48)</f>
        <v>0.52435646770517141</v>
      </c>
      <c r="D48" s="8">
        <f>transformed_data!$D48/SUM(transformed_data!$B48:$E48)</f>
        <v>9.6231903918230111E-2</v>
      </c>
      <c r="E48" s="8">
        <f>transformed_data!$E48/SUM(transformed_data!$B48:$E48)</f>
        <v>8.1324992033382296E-2</v>
      </c>
    </row>
    <row r="49" spans="1:5" x14ac:dyDescent="0.3">
      <c r="A49" s="1">
        <v>40086</v>
      </c>
      <c r="B49" s="8">
        <f>transformed_data!$B49/SUM(transformed_data!$B49:$E49)</f>
        <v>0.28424874324018751</v>
      </c>
      <c r="C49" s="8">
        <f>transformed_data!$C49/SUM(transformed_data!$B49:$E49)</f>
        <v>0.5383610187694996</v>
      </c>
      <c r="D49" s="8">
        <f>transformed_data!$D49/SUM(transformed_data!$B49:$E49)</f>
        <v>9.6979442833546647E-2</v>
      </c>
      <c r="E49" s="8">
        <f>transformed_data!$E49/SUM(transformed_data!$B49:$E49)</f>
        <v>8.041079515676626E-2</v>
      </c>
    </row>
    <row r="50" spans="1:5" x14ac:dyDescent="0.3">
      <c r="A50" s="1">
        <v>40117</v>
      </c>
      <c r="B50" s="8">
        <f>transformed_data!$B50/SUM(transformed_data!$B50:$E50)</f>
        <v>0.26750215044786402</v>
      </c>
      <c r="C50" s="8">
        <f>transformed_data!$C50/SUM(transformed_data!$B50:$E50)</f>
        <v>0.5495718968203549</v>
      </c>
      <c r="D50" s="8">
        <f>transformed_data!$D50/SUM(transformed_data!$B50:$E50)</f>
        <v>9.9586100520113241E-2</v>
      </c>
      <c r="E50" s="8">
        <f>transformed_data!$E50/SUM(transformed_data!$B50:$E50)</f>
        <v>8.3339852211667953E-2</v>
      </c>
    </row>
    <row r="51" spans="1:5" x14ac:dyDescent="0.3">
      <c r="A51" s="1">
        <v>40147</v>
      </c>
      <c r="B51" s="8">
        <f>transformed_data!$B51/SUM(transformed_data!$B51:$E51)</f>
        <v>0.25792468749621777</v>
      </c>
      <c r="C51" s="8">
        <f>transformed_data!$C51/SUM(transformed_data!$B51:$E51)</f>
        <v>0.56306850051741542</v>
      </c>
      <c r="D51" s="8">
        <f>transformed_data!$D51/SUM(transformed_data!$B51:$E51)</f>
        <v>9.8244439133957404E-2</v>
      </c>
      <c r="E51" s="8">
        <f>transformed_data!$E51/SUM(transformed_data!$B51:$E51)</f>
        <v>8.0762372852409461E-2</v>
      </c>
    </row>
    <row r="52" spans="1:5" x14ac:dyDescent="0.3">
      <c r="A52" s="1">
        <v>40178</v>
      </c>
      <c r="B52" s="8">
        <f>transformed_data!$B52/SUM(transformed_data!$B52:$E52)</f>
        <v>0.24661141131821215</v>
      </c>
      <c r="C52" s="8">
        <f>transformed_data!$C52/SUM(transformed_data!$B52:$E52)</f>
        <v>0.5749206323907381</v>
      </c>
      <c r="D52" s="8">
        <f>transformed_data!$D52/SUM(transformed_data!$B52:$E52)</f>
        <v>9.8718676762096932E-2</v>
      </c>
      <c r="E52" s="8">
        <f>transformed_data!$E52/SUM(transformed_data!$B52:$E52)</f>
        <v>7.9749279528952915E-2</v>
      </c>
    </row>
    <row r="53" spans="1:5" x14ac:dyDescent="0.3">
      <c r="A53" s="1">
        <v>40209</v>
      </c>
      <c r="B53" s="8">
        <f>transformed_data!$B53/SUM(transformed_data!$B53:$E53)</f>
        <v>0.23378409198735062</v>
      </c>
      <c r="C53" s="8">
        <f>transformed_data!$C53/SUM(transformed_data!$B53:$E53)</f>
        <v>0.58526813338506778</v>
      </c>
      <c r="D53" s="8">
        <f>transformed_data!$D53/SUM(transformed_data!$B53:$E53)</f>
        <v>0.10121505206402237</v>
      </c>
      <c r="E53" s="8">
        <f>transformed_data!$E53/SUM(transformed_data!$B53:$E53)</f>
        <v>7.9732722563559219E-2</v>
      </c>
    </row>
    <row r="54" spans="1:5" x14ac:dyDescent="0.3">
      <c r="A54" s="1">
        <v>40237</v>
      </c>
      <c r="B54" s="8">
        <f>transformed_data!$B54/SUM(transformed_data!$B54:$E54)</f>
        <v>0.23445395514361728</v>
      </c>
      <c r="C54" s="8">
        <f>transformed_data!$C54/SUM(transformed_data!$B54:$E54)</f>
        <v>0.58562166979816466</v>
      </c>
      <c r="D54" s="8">
        <f>transformed_data!$D54/SUM(transformed_data!$B54:$E54)</f>
        <v>0.1011603750466936</v>
      </c>
      <c r="E54" s="8">
        <f>transformed_data!$E54/SUM(transformed_data!$B54:$E54)</f>
        <v>7.8764000011524532E-2</v>
      </c>
    </row>
    <row r="55" spans="1:5" x14ac:dyDescent="0.3">
      <c r="A55" s="1">
        <v>40268</v>
      </c>
      <c r="B55" s="8">
        <f>transformed_data!$B55/SUM(transformed_data!$B55:$E55)</f>
        <v>0.23765223347584843</v>
      </c>
      <c r="C55" s="8">
        <f>transformed_data!$C55/SUM(transformed_data!$B55:$E55)</f>
        <v>0.58863381773780887</v>
      </c>
      <c r="D55" s="8">
        <f>transformed_data!$D55/SUM(transformed_data!$B55:$E55)</f>
        <v>9.8283087999419302E-2</v>
      </c>
      <c r="E55" s="8">
        <f>transformed_data!$E55/SUM(transformed_data!$B55:$E55)</f>
        <v>7.5430860786923334E-2</v>
      </c>
    </row>
    <row r="56" spans="1:5" x14ac:dyDescent="0.3">
      <c r="A56" s="1">
        <v>40298</v>
      </c>
      <c r="B56" s="8">
        <f>transformed_data!$B56/SUM(transformed_data!$B56:$E56)</f>
        <v>0.23382671129184812</v>
      </c>
      <c r="C56" s="8">
        <f>transformed_data!$C56/SUM(transformed_data!$B56:$E56)</f>
        <v>0.59538246688502083</v>
      </c>
      <c r="D56" s="8">
        <f>transformed_data!$D56/SUM(transformed_data!$B56:$E56)</f>
        <v>9.8254666972718327E-2</v>
      </c>
      <c r="E56" s="8">
        <f>transformed_data!$E56/SUM(transformed_data!$B56:$E56)</f>
        <v>7.2536154850412732E-2</v>
      </c>
    </row>
    <row r="57" spans="1:5" x14ac:dyDescent="0.3">
      <c r="A57" s="1">
        <v>40329</v>
      </c>
      <c r="B57" s="8">
        <f>transformed_data!$B57/SUM(transformed_data!$B57:$E57)</f>
        <v>0.23315242443677303</v>
      </c>
      <c r="C57" s="8">
        <f>transformed_data!$C57/SUM(transformed_data!$B57:$E57)</f>
        <v>0.59484411412024396</v>
      </c>
      <c r="D57" s="8">
        <f>transformed_data!$D57/SUM(transformed_data!$B57:$E57)</f>
        <v>9.9735180893663941E-2</v>
      </c>
      <c r="E57" s="8">
        <f>transformed_data!$E57/SUM(transformed_data!$B57:$E57)</f>
        <v>7.2268280549319025E-2</v>
      </c>
    </row>
    <row r="58" spans="1:5" x14ac:dyDescent="0.3">
      <c r="A58" s="1">
        <v>40359</v>
      </c>
      <c r="B58" s="8">
        <f>transformed_data!$B58/SUM(transformed_data!$B58:$E58)</f>
        <v>0.21999947587788327</v>
      </c>
      <c r="C58" s="8">
        <f>transformed_data!$C58/SUM(transformed_data!$B58:$E58)</f>
        <v>0.60949484215164029</v>
      </c>
      <c r="D58" s="8">
        <f>transformed_data!$D58/SUM(transformed_data!$B58:$E58)</f>
        <v>9.957604100371939E-2</v>
      </c>
      <c r="E58" s="8">
        <f>transformed_data!$E58/SUM(transformed_data!$B58:$E58)</f>
        <v>7.0929640966756941E-2</v>
      </c>
    </row>
    <row r="59" spans="1:5" x14ac:dyDescent="0.3">
      <c r="A59" s="1">
        <v>40390</v>
      </c>
      <c r="B59" s="8">
        <f>transformed_data!$B59/SUM(transformed_data!$B59:$E59)</f>
        <v>0.21891864763586824</v>
      </c>
      <c r="C59" s="8">
        <f>transformed_data!$C59/SUM(transformed_data!$B59:$E59)</f>
        <v>0.60905730161101468</v>
      </c>
      <c r="D59" s="8">
        <f>transformed_data!$D59/SUM(transformed_data!$B59:$E59)</f>
        <v>0.10023523927644679</v>
      </c>
      <c r="E59" s="8">
        <f>transformed_data!$E59/SUM(transformed_data!$B59:$E59)</f>
        <v>7.1788811476670281E-2</v>
      </c>
    </row>
    <row r="60" spans="1:5" x14ac:dyDescent="0.3">
      <c r="A60" s="1">
        <v>40421</v>
      </c>
      <c r="B60" s="8">
        <f>transformed_data!$B60/SUM(transformed_data!$B60:$E60)</f>
        <v>0.2172081773521666</v>
      </c>
      <c r="C60" s="8">
        <f>transformed_data!$C60/SUM(transformed_data!$B60:$E60)</f>
        <v>0.61256736681717738</v>
      </c>
      <c r="D60" s="8">
        <f>transformed_data!$D60/SUM(transformed_data!$B60:$E60)</f>
        <v>9.9562256548265088E-2</v>
      </c>
      <c r="E60" s="8">
        <f>transformed_data!$E60/SUM(transformed_data!$B60:$E60)</f>
        <v>7.066219928239087E-2</v>
      </c>
    </row>
    <row r="61" spans="1:5" x14ac:dyDescent="0.3">
      <c r="A61" s="1">
        <v>40451</v>
      </c>
      <c r="B61" s="8">
        <f>transformed_data!$B61/SUM(transformed_data!$B61:$E61)</f>
        <v>0.21044769626779886</v>
      </c>
      <c r="C61" s="8">
        <f>transformed_data!$C61/SUM(transformed_data!$B61:$E61)</f>
        <v>0.61846136169920063</v>
      </c>
      <c r="D61" s="8">
        <f>transformed_data!$D61/SUM(transformed_data!$B61:$E61)</f>
        <v>0.10000883635082153</v>
      </c>
      <c r="E61" s="8">
        <f>transformed_data!$E61/SUM(transformed_data!$B61:$E61)</f>
        <v>7.1082105682179111E-2</v>
      </c>
    </row>
    <row r="62" spans="1:5" x14ac:dyDescent="0.3">
      <c r="A62" s="1">
        <v>40482</v>
      </c>
      <c r="B62" s="8">
        <f>transformed_data!$B62/SUM(transformed_data!$B62:$E62)</f>
        <v>0.20701374238464676</v>
      </c>
      <c r="C62" s="8">
        <f>transformed_data!$C62/SUM(transformed_data!$B62:$E62)</f>
        <v>0.61998347244121221</v>
      </c>
      <c r="D62" s="8">
        <f>transformed_data!$D62/SUM(transformed_data!$B62:$E62)</f>
        <v>0.10102426473445064</v>
      </c>
      <c r="E62" s="8">
        <f>transformed_data!$E62/SUM(transformed_data!$B62:$E62)</f>
        <v>7.1978520439690399E-2</v>
      </c>
    </row>
    <row r="63" spans="1:5" x14ac:dyDescent="0.3">
      <c r="A63" s="1">
        <v>40512</v>
      </c>
      <c r="B63" s="8">
        <f>transformed_data!$B63/SUM(transformed_data!$B63:$E63)</f>
        <v>0.20294900834092289</v>
      </c>
      <c r="C63" s="8">
        <f>transformed_data!$C63/SUM(transformed_data!$B63:$E63)</f>
        <v>0.62501245702134067</v>
      </c>
      <c r="D63" s="8">
        <f>transformed_data!$D63/SUM(transformed_data!$B63:$E63)</f>
        <v>0.10052834708378891</v>
      </c>
      <c r="E63" s="8">
        <f>transformed_data!$E63/SUM(transformed_data!$B63:$E63)</f>
        <v>7.1510187553947502E-2</v>
      </c>
    </row>
    <row r="64" spans="1:5" x14ac:dyDescent="0.3">
      <c r="A64" s="1">
        <v>40543</v>
      </c>
      <c r="B64" s="8">
        <f>transformed_data!$B64/SUM(transformed_data!$B64:$E64)</f>
        <v>0.19998598278682686</v>
      </c>
      <c r="C64" s="8">
        <f>transformed_data!$C64/SUM(transformed_data!$B64:$E64)</f>
        <v>0.62863417913543218</v>
      </c>
      <c r="D64" s="8">
        <f>transformed_data!$D64/SUM(transformed_data!$B64:$E64)</f>
        <v>0.10071233121538714</v>
      </c>
      <c r="E64" s="8">
        <f>transformed_data!$E64/SUM(transformed_data!$B64:$E64)</f>
        <v>7.0667506862353791E-2</v>
      </c>
    </row>
    <row r="65" spans="1:5" x14ac:dyDescent="0.3">
      <c r="A65" s="1">
        <v>40574</v>
      </c>
      <c r="B65" s="8">
        <f>transformed_data!$B65/SUM(transformed_data!$B65:$E65)</f>
        <v>0.19638617866692978</v>
      </c>
      <c r="C65" s="8">
        <f>transformed_data!$C65/SUM(transformed_data!$B65:$E65)</f>
        <v>0.63272397355537002</v>
      </c>
      <c r="D65" s="8">
        <f>transformed_data!$D65/SUM(transformed_data!$B65:$E65)</f>
        <v>0.1010545805360913</v>
      </c>
      <c r="E65" s="8">
        <f>transformed_data!$E65/SUM(transformed_data!$B65:$E65)</f>
        <v>6.9835267241608892E-2</v>
      </c>
    </row>
    <row r="66" spans="1:5" x14ac:dyDescent="0.3">
      <c r="A66" s="1">
        <v>40602</v>
      </c>
      <c r="B66" s="8">
        <f>transformed_data!$B66/SUM(transformed_data!$B66:$E66)</f>
        <v>0.19213902537330271</v>
      </c>
      <c r="C66" s="8">
        <f>transformed_data!$C66/SUM(transformed_data!$B66:$E66)</f>
        <v>0.63557583595697764</v>
      </c>
      <c r="D66" s="8">
        <f>transformed_data!$D66/SUM(transformed_data!$B66:$E66)</f>
        <v>0.10193066101581591</v>
      </c>
      <c r="E66" s="8">
        <f>transformed_data!$E66/SUM(transformed_data!$B66:$E66)</f>
        <v>7.0354477653903832E-2</v>
      </c>
    </row>
    <row r="67" spans="1:5" x14ac:dyDescent="0.3">
      <c r="A67" s="1">
        <v>40633</v>
      </c>
      <c r="B67" s="8">
        <f>transformed_data!$B67/SUM(transformed_data!$B67:$E67)</f>
        <v>0.18597932549897617</v>
      </c>
      <c r="C67" s="8">
        <f>transformed_data!$C67/SUM(transformed_data!$B67:$E67)</f>
        <v>0.64031946744100565</v>
      </c>
      <c r="D67" s="8">
        <f>transformed_data!$D67/SUM(transformed_data!$B67:$E67)</f>
        <v>0.1024105762899377</v>
      </c>
      <c r="E67" s="8">
        <f>transformed_data!$E67/SUM(transformed_data!$B67:$E67)</f>
        <v>7.129063077008041E-2</v>
      </c>
    </row>
    <row r="68" spans="1:5" x14ac:dyDescent="0.3">
      <c r="A68" s="1">
        <v>40663</v>
      </c>
      <c r="B68" s="8">
        <f>transformed_data!$B68/SUM(transformed_data!$B68:$E68)</f>
        <v>0.17933344028805917</v>
      </c>
      <c r="C68" s="8">
        <f>transformed_data!$C68/SUM(transformed_data!$B68:$E68)</f>
        <v>0.6461374705802273</v>
      </c>
      <c r="D68" s="8">
        <f>transformed_data!$D68/SUM(transformed_data!$B68:$E68)</f>
        <v>0.10386052241322158</v>
      </c>
      <c r="E68" s="8">
        <f>transformed_data!$E68/SUM(transformed_data!$B68:$E68)</f>
        <v>7.0668566718491962E-2</v>
      </c>
    </row>
    <row r="69" spans="1:5" x14ac:dyDescent="0.3">
      <c r="A69" s="1">
        <v>40694</v>
      </c>
      <c r="B69" s="8">
        <f>transformed_data!$B69/SUM(transformed_data!$B69:$E69)</f>
        <v>0.17042382855616561</v>
      </c>
      <c r="C69" s="8">
        <f>transformed_data!$C69/SUM(transformed_data!$B69:$E69)</f>
        <v>0.65370209598159623</v>
      </c>
      <c r="D69" s="8">
        <f>transformed_data!$D69/SUM(transformed_data!$B69:$E69)</f>
        <v>0.10417888126278832</v>
      </c>
      <c r="E69" s="8">
        <f>transformed_data!$E69/SUM(transformed_data!$B69:$E69)</f>
        <v>7.1695194199449919E-2</v>
      </c>
    </row>
    <row r="70" spans="1:5" x14ac:dyDescent="0.3">
      <c r="A70" s="1">
        <v>40724</v>
      </c>
      <c r="B70" s="8">
        <f>transformed_data!$B70/SUM(transformed_data!$B70:$E70)</f>
        <v>0.16406562010406897</v>
      </c>
      <c r="C70" s="8">
        <f>transformed_data!$C70/SUM(transformed_data!$B70:$E70)</f>
        <v>0.65897118655445908</v>
      </c>
      <c r="D70" s="8">
        <f>transformed_data!$D70/SUM(transformed_data!$B70:$E70)</f>
        <v>0.10476283738733605</v>
      </c>
      <c r="E70" s="8">
        <f>transformed_data!$E70/SUM(transformed_data!$B70:$E70)</f>
        <v>7.2200355954135861E-2</v>
      </c>
    </row>
    <row r="71" spans="1:5" x14ac:dyDescent="0.3">
      <c r="A71" s="1">
        <v>40755</v>
      </c>
      <c r="B71" s="8">
        <f>transformed_data!$B71/SUM(transformed_data!$B71:$E71)</f>
        <v>0.15915500254649045</v>
      </c>
      <c r="C71" s="8">
        <f>transformed_data!$C71/SUM(transformed_data!$B71:$E71)</f>
        <v>0.66160247760607283</v>
      </c>
      <c r="D71" s="8">
        <f>transformed_data!$D71/SUM(transformed_data!$B71:$E71)</f>
        <v>0.10566892746635659</v>
      </c>
      <c r="E71" s="8">
        <f>transformed_data!$E71/SUM(transformed_data!$B71:$E71)</f>
        <v>7.3573592381079994E-2</v>
      </c>
    </row>
    <row r="72" spans="1:5" x14ac:dyDescent="0.3">
      <c r="A72" s="1">
        <v>40786</v>
      </c>
      <c r="B72" s="8">
        <f>transformed_data!$B72/SUM(transformed_data!$B72:$E72)</f>
        <v>0.15685155485083552</v>
      </c>
      <c r="C72" s="8">
        <f>transformed_data!$C72/SUM(transformed_data!$B72:$E72)</f>
        <v>0.66360041058729313</v>
      </c>
      <c r="D72" s="8">
        <f>transformed_data!$D72/SUM(transformed_data!$B72:$E72)</f>
        <v>0.10580072280022938</v>
      </c>
      <c r="E72" s="8">
        <f>transformed_data!$E72/SUM(transformed_data!$B72:$E72)</f>
        <v>7.3747311761642023E-2</v>
      </c>
    </row>
    <row r="73" spans="1:5" x14ac:dyDescent="0.3">
      <c r="A73" s="1">
        <v>40816</v>
      </c>
      <c r="B73" s="8">
        <f>transformed_data!$B73/SUM(transformed_data!$B73:$E73)</f>
        <v>0.15351428689475177</v>
      </c>
      <c r="C73" s="8">
        <f>transformed_data!$C73/SUM(transformed_data!$B73:$E73)</f>
        <v>0.66626453761005955</v>
      </c>
      <c r="D73" s="8">
        <f>transformed_data!$D73/SUM(transformed_data!$B73:$E73)</f>
        <v>0.10602192439598371</v>
      </c>
      <c r="E73" s="8">
        <f>transformed_data!$E73/SUM(transformed_data!$B73:$E73)</f>
        <v>7.4199251099204958E-2</v>
      </c>
    </row>
    <row r="74" spans="1:5" x14ac:dyDescent="0.3">
      <c r="A74" s="1">
        <v>40847</v>
      </c>
      <c r="B74" s="8">
        <f>transformed_data!$B74/SUM(transformed_data!$B74:$E74)</f>
        <v>0.15210567313371931</v>
      </c>
      <c r="C74" s="8">
        <f>transformed_data!$C74/SUM(transformed_data!$B74:$E74)</f>
        <v>0.66762127870847354</v>
      </c>
      <c r="D74" s="8">
        <f>transformed_data!$D74/SUM(transformed_data!$B74:$E74)</f>
        <v>0.10602875379908103</v>
      </c>
      <c r="E74" s="8">
        <f>transformed_data!$E74/SUM(transformed_data!$B74:$E74)</f>
        <v>7.4244294358726134E-2</v>
      </c>
    </row>
    <row r="75" spans="1:5" x14ac:dyDescent="0.3">
      <c r="A75" s="1">
        <v>40877</v>
      </c>
      <c r="B75" s="8">
        <f>transformed_data!$B75/SUM(transformed_data!$B75:$E75)</f>
        <v>0.15311090570760522</v>
      </c>
      <c r="C75" s="8">
        <f>transformed_data!$C75/SUM(transformed_data!$B75:$E75)</f>
        <v>0.66599990790190899</v>
      </c>
      <c r="D75" s="8">
        <f>transformed_data!$D75/SUM(transformed_data!$B75:$E75)</f>
        <v>0.10635787637285134</v>
      </c>
      <c r="E75" s="8">
        <f>transformed_data!$E75/SUM(transformed_data!$B75:$E75)</f>
        <v>7.4531310017634494E-2</v>
      </c>
    </row>
    <row r="76" spans="1:5" x14ac:dyDescent="0.3">
      <c r="A76" s="1">
        <v>40908</v>
      </c>
      <c r="B76" s="8">
        <f>transformed_data!$B76/SUM(transformed_data!$B76:$E76)</f>
        <v>0.15301753800125786</v>
      </c>
      <c r="C76" s="8">
        <f>transformed_data!$C76/SUM(transformed_data!$B76:$E76)</f>
        <v>0.66470101916134283</v>
      </c>
      <c r="D76" s="8">
        <f>transformed_data!$D76/SUM(transformed_data!$B76:$E76)</f>
        <v>0.10708714262189141</v>
      </c>
      <c r="E76" s="8">
        <f>transformed_data!$E76/SUM(transformed_data!$B76:$E76)</f>
        <v>7.5194300215507826E-2</v>
      </c>
    </row>
    <row r="77" spans="1:5" x14ac:dyDescent="0.3">
      <c r="A77" s="1">
        <v>40939</v>
      </c>
      <c r="B77" s="8">
        <f>transformed_data!$B77/SUM(transformed_data!$B77:$E77)</f>
        <v>0.15150058531662025</v>
      </c>
      <c r="C77" s="8">
        <f>transformed_data!$C77/SUM(transformed_data!$B77:$E77)</f>
        <v>0.66653853889183179</v>
      </c>
      <c r="D77" s="8">
        <f>transformed_data!$D77/SUM(transformed_data!$B77:$E77)</f>
        <v>0.10706567420193298</v>
      </c>
      <c r="E77" s="8">
        <f>transformed_data!$E77/SUM(transformed_data!$B77:$E77)</f>
        <v>7.4895201589614893E-2</v>
      </c>
    </row>
    <row r="78" spans="1:5" x14ac:dyDescent="0.3">
      <c r="A78" s="1">
        <v>40968</v>
      </c>
      <c r="B78" s="8">
        <f>transformed_data!$B78/SUM(transformed_data!$B78:$E78)</f>
        <v>0.15753954933029307</v>
      </c>
      <c r="C78" s="8">
        <f>transformed_data!$C78/SUM(transformed_data!$B78:$E78)</f>
        <v>0.66075313084920584</v>
      </c>
      <c r="D78" s="8">
        <f>transformed_data!$D78/SUM(transformed_data!$B78:$E78)</f>
        <v>0.10721517294199699</v>
      </c>
      <c r="E78" s="8">
        <f>transformed_data!$E78/SUM(transformed_data!$B78:$E78)</f>
        <v>7.4492146878504209E-2</v>
      </c>
    </row>
    <row r="79" spans="1:5" x14ac:dyDescent="0.3">
      <c r="A79" s="1">
        <v>40999</v>
      </c>
      <c r="B79" s="8">
        <f>transformed_data!$B79/SUM(transformed_data!$B79:$E79)</f>
        <v>0.1619645097082808</v>
      </c>
      <c r="C79" s="8">
        <f>transformed_data!$C79/SUM(transformed_data!$B79:$E79)</f>
        <v>0.65547466337037519</v>
      </c>
      <c r="D79" s="8">
        <f>transformed_data!$D79/SUM(transformed_data!$B79:$E79)</f>
        <v>0.10735706896249499</v>
      </c>
      <c r="E79" s="8">
        <f>transformed_data!$E79/SUM(transformed_data!$B79:$E79)</f>
        <v>7.5203757958848844E-2</v>
      </c>
    </row>
    <row r="80" spans="1:5" x14ac:dyDescent="0.3">
      <c r="A80" s="1">
        <v>41029</v>
      </c>
      <c r="B80" s="8">
        <f>transformed_data!$B80/SUM(transformed_data!$B80:$E80)</f>
        <v>0.15513593249599211</v>
      </c>
      <c r="C80" s="8">
        <f>transformed_data!$C80/SUM(transformed_data!$B80:$E80)</f>
        <v>0.66185560110620212</v>
      </c>
      <c r="D80" s="8">
        <f>transformed_data!$D80/SUM(transformed_data!$B80:$E80)</f>
        <v>0.10819665327034009</v>
      </c>
      <c r="E80" s="8">
        <f>transformed_data!$E80/SUM(transformed_data!$B80:$E80)</f>
        <v>7.4811813127465585E-2</v>
      </c>
    </row>
    <row r="81" spans="1:5" x14ac:dyDescent="0.3">
      <c r="A81" s="1">
        <v>41060</v>
      </c>
      <c r="B81" s="8">
        <f>transformed_data!$B81/SUM(transformed_data!$B81:$E81)</f>
        <v>0.15309885614856489</v>
      </c>
      <c r="C81" s="8">
        <f>transformed_data!$C81/SUM(transformed_data!$B81:$E81)</f>
        <v>0.66196771833284995</v>
      </c>
      <c r="D81" s="8">
        <f>transformed_data!$D81/SUM(transformed_data!$B81:$E81)</f>
        <v>0.10892959478271634</v>
      </c>
      <c r="E81" s="8">
        <f>transformed_data!$E81/SUM(transformed_data!$B81:$E81)</f>
        <v>7.6003830735868708E-2</v>
      </c>
    </row>
    <row r="82" spans="1:5" x14ac:dyDescent="0.3">
      <c r="A82" s="1">
        <v>41090</v>
      </c>
      <c r="B82" s="8">
        <f>transformed_data!$B82/SUM(transformed_data!$B82:$E82)</f>
        <v>0.15173977835980745</v>
      </c>
      <c r="C82" s="8">
        <f>transformed_data!$C82/SUM(transformed_data!$B82:$E82)</f>
        <v>0.66182945114158775</v>
      </c>
      <c r="D82" s="8">
        <f>transformed_data!$D82/SUM(transformed_data!$B82:$E82)</f>
        <v>0.10989545894243276</v>
      </c>
      <c r="E82" s="8">
        <f>transformed_data!$E82/SUM(transformed_data!$B82:$E82)</f>
        <v>7.6535311556172173E-2</v>
      </c>
    </row>
    <row r="83" spans="1:5" x14ac:dyDescent="0.3">
      <c r="A83" s="1">
        <v>41121</v>
      </c>
      <c r="B83" s="8">
        <f>transformed_data!$B83/SUM(transformed_data!$B83:$E83)</f>
        <v>0.14904690748545923</v>
      </c>
      <c r="C83" s="8">
        <f>transformed_data!$C83/SUM(transformed_data!$B83:$E83)</f>
        <v>0.66625052503988957</v>
      </c>
      <c r="D83" s="8">
        <f>transformed_data!$D83/SUM(transformed_data!$B83:$E83)</f>
        <v>0.11022284106938067</v>
      </c>
      <c r="E83" s="8">
        <f>transformed_data!$E83/SUM(transformed_data!$B83:$E83)</f>
        <v>7.4479726405270438E-2</v>
      </c>
    </row>
    <row r="84" spans="1:5" x14ac:dyDescent="0.3">
      <c r="A84" s="1">
        <v>41152</v>
      </c>
      <c r="B84" s="8">
        <f>transformed_data!$B84/SUM(transformed_data!$B84:$E84)</f>
        <v>0.15459715662641488</v>
      </c>
      <c r="C84" s="8">
        <f>transformed_data!$C84/SUM(transformed_data!$B84:$E84)</f>
        <v>0.66057193526919211</v>
      </c>
      <c r="D84" s="8">
        <f>transformed_data!$D84/SUM(transformed_data!$B84:$E84)</f>
        <v>0.11017657424945157</v>
      </c>
      <c r="E84" s="8">
        <f>transformed_data!$E84/SUM(transformed_data!$B84:$E84)</f>
        <v>7.465433385494151E-2</v>
      </c>
    </row>
    <row r="85" spans="1:5" x14ac:dyDescent="0.3">
      <c r="A85" s="1">
        <v>41182</v>
      </c>
      <c r="B85" s="8">
        <f>transformed_data!$B85/SUM(transformed_data!$B85:$E85)</f>
        <v>0.15032979053232448</v>
      </c>
      <c r="C85" s="8">
        <f>transformed_data!$C85/SUM(transformed_data!$B85:$E85)</f>
        <v>0.66240610863708316</v>
      </c>
      <c r="D85" s="8">
        <f>transformed_data!$D85/SUM(transformed_data!$B85:$E85)</f>
        <v>0.11145993592673696</v>
      </c>
      <c r="E85" s="8">
        <f>transformed_data!$E85/SUM(transformed_data!$B85:$E85)</f>
        <v>7.5804164903855345E-2</v>
      </c>
    </row>
    <row r="86" spans="1:5" x14ac:dyDescent="0.3">
      <c r="A86" s="1">
        <v>41213</v>
      </c>
      <c r="B86" s="8">
        <f>transformed_data!$B86/SUM(transformed_data!$B86:$E86)</f>
        <v>0.14897904923724425</v>
      </c>
      <c r="C86" s="8">
        <f>transformed_data!$C86/SUM(transformed_data!$B86:$E86)</f>
        <v>0.6638980302034152</v>
      </c>
      <c r="D86" s="8">
        <f>transformed_data!$D86/SUM(transformed_data!$B86:$E86)</f>
        <v>0.11124415727957931</v>
      </c>
      <c r="E86" s="8">
        <f>transformed_data!$E86/SUM(transformed_data!$B86:$E86)</f>
        <v>7.5878763279761133E-2</v>
      </c>
    </row>
    <row r="87" spans="1:5" x14ac:dyDescent="0.3">
      <c r="A87" s="1">
        <v>41243</v>
      </c>
      <c r="B87" s="8">
        <f>transformed_data!$B87/SUM(transformed_data!$B87:$E87)</f>
        <v>0.15363205427299795</v>
      </c>
      <c r="C87" s="8">
        <f>transformed_data!$C87/SUM(transformed_data!$B87:$E87)</f>
        <v>0.65874079235730987</v>
      </c>
      <c r="D87" s="8">
        <f>transformed_data!$D87/SUM(transformed_data!$B87:$E87)</f>
        <v>0.11122869770026521</v>
      </c>
      <c r="E87" s="8">
        <f>transformed_data!$E87/SUM(transformed_data!$B87:$E87)</f>
        <v>7.6398455669427004E-2</v>
      </c>
    </row>
    <row r="88" spans="1:5" x14ac:dyDescent="0.3">
      <c r="A88" s="1">
        <v>41274</v>
      </c>
      <c r="B88" s="8">
        <f>transformed_data!$B88/SUM(transformed_data!$B88:$E88)</f>
        <v>0.14737544159817498</v>
      </c>
      <c r="C88" s="8">
        <f>transformed_data!$C88/SUM(transformed_data!$B88:$E88)</f>
        <v>0.66289526397992193</v>
      </c>
      <c r="D88" s="8">
        <f>transformed_data!$D88/SUM(transformed_data!$B88:$E88)</f>
        <v>0.11219926095317351</v>
      </c>
      <c r="E88" s="8">
        <f>transformed_data!$E88/SUM(transformed_data!$B88:$E88)</f>
        <v>7.753003346872947E-2</v>
      </c>
    </row>
    <row r="89" spans="1:5" x14ac:dyDescent="0.3">
      <c r="A89" s="1">
        <v>41305</v>
      </c>
      <c r="B89" s="8">
        <f>transformed_data!$B89/SUM(transformed_data!$B89:$E89)</f>
        <v>0.14466050603092168</v>
      </c>
      <c r="C89" s="8">
        <f>transformed_data!$C89/SUM(transformed_data!$B89:$E89)</f>
        <v>0.66450308358698895</v>
      </c>
      <c r="D89" s="8">
        <f>transformed_data!$D89/SUM(transformed_data!$B89:$E89)</f>
        <v>0.11274178287841423</v>
      </c>
      <c r="E89" s="8">
        <f>transformed_data!$E89/SUM(transformed_data!$B89:$E89)</f>
        <v>7.8094627503675212E-2</v>
      </c>
    </row>
    <row r="90" spans="1:5" x14ac:dyDescent="0.3">
      <c r="A90" s="1">
        <v>41333</v>
      </c>
      <c r="B90" s="8">
        <f>transformed_data!$B90/SUM(transformed_data!$B90:$E90)</f>
        <v>0.15404100322815584</v>
      </c>
      <c r="C90" s="8">
        <f>transformed_data!$C90/SUM(transformed_data!$B90:$E90)</f>
        <v>0.65636980246687493</v>
      </c>
      <c r="D90" s="8">
        <f>transformed_data!$D90/SUM(transformed_data!$B90:$E90)</f>
        <v>0.11223215609298468</v>
      </c>
      <c r="E90" s="8">
        <f>transformed_data!$E90/SUM(transformed_data!$B90:$E90)</f>
        <v>7.7357038211984613E-2</v>
      </c>
    </row>
    <row r="91" spans="1:5" x14ac:dyDescent="0.3">
      <c r="A91" s="1">
        <v>41364</v>
      </c>
      <c r="B91" s="8">
        <f>transformed_data!$B91/SUM(transformed_data!$B91:$E91)</f>
        <v>0.15712857023872043</v>
      </c>
      <c r="C91" s="8">
        <f>transformed_data!$C91/SUM(transformed_data!$B91:$E91)</f>
        <v>0.65230607680495101</v>
      </c>
      <c r="D91" s="8">
        <f>transformed_data!$D91/SUM(transformed_data!$B91:$E91)</f>
        <v>0.11248993008215555</v>
      </c>
      <c r="E91" s="8">
        <f>transformed_data!$E91/SUM(transformed_data!$B91:$E91)</f>
        <v>7.8075422874173073E-2</v>
      </c>
    </row>
    <row r="92" spans="1:5" x14ac:dyDescent="0.3">
      <c r="A92" s="1">
        <v>41394</v>
      </c>
      <c r="B92" s="8">
        <f>transformed_data!$B92/SUM(transformed_data!$B92:$E92)</f>
        <v>0.14846149203068743</v>
      </c>
      <c r="C92" s="8">
        <f>transformed_data!$C92/SUM(transformed_data!$B92:$E92)</f>
        <v>0.65937878990465726</v>
      </c>
      <c r="D92" s="8">
        <f>transformed_data!$D92/SUM(transformed_data!$B92:$E92)</f>
        <v>0.11344379550876869</v>
      </c>
      <c r="E92" s="8">
        <f>transformed_data!$E92/SUM(transformed_data!$B92:$E92)</f>
        <v>7.8715922555886567E-2</v>
      </c>
    </row>
    <row r="93" spans="1:5" x14ac:dyDescent="0.3">
      <c r="A93" s="1">
        <v>41425</v>
      </c>
      <c r="B93" s="8">
        <f>transformed_data!$B93/SUM(transformed_data!$B93:$E93)</f>
        <v>0.14099289280371832</v>
      </c>
      <c r="C93" s="8">
        <f>transformed_data!$C93/SUM(transformed_data!$B93:$E93)</f>
        <v>0.66374684560830444</v>
      </c>
      <c r="D93" s="8">
        <f>transformed_data!$D93/SUM(transformed_data!$B93:$E93)</f>
        <v>0.11504122106672499</v>
      </c>
      <c r="E93" s="8">
        <f>transformed_data!$E93/SUM(transformed_data!$B93:$E93)</f>
        <v>8.0219040521252283E-2</v>
      </c>
    </row>
    <row r="94" spans="1:5" x14ac:dyDescent="0.3">
      <c r="A94" s="1">
        <v>41455</v>
      </c>
      <c r="B94" s="8">
        <f>transformed_data!$B94/SUM(transformed_data!$B94:$E94)</f>
        <v>0.13777527942145884</v>
      </c>
      <c r="C94" s="8">
        <f>transformed_data!$C94/SUM(transformed_data!$B94:$E94)</f>
        <v>0.66535473502216003</v>
      </c>
      <c r="D94" s="8">
        <f>transformed_data!$D94/SUM(transformed_data!$B94:$E94)</f>
        <v>0.11620536425053907</v>
      </c>
      <c r="E94" s="8">
        <f>transformed_data!$E94/SUM(transformed_data!$B94:$E94)</f>
        <v>8.066462130584208E-2</v>
      </c>
    </row>
    <row r="95" spans="1:5" x14ac:dyDescent="0.3">
      <c r="A95" s="1">
        <v>41486</v>
      </c>
      <c r="B95" s="8">
        <f>transformed_data!$B95/SUM(transformed_data!$B95:$E95)</f>
        <v>0.13549519166355833</v>
      </c>
      <c r="C95" s="8">
        <f>transformed_data!$C95/SUM(transformed_data!$B95:$E95)</f>
        <v>0.66879337191348498</v>
      </c>
      <c r="D95" s="8">
        <f>transformed_data!$D95/SUM(transformed_data!$B95:$E95)</f>
        <v>0.11644190539442217</v>
      </c>
      <c r="E95" s="8">
        <f>transformed_data!$E95/SUM(transformed_data!$B95:$E95)</f>
        <v>7.9269531028534443E-2</v>
      </c>
    </row>
    <row r="96" spans="1:5" x14ac:dyDescent="0.3">
      <c r="A96" s="1">
        <v>41517</v>
      </c>
      <c r="B96" s="8">
        <f>transformed_data!$B96/SUM(transformed_data!$B96:$E96)</f>
        <v>0.14137224462806466</v>
      </c>
      <c r="C96" s="8">
        <f>transformed_data!$C96/SUM(transformed_data!$B96:$E96)</f>
        <v>0.66169570435364156</v>
      </c>
      <c r="D96" s="8">
        <f>transformed_data!$D96/SUM(transformed_data!$B96:$E96)</f>
        <v>0.11679073354348578</v>
      </c>
      <c r="E96" s="8">
        <f>transformed_data!$E96/SUM(transformed_data!$B96:$E96)</f>
        <v>8.0141317474807891E-2</v>
      </c>
    </row>
    <row r="97" spans="1:5" x14ac:dyDescent="0.3">
      <c r="A97" s="1">
        <v>41547</v>
      </c>
      <c r="B97" s="8">
        <f>transformed_data!$B97/SUM(transformed_data!$B97:$E97)</f>
        <v>0.1319378501250307</v>
      </c>
      <c r="C97" s="8">
        <f>transformed_data!$C97/SUM(transformed_data!$B97:$E97)</f>
        <v>0.66901061434105458</v>
      </c>
      <c r="D97" s="8">
        <f>transformed_data!$D97/SUM(transformed_data!$B97:$E97)</f>
        <v>0.11781131483486396</v>
      </c>
      <c r="E97" s="8">
        <f>transformed_data!$E97/SUM(transformed_data!$B97:$E97)</f>
        <v>8.1240220699050722E-2</v>
      </c>
    </row>
    <row r="98" spans="1:5" x14ac:dyDescent="0.3">
      <c r="A98" s="1">
        <v>41578</v>
      </c>
      <c r="B98" s="8">
        <f>transformed_data!$B98/SUM(transformed_data!$B98:$E98)</f>
        <v>0.13210448271762962</v>
      </c>
      <c r="C98" s="8">
        <f>transformed_data!$C98/SUM(transformed_data!$B98:$E98)</f>
        <v>0.66791595335628395</v>
      </c>
      <c r="D98" s="8">
        <f>transformed_data!$D98/SUM(transformed_data!$B98:$E98)</f>
        <v>0.11792719524837983</v>
      </c>
      <c r="E98" s="8">
        <f>transformed_data!$E98/SUM(transformed_data!$B98:$E98)</f>
        <v>8.2052368677706586E-2</v>
      </c>
    </row>
    <row r="99" spans="1:5" x14ac:dyDescent="0.3">
      <c r="A99" s="1">
        <v>41608</v>
      </c>
      <c r="B99" s="8">
        <f>transformed_data!$B99/SUM(transformed_data!$B99:$E99)</f>
        <v>0.13746654835384228</v>
      </c>
      <c r="C99" s="8">
        <f>transformed_data!$C99/SUM(transformed_data!$B99:$E99)</f>
        <v>0.66163713565107263</v>
      </c>
      <c r="D99" s="8">
        <f>transformed_data!$D99/SUM(transformed_data!$B99:$E99)</f>
        <v>0.11831717617950377</v>
      </c>
      <c r="E99" s="8">
        <f>transformed_data!$E99/SUM(transformed_data!$B99:$E99)</f>
        <v>8.2579139815581223E-2</v>
      </c>
    </row>
    <row r="100" spans="1:5" x14ac:dyDescent="0.3">
      <c r="A100" s="1">
        <v>41639</v>
      </c>
      <c r="B100" s="8">
        <f>transformed_data!$B100/SUM(transformed_data!$B100:$E100)</f>
        <v>0.13412194764182678</v>
      </c>
      <c r="C100" s="8">
        <f>transformed_data!$C100/SUM(transformed_data!$B100:$E100)</f>
        <v>0.66403618334903225</v>
      </c>
      <c r="D100" s="8">
        <f>transformed_data!$D100/SUM(transformed_data!$B100:$E100)</f>
        <v>0.11863690529622739</v>
      </c>
      <c r="E100" s="8">
        <f>transformed_data!$E100/SUM(transformed_data!$B100:$E100)</f>
        <v>8.3204963712913721E-2</v>
      </c>
    </row>
    <row r="101" spans="1:5" x14ac:dyDescent="0.3">
      <c r="A101" s="1">
        <v>41670</v>
      </c>
      <c r="B101" s="8">
        <f>transformed_data!$B101/SUM(transformed_data!$B101:$E101)</f>
        <v>0.12566057026621472</v>
      </c>
      <c r="C101" s="8">
        <f>transformed_data!$C101/SUM(transformed_data!$B101:$E101)</f>
        <v>0.67051820556270214</v>
      </c>
      <c r="D101" s="8">
        <f>transformed_data!$D101/SUM(transformed_data!$B101:$E101)</f>
        <v>0.12017879839465054</v>
      </c>
      <c r="E101" s="8">
        <f>transformed_data!$E101/SUM(transformed_data!$B101:$E101)</f>
        <v>8.3642425776432591E-2</v>
      </c>
    </row>
    <row r="102" spans="1:5" x14ac:dyDescent="0.3">
      <c r="A102" s="1">
        <v>41698</v>
      </c>
      <c r="B102" s="8">
        <f>transformed_data!$B102/SUM(transformed_data!$B102:$E102)</f>
        <v>0.13436955134689718</v>
      </c>
      <c r="C102" s="8">
        <f>transformed_data!$C102/SUM(transformed_data!$B102:$E102)</f>
        <v>0.66181342541265709</v>
      </c>
      <c r="D102" s="8">
        <f>transformed_data!$D102/SUM(transformed_data!$B102:$E102)</f>
        <v>0.11964862033947289</v>
      </c>
      <c r="E102" s="8">
        <f>transformed_data!$E102/SUM(transformed_data!$B102:$E102)</f>
        <v>8.4168402900972911E-2</v>
      </c>
    </row>
    <row r="103" spans="1:5" x14ac:dyDescent="0.3">
      <c r="A103" s="1">
        <v>41729</v>
      </c>
      <c r="B103" s="8">
        <f>transformed_data!$B103/SUM(transformed_data!$B103:$E103)</f>
        <v>0.13612703137728602</v>
      </c>
      <c r="C103" s="8">
        <f>transformed_data!$C103/SUM(transformed_data!$B103:$E103)</f>
        <v>0.65863769344441581</v>
      </c>
      <c r="D103" s="8">
        <f>transformed_data!$D103/SUM(transformed_data!$B103:$E103)</f>
        <v>0.11949680837618054</v>
      </c>
      <c r="E103" s="8">
        <f>transformed_data!$E103/SUM(transformed_data!$B103:$E103)</f>
        <v>8.5738466802117635E-2</v>
      </c>
    </row>
    <row r="104" spans="1:5" x14ac:dyDescent="0.3">
      <c r="A104" s="1">
        <v>41759</v>
      </c>
      <c r="B104" s="8">
        <f>transformed_data!$B104/SUM(transformed_data!$B104:$E104)</f>
        <v>0.12141392178597007</v>
      </c>
      <c r="C104" s="8">
        <f>transformed_data!$C104/SUM(transformed_data!$B104:$E104)</f>
        <v>0.66859402538347767</v>
      </c>
      <c r="D104" s="8">
        <f>transformed_data!$D104/SUM(transformed_data!$B104:$E104)</f>
        <v>0.12176193640350631</v>
      </c>
      <c r="E104" s="8">
        <f>transformed_data!$E104/SUM(transformed_data!$B104:$E104)</f>
        <v>8.8230116427045882E-2</v>
      </c>
    </row>
    <row r="105" spans="1:5" x14ac:dyDescent="0.3">
      <c r="A105" s="1">
        <v>41790</v>
      </c>
      <c r="B105" s="8">
        <f>transformed_data!$B105/SUM(transformed_data!$B105:$E105)</f>
        <v>0.12026345133026457</v>
      </c>
      <c r="C105" s="8">
        <f>transformed_data!$C105/SUM(transformed_data!$B105:$E105)</f>
        <v>0.66629941952433691</v>
      </c>
      <c r="D105" s="8">
        <f>transformed_data!$D105/SUM(transformed_data!$B105:$E105)</f>
        <v>0.12276697500226141</v>
      </c>
      <c r="E105" s="8">
        <f>transformed_data!$E105/SUM(transformed_data!$B105:$E105)</f>
        <v>9.067015414313713E-2</v>
      </c>
    </row>
    <row r="106" spans="1:5" x14ac:dyDescent="0.3">
      <c r="A106" s="1">
        <v>41820</v>
      </c>
      <c r="B106" s="8">
        <f>transformed_data!$B106/SUM(transformed_data!$B106:$E106)</f>
        <v>0.1148594495282569</v>
      </c>
      <c r="C106" s="8">
        <f>transformed_data!$C106/SUM(transformed_data!$B106:$E106)</f>
        <v>0.66940940536970905</v>
      </c>
      <c r="D106" s="8">
        <f>transformed_data!$D106/SUM(transformed_data!$B106:$E106)</f>
        <v>0.12347904794191779</v>
      </c>
      <c r="E106" s="8">
        <f>transformed_data!$E106/SUM(transformed_data!$B106:$E106)</f>
        <v>9.2252097160116286E-2</v>
      </c>
    </row>
    <row r="107" spans="1:5" x14ac:dyDescent="0.3">
      <c r="A107" s="1">
        <v>41851</v>
      </c>
      <c r="B107" s="8">
        <f>transformed_data!$B107/SUM(transformed_data!$B107:$E107)</f>
        <v>0.11592546733057411</v>
      </c>
      <c r="C107" s="8">
        <f>transformed_data!$C107/SUM(transformed_data!$B107:$E107)</f>
        <v>0.66787985101775682</v>
      </c>
      <c r="D107" s="8">
        <f>transformed_data!$D107/SUM(transformed_data!$B107:$E107)</f>
        <v>0.12374911306620191</v>
      </c>
      <c r="E107" s="8">
        <f>transformed_data!$E107/SUM(transformed_data!$B107:$E107)</f>
        <v>9.2445568585467222E-2</v>
      </c>
    </row>
    <row r="108" spans="1:5" x14ac:dyDescent="0.3">
      <c r="A108" s="1">
        <v>41882</v>
      </c>
      <c r="B108" s="8">
        <f>transformed_data!$B108/SUM(transformed_data!$B108:$E108)</f>
        <v>0.11857619244095721</v>
      </c>
      <c r="C108" s="8">
        <f>transformed_data!$C108/SUM(transformed_data!$B108:$E108)</f>
        <v>0.66283822365886158</v>
      </c>
      <c r="D108" s="8">
        <f>transformed_data!$D108/SUM(transformed_data!$B108:$E108)</f>
        <v>0.12422300619785417</v>
      </c>
      <c r="E108" s="8">
        <f>transformed_data!$E108/SUM(transformed_data!$B108:$E108)</f>
        <v>9.4362577702326977E-2</v>
      </c>
    </row>
    <row r="109" spans="1:5" x14ac:dyDescent="0.3">
      <c r="A109" s="1">
        <v>41912</v>
      </c>
      <c r="B109" s="8">
        <f>transformed_data!$B109/SUM(transformed_data!$B109:$E109)</f>
        <v>0.11476782277302451</v>
      </c>
      <c r="C109" s="8">
        <f>transformed_data!$C109/SUM(transformed_data!$B109:$E109)</f>
        <v>0.6643580088686285</v>
      </c>
      <c r="D109" s="8">
        <f>transformed_data!$D109/SUM(transformed_data!$B109:$E109)</f>
        <v>0.12478590429114954</v>
      </c>
      <c r="E109" s="8">
        <f>transformed_data!$E109/SUM(transformed_data!$B109:$E109)</f>
        <v>9.6088264067197351E-2</v>
      </c>
    </row>
    <row r="110" spans="1:5" x14ac:dyDescent="0.3">
      <c r="A110" s="1">
        <v>41943</v>
      </c>
      <c r="B110" s="8">
        <f>transformed_data!$B110/SUM(transformed_data!$B110:$E110)</f>
        <v>0.11437303887908988</v>
      </c>
      <c r="C110" s="8">
        <f>transformed_data!$C110/SUM(transformed_data!$B110:$E110)</f>
        <v>0.66326945649595359</v>
      </c>
      <c r="D110" s="8">
        <f>transformed_data!$D110/SUM(transformed_data!$B110:$E110)</f>
        <v>0.12514742925844452</v>
      </c>
      <c r="E110" s="8">
        <f>transformed_data!$E110/SUM(transformed_data!$B110:$E110)</f>
        <v>9.7210075366511994E-2</v>
      </c>
    </row>
    <row r="111" spans="1:5" x14ac:dyDescent="0.3">
      <c r="A111" s="1">
        <v>41973</v>
      </c>
      <c r="B111" s="8">
        <f>transformed_data!$B111/SUM(transformed_data!$B111:$E111)</f>
        <v>0.11592267751160971</v>
      </c>
      <c r="C111" s="8">
        <f>transformed_data!$C111/SUM(transformed_data!$B111:$E111)</f>
        <v>0.6593348441183996</v>
      </c>
      <c r="D111" s="8">
        <f>transformed_data!$D111/SUM(transformed_data!$B111:$E111)</f>
        <v>0.12584456147931741</v>
      </c>
      <c r="E111" s="8">
        <f>transformed_data!$E111/SUM(transformed_data!$B111:$E111)</f>
        <v>9.889791689067326E-2</v>
      </c>
    </row>
    <row r="112" spans="1:5" x14ac:dyDescent="0.3">
      <c r="A112" s="1">
        <v>42004</v>
      </c>
      <c r="B112" s="8">
        <f>transformed_data!$B112/SUM(transformed_data!$B112:$E112)</f>
        <v>0.1164594336876511</v>
      </c>
      <c r="C112" s="8">
        <f>transformed_data!$C112/SUM(transformed_data!$B112:$E112)</f>
        <v>0.65736755205031994</v>
      </c>
      <c r="D112" s="8">
        <f>transformed_data!$D112/SUM(transformed_data!$B112:$E112)</f>
        <v>0.12590798564652028</v>
      </c>
      <c r="E112" s="8">
        <f>transformed_data!$E112/SUM(transformed_data!$B112:$E112)</f>
        <v>0.10026502861550864</v>
      </c>
    </row>
    <row r="113" spans="1:5" x14ac:dyDescent="0.3">
      <c r="A113" s="1">
        <v>42035</v>
      </c>
      <c r="B113" s="8">
        <f>transformed_data!$B113/SUM(transformed_data!$B113:$E113)</f>
        <v>0.1131821938745652</v>
      </c>
      <c r="C113" s="8">
        <f>transformed_data!$C113/SUM(transformed_data!$B113:$E113)</f>
        <v>0.66007519876212251</v>
      </c>
      <c r="D113" s="8">
        <f>transformed_data!$D113/SUM(transformed_data!$B113:$E113)</f>
        <v>0.12730333156441923</v>
      </c>
      <c r="E113" s="8">
        <f>transformed_data!$E113/SUM(transformed_data!$B113:$E113)</f>
        <v>9.9439275798893098E-2</v>
      </c>
    </row>
    <row r="114" spans="1:5" x14ac:dyDescent="0.3">
      <c r="A114" s="1">
        <v>42063</v>
      </c>
      <c r="B114" s="8">
        <f>transformed_data!$B114/SUM(transformed_data!$B114:$E114)</f>
        <v>0.11717181292427628</v>
      </c>
      <c r="C114" s="8">
        <f>transformed_data!$C114/SUM(transformed_data!$B114:$E114)</f>
        <v>0.65472575746965889</v>
      </c>
      <c r="D114" s="8">
        <f>transformed_data!$D114/SUM(transformed_data!$B114:$E114)</f>
        <v>0.12685815648183876</v>
      </c>
      <c r="E114" s="8">
        <f>transformed_data!$E114/SUM(transformed_data!$B114:$E114)</f>
        <v>0.10124427312422601</v>
      </c>
    </row>
    <row r="115" spans="1:5" x14ac:dyDescent="0.3">
      <c r="A115" s="1">
        <v>42094</v>
      </c>
      <c r="B115" s="8">
        <f>transformed_data!$B115/SUM(transformed_data!$B115:$E115)</f>
        <v>0.11688723463263129</v>
      </c>
      <c r="C115" s="8">
        <f>transformed_data!$C115/SUM(transformed_data!$B115:$E115)</f>
        <v>0.65363487124649189</v>
      </c>
      <c r="D115" s="8">
        <f>transformed_data!$D115/SUM(transformed_data!$B115:$E115)</f>
        <v>0.12714896886561844</v>
      </c>
      <c r="E115" s="8">
        <f>transformed_data!$E115/SUM(transformed_data!$B115:$E115)</f>
        <v>0.1023289252552583</v>
      </c>
    </row>
    <row r="116" spans="1:5" x14ac:dyDescent="0.3">
      <c r="A116" s="1">
        <v>42124</v>
      </c>
      <c r="B116" s="8">
        <f>transformed_data!$B116/SUM(transformed_data!$B116:$E116)</f>
        <v>0.11331573407003126</v>
      </c>
      <c r="C116" s="8">
        <f>transformed_data!$C116/SUM(transformed_data!$B116:$E116)</f>
        <v>0.65509631954241898</v>
      </c>
      <c r="D116" s="8">
        <f>transformed_data!$D116/SUM(transformed_data!$B116:$E116)</f>
        <v>0.12815985409687908</v>
      </c>
      <c r="E116" s="8">
        <f>transformed_data!$E116/SUM(transformed_data!$B116:$E116)</f>
        <v>0.10342809229067064</v>
      </c>
    </row>
    <row r="117" spans="1:5" x14ac:dyDescent="0.3">
      <c r="A117" s="1">
        <v>42155</v>
      </c>
      <c r="B117" s="8">
        <f>transformed_data!$B117/SUM(transformed_data!$B117:$E117)</f>
        <v>0.11404131700766192</v>
      </c>
      <c r="C117" s="8">
        <f>transformed_data!$C117/SUM(transformed_data!$B117:$E117)</f>
        <v>0.65137316391583477</v>
      </c>
      <c r="D117" s="8">
        <f>transformed_data!$D117/SUM(transformed_data!$B117:$E117)</f>
        <v>0.12901996445507169</v>
      </c>
      <c r="E117" s="8">
        <f>transformed_data!$E117/SUM(transformed_data!$B117:$E117)</f>
        <v>0.10556555462143156</v>
      </c>
    </row>
    <row r="118" spans="1:5" x14ac:dyDescent="0.3">
      <c r="A118" s="1">
        <v>42185</v>
      </c>
      <c r="B118" s="8">
        <f>transformed_data!$B118/SUM(transformed_data!$B118:$E118)</f>
        <v>0.10974598323410246</v>
      </c>
      <c r="C118" s="8">
        <f>transformed_data!$C118/SUM(transformed_data!$B118:$E118)</f>
        <v>0.65339610113377167</v>
      </c>
      <c r="D118" s="8">
        <f>transformed_data!$D118/SUM(transformed_data!$B118:$E118)</f>
        <v>0.12980844546320594</v>
      </c>
      <c r="E118" s="8">
        <f>transformed_data!$E118/SUM(transformed_data!$B118:$E118)</f>
        <v>0.10704947016892002</v>
      </c>
    </row>
    <row r="119" spans="1:5" x14ac:dyDescent="0.3">
      <c r="A119" s="1">
        <v>42216</v>
      </c>
      <c r="B119" s="8">
        <f>transformed_data!$B119/SUM(transformed_data!$B119:$E119)</f>
        <v>0.11238119167182219</v>
      </c>
      <c r="C119" s="8">
        <f>transformed_data!$C119/SUM(transformed_data!$B119:$E119)</f>
        <v>0.65050062352425941</v>
      </c>
      <c r="D119" s="8">
        <f>transformed_data!$D119/SUM(transformed_data!$B119:$E119)</f>
        <v>0.12978625669986449</v>
      </c>
      <c r="E119" s="8">
        <f>transformed_data!$E119/SUM(transformed_data!$B119:$E119)</f>
        <v>0.10733192810405383</v>
      </c>
    </row>
    <row r="120" spans="1:5" x14ac:dyDescent="0.3">
      <c r="A120" s="1">
        <v>42247</v>
      </c>
      <c r="B120" s="8">
        <f>transformed_data!$B120/SUM(transformed_data!$B120:$E120)</f>
        <v>0.1108449510681401</v>
      </c>
      <c r="C120" s="8">
        <f>transformed_data!$C120/SUM(transformed_data!$B120:$E120)</f>
        <v>0.64910496884665336</v>
      </c>
      <c r="D120" s="8">
        <f>transformed_data!$D120/SUM(transformed_data!$B120:$E120)</f>
        <v>0.13040903653353567</v>
      </c>
      <c r="E120" s="8">
        <f>transformed_data!$E120/SUM(transformed_data!$B120:$E120)</f>
        <v>0.10964104355167086</v>
      </c>
    </row>
    <row r="121" spans="1:5" x14ac:dyDescent="0.3">
      <c r="A121" s="1">
        <v>42277</v>
      </c>
      <c r="B121" s="8">
        <f>transformed_data!$B121/SUM(transformed_data!$B121:$E121)</f>
        <v>0.10564986228711185</v>
      </c>
      <c r="C121" s="8">
        <f>transformed_data!$C121/SUM(transformed_data!$B121:$E121)</f>
        <v>0.65137849764475819</v>
      </c>
      <c r="D121" s="8">
        <f>transformed_data!$D121/SUM(transformed_data!$B121:$E121)</f>
        <v>0.13134728018890512</v>
      </c>
      <c r="E121" s="8">
        <f>transformed_data!$E121/SUM(transformed_data!$B121:$E121)</f>
        <v>0.11162435987922492</v>
      </c>
    </row>
    <row r="122" spans="1:5" x14ac:dyDescent="0.3">
      <c r="A122" s="1">
        <v>42308</v>
      </c>
      <c r="B122" s="8">
        <f>transformed_data!$B122/SUM(transformed_data!$B122:$E122)</f>
        <v>9.9429517366578374E-2</v>
      </c>
      <c r="C122" s="8">
        <f>transformed_data!$C122/SUM(transformed_data!$B122:$E122)</f>
        <v>0.65497500790091623</v>
      </c>
      <c r="D122" s="8">
        <f>transformed_data!$D122/SUM(transformed_data!$B122:$E122)</f>
        <v>0.13288310482126395</v>
      </c>
      <c r="E122" s="8">
        <f>transformed_data!$E122/SUM(transformed_data!$B122:$E122)</f>
        <v>0.11271236991124135</v>
      </c>
    </row>
    <row r="123" spans="1:5" x14ac:dyDescent="0.3">
      <c r="A123" s="1">
        <v>42338</v>
      </c>
      <c r="B123" s="8">
        <f>transformed_data!$B123/SUM(transformed_data!$B123:$E123)</f>
        <v>0.11476154947924798</v>
      </c>
      <c r="C123" s="8">
        <f>transformed_data!$C123/SUM(transformed_data!$B123:$E123)</f>
        <v>0.6418360043047675</v>
      </c>
      <c r="D123" s="8">
        <f>transformed_data!$D123/SUM(transformed_data!$B123:$E123)</f>
        <v>0.13044647394623646</v>
      </c>
      <c r="E123" s="8">
        <f>transformed_data!$E123/SUM(transformed_data!$B123:$E123)</f>
        <v>0.11295597226974809</v>
      </c>
    </row>
    <row r="124" spans="1:5" x14ac:dyDescent="0.3">
      <c r="A124" s="1">
        <v>42369</v>
      </c>
      <c r="B124" s="8">
        <f>transformed_data!$B124/SUM(transformed_data!$B124:$E124)</f>
        <v>0.11463679784214509</v>
      </c>
      <c r="C124" s="8">
        <f>transformed_data!$C124/SUM(transformed_data!$B124:$E124)</f>
        <v>0.64035100297077951</v>
      </c>
      <c r="D124" s="8">
        <f>transformed_data!$D124/SUM(transformed_data!$B124:$E124)</f>
        <v>0.13060197130339496</v>
      </c>
      <c r="E124" s="8">
        <f>transformed_data!$E124/SUM(transformed_data!$B124:$E124)</f>
        <v>0.11441022788368045</v>
      </c>
    </row>
    <row r="125" spans="1:5" x14ac:dyDescent="0.3">
      <c r="A125" s="1">
        <v>42400</v>
      </c>
      <c r="B125" s="8">
        <f>transformed_data!$B125/SUM(transformed_data!$B125:$E125)</f>
        <v>0.1120584044710027</v>
      </c>
      <c r="C125" s="8">
        <f>transformed_data!$C125/SUM(transformed_data!$B125:$E125)</f>
        <v>0.64219088466610386</v>
      </c>
      <c r="D125" s="8">
        <f>transformed_data!$D125/SUM(transformed_data!$B125:$E125)</f>
        <v>0.13176149343195306</v>
      </c>
      <c r="E125" s="8">
        <f>transformed_data!$E125/SUM(transformed_data!$B125:$E125)</f>
        <v>0.11398921743094051</v>
      </c>
    </row>
    <row r="126" spans="1:5" x14ac:dyDescent="0.3">
      <c r="A126" s="1">
        <v>42429</v>
      </c>
      <c r="B126" s="8">
        <f>transformed_data!$B126/SUM(transformed_data!$B126:$E126)</f>
        <v>0.11657616596530838</v>
      </c>
      <c r="C126" s="8">
        <f>transformed_data!$C126/SUM(transformed_data!$B126:$E126)</f>
        <v>0.63968386521349319</v>
      </c>
      <c r="D126" s="8">
        <f>transformed_data!$D126/SUM(transformed_data!$B126:$E126)</f>
        <v>0.13134356518438248</v>
      </c>
      <c r="E126" s="8">
        <f>transformed_data!$E126/SUM(transformed_data!$B126:$E126)</f>
        <v>0.11239640363681609</v>
      </c>
    </row>
    <row r="127" spans="1:5" x14ac:dyDescent="0.3">
      <c r="A127" s="1">
        <v>42460</v>
      </c>
      <c r="B127" s="8">
        <f>transformed_data!$B127/SUM(transformed_data!$B127:$E127)</f>
        <v>0.12032892318198207</v>
      </c>
      <c r="C127" s="8">
        <f>transformed_data!$C127/SUM(transformed_data!$B127:$E127)</f>
        <v>0.63536445725090207</v>
      </c>
      <c r="D127" s="8">
        <f>transformed_data!$D127/SUM(transformed_data!$B127:$E127)</f>
        <v>0.13093271031134404</v>
      </c>
      <c r="E127" s="8">
        <f>transformed_data!$E127/SUM(transformed_data!$B127:$E127)</f>
        <v>0.11337390925577188</v>
      </c>
    </row>
    <row r="128" spans="1:5" x14ac:dyDescent="0.3">
      <c r="A128" s="1">
        <v>42490</v>
      </c>
      <c r="B128" s="8">
        <f>transformed_data!$B128/SUM(transformed_data!$B128:$E128)</f>
        <v>0.11433443485678554</v>
      </c>
      <c r="C128" s="8">
        <f>transformed_data!$C128/SUM(transformed_data!$B128:$E128)</f>
        <v>0.64061204203524336</v>
      </c>
      <c r="D128" s="8">
        <f>transformed_data!$D128/SUM(transformed_data!$B128:$E128)</f>
        <v>0.132728961693973</v>
      </c>
      <c r="E128" s="8">
        <f>transformed_data!$E128/SUM(transformed_data!$B128:$E128)</f>
        <v>0.11232456141399814</v>
      </c>
    </row>
    <row r="129" spans="1:5" x14ac:dyDescent="0.3">
      <c r="A129" s="1">
        <v>42521</v>
      </c>
      <c r="B129" s="8">
        <f>transformed_data!$B129/SUM(transformed_data!$B129:$E129)</f>
        <v>0.11378304644472591</v>
      </c>
      <c r="C129" s="8">
        <f>transformed_data!$C129/SUM(transformed_data!$B129:$E129)</f>
        <v>0.64118114766844958</v>
      </c>
      <c r="D129" s="8">
        <f>transformed_data!$D129/SUM(transformed_data!$B129:$E129)</f>
        <v>0.13231735454781418</v>
      </c>
      <c r="E129" s="8">
        <f>transformed_data!$E129/SUM(transformed_data!$B129:$E129)</f>
        <v>0.11271845133901019</v>
      </c>
    </row>
    <row r="130" spans="1:5" x14ac:dyDescent="0.3">
      <c r="A130" s="1">
        <v>42551</v>
      </c>
      <c r="B130" s="8">
        <f>transformed_data!$B130/SUM(transformed_data!$B130:$E130)</f>
        <v>0.11227533032987702</v>
      </c>
      <c r="C130" s="8">
        <f>transformed_data!$C130/SUM(transformed_data!$B130:$E130)</f>
        <v>0.64081141492841409</v>
      </c>
      <c r="D130" s="8">
        <f>transformed_data!$D130/SUM(transformed_data!$B130:$E130)</f>
        <v>0.13284334088233346</v>
      </c>
      <c r="E130" s="8">
        <f>transformed_data!$E130/SUM(transformed_data!$B130:$E130)</f>
        <v>0.11406991385937532</v>
      </c>
    </row>
    <row r="131" spans="1:5" x14ac:dyDescent="0.3">
      <c r="A131" s="1">
        <v>42582</v>
      </c>
      <c r="B131" s="8">
        <f>transformed_data!$B131/SUM(transformed_data!$B131:$E131)</f>
        <v>0.11485895573228551</v>
      </c>
      <c r="C131" s="8">
        <f>transformed_data!$C131/SUM(transformed_data!$B131:$E131)</f>
        <v>0.63890100263487914</v>
      </c>
      <c r="D131" s="8">
        <f>transformed_data!$D131/SUM(transformed_data!$B131:$E131)</f>
        <v>0.13316598156872003</v>
      </c>
      <c r="E131" s="8">
        <f>transformed_data!$E131/SUM(transformed_data!$B131:$E131)</f>
        <v>0.11307406006411543</v>
      </c>
    </row>
    <row r="132" spans="1:5" x14ac:dyDescent="0.3">
      <c r="A132" s="1">
        <v>42613</v>
      </c>
      <c r="B132" s="8">
        <f>transformed_data!$B132/SUM(transformed_data!$B132:$E132)</f>
        <v>0.12007796618572031</v>
      </c>
      <c r="C132" s="8">
        <f>transformed_data!$C132/SUM(transformed_data!$B132:$E132)</f>
        <v>0.63381026257134487</v>
      </c>
      <c r="D132" s="8">
        <f>transformed_data!$D132/SUM(transformed_data!$B132:$E132)</f>
        <v>0.1333552248180592</v>
      </c>
      <c r="E132" s="8">
        <f>transformed_data!$E132/SUM(transformed_data!$B132:$E132)</f>
        <v>0.11275654642487559</v>
      </c>
    </row>
    <row r="133" spans="1:5" x14ac:dyDescent="0.3">
      <c r="A133" s="1">
        <v>42643</v>
      </c>
      <c r="B133" s="8">
        <f>transformed_data!$B133/SUM(transformed_data!$B133:$E133)</f>
        <v>0.1205630474489035</v>
      </c>
      <c r="C133" s="8">
        <f>transformed_data!$C133/SUM(transformed_data!$B133:$E133)</f>
        <v>0.63181631591490095</v>
      </c>
      <c r="D133" s="8">
        <f>transformed_data!$D133/SUM(transformed_data!$B133:$E133)</f>
        <v>0.1336329673236292</v>
      </c>
      <c r="E133" s="8">
        <f>transformed_data!$E133/SUM(transformed_data!$B133:$E133)</f>
        <v>0.11398766931256633</v>
      </c>
    </row>
    <row r="134" spans="1:5" x14ac:dyDescent="0.3">
      <c r="A134" s="1">
        <v>42674</v>
      </c>
      <c r="B134" s="8">
        <f>transformed_data!$B134/SUM(transformed_data!$B134:$E134)</f>
        <v>0.12730150956472067</v>
      </c>
      <c r="C134" s="8">
        <f>transformed_data!$C134/SUM(transformed_data!$B134:$E134)</f>
        <v>0.62753765483087542</v>
      </c>
      <c r="D134" s="8">
        <f>transformed_data!$D134/SUM(transformed_data!$B134:$E134)</f>
        <v>0.13344212070702333</v>
      </c>
      <c r="E134" s="8">
        <f>transformed_data!$E134/SUM(transformed_data!$B134:$E134)</f>
        <v>0.11171871489738067</v>
      </c>
    </row>
    <row r="135" spans="1:5" x14ac:dyDescent="0.3">
      <c r="A135" s="1">
        <v>42704</v>
      </c>
      <c r="B135" s="8">
        <f>transformed_data!$B135/SUM(transformed_data!$B135:$E135)</f>
        <v>0.13453712344302571</v>
      </c>
      <c r="C135" s="8">
        <f>transformed_data!$C135/SUM(transformed_data!$B135:$E135)</f>
        <v>0.6209863492629013</v>
      </c>
      <c r="D135" s="8">
        <f>transformed_data!$D135/SUM(transformed_data!$B135:$E135)</f>
        <v>0.13195456743167405</v>
      </c>
      <c r="E135" s="8">
        <f>transformed_data!$E135/SUM(transformed_data!$B135:$E135)</f>
        <v>0.11252195986239893</v>
      </c>
    </row>
    <row r="136" spans="1:5" x14ac:dyDescent="0.3">
      <c r="A136" s="1">
        <v>42735</v>
      </c>
      <c r="B136" s="8">
        <f>transformed_data!$B136/SUM(transformed_data!$B136:$E136)</f>
        <v>0.13058894286360767</v>
      </c>
      <c r="C136" s="8">
        <f>transformed_data!$C136/SUM(transformed_data!$B136:$E136)</f>
        <v>0.62199932972671124</v>
      </c>
      <c r="D136" s="8">
        <f>transformed_data!$D136/SUM(transformed_data!$B136:$E136)</f>
        <v>0.13281848996255569</v>
      </c>
      <c r="E136" s="8">
        <f>transformed_data!$E136/SUM(transformed_data!$B136:$E136)</f>
        <v>0.11459323744712548</v>
      </c>
    </row>
    <row r="137" spans="1:5" x14ac:dyDescent="0.3">
      <c r="A137" s="1">
        <v>42766</v>
      </c>
      <c r="B137" s="8">
        <f>transformed_data!$B137/SUM(transformed_data!$B137:$E137)</f>
        <v>0.12709241320180301</v>
      </c>
      <c r="C137" s="8">
        <f>transformed_data!$C137/SUM(transformed_data!$B137:$E137)</f>
        <v>0.62598311981056576</v>
      </c>
      <c r="D137" s="8">
        <f>transformed_data!$D137/SUM(transformed_data!$B137:$E137)</f>
        <v>0.13428291451967672</v>
      </c>
      <c r="E137" s="8">
        <f>transformed_data!$E137/SUM(transformed_data!$B137:$E137)</f>
        <v>0.11264155246795453</v>
      </c>
    </row>
    <row r="138" spans="1:5" x14ac:dyDescent="0.3">
      <c r="A138" s="1">
        <v>42794</v>
      </c>
      <c r="B138" s="8">
        <f>transformed_data!$B138/SUM(transformed_data!$B138:$E138)</f>
        <v>0.12612218077829787</v>
      </c>
      <c r="C138" s="8">
        <f>transformed_data!$C138/SUM(transformed_data!$B138:$E138)</f>
        <v>0.62484216370003576</v>
      </c>
      <c r="D138" s="8">
        <f>transformed_data!$D138/SUM(transformed_data!$B138:$E138)</f>
        <v>0.13514697385193719</v>
      </c>
      <c r="E138" s="8">
        <f>transformed_data!$E138/SUM(transformed_data!$B138:$E138)</f>
        <v>0.11388868166972922</v>
      </c>
    </row>
    <row r="139" spans="1:5" x14ac:dyDescent="0.3">
      <c r="A139" s="1">
        <v>42825</v>
      </c>
      <c r="B139" s="8">
        <f>transformed_data!$B139/SUM(transformed_data!$B139:$E139)</f>
        <v>0.12579666019132399</v>
      </c>
      <c r="C139" s="8">
        <f>transformed_data!$C139/SUM(transformed_data!$B139:$E139)</f>
        <v>0.62308151064048678</v>
      </c>
      <c r="D139" s="8">
        <f>transformed_data!$D139/SUM(transformed_data!$B139:$E139)</f>
        <v>0.13535062981515569</v>
      </c>
      <c r="E139" s="8">
        <f>transformed_data!$E139/SUM(transformed_data!$B139:$E139)</f>
        <v>0.11577119935303361</v>
      </c>
    </row>
    <row r="140" spans="1:5" x14ac:dyDescent="0.3">
      <c r="A140" s="1">
        <v>42855</v>
      </c>
      <c r="B140" s="8">
        <f>transformed_data!$B140/SUM(transformed_data!$B140:$E140)</f>
        <v>0.12487079765480311</v>
      </c>
      <c r="C140" s="8">
        <f>transformed_data!$C140/SUM(transformed_data!$B140:$E140)</f>
        <v>0.62483830078735481</v>
      </c>
      <c r="D140" s="8">
        <f>transformed_data!$D140/SUM(transformed_data!$B140:$E140)</f>
        <v>0.13637626393595573</v>
      </c>
      <c r="E140" s="8">
        <f>transformed_data!$E140/SUM(transformed_data!$B140:$E140)</f>
        <v>0.11391463762188637</v>
      </c>
    </row>
    <row r="141" spans="1:5" x14ac:dyDescent="0.3">
      <c r="A141" s="1">
        <v>42886</v>
      </c>
      <c r="B141" s="8">
        <f>transformed_data!$B141/SUM(transformed_data!$B141:$E141)</f>
        <v>0.12500908045880527</v>
      </c>
      <c r="C141" s="8">
        <f>transformed_data!$C141/SUM(transformed_data!$B141:$E141)</f>
        <v>0.62476474098558232</v>
      </c>
      <c r="D141" s="8">
        <f>transformed_data!$D141/SUM(transformed_data!$B141:$E141)</f>
        <v>0.13637521427144353</v>
      </c>
      <c r="E141" s="8">
        <f>transformed_data!$E141/SUM(transformed_data!$B141:$E141)</f>
        <v>0.11385096428416899</v>
      </c>
    </row>
    <row r="142" spans="1:5" x14ac:dyDescent="0.3">
      <c r="A142" s="1">
        <v>42916</v>
      </c>
      <c r="B142" s="8">
        <f>transformed_data!$B142/SUM(transformed_data!$B142:$E142)</f>
        <v>0.12262880543500891</v>
      </c>
      <c r="C142" s="8">
        <f>transformed_data!$C142/SUM(transformed_data!$B142:$E142)</f>
        <v>0.62517355652742901</v>
      </c>
      <c r="D142" s="8">
        <f>transformed_data!$D142/SUM(transformed_data!$B142:$E142)</f>
        <v>0.13697121781006</v>
      </c>
      <c r="E142" s="8">
        <f>transformed_data!$E142/SUM(transformed_data!$B142:$E142)</f>
        <v>0.11522642022750204</v>
      </c>
    </row>
    <row r="143" spans="1:5" x14ac:dyDescent="0.3">
      <c r="A143" s="1">
        <v>42947</v>
      </c>
      <c r="B143" s="8">
        <f>transformed_data!$B143/SUM(transformed_data!$B143:$E143)</f>
        <v>0.12503092312329969</v>
      </c>
      <c r="C143" s="8">
        <f>transformed_data!$C143/SUM(transformed_data!$B143:$E143)</f>
        <v>0.62462315002231772</v>
      </c>
      <c r="D143" s="8">
        <f>transformed_data!$D143/SUM(transformed_data!$B143:$E143)</f>
        <v>0.13734967070740561</v>
      </c>
      <c r="E143" s="8">
        <f>transformed_data!$E143/SUM(transformed_data!$B143:$E143)</f>
        <v>0.11299625614697695</v>
      </c>
    </row>
    <row r="144" spans="1:5" x14ac:dyDescent="0.3">
      <c r="A144" s="1">
        <v>42978</v>
      </c>
      <c r="B144" s="8">
        <f>transformed_data!$B144/SUM(transformed_data!$B144:$E144)</f>
        <v>0.12402274642728073</v>
      </c>
      <c r="C144" s="8">
        <f>transformed_data!$C144/SUM(transformed_data!$B144:$E144)</f>
        <v>0.62358289123452959</v>
      </c>
      <c r="D144" s="8">
        <f>transformed_data!$D144/SUM(transformed_data!$B144:$E144)</f>
        <v>0.13763056103594881</v>
      </c>
      <c r="E144" s="8">
        <f>transformed_data!$E144/SUM(transformed_data!$B144:$E144)</f>
        <v>0.11476380130224098</v>
      </c>
    </row>
    <row r="145" spans="1:5" x14ac:dyDescent="0.3">
      <c r="A145" s="1">
        <v>43008</v>
      </c>
      <c r="B145" s="8">
        <f>transformed_data!$B145/SUM(transformed_data!$B145:$E145)</f>
        <v>0.12689878017086467</v>
      </c>
      <c r="C145" s="8">
        <f>transformed_data!$C145/SUM(transformed_data!$B145:$E145)</f>
        <v>0.62011464567293995</v>
      </c>
      <c r="D145" s="8">
        <f>transformed_data!$D145/SUM(transformed_data!$B145:$E145)</f>
        <v>0.13744601811356469</v>
      </c>
      <c r="E145" s="8">
        <f>transformed_data!$E145/SUM(transformed_data!$B145:$E145)</f>
        <v>0.1155405560426308</v>
      </c>
    </row>
    <row r="146" spans="1:5" x14ac:dyDescent="0.3">
      <c r="A146" s="1">
        <v>43039</v>
      </c>
      <c r="B146" s="8">
        <f>transformed_data!$B146/SUM(transformed_data!$B146:$E146)</f>
        <v>0.13002456308931615</v>
      </c>
      <c r="C146" s="8">
        <f>transformed_data!$C146/SUM(transformed_data!$B146:$E146)</f>
        <v>0.61863051617132703</v>
      </c>
      <c r="D146" s="8">
        <f>transformed_data!$D146/SUM(transformed_data!$B146:$E146)</f>
        <v>0.13757519180702288</v>
      </c>
      <c r="E146" s="8">
        <f>transformed_data!$E146/SUM(transformed_data!$B146:$E146)</f>
        <v>0.11376972893233395</v>
      </c>
    </row>
    <row r="147" spans="1:5" x14ac:dyDescent="0.3">
      <c r="A147" s="1">
        <v>43069</v>
      </c>
      <c r="B147" s="8">
        <f>transformed_data!$B147/SUM(transformed_data!$B147:$E147)</f>
        <v>0.13651285255754284</v>
      </c>
      <c r="C147" s="8">
        <f>transformed_data!$C147/SUM(transformed_data!$B147:$E147)</f>
        <v>0.61165156621975081</v>
      </c>
      <c r="D147" s="8">
        <f>transformed_data!$D147/SUM(transformed_data!$B147:$E147)</f>
        <v>0.13717883110881746</v>
      </c>
      <c r="E147" s="8">
        <f>transformed_data!$E147/SUM(transformed_data!$B147:$E147)</f>
        <v>0.11465675011388886</v>
      </c>
    </row>
    <row r="148" spans="1:5" x14ac:dyDescent="0.3">
      <c r="A148" s="1">
        <v>43100</v>
      </c>
      <c r="B148" s="8">
        <f>transformed_data!$B148/SUM(transformed_data!$B148:$E148)</f>
        <v>0.13507599888302571</v>
      </c>
      <c r="C148" s="8">
        <f>transformed_data!$C148/SUM(transformed_data!$B148:$E148)</f>
        <v>0.61116011522599134</v>
      </c>
      <c r="D148" s="8">
        <f>transformed_data!$D148/SUM(transformed_data!$B148:$E148)</f>
        <v>0.13760299491741462</v>
      </c>
      <c r="E148" s="8">
        <f>transformed_data!$E148/SUM(transformed_data!$B148:$E148)</f>
        <v>0.11616089097356833</v>
      </c>
    </row>
    <row r="149" spans="1:5" x14ac:dyDescent="0.3">
      <c r="A149" s="1">
        <v>43131</v>
      </c>
      <c r="B149" s="8">
        <f>transformed_data!$B149/SUM(transformed_data!$B149:$E149)</f>
        <v>0.13551505484993306</v>
      </c>
      <c r="C149" s="8">
        <f>transformed_data!$C149/SUM(transformed_data!$B149:$E149)</f>
        <v>0.61243223513959144</v>
      </c>
      <c r="D149" s="8">
        <f>transformed_data!$D149/SUM(transformed_data!$B149:$E149)</f>
        <v>0.13813245484756714</v>
      </c>
      <c r="E149" s="8">
        <f>transformed_data!$E149/SUM(transformed_data!$B149:$E149)</f>
        <v>0.11392025516290845</v>
      </c>
    </row>
    <row r="150" spans="1:5" x14ac:dyDescent="0.3">
      <c r="A150" s="1">
        <v>43159</v>
      </c>
      <c r="B150" s="8">
        <f>transformed_data!$B150/SUM(transformed_data!$B150:$E150)</f>
        <v>0.14157068715993759</v>
      </c>
      <c r="C150" s="8">
        <f>transformed_data!$C150/SUM(transformed_data!$B150:$E150)</f>
        <v>0.60632182010277447</v>
      </c>
      <c r="D150" s="8">
        <f>transformed_data!$D150/SUM(transformed_data!$B150:$E150)</f>
        <v>0.13789070816234519</v>
      </c>
      <c r="E150" s="8">
        <f>transformed_data!$E150/SUM(transformed_data!$B150:$E150)</f>
        <v>0.11421678457494279</v>
      </c>
    </row>
    <row r="151" spans="1:5" x14ac:dyDescent="0.3">
      <c r="A151" s="1">
        <v>43190</v>
      </c>
      <c r="B151" s="8">
        <f>transformed_data!$B151/SUM(transformed_data!$B151:$E151)</f>
        <v>0.15316222436231791</v>
      </c>
      <c r="C151" s="8">
        <f>transformed_data!$C151/SUM(transformed_data!$B151:$E151)</f>
        <v>0.59717050350837331</v>
      </c>
      <c r="D151" s="8">
        <f>transformed_data!$D151/SUM(transformed_data!$B151:$E151)</f>
        <v>0.136298949988547</v>
      </c>
      <c r="E151" s="8">
        <f>transformed_data!$E151/SUM(transformed_data!$B151:$E151)</f>
        <v>0.1133683221407618</v>
      </c>
    </row>
    <row r="152" spans="1:5" x14ac:dyDescent="0.3">
      <c r="A152" s="1">
        <v>43220</v>
      </c>
      <c r="B152" s="8">
        <f>transformed_data!$B152/SUM(transformed_data!$B152:$E152)</f>
        <v>0.14606078102733033</v>
      </c>
      <c r="C152" s="8">
        <f>transformed_data!$C152/SUM(transformed_data!$B152:$E152)</f>
        <v>0.60432889602941298</v>
      </c>
      <c r="D152" s="8">
        <f>transformed_data!$D152/SUM(transformed_data!$B152:$E152)</f>
        <v>0.13804637733999359</v>
      </c>
      <c r="E152" s="8">
        <f>transformed_data!$E152/SUM(transformed_data!$B152:$E152)</f>
        <v>0.11156394560326309</v>
      </c>
    </row>
    <row r="153" spans="1:5" x14ac:dyDescent="0.3">
      <c r="A153" s="1">
        <v>43251</v>
      </c>
      <c r="B153" s="8">
        <f>transformed_data!$B153/SUM(transformed_data!$B153:$E153)</f>
        <v>0.14618946724871545</v>
      </c>
      <c r="C153" s="8">
        <f>transformed_data!$C153/SUM(transformed_data!$B153:$E153)</f>
        <v>0.60258113478202402</v>
      </c>
      <c r="D153" s="8">
        <f>transformed_data!$D153/SUM(transformed_data!$B153:$E153)</f>
        <v>0.13818194911176182</v>
      </c>
      <c r="E153" s="8">
        <f>transformed_data!$E153/SUM(transformed_data!$B153:$E153)</f>
        <v>0.11304744885749875</v>
      </c>
    </row>
    <row r="154" spans="1:5" x14ac:dyDescent="0.3">
      <c r="A154" s="1">
        <v>43281</v>
      </c>
      <c r="B154" s="8">
        <f>transformed_data!$B154/SUM(transformed_data!$B154:$E154)</f>
        <v>0.14403432999754059</v>
      </c>
      <c r="C154" s="8">
        <f>transformed_data!$C154/SUM(transformed_data!$B154:$E154)</f>
        <v>0.60285354447121164</v>
      </c>
      <c r="D154" s="8">
        <f>transformed_data!$D154/SUM(transformed_data!$B154:$E154)</f>
        <v>0.13871968271319812</v>
      </c>
      <c r="E154" s="8">
        <f>transformed_data!$E154/SUM(transformed_data!$B154:$E154)</f>
        <v>0.11439244281804968</v>
      </c>
    </row>
    <row r="155" spans="1:5" x14ac:dyDescent="0.3">
      <c r="A155" s="1">
        <v>43312</v>
      </c>
      <c r="B155" s="8">
        <f>transformed_data!$B155/SUM(transformed_data!$B155:$E155)</f>
        <v>0.14622816254627874</v>
      </c>
      <c r="C155" s="8">
        <f>transformed_data!$C155/SUM(transformed_data!$B155:$E155)</f>
        <v>0.60290081538600526</v>
      </c>
      <c r="D155" s="8">
        <f>transformed_data!$D155/SUM(transformed_data!$B155:$E155)</f>
        <v>0.13870506902522212</v>
      </c>
      <c r="E155" s="8">
        <f>transformed_data!$E155/SUM(transformed_data!$B155:$E155)</f>
        <v>0.11216595304249388</v>
      </c>
    </row>
    <row r="156" spans="1:5" x14ac:dyDescent="0.3">
      <c r="A156" s="1">
        <v>43343</v>
      </c>
      <c r="B156" s="8">
        <f>transformed_data!$B156/SUM(transformed_data!$B156:$E156)</f>
        <v>0.15298313428143845</v>
      </c>
      <c r="C156" s="8">
        <f>transformed_data!$C156/SUM(transformed_data!$B156:$E156)</f>
        <v>0.59603171494588492</v>
      </c>
      <c r="D156" s="8">
        <f>transformed_data!$D156/SUM(transformed_data!$B156:$E156)</f>
        <v>0.13807639530363758</v>
      </c>
      <c r="E156" s="8">
        <f>transformed_data!$E156/SUM(transformed_data!$B156:$E156)</f>
        <v>0.11290875546903904</v>
      </c>
    </row>
    <row r="157" spans="1:5" x14ac:dyDescent="0.3">
      <c r="A157" s="1">
        <v>43373</v>
      </c>
      <c r="B157" s="8">
        <f>transformed_data!$B157/SUM(transformed_data!$B157:$E157)</f>
        <v>0.14661144482863203</v>
      </c>
      <c r="C157" s="8">
        <f>transformed_data!$C157/SUM(transformed_data!$B157:$E157)</f>
        <v>0.59918527239432751</v>
      </c>
      <c r="D157" s="8">
        <f>transformed_data!$D157/SUM(transformed_data!$B157:$E157)</f>
        <v>0.1392732187811403</v>
      </c>
      <c r="E157" s="8">
        <f>transformed_data!$E157/SUM(transformed_data!$B157:$E157)</f>
        <v>0.11493006399590025</v>
      </c>
    </row>
    <row r="158" spans="1:5" x14ac:dyDescent="0.3">
      <c r="A158" s="1">
        <v>43404</v>
      </c>
      <c r="B158" s="8">
        <f>transformed_data!$B158/SUM(transformed_data!$B158:$E158)</f>
        <v>0.14702543781543106</v>
      </c>
      <c r="C158" s="8">
        <f>transformed_data!$C158/SUM(transformed_data!$B158:$E158)</f>
        <v>0.60022610586518599</v>
      </c>
      <c r="D158" s="8">
        <f>transformed_data!$D158/SUM(transformed_data!$B158:$E158)</f>
        <v>0.13952576888202672</v>
      </c>
      <c r="E158" s="8">
        <f>transformed_data!$E158/SUM(transformed_data!$B158:$E158)</f>
        <v>0.11322268743735624</v>
      </c>
    </row>
    <row r="159" spans="1:5" x14ac:dyDescent="0.3">
      <c r="A159" s="1">
        <v>43434</v>
      </c>
      <c r="B159" s="8">
        <f>transformed_data!$B159/SUM(transformed_data!$B159:$E159)</f>
        <v>0.15354006067995649</v>
      </c>
      <c r="C159" s="8">
        <f>transformed_data!$C159/SUM(transformed_data!$B159:$E159)</f>
        <v>0.59385403840696915</v>
      </c>
      <c r="D159" s="8">
        <f>transformed_data!$D159/SUM(transformed_data!$B159:$E159)</f>
        <v>0.13872146768146951</v>
      </c>
      <c r="E159" s="8">
        <f>transformed_data!$E159/SUM(transformed_data!$B159:$E159)</f>
        <v>0.11388443323160484</v>
      </c>
    </row>
    <row r="160" spans="1:5" x14ac:dyDescent="0.3">
      <c r="A160" s="1">
        <v>43465</v>
      </c>
      <c r="B160" s="8">
        <f>transformed_data!$B160/SUM(transformed_data!$B160:$E160)</f>
        <v>0.14982370353321084</v>
      </c>
      <c r="C160" s="8">
        <f>transformed_data!$C160/SUM(transformed_data!$B160:$E160)</f>
        <v>0.59526602646408633</v>
      </c>
      <c r="D160" s="8">
        <f>transformed_data!$D160/SUM(transformed_data!$B160:$E160)</f>
        <v>0.13922899241526662</v>
      </c>
      <c r="E160" s="8">
        <f>transformed_data!$E160/SUM(transformed_data!$B160:$E160)</f>
        <v>0.11568127758743622</v>
      </c>
    </row>
    <row r="161" spans="1:5" x14ac:dyDescent="0.3">
      <c r="A161" s="1">
        <v>43496</v>
      </c>
      <c r="B161" s="8">
        <f>transformed_data!$B161/SUM(transformed_data!$B161:$E161)</f>
        <v>0.14718869170359736</v>
      </c>
      <c r="C161" s="8">
        <f>transformed_data!$C161/SUM(transformed_data!$B161:$E161)</f>
        <v>0.59897191052582432</v>
      </c>
      <c r="D161" s="8">
        <f>transformed_data!$D161/SUM(transformed_data!$B161:$E161)</f>
        <v>0.14023925299902271</v>
      </c>
      <c r="E161" s="8">
        <f>transformed_data!$E161/SUM(transformed_data!$B161:$E161)</f>
        <v>0.11360014477155569</v>
      </c>
    </row>
    <row r="162" spans="1:5" x14ac:dyDescent="0.3">
      <c r="A162" s="1">
        <v>43524</v>
      </c>
      <c r="B162" s="8">
        <f>transformed_data!$B162/SUM(transformed_data!$B162:$E162)</f>
        <v>0.1519398265336302</v>
      </c>
      <c r="C162" s="8">
        <f>transformed_data!$C162/SUM(transformed_data!$B162:$E162)</f>
        <v>0.59457598608921924</v>
      </c>
      <c r="D162" s="8">
        <f>transformed_data!$D162/SUM(transformed_data!$B162:$E162)</f>
        <v>0.13957165035850932</v>
      </c>
      <c r="E162" s="8">
        <f>transformed_data!$E162/SUM(transformed_data!$B162:$E162)</f>
        <v>0.11391253701864111</v>
      </c>
    </row>
    <row r="163" spans="1:5" x14ac:dyDescent="0.3">
      <c r="A163" s="1">
        <v>43555</v>
      </c>
      <c r="B163" s="8">
        <f>transformed_data!$B163/SUM(transformed_data!$B163:$E163)</f>
        <v>0.15559640021207635</v>
      </c>
      <c r="C163" s="8">
        <f>transformed_data!$C163/SUM(transformed_data!$B163:$E163)</f>
        <v>0.59064746543745605</v>
      </c>
      <c r="D163" s="8">
        <f>transformed_data!$D163/SUM(transformed_data!$B163:$E163)</f>
        <v>0.13909365472662391</v>
      </c>
      <c r="E163" s="8">
        <f>transformed_data!$E163/SUM(transformed_data!$B163:$E163)</f>
        <v>0.11466247962384379</v>
      </c>
    </row>
    <row r="164" spans="1:5" x14ac:dyDescent="0.3">
      <c r="A164" s="1">
        <v>43585</v>
      </c>
      <c r="B164" s="8">
        <f>transformed_data!$B164/SUM(transformed_data!$B164:$E164)</f>
        <v>0.15011689408550866</v>
      </c>
      <c r="C164" s="8">
        <f>transformed_data!$C164/SUM(transformed_data!$B164:$E164)</f>
        <v>0.59766019359920852</v>
      </c>
      <c r="D164" s="8">
        <f>transformed_data!$D164/SUM(transformed_data!$B164:$E164)</f>
        <v>0.14060915542873564</v>
      </c>
      <c r="E164" s="8">
        <f>transformed_data!$E164/SUM(transformed_data!$B164:$E164)</f>
        <v>0.11161375688654719</v>
      </c>
    </row>
    <row r="165" spans="1:5" x14ac:dyDescent="0.3">
      <c r="A165" s="1">
        <v>43616</v>
      </c>
      <c r="B165" s="8">
        <f>transformed_data!$B165/SUM(transformed_data!$B165:$E165)</f>
        <v>0.14766383243262809</v>
      </c>
      <c r="C165" s="8">
        <f>transformed_data!$C165/SUM(transformed_data!$B165:$E165)</f>
        <v>0.59696645096985956</v>
      </c>
      <c r="D165" s="8">
        <f>transformed_data!$D165/SUM(transformed_data!$B165:$E165)</f>
        <v>0.14167483050233115</v>
      </c>
      <c r="E165" s="8">
        <f>transformed_data!$E165/SUM(transformed_data!$B165:$E165)</f>
        <v>0.11369488609518112</v>
      </c>
    </row>
    <row r="166" spans="1:5" x14ac:dyDescent="0.3">
      <c r="A166" s="1">
        <v>43646</v>
      </c>
      <c r="B166" s="8">
        <f>transformed_data!$B166/SUM(transformed_data!$B166:$E166)</f>
        <v>0.14129358301988171</v>
      </c>
      <c r="C166" s="8">
        <f>transformed_data!$C166/SUM(transformed_data!$B166:$E166)</f>
        <v>0.59974119350209787</v>
      </c>
      <c r="D166" s="8">
        <f>transformed_data!$D166/SUM(transformed_data!$B166:$E166)</f>
        <v>0.14277120076729774</v>
      </c>
      <c r="E166" s="8">
        <f>transformed_data!$E166/SUM(transformed_data!$B166:$E166)</f>
        <v>0.11619402271072267</v>
      </c>
    </row>
    <row r="167" spans="1:5" x14ac:dyDescent="0.3">
      <c r="A167" s="1">
        <v>43677</v>
      </c>
      <c r="B167" s="8">
        <f>transformed_data!$B167/SUM(transformed_data!$B167:$E167)</f>
        <v>0.13814362793902044</v>
      </c>
      <c r="C167" s="8">
        <f>transformed_data!$C167/SUM(transformed_data!$B167:$E167)</f>
        <v>0.60384120487143711</v>
      </c>
      <c r="D167" s="8">
        <f>transformed_data!$D167/SUM(transformed_data!$B167:$E167)</f>
        <v>0.14344874112936748</v>
      </c>
      <c r="E167" s="8">
        <f>transformed_data!$E167/SUM(transformed_data!$B167:$E167)</f>
        <v>0.11456642606017488</v>
      </c>
    </row>
    <row r="168" spans="1:5" x14ac:dyDescent="0.3">
      <c r="A168" s="1">
        <v>43708</v>
      </c>
      <c r="B168" s="8">
        <f>transformed_data!$B168/SUM(transformed_data!$B168:$E168)</f>
        <v>0.14442405579584219</v>
      </c>
      <c r="C168" s="8">
        <f>transformed_data!$C168/SUM(transformed_data!$B168:$E168)</f>
        <v>0.59805763724992533</v>
      </c>
      <c r="D168" s="8">
        <f>transformed_data!$D168/SUM(transformed_data!$B168:$E168)</f>
        <v>0.14263739775095438</v>
      </c>
      <c r="E168" s="8">
        <f>transformed_data!$E168/SUM(transformed_data!$B168:$E168)</f>
        <v>0.11488090920327801</v>
      </c>
    </row>
    <row r="169" spans="1:5" x14ac:dyDescent="0.3">
      <c r="A169" s="1">
        <v>43738</v>
      </c>
      <c r="B169" s="8">
        <f>transformed_data!$B169/SUM(transformed_data!$B169:$E169)</f>
        <v>0.14540334284214276</v>
      </c>
      <c r="C169" s="8">
        <f>transformed_data!$C169/SUM(transformed_data!$B169:$E169)</f>
        <v>0.59720930610470468</v>
      </c>
      <c r="D169" s="8">
        <f>transformed_data!$D169/SUM(transformed_data!$B169:$E169)</f>
        <v>0.14186191417860758</v>
      </c>
      <c r="E169" s="8">
        <f>transformed_data!$E169/SUM(transformed_data!$B169:$E169)</f>
        <v>0.11552543687454496</v>
      </c>
    </row>
    <row r="170" spans="1:5" x14ac:dyDescent="0.3">
      <c r="A170" s="1">
        <v>43769</v>
      </c>
      <c r="B170" s="8">
        <f>transformed_data!$B170/SUM(transformed_data!$B170:$E170)</f>
        <v>0.14872574657233106</v>
      </c>
      <c r="C170" s="8">
        <f>transformed_data!$C170/SUM(transformed_data!$B170:$E170)</f>
        <v>0.59554751233217074</v>
      </c>
      <c r="D170" s="8">
        <f>transformed_data!$D170/SUM(transformed_data!$B170:$E170)</f>
        <v>0.14139804384090421</v>
      </c>
      <c r="E170" s="8">
        <f>transformed_data!$E170/SUM(transformed_data!$B170:$E170)</f>
        <v>0.11432869725459412</v>
      </c>
    </row>
    <row r="171" spans="1:5" x14ac:dyDescent="0.3">
      <c r="A171" s="1">
        <v>43799</v>
      </c>
      <c r="B171" s="8">
        <f>transformed_data!$B171/SUM(transformed_data!$B171:$E171)</f>
        <v>0.15126092188983459</v>
      </c>
      <c r="C171" s="8">
        <f>transformed_data!$C171/SUM(transformed_data!$B171:$E171)</f>
        <v>0.59120636306732088</v>
      </c>
      <c r="D171" s="8">
        <f>transformed_data!$D171/SUM(transformed_data!$B171:$E171)</f>
        <v>0.14211538528448409</v>
      </c>
      <c r="E171" s="8">
        <f>transformed_data!$E171/SUM(transformed_data!$B171:$E171)</f>
        <v>0.11541732975836032</v>
      </c>
    </row>
    <row r="172" spans="1:5" x14ac:dyDescent="0.3">
      <c r="A172" s="1">
        <v>43830</v>
      </c>
      <c r="B172" s="8">
        <f>transformed_data!$B172/SUM(transformed_data!$B172:$E172)</f>
        <v>0.14487738271322412</v>
      </c>
      <c r="C172" s="8">
        <f>transformed_data!$C172/SUM(transformed_data!$B172:$E172)</f>
        <v>0.5952013884781997</v>
      </c>
      <c r="D172" s="8">
        <f>transformed_data!$D172/SUM(transformed_data!$B172:$E172)</f>
        <v>0.14261106694781345</v>
      </c>
      <c r="E172" s="8">
        <f>transformed_data!$E172/SUM(transformed_data!$B172:$E172)</f>
        <v>0.11731016186076265</v>
      </c>
    </row>
    <row r="173" spans="1:5" x14ac:dyDescent="0.3">
      <c r="A173" s="1">
        <v>43861</v>
      </c>
      <c r="B173" s="8">
        <f>transformed_data!$B173/SUM(transformed_data!$B173:$E173)</f>
        <v>0.14379727658462479</v>
      </c>
      <c r="C173" s="8">
        <f>transformed_data!$C173/SUM(transformed_data!$B173:$E173)</f>
        <v>0.59801044845964257</v>
      </c>
      <c r="D173" s="8">
        <f>transformed_data!$D173/SUM(transformed_data!$B173:$E173)</f>
        <v>0.14327563059439702</v>
      </c>
      <c r="E173" s="8">
        <f>transformed_data!$E173/SUM(transformed_data!$B173:$E173)</f>
        <v>0.11491664436133572</v>
      </c>
    </row>
    <row r="174" spans="1:5" x14ac:dyDescent="0.3">
      <c r="A174" s="1">
        <v>43890</v>
      </c>
      <c r="B174" s="8">
        <f>transformed_data!$B174/SUM(transformed_data!$B174:$E174)</f>
        <v>0.1515843174085062</v>
      </c>
      <c r="C174" s="8">
        <f>transformed_data!$C174/SUM(transformed_data!$B174:$E174)</f>
        <v>0.59072968160609829</v>
      </c>
      <c r="D174" s="8">
        <f>transformed_data!$D174/SUM(transformed_data!$B174:$E174)</f>
        <v>0.14265676315662096</v>
      </c>
      <c r="E174" s="8">
        <f>transformed_data!$E174/SUM(transformed_data!$B174:$E174)</f>
        <v>0.1150292378287745</v>
      </c>
    </row>
    <row r="175" spans="1:5" x14ac:dyDescent="0.3">
      <c r="A175" s="1">
        <v>43921</v>
      </c>
      <c r="B175" s="8">
        <f>transformed_data!$B175/SUM(transformed_data!$B175:$E175)</f>
        <v>0.1548371071813498</v>
      </c>
      <c r="C175" s="8">
        <f>transformed_data!$C175/SUM(transformed_data!$B175:$E175)</f>
        <v>0.5880446934482072</v>
      </c>
      <c r="D175" s="8">
        <f>transformed_data!$D175/SUM(transformed_data!$B175:$E175)</f>
        <v>0.14155943281062358</v>
      </c>
      <c r="E175" s="8">
        <f>transformed_data!$E175/SUM(transformed_data!$B175:$E175)</f>
        <v>0.11555876655981945</v>
      </c>
    </row>
    <row r="176" spans="1:5" x14ac:dyDescent="0.3">
      <c r="A176" s="1">
        <v>43951</v>
      </c>
      <c r="B176" s="8">
        <f>transformed_data!$B176/SUM(transformed_data!$B176:$E176)</f>
        <v>0.21589656302532109</v>
      </c>
      <c r="C176" s="8">
        <f>transformed_data!$C176/SUM(transformed_data!$B176:$E176)</f>
        <v>0.54833533739961371</v>
      </c>
      <c r="D176" s="8">
        <f>transformed_data!$D176/SUM(transformed_data!$B176:$E176)</f>
        <v>0.13199532719132617</v>
      </c>
      <c r="E176" s="8">
        <f>transformed_data!$E176/SUM(transformed_data!$B176:$E176)</f>
        <v>0.10377277238373903</v>
      </c>
    </row>
    <row r="177" spans="1:5" x14ac:dyDescent="0.3">
      <c r="A177" s="1">
        <v>43982</v>
      </c>
      <c r="B177" s="8">
        <f>transformed_data!$B177/SUM(transformed_data!$B177:$E177)</f>
        <v>0.24073986825821359</v>
      </c>
      <c r="C177" s="8">
        <f>transformed_data!$C177/SUM(transformed_data!$B177:$E177)</f>
        <v>0.52915413457414207</v>
      </c>
      <c r="D177" s="8">
        <f>transformed_data!$D177/SUM(transformed_data!$B177:$E177)</f>
        <v>0.12857012322221778</v>
      </c>
      <c r="E177" s="8">
        <f>transformed_data!$E177/SUM(transformed_data!$B177:$E177)</f>
        <v>0.10153587394542651</v>
      </c>
    </row>
    <row r="178" spans="1:5" x14ac:dyDescent="0.3">
      <c r="A178" s="1">
        <v>44012</v>
      </c>
      <c r="B178" s="8">
        <f>transformed_data!$B178/SUM(transformed_data!$B178:$E178)</f>
        <v>0.25518110196076887</v>
      </c>
      <c r="C178" s="8">
        <f>transformed_data!$C178/SUM(transformed_data!$B178:$E178)</f>
        <v>0.51815950624909224</v>
      </c>
      <c r="D178" s="8">
        <f>transformed_data!$D178/SUM(transformed_data!$B178:$E178)</f>
        <v>0.12726640727955998</v>
      </c>
      <c r="E178" s="8">
        <f>transformed_data!$E178/SUM(transformed_data!$B178:$E178)</f>
        <v>9.9392984510578986E-2</v>
      </c>
    </row>
    <row r="179" spans="1:5" x14ac:dyDescent="0.3">
      <c r="A179" s="1">
        <v>44043</v>
      </c>
      <c r="B179" s="8">
        <f>transformed_data!$B179/SUM(transformed_data!$B179:$E179)</f>
        <v>0.25384723385379632</v>
      </c>
      <c r="C179" s="8">
        <f>transformed_data!$C179/SUM(transformed_data!$B179:$E179)</f>
        <v>0.52117651795767295</v>
      </c>
      <c r="D179" s="8">
        <f>transformed_data!$D179/SUM(transformed_data!$B179:$E179)</f>
        <v>0.12859740219415422</v>
      </c>
      <c r="E179" s="8">
        <f>transformed_data!$E179/SUM(transformed_data!$B179:$E179)</f>
        <v>9.6378845994376572E-2</v>
      </c>
    </row>
    <row r="180" spans="1:5" x14ac:dyDescent="0.3">
      <c r="A180" s="1">
        <v>44074</v>
      </c>
      <c r="B180" s="8">
        <f>transformed_data!$B180/SUM(transformed_data!$B180:$E180)</f>
        <v>0.25143802760820327</v>
      </c>
      <c r="C180" s="8">
        <f>transformed_data!$C180/SUM(transformed_data!$B180:$E180)</f>
        <v>0.52123045228004283</v>
      </c>
      <c r="D180" s="8">
        <f>transformed_data!$D180/SUM(transformed_data!$B180:$E180)</f>
        <v>0.12998704196252678</v>
      </c>
      <c r="E180" s="8">
        <f>transformed_data!$E180/SUM(transformed_data!$B180:$E180)</f>
        <v>9.7344478149227129E-2</v>
      </c>
    </row>
    <row r="181" spans="1:5" x14ac:dyDescent="0.3">
      <c r="A181" s="1">
        <v>44104</v>
      </c>
      <c r="B181" s="8">
        <f>transformed_data!$B181/SUM(transformed_data!$B181:$E181)</f>
        <v>0.24681827483008495</v>
      </c>
      <c r="C181" s="8">
        <f>transformed_data!$C181/SUM(transformed_data!$B181:$E181)</f>
        <v>0.52337643312572268</v>
      </c>
      <c r="D181" s="8">
        <f>transformed_data!$D181/SUM(transformed_data!$B181:$E181)</f>
        <v>0.13121475370465466</v>
      </c>
      <c r="E181" s="8">
        <f>transformed_data!$E181/SUM(transformed_data!$B181:$E181)</f>
        <v>9.8590538339537792E-2</v>
      </c>
    </row>
    <row r="182" spans="1:5" x14ac:dyDescent="0.3">
      <c r="A182" s="1">
        <v>44135</v>
      </c>
      <c r="B182" s="8">
        <f>transformed_data!$B182/SUM(transformed_data!$B182:$E182)</f>
        <v>0.24387458066118059</v>
      </c>
      <c r="C182" s="8">
        <f>transformed_data!$C182/SUM(transformed_data!$B182:$E182)</f>
        <v>0.52485483377931996</v>
      </c>
      <c r="D182" s="8">
        <f>transformed_data!$D182/SUM(transformed_data!$B182:$E182)</f>
        <v>0.13193944918630451</v>
      </c>
      <c r="E182" s="8">
        <f>transformed_data!$E182/SUM(transformed_data!$B182:$E182)</f>
        <v>9.9331136373195003E-2</v>
      </c>
    </row>
    <row r="183" spans="1:5" x14ac:dyDescent="0.3">
      <c r="A183" s="1">
        <v>44165</v>
      </c>
      <c r="B183" s="8">
        <f>transformed_data!$B183/SUM(transformed_data!$B183:$E183)</f>
        <v>0.23891192878781123</v>
      </c>
      <c r="C183" s="8">
        <f>transformed_data!$C183/SUM(transformed_data!$B183:$E183)</f>
        <v>0.5276879805194179</v>
      </c>
      <c r="D183" s="8">
        <f>transformed_data!$D183/SUM(transformed_data!$B183:$E183)</f>
        <v>0.13466866994848231</v>
      </c>
      <c r="E183" s="8">
        <f>transformed_data!$E183/SUM(transformed_data!$B183:$E183)</f>
        <v>9.8731420744288576E-2</v>
      </c>
    </row>
    <row r="184" spans="1:5" x14ac:dyDescent="0.3">
      <c r="A184" s="1">
        <v>44196</v>
      </c>
      <c r="B184" s="8">
        <f>transformed_data!$B184/SUM(transformed_data!$B184:$E184)</f>
        <v>0.23660854500772804</v>
      </c>
      <c r="C184" s="8">
        <f>transformed_data!$C184/SUM(transformed_data!$B184:$E184)</f>
        <v>0.52868052107159647</v>
      </c>
      <c r="D184" s="8">
        <f>transformed_data!$D184/SUM(transformed_data!$B184:$E184)</f>
        <v>0.13533078890573844</v>
      </c>
      <c r="E184" s="8">
        <f>transformed_data!$E184/SUM(transformed_data!$B184:$E184)</f>
        <v>9.9380145014937207E-2</v>
      </c>
    </row>
    <row r="185" spans="1:5" x14ac:dyDescent="0.3">
      <c r="A185" s="1">
        <v>44227</v>
      </c>
      <c r="B185" s="8">
        <f>transformed_data!$B185/SUM(transformed_data!$B185:$E185)</f>
        <v>0.23540112527935364</v>
      </c>
      <c r="C185" s="8">
        <f>transformed_data!$C185/SUM(transformed_data!$B185:$E185)</f>
        <v>0.53079861753581425</v>
      </c>
      <c r="D185" s="8">
        <f>transformed_data!$D185/SUM(transformed_data!$B185:$E185)</f>
        <v>0.13614471902406036</v>
      </c>
      <c r="E185" s="8">
        <f>transformed_data!$E185/SUM(transformed_data!$B185:$E185)</f>
        <v>9.7655538160771785E-2</v>
      </c>
    </row>
    <row r="186" spans="1:5" x14ac:dyDescent="0.3">
      <c r="A186" s="1">
        <v>44255</v>
      </c>
      <c r="B186" s="8">
        <f>transformed_data!$B186/SUM(transformed_data!$B186:$E186)</f>
        <v>0.22964899618456161</v>
      </c>
      <c r="C186" s="8">
        <f>transformed_data!$C186/SUM(transformed_data!$B186:$E186)</f>
        <v>0.53464401129842987</v>
      </c>
      <c r="D186" s="8">
        <f>transformed_data!$D186/SUM(transformed_data!$B186:$E186)</f>
        <v>0.13799020001707102</v>
      </c>
      <c r="E186" s="8">
        <f>transformed_data!$E186/SUM(transformed_data!$B186:$E186)</f>
        <v>9.7716792499937519E-2</v>
      </c>
    </row>
    <row r="187" spans="1:5" x14ac:dyDescent="0.3">
      <c r="A187" s="1">
        <v>44286</v>
      </c>
      <c r="B187" s="8">
        <f>transformed_data!$B187/SUM(transformed_data!$B187:$E187)</f>
        <v>0.21830076166145121</v>
      </c>
      <c r="C187" s="8">
        <f>transformed_data!$C187/SUM(transformed_data!$B187:$E187)</f>
        <v>0.54222754854534705</v>
      </c>
      <c r="D187" s="8">
        <f>transformed_data!$D187/SUM(transformed_data!$B187:$E187)</f>
        <v>0.14056014937993583</v>
      </c>
      <c r="E187" s="8">
        <f>transformed_data!$E187/SUM(transformed_data!$B187:$E187)</f>
        <v>9.8911540413265969E-2</v>
      </c>
    </row>
    <row r="188" spans="1:5" x14ac:dyDescent="0.3">
      <c r="A188" s="1">
        <v>44316</v>
      </c>
      <c r="B188" s="8">
        <f>transformed_data!$B188/SUM(transformed_data!$B188:$E188)</f>
        <v>0.21158975229275281</v>
      </c>
      <c r="C188" s="8">
        <f>transformed_data!$C188/SUM(transformed_data!$B188:$E188)</f>
        <v>0.54916271465080591</v>
      </c>
      <c r="D188" s="8">
        <f>transformed_data!$D188/SUM(transformed_data!$B188:$E188)</f>
        <v>0.14273211960860269</v>
      </c>
      <c r="E188" s="8">
        <f>transformed_data!$E188/SUM(transformed_data!$B188:$E188)</f>
        <v>9.6515413447838636E-2</v>
      </c>
    </row>
    <row r="189" spans="1:5" x14ac:dyDescent="0.3">
      <c r="A189" s="1">
        <v>44347</v>
      </c>
      <c r="B189" s="8">
        <f>transformed_data!$B189/SUM(transformed_data!$B189:$E189)</f>
        <v>0.20433270389839819</v>
      </c>
      <c r="C189" s="8">
        <f>transformed_data!$C189/SUM(transformed_data!$B189:$E189)</f>
        <v>0.5522699362427308</v>
      </c>
      <c r="D189" s="8">
        <f>transformed_data!$D189/SUM(transformed_data!$B189:$E189)</f>
        <v>0.14442798405995264</v>
      </c>
      <c r="E189" s="8">
        <f>transformed_data!$E189/SUM(transformed_data!$B189:$E189)</f>
        <v>9.8969375798918388E-2</v>
      </c>
    </row>
    <row r="190" spans="1:5" x14ac:dyDescent="0.3">
      <c r="A190" s="1">
        <v>44377</v>
      </c>
      <c r="B190" s="8">
        <f>transformed_data!$B190/SUM(transformed_data!$B190:$E190)</f>
        <v>0.19665518259156314</v>
      </c>
      <c r="C190" s="8">
        <f>transformed_data!$C190/SUM(transformed_data!$B190:$E190)</f>
        <v>0.55689486769584529</v>
      </c>
      <c r="D190" s="8">
        <f>transformed_data!$D190/SUM(transformed_data!$B190:$E190)</f>
        <v>0.14627742318851564</v>
      </c>
      <c r="E190" s="8">
        <f>transformed_data!$E190/SUM(transformed_data!$B190:$E190)</f>
        <v>0.10017252652407584</v>
      </c>
    </row>
    <row r="191" spans="1:5" x14ac:dyDescent="0.3">
      <c r="A191" s="1">
        <v>44408</v>
      </c>
      <c r="B191" s="8">
        <f>transformed_data!$B191/SUM(transformed_data!$B191:$E191)</f>
        <v>0.1908942414962769</v>
      </c>
      <c r="C191" s="8">
        <f>transformed_data!$C191/SUM(transformed_data!$B191:$E191)</f>
        <v>0.5615596626789221</v>
      </c>
      <c r="D191" s="8">
        <f>transformed_data!$D191/SUM(transformed_data!$B191:$E191)</f>
        <v>0.14783848402121028</v>
      </c>
      <c r="E191" s="8">
        <f>transformed_data!$E191/SUM(transformed_data!$B191:$E191)</f>
        <v>9.9707611803590654E-2</v>
      </c>
    </row>
    <row r="192" spans="1:5" x14ac:dyDescent="0.3">
      <c r="A192" s="1">
        <v>44439</v>
      </c>
      <c r="B192" s="8">
        <f>transformed_data!$B192/SUM(transformed_data!$B192:$E192)</f>
        <v>0.18411810022094852</v>
      </c>
      <c r="C192" s="8">
        <f>transformed_data!$C192/SUM(transformed_data!$B192:$E192)</f>
        <v>0.56592224622216347</v>
      </c>
      <c r="D192" s="8">
        <f>transformed_data!$D192/SUM(transformed_data!$B192:$E192)</f>
        <v>0.15019521447865605</v>
      </c>
      <c r="E192" s="8">
        <f>transformed_data!$E192/SUM(transformed_data!$B192:$E192)</f>
        <v>9.9764439078231959E-2</v>
      </c>
    </row>
    <row r="193" spans="1:5" x14ac:dyDescent="0.3">
      <c r="A193" s="1">
        <v>44469</v>
      </c>
      <c r="B193" s="8">
        <f>transformed_data!$B193/SUM(transformed_data!$B193:$E193)</f>
        <v>0.16975954662476087</v>
      </c>
      <c r="C193" s="8">
        <f>transformed_data!$C193/SUM(transformed_data!$B193:$E193)</f>
        <v>0.57494000227409026</v>
      </c>
      <c r="D193" s="8">
        <f>transformed_data!$D193/SUM(transformed_data!$B193:$E193)</f>
        <v>0.15300521285793697</v>
      </c>
      <c r="E193" s="8">
        <f>transformed_data!$E193/SUM(transformed_data!$B193:$E193)</f>
        <v>0.102295238243212</v>
      </c>
    </row>
    <row r="194" spans="1:5" x14ac:dyDescent="0.3">
      <c r="A194" s="1">
        <v>44500</v>
      </c>
      <c r="B194" s="8">
        <f>transformed_data!$B194/SUM(transformed_data!$B194:$E194)</f>
        <v>0.17405077070871069</v>
      </c>
      <c r="C194" s="8">
        <f>transformed_data!$C194/SUM(transformed_data!$B194:$E194)</f>
        <v>0.57139515289294718</v>
      </c>
      <c r="D194" s="8">
        <f>transformed_data!$D194/SUM(transformed_data!$B194:$E194)</f>
        <v>0.15241947661170513</v>
      </c>
      <c r="E194" s="8">
        <f>transformed_data!$E194/SUM(transformed_data!$B194:$E194)</f>
        <v>0.10213459978663697</v>
      </c>
    </row>
    <row r="195" spans="1:5" x14ac:dyDescent="0.3">
      <c r="A195" s="1">
        <v>44530</v>
      </c>
      <c r="B195" s="8">
        <f>transformed_data!$B195/SUM(transformed_data!$B195:$E195)</f>
        <v>0.1693881041171087</v>
      </c>
      <c r="C195" s="8">
        <f>transformed_data!$C195/SUM(transformed_data!$B195:$E195)</f>
        <v>0.57510680455289553</v>
      </c>
      <c r="D195" s="8">
        <f>transformed_data!$D195/SUM(transformed_data!$B195:$E195)</f>
        <v>0.15361424945257665</v>
      </c>
      <c r="E195" s="8">
        <f>transformed_data!$E195/SUM(transformed_data!$B195:$E195)</f>
        <v>0.10189084187741917</v>
      </c>
    </row>
    <row r="196" spans="1:5" x14ac:dyDescent="0.3">
      <c r="A196" s="1">
        <v>44561</v>
      </c>
      <c r="B196" s="8">
        <f>transformed_data!$B196/SUM(transformed_data!$B196:$E196)</f>
        <v>0.16689022963159741</v>
      </c>
      <c r="C196" s="8">
        <f>transformed_data!$C196/SUM(transformed_data!$B196:$E196)</f>
        <v>0.57549596326772456</v>
      </c>
      <c r="D196" s="8">
        <f>transformed_data!$D196/SUM(transformed_data!$B196:$E196)</f>
        <v>0.15411674387284152</v>
      </c>
      <c r="E196" s="8">
        <f>transformed_data!$E196/SUM(transformed_data!$B196:$E196)</f>
        <v>0.10349706322783651</v>
      </c>
    </row>
    <row r="197" spans="1:5" x14ac:dyDescent="0.3">
      <c r="A197" s="1">
        <v>44592</v>
      </c>
      <c r="B197" s="8">
        <f>transformed_data!$B197/SUM(transformed_data!$B197:$E197)</f>
        <v>0.17282904788437062</v>
      </c>
      <c r="C197" s="8">
        <f>transformed_data!$C197/SUM(transformed_data!$B197:$E197)</f>
        <v>0.5733936563871872</v>
      </c>
      <c r="D197" s="8">
        <f>transformed_data!$D197/SUM(transformed_data!$B197:$E197)</f>
        <v>0.15402264927979484</v>
      </c>
      <c r="E197" s="8">
        <f>transformed_data!$E197/SUM(transformed_data!$B197:$E197)</f>
        <v>9.9754646448647372E-2</v>
      </c>
    </row>
    <row r="198" spans="1:5" x14ac:dyDescent="0.3">
      <c r="A198" s="1">
        <v>44620</v>
      </c>
      <c r="B198" s="8">
        <f>transformed_data!$B198/SUM(transformed_data!$B198:$E198)</f>
        <v>0.17481498100669327</v>
      </c>
      <c r="C198" s="8">
        <f>transformed_data!$C198/SUM(transformed_data!$B198:$E198)</f>
        <v>0.57025549410774279</v>
      </c>
      <c r="D198" s="8">
        <f>transformed_data!$D198/SUM(transformed_data!$B198:$E198)</f>
        <v>0.15473363798675416</v>
      </c>
      <c r="E198" s="8">
        <f>transformed_data!$E198/SUM(transformed_data!$B198:$E198)</f>
        <v>0.10019588689880973</v>
      </c>
    </row>
    <row r="199" spans="1:5" x14ac:dyDescent="0.3">
      <c r="A199" s="1">
        <v>44651</v>
      </c>
      <c r="B199" s="8">
        <f>transformed_data!$B199/SUM(transformed_data!$B199:$E199)</f>
        <v>0.1687254985295914</v>
      </c>
      <c r="C199" s="8">
        <f>transformed_data!$C199/SUM(transformed_data!$B199:$E199)</f>
        <v>0.57323710331973121</v>
      </c>
      <c r="D199" s="8">
        <f>transformed_data!$D199/SUM(transformed_data!$B199:$E199)</f>
        <v>0.15595159960568603</v>
      </c>
      <c r="E199" s="8">
        <f>transformed_data!$E199/SUM(transformed_data!$B199:$E199)</f>
        <v>0.10208579854499135</v>
      </c>
    </row>
    <row r="200" spans="1:5" x14ac:dyDescent="0.3">
      <c r="A200" s="1">
        <v>44681</v>
      </c>
      <c r="B200" s="8">
        <f>transformed_data!$B200/SUM(transformed_data!$B200:$E200)</f>
        <v>0.16460936284251929</v>
      </c>
      <c r="C200" s="8">
        <f>transformed_data!$C200/SUM(transformed_data!$B200:$E200)</f>
        <v>0.57663980792206659</v>
      </c>
      <c r="D200" s="8">
        <f>transformed_data!$D200/SUM(transformed_data!$B200:$E200)</f>
        <v>0.15722799812899105</v>
      </c>
      <c r="E200" s="8">
        <f>transformed_data!$E200/SUM(transformed_data!$B200:$E200)</f>
        <v>0.10152283110642314</v>
      </c>
    </row>
    <row r="201" spans="1:5" x14ac:dyDescent="0.3">
      <c r="A201" s="1">
        <v>44712</v>
      </c>
      <c r="B201" s="8">
        <f>transformed_data!$B201/SUM(transformed_data!$B201:$E201)</f>
        <v>0.15758779941901652</v>
      </c>
      <c r="C201" s="8">
        <f>transformed_data!$C201/SUM(transformed_data!$B201:$E201)</f>
        <v>0.57992193801647363</v>
      </c>
      <c r="D201" s="8">
        <f>transformed_data!$D201/SUM(transformed_data!$B201:$E201)</f>
        <v>0.16009813743129617</v>
      </c>
      <c r="E201" s="8">
        <f>transformed_data!$E201/SUM(transformed_data!$B201:$E201)</f>
        <v>0.10239212513321373</v>
      </c>
    </row>
    <row r="202" spans="1:5" x14ac:dyDescent="0.3">
      <c r="A202" s="1">
        <v>44742</v>
      </c>
      <c r="B202" s="8">
        <f>transformed_data!$B202/SUM(transformed_data!$B202:$E202)</f>
        <v>0.15116628727611059</v>
      </c>
      <c r="C202" s="8">
        <f>transformed_data!$C202/SUM(transformed_data!$B202:$E202)</f>
        <v>0.58269735873304429</v>
      </c>
      <c r="D202" s="8">
        <f>transformed_data!$D202/SUM(transformed_data!$B202:$E202)</f>
        <v>0.16157718534421117</v>
      </c>
      <c r="E202" s="8">
        <f>transformed_data!$E202/SUM(transformed_data!$B202:$E202)</f>
        <v>0.10455916864663412</v>
      </c>
    </row>
    <row r="203" spans="1:5" x14ac:dyDescent="0.3">
      <c r="A203" s="1">
        <v>44773</v>
      </c>
      <c r="B203" s="8">
        <f>transformed_data!$B203/SUM(transformed_data!$B203:$E203)</f>
        <v>0.15050200118609944</v>
      </c>
      <c r="C203" s="8">
        <f>transformed_data!$C203/SUM(transformed_data!$B203:$E203)</f>
        <v>0.58364853317501975</v>
      </c>
      <c r="D203" s="8">
        <f>transformed_data!$D203/SUM(transformed_data!$B203:$E203)</f>
        <v>0.1621957884766462</v>
      </c>
      <c r="E203" s="8">
        <f>transformed_data!$E203/SUM(transformed_data!$B203:$E203)</f>
        <v>0.1036536771622346</v>
      </c>
    </row>
    <row r="204" spans="1:5" x14ac:dyDescent="0.3">
      <c r="A204" s="1">
        <v>44804</v>
      </c>
      <c r="B204" s="8">
        <f>transformed_data!$B204/SUM(transformed_data!$B204:$E204)</f>
        <v>0.15733837084676053</v>
      </c>
      <c r="C204" s="8">
        <f>transformed_data!$C204/SUM(transformed_data!$B204:$E204)</f>
        <v>0.57749397454284168</v>
      </c>
      <c r="D204" s="8">
        <f>transformed_data!$D204/SUM(transformed_data!$B204:$E204)</f>
        <v>0.16238055040686419</v>
      </c>
      <c r="E204" s="8">
        <f>transformed_data!$E204/SUM(transformed_data!$B204:$E204)</f>
        <v>0.10278710420353369</v>
      </c>
    </row>
    <row r="205" spans="1:5" x14ac:dyDescent="0.3">
      <c r="A205" s="1">
        <v>44834</v>
      </c>
      <c r="B205" s="8">
        <f>transformed_data!$B205/SUM(transformed_data!$B205:$E205)</f>
        <v>0.15381958030282744</v>
      </c>
      <c r="C205" s="8">
        <f>transformed_data!$C205/SUM(transformed_data!$B205:$E205)</f>
        <v>0.57836260948288709</v>
      </c>
      <c r="D205" s="8">
        <f>transformed_data!$D205/SUM(transformed_data!$B205:$E205)</f>
        <v>0.16351531514461581</v>
      </c>
      <c r="E205" s="8">
        <f>transformed_data!$E205/SUM(transformed_data!$B205:$E205)</f>
        <v>0.10430249506966971</v>
      </c>
    </row>
    <row r="206" spans="1:5" x14ac:dyDescent="0.3">
      <c r="A206" s="1">
        <v>44865</v>
      </c>
      <c r="B206" s="8">
        <f>transformed_data!$B206/SUM(transformed_data!$B206:$E206)</f>
        <v>0.15439933831754959</v>
      </c>
      <c r="C206" s="8">
        <f>transformed_data!$C206/SUM(transformed_data!$B206:$E206)</f>
        <v>0.5784411502006197</v>
      </c>
      <c r="D206" s="8">
        <f>transformed_data!$D206/SUM(transformed_data!$B206:$E206)</f>
        <v>0.16443837938131534</v>
      </c>
      <c r="E206" s="8">
        <f>transformed_data!$E206/SUM(transformed_data!$B206:$E206)</f>
        <v>0.10272113210051535</v>
      </c>
    </row>
    <row r="207" spans="1:5" x14ac:dyDescent="0.3">
      <c r="A207" s="1">
        <v>44895</v>
      </c>
      <c r="B207" s="8">
        <f>transformed_data!$B207/SUM(transformed_data!$B207:$E207)</f>
        <v>0.15913770860475726</v>
      </c>
      <c r="C207" s="8">
        <f>transformed_data!$C207/SUM(transformed_data!$B207:$E207)</f>
        <v>0.5726903032856574</v>
      </c>
      <c r="D207" s="8">
        <f>transformed_data!$D207/SUM(transformed_data!$B207:$E207)</f>
        <v>0.16456423489952696</v>
      </c>
      <c r="E207" s="8">
        <f>transformed_data!$E207/SUM(transformed_data!$B207:$E207)</f>
        <v>0.10360775321005843</v>
      </c>
    </row>
    <row r="208" spans="1:5" x14ac:dyDescent="0.3">
      <c r="A208" s="1">
        <v>44926</v>
      </c>
      <c r="B208" s="8">
        <f>transformed_data!$B208/SUM(transformed_data!$B208:$E208)</f>
        <v>0.15444838289504276</v>
      </c>
      <c r="C208" s="8">
        <f>transformed_data!$C208/SUM(transformed_data!$B208:$E208)</f>
        <v>0.57444941902911861</v>
      </c>
      <c r="D208" s="8">
        <f>transformed_data!$D208/SUM(transformed_data!$B208:$E208)</f>
        <v>0.16541309215126077</v>
      </c>
      <c r="E208" s="8">
        <f>transformed_data!$E208/SUM(transformed_data!$B208:$E208)</f>
        <v>0.10568910592457781</v>
      </c>
    </row>
    <row r="209" spans="1:5" x14ac:dyDescent="0.3">
      <c r="A209" s="1">
        <v>44957</v>
      </c>
      <c r="B209" s="8">
        <f>transformed_data!$B209/SUM(transformed_data!$B209:$E209)</f>
        <v>0.16325170880530915</v>
      </c>
      <c r="C209" s="8">
        <f>transformed_data!$C209/SUM(transformed_data!$B209:$E209)</f>
        <v>0.57004365396214707</v>
      </c>
      <c r="D209" s="8">
        <f>transformed_data!$D209/SUM(transformed_data!$B209:$E209)</f>
        <v>0.16586233878790718</v>
      </c>
      <c r="E209" s="8">
        <f>transformed_data!$E209/SUM(transformed_data!$B209:$E209)</f>
        <v>0.10084229844463655</v>
      </c>
    </row>
    <row r="210" spans="1:5" x14ac:dyDescent="0.3">
      <c r="A210" s="1">
        <v>44985</v>
      </c>
      <c r="B210" s="8">
        <f>transformed_data!$B210/SUM(transformed_data!$B210:$E210)</f>
        <v>0.1671066726476767</v>
      </c>
      <c r="C210" s="8">
        <f>transformed_data!$C210/SUM(transformed_data!$B210:$E210)</f>
        <v>0.56544786116850065</v>
      </c>
      <c r="D210" s="8">
        <f>transformed_data!$D210/SUM(transformed_data!$B210:$E210)</f>
        <v>0.16611482891337845</v>
      </c>
      <c r="E210" s="8">
        <f>transformed_data!$E210/SUM(transformed_data!$B210:$E210)</f>
        <v>0.10133063727044421</v>
      </c>
    </row>
    <row r="211" spans="1:5" x14ac:dyDescent="0.3">
      <c r="A211" s="1">
        <v>45016</v>
      </c>
      <c r="B211" s="8">
        <f>transformed_data!$B211/SUM(transformed_data!$B211:$E211)</f>
        <v>0.16687689978474782</v>
      </c>
      <c r="C211" s="8">
        <f>transformed_data!$C211/SUM(transformed_data!$B211:$E211)</f>
        <v>0.56343683318365723</v>
      </c>
      <c r="D211" s="8">
        <f>transformed_data!$D211/SUM(transformed_data!$B211:$E211)</f>
        <v>0.16666612371132847</v>
      </c>
      <c r="E211" s="8">
        <f>transformed_data!$E211/SUM(transformed_data!$B211:$E211)</f>
        <v>0.10302014332026657</v>
      </c>
    </row>
    <row r="212" spans="1:5" x14ac:dyDescent="0.3">
      <c r="A212" s="1">
        <v>45046</v>
      </c>
      <c r="B212" s="8">
        <f>transformed_data!$B212/SUM(transformed_data!$B212:$E212)</f>
        <v>0.1623436783734149</v>
      </c>
      <c r="C212" s="8">
        <f>transformed_data!$C212/SUM(transformed_data!$B212:$E212)</f>
        <v>0.56717497306526188</v>
      </c>
      <c r="D212" s="8">
        <f>transformed_data!$D212/SUM(transformed_data!$B212:$E212)</f>
        <v>0.16811576090520911</v>
      </c>
      <c r="E212" s="8">
        <f>transformed_data!$E212/SUM(transformed_data!$B212:$E212)</f>
        <v>0.10236558765611418</v>
      </c>
    </row>
    <row r="213" spans="1:5" x14ac:dyDescent="0.3">
      <c r="A213" s="1">
        <v>45077</v>
      </c>
      <c r="B213" s="8">
        <f>transformed_data!$B213/SUM(transformed_data!$B213:$E213)</f>
        <v>0.16414795471708574</v>
      </c>
      <c r="C213" s="8">
        <f>transformed_data!$C213/SUM(transformed_data!$B213:$E213)</f>
        <v>0.56388421729018923</v>
      </c>
      <c r="D213" s="8">
        <f>transformed_data!$D213/SUM(transformed_data!$B213:$E213)</f>
        <v>0.17019371478699324</v>
      </c>
      <c r="E213" s="8">
        <f>transformed_data!$E213/SUM(transformed_data!$B213:$E213)</f>
        <v>0.10177411320573178</v>
      </c>
    </row>
    <row r="214" spans="1:5" x14ac:dyDescent="0.3">
      <c r="A214" s="1">
        <v>45107</v>
      </c>
      <c r="B214" s="8">
        <f>transformed_data!$B214/SUM(transformed_data!$B214:$E214)</f>
        <v>0.17948168156198221</v>
      </c>
      <c r="C214" s="8">
        <f>transformed_data!$C214/SUM(transformed_data!$B214:$E214)</f>
        <v>0.55145906328494454</v>
      </c>
      <c r="D214" s="8">
        <f>transformed_data!$D214/SUM(transformed_data!$B214:$E214)</f>
        <v>0.16757989766973097</v>
      </c>
      <c r="E214" s="8">
        <f>transformed_data!$E214/SUM(transformed_data!$B214:$E214)</f>
        <v>0.10147935748334225</v>
      </c>
    </row>
    <row r="215" spans="1:5" x14ac:dyDescent="0.3">
      <c r="A215" s="1">
        <v>45138</v>
      </c>
      <c r="B215" s="8">
        <f>transformed_data!$B215/SUM(transformed_data!$B215:$E215)</f>
        <v>0.18977306808967512</v>
      </c>
      <c r="C215" s="8">
        <f>transformed_data!$C215/SUM(transformed_data!$B215:$E215)</f>
        <v>0.54626894371338586</v>
      </c>
      <c r="D215" s="8">
        <f>transformed_data!$D215/SUM(transformed_data!$B215:$E215)</f>
        <v>0.16709171404352682</v>
      </c>
      <c r="E215" s="8">
        <f>transformed_data!$E215/SUM(transformed_data!$B215:$E215)</f>
        <v>9.6866274153412119E-2</v>
      </c>
    </row>
    <row r="216" spans="1:5" x14ac:dyDescent="0.3">
      <c r="A216" s="1">
        <v>45169</v>
      </c>
      <c r="B216" s="8">
        <f>transformed_data!$B216/SUM(transformed_data!$B216:$E216)</f>
        <v>0.19915258016496057</v>
      </c>
      <c r="C216" s="8">
        <f>transformed_data!$C216/SUM(transformed_data!$B216:$E216)</f>
        <v>0.5378280198280343</v>
      </c>
      <c r="D216" s="8">
        <f>transformed_data!$D216/SUM(transformed_data!$B216:$E216)</f>
        <v>0.16590783289812833</v>
      </c>
      <c r="E216" s="8">
        <f>transformed_data!$E216/SUM(transformed_data!$B216:$E216)</f>
        <v>9.7111567108876778E-2</v>
      </c>
    </row>
    <row r="217" spans="1:5" x14ac:dyDescent="0.3">
      <c r="A217" s="1">
        <v>45199</v>
      </c>
      <c r="B217" s="8">
        <f>transformed_data!$B217/SUM(transformed_data!$B217:$E217)</f>
        <v>0.2042584354141086</v>
      </c>
      <c r="C217" s="8">
        <f>transformed_data!$C217/SUM(transformed_data!$B217:$E217)</f>
        <v>0.53310769035525274</v>
      </c>
      <c r="D217" s="8">
        <f>transformed_data!$D217/SUM(transformed_data!$B217:$E217)</f>
        <v>0.1649055918133405</v>
      </c>
      <c r="E217" s="8">
        <f>transformed_data!$E217/SUM(transformed_data!$B217:$E217)</f>
        <v>9.772828241729814E-2</v>
      </c>
    </row>
    <row r="218" spans="1:5" x14ac:dyDescent="0.3">
      <c r="A218" s="1">
        <v>45230</v>
      </c>
      <c r="B218" s="8">
        <f>transformed_data!$B218/SUM(transformed_data!$B218:$E218)</f>
        <v>0.20985657131198274</v>
      </c>
      <c r="C218" s="8">
        <f>transformed_data!$C218/SUM(transformed_data!$B218:$E218)</f>
        <v>0.52924893523075578</v>
      </c>
      <c r="D218" s="8">
        <f>transformed_data!$D218/SUM(transformed_data!$B218:$E218)</f>
        <v>0.16509050441447123</v>
      </c>
      <c r="E218" s="8">
        <f>transformed_data!$E218/SUM(transformed_data!$B218:$E218)</f>
        <v>9.5803989042790277E-2</v>
      </c>
    </row>
    <row r="219" spans="1:5" x14ac:dyDescent="0.3">
      <c r="A219" s="1">
        <v>45260</v>
      </c>
      <c r="B219" s="8">
        <f>transformed_data!$B219/SUM(transformed_data!$B219:$E219)</f>
        <v>0.21586347445534182</v>
      </c>
      <c r="C219" s="8">
        <f>transformed_data!$C219/SUM(transformed_data!$B219:$E219)</f>
        <v>0.52259627205820403</v>
      </c>
      <c r="D219" s="8">
        <f>transformed_data!$D219/SUM(transformed_data!$B219:$E219)</f>
        <v>0.16495042765877099</v>
      </c>
      <c r="E219" s="8">
        <f>transformed_data!$E219/SUM(transformed_data!$B219:$E219)</f>
        <v>9.6589825827683246E-2</v>
      </c>
    </row>
    <row r="220" spans="1:5" x14ac:dyDescent="0.3">
      <c r="A220" s="1">
        <v>45291</v>
      </c>
      <c r="B220" s="8">
        <f>transformed_data!$B220/SUM(transformed_data!$B220:$E220)</f>
        <v>0.21522235523031216</v>
      </c>
      <c r="C220" s="8">
        <f>transformed_data!$C220/SUM(transformed_data!$B220:$E220)</f>
        <v>0.52170321872759851</v>
      </c>
      <c r="D220" s="8">
        <f>transformed_data!$D220/SUM(transformed_data!$B220:$E220)</f>
        <v>0.16512214520697768</v>
      </c>
      <c r="E220" s="8">
        <f>transformed_data!$E220/SUM(transformed_data!$B220:$E220)</f>
        <v>9.7952280835111608E-2</v>
      </c>
    </row>
    <row r="221" spans="1:5" x14ac:dyDescent="0.3">
      <c r="A221" s="1">
        <v>45322</v>
      </c>
      <c r="B221" s="8">
        <f>transformed_data!$B221/SUM(transformed_data!$B221:$E221)</f>
        <v>0.21803735156178361</v>
      </c>
      <c r="C221" s="8">
        <f>transformed_data!$C221/SUM(transformed_data!$B221:$E221)</f>
        <v>0.52172789822112131</v>
      </c>
      <c r="D221" s="8">
        <f>transformed_data!$D221/SUM(transformed_data!$B221:$E221)</f>
        <v>0.16603138373357576</v>
      </c>
      <c r="E221" s="8">
        <f>transformed_data!$E221/SUM(transformed_data!$B221:$E221)</f>
        <v>9.4203366483519402E-2</v>
      </c>
    </row>
    <row r="222" spans="1:5" x14ac:dyDescent="0.3">
      <c r="A222" s="1">
        <v>45351</v>
      </c>
      <c r="B222" s="8">
        <f>transformed_data!$B222/SUM(transformed_data!$B222:$E222)</f>
        <v>0.22414221184086011</v>
      </c>
      <c r="C222" s="8">
        <f>transformed_data!$C222/SUM(transformed_data!$B222:$E222)</f>
        <v>0.51567431207908565</v>
      </c>
      <c r="D222" s="8">
        <f>transformed_data!$D222/SUM(transformed_data!$B222:$E222)</f>
        <v>0.16574450282921879</v>
      </c>
      <c r="E222" s="8">
        <f>transformed_data!$E222/SUM(transformed_data!$B222:$E222)</f>
        <v>9.4438973250835348E-2</v>
      </c>
    </row>
    <row r="223" spans="1:5" x14ac:dyDescent="0.3">
      <c r="A223" s="1">
        <v>45382</v>
      </c>
      <c r="B223" s="8">
        <f>transformed_data!$B223/SUM(transformed_data!$B223:$E223)</f>
        <v>0.22495458727641521</v>
      </c>
      <c r="C223" s="8">
        <f>transformed_data!$C223/SUM(transformed_data!$B223:$E223)</f>
        <v>0.51437548700961455</v>
      </c>
      <c r="D223" s="8">
        <f>transformed_data!$D223/SUM(transformed_data!$B223:$E223)</f>
        <v>0.16574420851782762</v>
      </c>
      <c r="E223" s="8">
        <f>transformed_data!$E223/SUM(transformed_data!$B223:$E223)</f>
        <v>9.4925717196142512E-2</v>
      </c>
    </row>
    <row r="224" spans="1:5" x14ac:dyDescent="0.3">
      <c r="A224" s="1">
        <v>45412</v>
      </c>
      <c r="B224" s="8">
        <f>transformed_data!$B224/SUM(transformed_data!$B224:$E224)</f>
        <v>0.21794646676081381</v>
      </c>
      <c r="C224" s="8">
        <f>transformed_data!$C224/SUM(transformed_data!$B224:$E224)</f>
        <v>0.51989984255841726</v>
      </c>
      <c r="D224" s="8">
        <f>transformed_data!$D224/SUM(transformed_data!$B224:$E224)</f>
        <v>0.16773932018638668</v>
      </c>
      <c r="E224" s="8">
        <f>transformed_data!$E224/SUM(transformed_data!$B224:$E224)</f>
        <v>9.4414370494382227E-2</v>
      </c>
    </row>
    <row r="225" spans="1:5" x14ac:dyDescent="0.3">
      <c r="A225" s="1">
        <v>45443</v>
      </c>
      <c r="B225" s="8">
        <f>transformed_data!$B225/SUM(transformed_data!$B225:$E225)</f>
        <v>0.21694934997843374</v>
      </c>
      <c r="C225" s="8">
        <f>transformed_data!$C225/SUM(transformed_data!$B225:$E225)</f>
        <v>0.51821929156764546</v>
      </c>
      <c r="D225" s="8">
        <f>transformed_data!$D225/SUM(transformed_data!$B225:$E225)</f>
        <v>0.16863878079936984</v>
      </c>
      <c r="E225" s="8">
        <f>transformed_data!$E225/SUM(transformed_data!$B225:$E225)</f>
        <v>9.6192577654550929E-2</v>
      </c>
    </row>
    <row r="226" spans="1:5" x14ac:dyDescent="0.3">
      <c r="A226" s="1">
        <v>45473</v>
      </c>
      <c r="B226" s="8">
        <f>transformed_data!$B226/SUM(transformed_data!$B226:$E226)</f>
        <v>0.21315457762202977</v>
      </c>
      <c r="C226" s="8">
        <f>transformed_data!$C226/SUM(transformed_data!$B226:$E226)</f>
        <v>0.51928689056781407</v>
      </c>
      <c r="D226" s="8">
        <f>transformed_data!$D226/SUM(transformed_data!$B226:$E226)</f>
        <v>0.16935548566187189</v>
      </c>
      <c r="E226" s="8">
        <f>transformed_data!$E226/SUM(transformed_data!$B226:$E226)</f>
        <v>9.8203046148284179E-2</v>
      </c>
    </row>
    <row r="227" spans="1:5" x14ac:dyDescent="0.3">
      <c r="A227" s="1">
        <v>45504</v>
      </c>
      <c r="B227" s="8">
        <f>transformed_data!$B227/SUM(transformed_data!$B227:$E227)</f>
        <v>0.21620132501984585</v>
      </c>
      <c r="C227" s="8">
        <f>transformed_data!$C227/SUM(transformed_data!$B227:$E227)</f>
        <v>0.51994697584353633</v>
      </c>
      <c r="D227" s="8">
        <f>transformed_data!$D227/SUM(transformed_data!$B227:$E227)</f>
        <v>0.16927635828807031</v>
      </c>
      <c r="E227" s="8">
        <f>transformed_data!$E227/SUM(transformed_data!$B227:$E227)</f>
        <v>9.4575340848547518E-2</v>
      </c>
    </row>
    <row r="228" spans="1:5" x14ac:dyDescent="0.3">
      <c r="A228" s="1">
        <v>45535</v>
      </c>
      <c r="B228" s="8">
        <f>transformed_data!$B228/SUM(transformed_data!$B228:$E228)</f>
        <v>0.22183772616140907</v>
      </c>
      <c r="C228" s="8">
        <f>transformed_data!$C228/SUM(transformed_data!$B228:$E228)</f>
        <v>0.51428756913912999</v>
      </c>
      <c r="D228" s="8">
        <f>transformed_data!$D228/SUM(transformed_data!$B228:$E228)</f>
        <v>0.16877745284320658</v>
      </c>
      <c r="E228" s="8">
        <f>transformed_data!$E228/SUM(transformed_data!$B228:$E228)</f>
        <v>9.5097251856254381E-2</v>
      </c>
    </row>
    <row r="229" spans="1:5" x14ac:dyDescent="0.3">
      <c r="A229" s="1">
        <v>45565</v>
      </c>
      <c r="B229" s="8">
        <f>transformed_data!$B229/SUM(transformed_data!$B229:$E229)</f>
        <v>0.2165568233682964</v>
      </c>
      <c r="C229" s="8">
        <f>transformed_data!$C229/SUM(transformed_data!$B229:$E229)</f>
        <v>0.51728430686853932</v>
      </c>
      <c r="D229" s="8">
        <f>transformed_data!$D229/SUM(transformed_data!$B229:$E229)</f>
        <v>0.16980130289926995</v>
      </c>
      <c r="E229" s="8">
        <f>transformed_data!$E229/SUM(transformed_data!$B229:$E229)</f>
        <v>9.6357566863894406E-2</v>
      </c>
    </row>
    <row r="230" spans="1:5" x14ac:dyDescent="0.3">
      <c r="A230" s="1">
        <v>45596</v>
      </c>
      <c r="B230" s="8">
        <f>transformed_data!$B230/SUM(transformed_data!$B230:$E230)</f>
        <v>0.22102920248139865</v>
      </c>
      <c r="C230" s="8">
        <f>transformed_data!$C230/SUM(transformed_data!$B230:$E230)</f>
        <v>0.5160141038639775</v>
      </c>
      <c r="D230" s="8">
        <f>transformed_data!$D230/SUM(transformed_data!$B230:$E230)</f>
        <v>0.16947829905887304</v>
      </c>
      <c r="E230" s="8">
        <f>transformed_data!$E230/SUM(transformed_data!$B230:$E230)</f>
        <v>9.3478394595750941E-2</v>
      </c>
    </row>
    <row r="231" spans="1:5" x14ac:dyDescent="0.3">
      <c r="A231" s="1">
        <v>45626</v>
      </c>
      <c r="B231" s="8">
        <f>transformed_data!$B231/SUM(transformed_data!$B231:$E231)</f>
        <v>0.22640221529542801</v>
      </c>
      <c r="C231" s="8">
        <f>transformed_data!$C231/SUM(transformed_data!$B231:$E231)</f>
        <v>0.51055775278847904</v>
      </c>
      <c r="D231" s="8">
        <f>transformed_data!$D231/SUM(transformed_data!$B231:$E231)</f>
        <v>0.16863147301629269</v>
      </c>
      <c r="E231" s="8">
        <f>transformed_data!$E231/SUM(transformed_data!$B231:$E231)</f>
        <v>9.4408558899800349E-2</v>
      </c>
    </row>
    <row r="232" spans="1:5" x14ac:dyDescent="0.3">
      <c r="A232" s="1">
        <v>45657</v>
      </c>
      <c r="B232" s="8">
        <f>transformed_data!$B232/SUM(transformed_data!$B232:$E232)</f>
        <v>0.21876717787727859</v>
      </c>
      <c r="C232" s="8">
        <f>transformed_data!$C232/SUM(transformed_data!$B232:$E232)</f>
        <v>0.51503135372999198</v>
      </c>
      <c r="D232" s="8">
        <f>transformed_data!$D232/SUM(transformed_data!$B232:$E232)</f>
        <v>0.1701398140319875</v>
      </c>
      <c r="E232" s="8">
        <f>transformed_data!$E232/SUM(transformed_data!$B232:$E232)</f>
        <v>9.606165436074196E-2</v>
      </c>
    </row>
    <row r="233" spans="1:5" x14ac:dyDescent="0.3">
      <c r="A233" s="1">
        <v>45688</v>
      </c>
      <c r="B233" s="8">
        <f>transformed_data!$B233/SUM(transformed_data!$B233:$E233)</f>
        <v>0.22370903010230675</v>
      </c>
      <c r="C233" s="8">
        <f>transformed_data!$C233/SUM(transformed_data!$B233:$E233)</f>
        <v>0.51513398312672753</v>
      </c>
      <c r="D233" s="8">
        <f>transformed_data!$D233/SUM(transformed_data!$B233:$E233)</f>
        <v>0.17007024283487621</v>
      </c>
      <c r="E233" s="8">
        <f>transformed_data!$E233/SUM(transformed_data!$B233:$E233)</f>
        <v>9.1086743936089454E-2</v>
      </c>
    </row>
    <row r="234" spans="1:5" x14ac:dyDescent="0.3">
      <c r="A234" s="1">
        <v>45716</v>
      </c>
      <c r="B234" s="8">
        <f>transformed_data!$B234/SUM(transformed_data!$B234:$E234)</f>
        <v>0.22243360052033143</v>
      </c>
      <c r="C234" s="8">
        <f>transformed_data!$C234/SUM(transformed_data!$B234:$E234)</f>
        <v>0.51473137811453484</v>
      </c>
      <c r="D234" s="8">
        <f>transformed_data!$D234/SUM(transformed_data!$B234:$E234)</f>
        <v>0.17067492691532568</v>
      </c>
      <c r="E234" s="8">
        <f>transformed_data!$E234/SUM(transformed_data!$B234:$E234)</f>
        <v>9.2160094449807967E-2</v>
      </c>
    </row>
    <row r="235" spans="1:5" x14ac:dyDescent="0.3">
      <c r="A235" s="1">
        <v>45747</v>
      </c>
      <c r="B235" s="8">
        <f>transformed_data!$B235/SUM(transformed_data!$B235:$E235)</f>
        <v>0.21534052439991602</v>
      </c>
      <c r="C235" s="8">
        <f>transformed_data!$C235/SUM(transformed_data!$B235:$E235)</f>
        <v>0.51820269223159321</v>
      </c>
      <c r="D235" s="8">
        <f>transformed_data!$D235/SUM(transformed_data!$B235:$E235)</f>
        <v>0.17210284853516489</v>
      </c>
      <c r="E235" s="8">
        <f>transformed_data!$E235/SUM(transformed_data!$B235:$E235)</f>
        <v>9.4353934833325825E-2</v>
      </c>
    </row>
    <row r="236" spans="1:5" x14ac:dyDescent="0.3">
      <c r="A236" s="1">
        <v>45777</v>
      </c>
      <c r="B236" s="8">
        <f>transformed_data!$B236/SUM(transformed_data!$B236:$E236)</f>
        <v>0.21206851734920826</v>
      </c>
      <c r="C236" s="8">
        <f>transformed_data!$C236/SUM(transformed_data!$B236:$E236)</f>
        <v>0.52169230736403671</v>
      </c>
      <c r="D236" s="8">
        <f>transformed_data!$D236/SUM(transformed_data!$B236:$E236)</f>
        <v>0.17348496920790174</v>
      </c>
      <c r="E236" s="8">
        <f>transformed_data!$E236/SUM(transformed_data!$B236:$E236)</f>
        <v>9.2754206078853263E-2</v>
      </c>
    </row>
    <row r="237" spans="1:5" x14ac:dyDescent="0.3">
      <c r="A237" s="1">
        <v>45808</v>
      </c>
      <c r="B237" s="8">
        <f>transformed_data!$B237/SUM(transformed_data!$B237:$E237)</f>
        <v>0.20998059602209929</v>
      </c>
      <c r="C237" s="8">
        <f>transformed_data!$C237/SUM(transformed_data!$B237:$E237)</f>
        <v>0.52110679476982946</v>
      </c>
      <c r="D237" s="8">
        <f>transformed_data!$D237/SUM(transformed_data!$B237:$E237)</f>
        <v>0.17445035585057117</v>
      </c>
      <c r="E237" s="8">
        <f>transformed_data!$E237/SUM(transformed_data!$B237:$E237)</f>
        <v>9.446225335749997E-2</v>
      </c>
    </row>
    <row r="238" spans="1:5" x14ac:dyDescent="0.3">
      <c r="A238" s="1">
        <v>45838</v>
      </c>
      <c r="B238" s="8">
        <f>transformed_data!$B238/SUM(transformed_data!$B238:$E238)</f>
        <v>0.20183560480941268</v>
      </c>
      <c r="C238" s="8">
        <f>transformed_data!$C238/SUM(transformed_data!$B238:$E238)</f>
        <v>0.52599522727011194</v>
      </c>
      <c r="D238" s="8">
        <f>transformed_data!$D238/SUM(transformed_data!$B238:$E238)</f>
        <v>0.17587660363321253</v>
      </c>
      <c r="E238" s="8">
        <f>transformed_data!$E238/SUM(transformed_data!$B238:$E238)</f>
        <v>9.6292564287262752E-2</v>
      </c>
    </row>
    <row r="239" spans="1:5" x14ac:dyDescent="0.3">
      <c r="A239" s="1">
        <v>45869</v>
      </c>
      <c r="B239" s="8">
        <f>transformed_data!$B239/SUM(transformed_data!$B239:$E239)</f>
        <v>0.20696988672370795</v>
      </c>
      <c r="C239" s="8">
        <f>transformed_data!$C239/SUM(transformed_data!$B239:$E239)</f>
        <v>0.52492264352789486</v>
      </c>
      <c r="D239" s="8">
        <f>transformed_data!$D239/SUM(transformed_data!$B239:$E239)</f>
        <v>0.17523779065635278</v>
      </c>
      <c r="E239" s="8">
        <f>transformed_data!$E239/SUM(transformed_data!$B239:$E239)</f>
        <v>9.2869679092044397E-2</v>
      </c>
    </row>
    <row r="240" spans="1:5" x14ac:dyDescent="0.3">
      <c r="A240" s="1">
        <v>45900</v>
      </c>
      <c r="B240" s="8">
        <f>transformed_data!$B240/SUM(transformed_data!$B240:$E240)</f>
        <v>0.2165824530946189</v>
      </c>
      <c r="C240" s="8">
        <f>transformed_data!$C240/SUM(transformed_data!$B240:$E240)</f>
        <v>0.51727079043078483</v>
      </c>
      <c r="D240" s="8">
        <f>transformed_data!$D240/SUM(transformed_data!$B240:$E240)</f>
        <v>0.17325652973309671</v>
      </c>
      <c r="E240" s="8">
        <f>transformed_data!$E240/SUM(transformed_data!$B240:$E240)</f>
        <v>9.2890226741499535E-2</v>
      </c>
    </row>
    <row r="241" spans="1:5" x14ac:dyDescent="0.3">
      <c r="A241" s="1">
        <v>45930</v>
      </c>
      <c r="B241" s="8">
        <f>transformed_data!$B241/SUM(transformed_data!$B241:$E241)</f>
        <v>0.21528207193260937</v>
      </c>
      <c r="C241" s="8">
        <f>transformed_data!$C241/SUM(transformed_data!$B241:$E241)</f>
        <v>0.51800866177609128</v>
      </c>
      <c r="D241" s="8">
        <f>transformed_data!$D241/SUM(transformed_data!$B241:$E241)</f>
        <v>0.17306445197943121</v>
      </c>
      <c r="E241" s="8">
        <f>transformed_data!$E241/SUM(transformed_data!$B241:$E241)</f>
        <v>9.3644814311868163E-2</v>
      </c>
    </row>
    <row r="242" spans="1:5" x14ac:dyDescent="0.3">
      <c r="A242" s="1">
        <v>45961</v>
      </c>
      <c r="B242" s="8">
        <f>transformed_data!$B242/SUM(transformed_data!$B242:$E242)</f>
        <v>0.21978366084579418</v>
      </c>
      <c r="C242" s="8">
        <f>transformed_data!$C242/SUM(transformed_data!$B242:$E242)</f>
        <v>0.51688079653798347</v>
      </c>
      <c r="D242" s="8">
        <f>transformed_data!$D242/SUM(transformed_data!$B242:$E242)</f>
        <v>0.1724315631827486</v>
      </c>
      <c r="E242" s="8">
        <f>transformed_data!$E242/SUM(transformed_data!$B242:$E242)</f>
        <v>9.0903979433473642E-2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EEB2-E614-40DF-BD06-EC9EAC2CF051}">
  <dimension ref="A1:F242"/>
  <sheetViews>
    <sheetView topLeftCell="F1" workbookViewId="0">
      <selection activeCell="C8" sqref="C8"/>
    </sheetView>
  </sheetViews>
  <sheetFormatPr defaultRowHeight="14.4" x14ac:dyDescent="0.3"/>
  <cols>
    <col min="2" max="2" width="26.33203125" customWidth="1"/>
    <col min="3" max="3" width="26.88671875" customWidth="1"/>
    <col min="4" max="4" width="29.21875" customWidth="1"/>
    <col min="5" max="5" width="13.109375" customWidth="1"/>
    <col min="6" max="6" width="23" customWidth="1"/>
  </cols>
  <sheetData>
    <row r="1" spans="1:6" x14ac:dyDescent="0.3">
      <c r="A1" t="s">
        <v>30</v>
      </c>
      <c r="B1" t="s">
        <v>28</v>
      </c>
      <c r="C1" t="s">
        <v>29</v>
      </c>
      <c r="D1" t="s">
        <v>27</v>
      </c>
      <c r="E1" t="s">
        <v>37</v>
      </c>
      <c r="F1" t="s">
        <v>38</v>
      </c>
    </row>
    <row r="2" spans="1:6" x14ac:dyDescent="0.3">
      <c r="A2" s="6">
        <v>38656</v>
      </c>
      <c r="B2" s="7">
        <v>4650515.77659046</v>
      </c>
      <c r="C2" s="7">
        <v>3376607.0589751899</v>
      </c>
      <c r="D2" s="7">
        <v>8027122.94956565</v>
      </c>
      <c r="E2" s="5">
        <f>Table1[[#This Row],[Total Debt held by the Public]]/Table1[[#This Row],[Total Outstanding National Debt]]</f>
        <v>0.57935026108477639</v>
      </c>
      <c r="F2" s="5">
        <f>Table1[[#This Row],[Total Intragovernmental Debt]]/Table1[[#This Row],[Total Outstanding National Debt]]</f>
        <v>0.42064972471337309</v>
      </c>
    </row>
    <row r="3" spans="1:6" x14ac:dyDescent="0.3">
      <c r="A3" s="6">
        <v>38686</v>
      </c>
      <c r="B3" s="7">
        <v>4709402.9856719403</v>
      </c>
      <c r="C3" s="7">
        <v>3382919.4470944698</v>
      </c>
      <c r="D3" s="7">
        <v>8092321.5467664097</v>
      </c>
      <c r="E3" s="5">
        <f>Table1[[#This Row],[Total Debt held by the Public]]/Table1[[#This Row],[Total Outstanding National Debt]]</f>
        <v>0.58195944865213112</v>
      </c>
      <c r="F3" s="5">
        <f>Table1[[#This Row],[Total Intragovernmental Debt]]/Table1[[#This Row],[Total Outstanding National Debt]]</f>
        <v>0.41804066083437352</v>
      </c>
    </row>
    <row r="4" spans="1:6" x14ac:dyDescent="0.3">
      <c r="A4" s="6">
        <v>38717</v>
      </c>
      <c r="B4" s="7">
        <v>4714820.5965044498</v>
      </c>
      <c r="C4" s="7">
        <v>3455592.4458818599</v>
      </c>
      <c r="D4" s="7">
        <v>8170414.3323863102</v>
      </c>
      <c r="E4" s="5">
        <f>Table1[[#This Row],[Total Debt held by the Public]]/Table1[[#This Row],[Total Outstanding National Debt]]</f>
        <v>0.57706015933801547</v>
      </c>
      <c r="F4" s="5">
        <f>Table1[[#This Row],[Total Intragovernmental Debt]]/Table1[[#This Row],[Total Outstanding National Debt]]</f>
        <v>0.42293968277525462</v>
      </c>
    </row>
    <row r="5" spans="1:6" x14ac:dyDescent="0.3">
      <c r="A5" s="6">
        <v>38748</v>
      </c>
      <c r="B5" s="7">
        <v>4724636.9475845397</v>
      </c>
      <c r="C5" s="7">
        <v>3471432.7995029599</v>
      </c>
      <c r="D5" s="7">
        <v>8196069.7980875</v>
      </c>
      <c r="E5" s="5">
        <f>Table1[[#This Row],[Total Debt held by the Public]]/Table1[[#This Row],[Total Outstanding National Debt]]</f>
        <v>0.57645152664353871</v>
      </c>
      <c r="F5" s="5">
        <f>Table1[[#This Row],[Total Intragovernmental Debt]]/Table1[[#This Row],[Total Outstanding National Debt]]</f>
        <v>0.4235484671339666</v>
      </c>
    </row>
    <row r="6" spans="1:6" x14ac:dyDescent="0.3">
      <c r="A6" s="6">
        <v>38776</v>
      </c>
      <c r="B6" s="7">
        <v>4771117.3411884103</v>
      </c>
      <c r="C6" s="7">
        <v>3498768.9480657801</v>
      </c>
      <c r="D6" s="7">
        <v>8269886.3402541904</v>
      </c>
      <c r="E6" s="5">
        <f>Table1[[#This Row],[Total Debt held by the Public]]/Table1[[#This Row],[Total Outstanding National Debt]]</f>
        <v>0.57692659184016803</v>
      </c>
      <c r="F6" s="5">
        <f>Table1[[#This Row],[Total Intragovernmental Debt]]/Table1[[#This Row],[Total Outstanding National Debt]]</f>
        <v>0.42307340199287902</v>
      </c>
    </row>
    <row r="7" spans="1:6" x14ac:dyDescent="0.3">
      <c r="A7" s="6">
        <v>38807</v>
      </c>
      <c r="B7" s="7">
        <v>4872484.6170945503</v>
      </c>
      <c r="C7" s="7">
        <v>3498671.9981516702</v>
      </c>
      <c r="D7" s="7">
        <v>8371155.6662462195</v>
      </c>
      <c r="E7" s="5">
        <f>Table1[[#This Row],[Total Debt held by the Public]]/Table1[[#This Row],[Total Outstanding National Debt]]</f>
        <v>0.58205638640088297</v>
      </c>
      <c r="F7" s="5">
        <f>Table1[[#This Row],[Total Intragovernmental Debt]]/Table1[[#This Row],[Total Outstanding National Debt]]</f>
        <v>0.41794372696458759</v>
      </c>
    </row>
    <row r="8" spans="1:6" x14ac:dyDescent="0.3">
      <c r="A8" s="6">
        <v>38837</v>
      </c>
      <c r="B8" s="7">
        <v>4819948.5970564997</v>
      </c>
      <c r="C8" s="7">
        <v>3535769.2206778298</v>
      </c>
      <c r="D8" s="7">
        <v>8355717.8687343299</v>
      </c>
      <c r="E8" s="5">
        <f>Table1[[#This Row],[Total Debt held by the Public]]/Table1[[#This Row],[Total Outstanding National Debt]]</f>
        <v>0.57684434452866395</v>
      </c>
      <c r="F8" s="5">
        <f>Table1[[#This Row],[Total Intragovernmental Debt]]/Table1[[#This Row],[Total Outstanding National Debt]]</f>
        <v>0.42315564936773115</v>
      </c>
    </row>
    <row r="9" spans="1:6" x14ac:dyDescent="0.3">
      <c r="A9" s="6">
        <v>38868</v>
      </c>
      <c r="B9" s="7">
        <v>4807517.26333817</v>
      </c>
      <c r="C9" s="7">
        <v>3549259.6921439399</v>
      </c>
      <c r="D9" s="7">
        <v>8356776.9744821098</v>
      </c>
      <c r="E9" s="5">
        <f>Table1[[#This Row],[Total Debt held by the Public]]/Table1[[#This Row],[Total Outstanding National Debt]]</f>
        <v>0.57528366235190853</v>
      </c>
      <c r="F9" s="5">
        <f>Table1[[#This Row],[Total Intragovernmental Debt]]/Table1[[#This Row],[Total Outstanding National Debt]]</f>
        <v>0.42471633537448766</v>
      </c>
    </row>
    <row r="10" spans="1:6" x14ac:dyDescent="0.3">
      <c r="A10" s="6">
        <v>38898</v>
      </c>
      <c r="B10" s="7">
        <v>4797204.2941392995</v>
      </c>
      <c r="C10" s="7">
        <v>3622838.2157640201</v>
      </c>
      <c r="D10" s="7">
        <v>8420041.5289033204</v>
      </c>
      <c r="E10" s="5">
        <f>Table1[[#This Row],[Total Debt held by the Public]]/Table1[[#This Row],[Total Outstanding National Debt]]</f>
        <v>0.56973641729343316</v>
      </c>
      <c r="F10" s="5">
        <f>Table1[[#This Row],[Total Intragovernmental Debt]]/Table1[[#This Row],[Total Outstanding National Debt]]</f>
        <v>0.43026369921430557</v>
      </c>
    </row>
    <row r="11" spans="1:6" x14ac:dyDescent="0.3">
      <c r="A11" s="6">
        <v>38929</v>
      </c>
      <c r="B11" s="7">
        <v>4819732.1498851096</v>
      </c>
      <c r="C11" s="7">
        <v>3624614.4565891102</v>
      </c>
      <c r="D11" s="7">
        <v>8444346.7594742198</v>
      </c>
      <c r="E11" s="5">
        <f>Table1[[#This Row],[Total Debt held by the Public]]/Table1[[#This Row],[Total Outstanding National Debt]]</f>
        <v>0.57076435716919871</v>
      </c>
      <c r="F11" s="5">
        <f>Table1[[#This Row],[Total Intragovernmental Debt]]/Table1[[#This Row],[Total Outstanding National Debt]]</f>
        <v>0.42923562471217058</v>
      </c>
    </row>
    <row r="12" spans="1:6" x14ac:dyDescent="0.3">
      <c r="A12" s="6">
        <v>38960</v>
      </c>
      <c r="B12" s="7">
        <v>4884685.1830192199</v>
      </c>
      <c r="C12" s="7">
        <v>3630348.4540763302</v>
      </c>
      <c r="D12" s="7">
        <v>8515033.7720955499</v>
      </c>
      <c r="E12" s="5">
        <f>Table1[[#This Row],[Total Debt held by the Public]]/Table1[[#This Row],[Total Outstanding National Debt]]</f>
        <v>0.57365423482250011</v>
      </c>
      <c r="F12" s="5">
        <f>Table1[[#This Row],[Total Intragovernmental Debt]]/Table1[[#This Row],[Total Outstanding National Debt]]</f>
        <v>0.42634574932318808</v>
      </c>
    </row>
    <row r="13" spans="1:6" x14ac:dyDescent="0.3">
      <c r="A13" s="6">
        <v>38990</v>
      </c>
      <c r="B13" s="7">
        <v>4843120.5941919796</v>
      </c>
      <c r="C13" s="7">
        <v>3663853.3430395299</v>
      </c>
      <c r="D13" s="7">
        <v>8506974.1692315098</v>
      </c>
      <c r="E13" s="5">
        <f>Table1[[#This Row],[Total Debt held by the Public]]/Table1[[#This Row],[Total Outstanding National Debt]]</f>
        <v>0.56931177852976722</v>
      </c>
      <c r="F13" s="5">
        <f>Table1[[#This Row],[Total Intragovernmental Debt]]/Table1[[#This Row],[Total Outstanding National Debt]]</f>
        <v>0.4306881941984913</v>
      </c>
    </row>
    <row r="14" spans="1:6" x14ac:dyDescent="0.3">
      <c r="A14" s="6">
        <v>39021</v>
      </c>
      <c r="B14" s="7">
        <v>4880611.2871827697</v>
      </c>
      <c r="C14" s="7">
        <v>3703718.1728992201</v>
      </c>
      <c r="D14" s="7">
        <v>8584329.4600819908</v>
      </c>
      <c r="E14" s="5">
        <f>Table1[[#This Row],[Total Debt held by the Public]]/Table1[[#This Row],[Total Outstanding National Debt]]</f>
        <v>0.5685489250940462</v>
      </c>
      <c r="F14" s="5">
        <f>Table1[[#This Row],[Total Intragovernmental Debt]]/Table1[[#This Row],[Total Outstanding National Debt]]</f>
        <v>0.43145107490595369</v>
      </c>
    </row>
    <row r="15" spans="1:6" x14ac:dyDescent="0.3">
      <c r="A15" s="6">
        <v>39051</v>
      </c>
      <c r="B15" s="7">
        <v>4929567.0380306002</v>
      </c>
      <c r="C15" s="7">
        <v>3703678.4573304201</v>
      </c>
      <c r="D15" s="7">
        <v>8633246.4953610208</v>
      </c>
      <c r="E15" s="5">
        <f>Table1[[#This Row],[Total Debt held by the Public]]/Table1[[#This Row],[Total Outstanding National Debt]]</f>
        <v>0.57099806436425138</v>
      </c>
      <c r="F15" s="5">
        <f>Table1[[#This Row],[Total Intragovernmental Debt]]/Table1[[#This Row],[Total Outstanding National Debt]]</f>
        <v>0.42900181980446761</v>
      </c>
    </row>
    <row r="16" spans="1:6" x14ac:dyDescent="0.3">
      <c r="A16" s="6">
        <v>39082</v>
      </c>
      <c r="B16" s="7">
        <v>4901047.3731822604</v>
      </c>
      <c r="C16" s="7">
        <v>3779178.4949205699</v>
      </c>
      <c r="D16" s="7">
        <v>8680223.8681028299</v>
      </c>
      <c r="E16" s="5">
        <f>Table1[[#This Row],[Total Debt held by the Public]]/Table1[[#This Row],[Total Outstanding National Debt]]</f>
        <v>0.56462223182884852</v>
      </c>
      <c r="F16" s="5">
        <f>Table1[[#This Row],[Total Intragovernmental Debt]]/Table1[[#This Row],[Total Outstanding National Debt]]</f>
        <v>0.43537799857995552</v>
      </c>
    </row>
    <row r="17" spans="1:6" x14ac:dyDescent="0.3">
      <c r="A17" s="6">
        <v>39113</v>
      </c>
      <c r="B17" s="7">
        <v>4913960.9017721396</v>
      </c>
      <c r="C17" s="7">
        <v>3793600.3147779298</v>
      </c>
      <c r="D17" s="7">
        <v>8707561.2165500708</v>
      </c>
      <c r="E17" s="5">
        <f>Table1[[#This Row],[Total Debt held by the Public]]/Table1[[#This Row],[Total Outstanding National Debt]]</f>
        <v>0.56433262765151682</v>
      </c>
      <c r="F17" s="5">
        <f>Table1[[#This Row],[Total Intragovernmental Debt]]/Table1[[#This Row],[Total Outstanding National Debt]]</f>
        <v>0.43566737234848307</v>
      </c>
    </row>
    <row r="18" spans="1:6" x14ac:dyDescent="0.3">
      <c r="A18" s="6">
        <v>39141</v>
      </c>
      <c r="B18" s="7">
        <v>4979111.3323745504</v>
      </c>
      <c r="C18" s="7">
        <v>3798999.5752406698</v>
      </c>
      <c r="D18" s="7">
        <v>8778110.9076152202</v>
      </c>
      <c r="E18" s="5">
        <f>Table1[[#This Row],[Total Debt held by the Public]]/Table1[[#This Row],[Total Outstanding National Debt]]</f>
        <v>0.56721900472401787</v>
      </c>
      <c r="F18" s="5">
        <f>Table1[[#This Row],[Total Intragovernmental Debt]]/Table1[[#This Row],[Total Outstanding National Debt]]</f>
        <v>0.43278099527598213</v>
      </c>
    </row>
    <row r="19" spans="1:6" x14ac:dyDescent="0.3">
      <c r="A19" s="6">
        <v>39172</v>
      </c>
      <c r="B19" s="7">
        <v>5053939.8912334796</v>
      </c>
      <c r="C19" s="7">
        <v>3795725.3278784701</v>
      </c>
      <c r="D19" s="7">
        <v>8849665.2471119501</v>
      </c>
      <c r="E19" s="5">
        <f>Table1[[#This Row],[Total Debt held by the Public]]/Table1[[#This Row],[Total Outstanding National Debt]]</f>
        <v>0.5710882558956466</v>
      </c>
      <c r="F19" s="5">
        <f>Table1[[#This Row],[Total Intragovernmental Debt]]/Table1[[#This Row],[Total Outstanding National Debt]]</f>
        <v>0.42891174094039192</v>
      </c>
    </row>
    <row r="20" spans="1:6" x14ac:dyDescent="0.3">
      <c r="A20" s="6">
        <v>39202</v>
      </c>
      <c r="B20" s="7">
        <v>5007058.1823659204</v>
      </c>
      <c r="C20" s="7">
        <v>3833109.59446092</v>
      </c>
      <c r="D20" s="7">
        <v>8840167.7768268399</v>
      </c>
      <c r="E20" s="5">
        <f>Table1[[#This Row],[Total Debt held by the Public]]/Table1[[#This Row],[Total Outstanding National Debt]]</f>
        <v>0.56639854681165269</v>
      </c>
      <c r="F20" s="5">
        <f>Table1[[#This Row],[Total Intragovernmental Debt]]/Table1[[#This Row],[Total Outstanding National Debt]]</f>
        <v>0.43360145318834736</v>
      </c>
    </row>
    <row r="21" spans="1:6" x14ac:dyDescent="0.3">
      <c r="A21" s="6">
        <v>39233</v>
      </c>
      <c r="B21" s="7">
        <v>4980871.1580024501</v>
      </c>
      <c r="C21" s="7">
        <v>3848121.2718756399</v>
      </c>
      <c r="D21" s="7">
        <v>8828991.5198780894</v>
      </c>
      <c r="E21" s="5">
        <f>Table1[[#This Row],[Total Debt held by the Public]]/Table1[[#This Row],[Total Outstanding National Debt]]</f>
        <v>0.56414950074289183</v>
      </c>
      <c r="F21" s="5">
        <f>Table1[[#This Row],[Total Intragovernmental Debt]]/Table1[[#This Row],[Total Outstanding National Debt]]</f>
        <v>0.43585060232663747</v>
      </c>
    </row>
    <row r="22" spans="1:6" x14ac:dyDescent="0.3">
      <c r="A22" s="6">
        <v>39263</v>
      </c>
      <c r="B22" s="7">
        <v>4943090.4103004001</v>
      </c>
      <c r="C22" s="7">
        <v>3924584.7044682698</v>
      </c>
      <c r="D22" s="7">
        <v>8867675.2047686707</v>
      </c>
      <c r="E22" s="5">
        <f>Table1[[#This Row],[Total Debt held by the Public]]/Table1[[#This Row],[Total Outstanding National Debt]]</f>
        <v>0.55742799506709595</v>
      </c>
      <c r="F22" s="5">
        <f>Table1[[#This Row],[Total Intragovernmental Debt]]/Table1[[#This Row],[Total Outstanding National Debt]]</f>
        <v>0.44257199478368237</v>
      </c>
    </row>
    <row r="23" spans="1:6" x14ac:dyDescent="0.3">
      <c r="A23" s="6">
        <v>39294</v>
      </c>
      <c r="B23" s="7">
        <v>5003717.2801474603</v>
      </c>
      <c r="C23" s="7">
        <v>3928721.8118678099</v>
      </c>
      <c r="D23" s="7">
        <v>8932438.18201527</v>
      </c>
      <c r="E23" s="5">
        <f>Table1[[#This Row],[Total Debt held by the Public]]/Table1[[#This Row],[Total Outstanding National Debt]]</f>
        <v>0.56017373735897036</v>
      </c>
      <c r="F23" s="5">
        <f>Table1[[#This Row],[Total Intragovernmental Debt]]/Table1[[#This Row],[Total Outstanding National Debt]]</f>
        <v>0.43982636451690965</v>
      </c>
    </row>
    <row r="24" spans="1:6" x14ac:dyDescent="0.3">
      <c r="A24" s="6">
        <v>39325</v>
      </c>
      <c r="B24" s="7">
        <v>5096937.6984995203</v>
      </c>
      <c r="C24" s="7">
        <v>3908709.8517788299</v>
      </c>
      <c r="D24" s="7">
        <v>9005648.6402783506</v>
      </c>
      <c r="E24" s="5">
        <f>Table1[[#This Row],[Total Debt held by the Public]]/Table1[[#This Row],[Total Outstanding National Debt]]</f>
        <v>0.56597119231402548</v>
      </c>
      <c r="F24" s="5">
        <f>Table1[[#This Row],[Total Intragovernmental Debt]]/Table1[[#This Row],[Total Outstanding National Debt]]</f>
        <v>0.43402868665082828</v>
      </c>
    </row>
    <row r="25" spans="1:6" x14ac:dyDescent="0.3">
      <c r="A25" s="6">
        <v>39355</v>
      </c>
      <c r="B25" s="7">
        <v>5049305.6609260701</v>
      </c>
      <c r="C25" s="7">
        <v>3958347.6653135698</v>
      </c>
      <c r="D25" s="7">
        <v>9007653.4162396397</v>
      </c>
      <c r="E25" s="5">
        <f>Table1[[#This Row],[Total Debt held by the Public]]/Table1[[#This Row],[Total Outstanding National Debt]]</f>
        <v>0.56055727586308124</v>
      </c>
      <c r="F25" s="5">
        <f>Table1[[#This Row],[Total Intragovernmental Debt]]/Table1[[#This Row],[Total Outstanding National Debt]]</f>
        <v>0.4394427141454153</v>
      </c>
    </row>
    <row r="26" spans="1:6" x14ac:dyDescent="0.3">
      <c r="A26" s="6">
        <v>39386</v>
      </c>
      <c r="B26" s="7">
        <v>5067079.1066169497</v>
      </c>
      <c r="C26" s="7">
        <v>4012008.1092653102</v>
      </c>
      <c r="D26" s="7">
        <v>9079086.3058822602</v>
      </c>
      <c r="E26" s="5">
        <f>Table1[[#This Row],[Total Debt held by the Public]]/Table1[[#This Row],[Total Outstanding National Debt]]</f>
        <v>0.55810452020199808</v>
      </c>
      <c r="F26" s="5">
        <f>Table1[[#This Row],[Total Intragovernmental Debt]]/Table1[[#This Row],[Total Outstanding National Debt]]</f>
        <v>0.44189558002835211</v>
      </c>
    </row>
    <row r="27" spans="1:6" x14ac:dyDescent="0.3">
      <c r="A27" s="6">
        <v>39416</v>
      </c>
      <c r="B27" s="7">
        <v>5146578.9649664704</v>
      </c>
      <c r="C27" s="7">
        <v>4002761.7937270799</v>
      </c>
      <c r="D27" s="7">
        <v>9149340.8626935594</v>
      </c>
      <c r="E27" s="5">
        <f>Table1[[#This Row],[Total Debt held by the Public]]/Table1[[#This Row],[Total Outstanding National Debt]]</f>
        <v>0.56250816776885515</v>
      </c>
      <c r="F27" s="5">
        <f>Table1[[#This Row],[Total Intragovernmental Debt]]/Table1[[#This Row],[Total Outstanding National Debt]]</f>
        <v>0.43749182086420479</v>
      </c>
    </row>
    <row r="28" spans="1:6" x14ac:dyDescent="0.3">
      <c r="A28" s="6">
        <v>39447</v>
      </c>
      <c r="B28" s="7">
        <v>5136303.2800723398</v>
      </c>
      <c r="C28" s="7">
        <v>4092870.3522587102</v>
      </c>
      <c r="D28" s="7">
        <v>9229172.8093310595</v>
      </c>
      <c r="E28" s="5">
        <f>Table1[[#This Row],[Total Debt held by the Public]]/Table1[[#This Row],[Total Outstanding National Debt]]</f>
        <v>0.55652910463214356</v>
      </c>
      <c r="F28" s="5">
        <f>Table1[[#This Row],[Total Intragovernmental Debt]]/Table1[[#This Row],[Total Outstanding National Debt]]</f>
        <v>0.44347098454161094</v>
      </c>
    </row>
    <row r="29" spans="1:6" x14ac:dyDescent="0.3">
      <c r="A29" s="6">
        <v>39478</v>
      </c>
      <c r="B29" s="7">
        <v>5132264.5939321499</v>
      </c>
      <c r="C29" s="7">
        <v>4105742.6974757202</v>
      </c>
      <c r="D29" s="7">
        <v>9238007.6504078694</v>
      </c>
      <c r="E29" s="5">
        <f>Table1[[#This Row],[Total Debt held by the Public]]/Table1[[#This Row],[Total Outstanding National Debt]]</f>
        <v>0.55555968214700002</v>
      </c>
      <c r="F29" s="5">
        <f>Table1[[#This Row],[Total Intragovernmental Debt]]/Table1[[#This Row],[Total Outstanding National Debt]]</f>
        <v>0.44444027899180694</v>
      </c>
    </row>
    <row r="30" spans="1:6" x14ac:dyDescent="0.3">
      <c r="A30" s="6">
        <v>39507</v>
      </c>
      <c r="B30" s="7">
        <v>5259803.9237152003</v>
      </c>
      <c r="C30" s="7">
        <v>4098246.53302202</v>
      </c>
      <c r="D30" s="7">
        <v>9358050.9187372196</v>
      </c>
      <c r="E30" s="5">
        <f>Table1[[#This Row],[Total Debt held by the Public]]/Table1[[#This Row],[Total Outstanding National Debt]]</f>
        <v>0.56206190470536155</v>
      </c>
      <c r="F30" s="5">
        <f>Table1[[#This Row],[Total Intragovernmental Debt]]/Table1[[#This Row],[Total Outstanding National Debt]]</f>
        <v>0.43793804592538377</v>
      </c>
    </row>
    <row r="31" spans="1:6" x14ac:dyDescent="0.3">
      <c r="A31" s="6">
        <v>39538</v>
      </c>
      <c r="B31" s="7">
        <v>5334116.1327438196</v>
      </c>
      <c r="C31" s="7">
        <v>4103479.4347794801</v>
      </c>
      <c r="D31" s="7">
        <v>9437593.6585233007</v>
      </c>
      <c r="E31" s="5">
        <f>Table1[[#This Row],[Total Debt held by the Public]]/Table1[[#This Row],[Total Outstanding National Debt]]</f>
        <v>0.56519874935773073</v>
      </c>
      <c r="F31" s="5">
        <f>Table1[[#This Row],[Total Intragovernmental Debt]]/Table1[[#This Row],[Total Outstanding National Debt]]</f>
        <v>0.43480145291840749</v>
      </c>
    </row>
    <row r="32" spans="1:6" x14ac:dyDescent="0.3">
      <c r="A32" s="6">
        <v>39568</v>
      </c>
      <c r="B32" s="7">
        <v>5244195.2198333396</v>
      </c>
      <c r="C32" s="7">
        <v>4133362.5104859602</v>
      </c>
      <c r="D32" s="7">
        <v>9377556.8213193007</v>
      </c>
      <c r="E32" s="5">
        <f>Table1[[#This Row],[Total Debt held by the Public]]/Table1[[#This Row],[Total Outstanding National Debt]]</f>
        <v>0.55922830645088528</v>
      </c>
      <c r="F32" s="5">
        <f>Table1[[#This Row],[Total Intragovernmental Debt]]/Table1[[#This Row],[Total Outstanding National Debt]]</f>
        <v>0.44077179048267817</v>
      </c>
    </row>
    <row r="33" spans="1:6" x14ac:dyDescent="0.3">
      <c r="A33" s="6">
        <v>39599</v>
      </c>
      <c r="B33" s="7">
        <v>5278699.2290051198</v>
      </c>
      <c r="C33" s="7">
        <v>4110099.5913828402</v>
      </c>
      <c r="D33" s="7">
        <v>9388798.9113879595</v>
      </c>
      <c r="E33" s="5">
        <f>Table1[[#This Row],[Total Debt held by the Public]]/Table1[[#This Row],[Total Outstanding National Debt]]</f>
        <v>0.56223370836097308</v>
      </c>
      <c r="F33" s="5">
        <f>Table1[[#This Row],[Total Intragovernmental Debt]]/Table1[[#This Row],[Total Outstanding National Debt]]</f>
        <v>0.43776628194662637</v>
      </c>
    </row>
    <row r="34" spans="1:6" x14ac:dyDescent="0.3">
      <c r="A34" s="6">
        <v>39629</v>
      </c>
      <c r="B34" s="7">
        <v>5285064.4316632496</v>
      </c>
      <c r="C34" s="7">
        <v>4206942.1296122903</v>
      </c>
      <c r="D34" s="7">
        <v>9492005.6722755395</v>
      </c>
      <c r="E34" s="5">
        <f>Table1[[#This Row],[Total Debt held by the Public]]/Table1[[#This Row],[Total Outstanding National Debt]]</f>
        <v>0.55679111603356735</v>
      </c>
      <c r="F34" s="5">
        <f>Table1[[#This Row],[Total Intragovernmental Debt]]/Table1[[#This Row],[Total Outstanding National Debt]]</f>
        <v>0.44320897762419381</v>
      </c>
    </row>
    <row r="35" spans="1:6" x14ac:dyDescent="0.3">
      <c r="A35" s="6">
        <v>39660</v>
      </c>
      <c r="B35" s="7">
        <v>5403381.6067758203</v>
      </c>
      <c r="C35" s="7">
        <v>4182098.4527460998</v>
      </c>
      <c r="D35" s="7">
        <v>9585480.3675219193</v>
      </c>
      <c r="E35" s="5">
        <f>Table1[[#This Row],[Total Debt held by the Public]]/Table1[[#This Row],[Total Outstanding National Debt]]</f>
        <v>0.56370483268463745</v>
      </c>
      <c r="F35" s="5">
        <f>Table1[[#This Row],[Total Intragovernmental Debt]]/Table1[[#This Row],[Total Outstanding National Debt]]</f>
        <v>0.43629513518343099</v>
      </c>
    </row>
    <row r="36" spans="1:6" x14ac:dyDescent="0.3">
      <c r="A36" s="6">
        <v>39691</v>
      </c>
      <c r="B36" s="7">
        <v>5479099.8386794003</v>
      </c>
      <c r="C36" s="7">
        <v>4166655.0867748498</v>
      </c>
      <c r="D36" s="7">
        <v>9645755.3795990199</v>
      </c>
      <c r="E36" s="5">
        <f>Table1[[#This Row],[Total Debt held by the Public]]/Table1[[#This Row],[Total Outstanding National Debt]]</f>
        <v>0.5680322196712364</v>
      </c>
      <c r="F36" s="5">
        <f>Table1[[#This Row],[Total Intragovernmental Debt]]/Table1[[#This Row],[Total Outstanding National Debt]]</f>
        <v>0.43196773324641996</v>
      </c>
    </row>
    <row r="37" spans="1:6" x14ac:dyDescent="0.3">
      <c r="A37" s="6">
        <v>39721</v>
      </c>
      <c r="B37" s="7">
        <v>5808692.2033556299</v>
      </c>
      <c r="C37" s="7">
        <v>4216032.9888506196</v>
      </c>
      <c r="D37" s="7">
        <v>10024725.283206301</v>
      </c>
      <c r="E37" s="5">
        <f>Table1[[#This Row],[Total Debt held by the Public]]/Table1[[#This Row],[Total Outstanding National Debt]]</f>
        <v>0.57943654706294179</v>
      </c>
      <c r="F37" s="5">
        <f>Table1[[#This Row],[Total Intragovernmental Debt]]/Table1[[#This Row],[Total Outstanding National Debt]]</f>
        <v>0.42056344385949762</v>
      </c>
    </row>
    <row r="38" spans="1:6" x14ac:dyDescent="0.3">
      <c r="A38" s="6">
        <v>39752</v>
      </c>
      <c r="B38" s="7">
        <v>6302793.6305648005</v>
      </c>
      <c r="C38" s="7">
        <v>4271301.3600078402</v>
      </c>
      <c r="D38" s="7">
        <v>10574094.3888149</v>
      </c>
      <c r="E38" s="5">
        <f>Table1[[#This Row],[Total Debt held by the Public]]/Table1[[#This Row],[Total Outstanding National Debt]]</f>
        <v>0.59605989873059861</v>
      </c>
      <c r="F38" s="5">
        <f>Table1[[#This Row],[Total Intragovernmental Debt]]/Table1[[#This Row],[Total Outstanding National Debt]]</f>
        <v>0.4039401581780801</v>
      </c>
    </row>
    <row r="39" spans="1:6" x14ac:dyDescent="0.3">
      <c r="A39" s="6">
        <v>39782</v>
      </c>
      <c r="B39" s="7">
        <v>6396590.9863985097</v>
      </c>
      <c r="C39" s="7">
        <v>4264584.1272085402</v>
      </c>
      <c r="D39" s="7">
        <v>10661175.294849301</v>
      </c>
      <c r="E39" s="5">
        <f>Table1[[#This Row],[Total Debt held by the Public]]/Table1[[#This Row],[Total Outstanding National Debt]]</f>
        <v>0.59998928912545635</v>
      </c>
      <c r="F39" s="5">
        <f>Table1[[#This Row],[Total Intragovernmental Debt]]/Table1[[#This Row],[Total Outstanding National Debt]]</f>
        <v>0.40001069387433064</v>
      </c>
    </row>
    <row r="40" spans="1:6" x14ac:dyDescent="0.3">
      <c r="A40" s="6">
        <v>39813</v>
      </c>
      <c r="B40" s="7">
        <v>6369318.5303354096</v>
      </c>
      <c r="C40" s="7">
        <v>4330486.32041022</v>
      </c>
      <c r="D40" s="7">
        <v>10699804.8507456</v>
      </c>
      <c r="E40" s="5">
        <f>Table1[[#This Row],[Total Debt held by the Public]]/Table1[[#This Row],[Total Outstanding National Debt]]</f>
        <v>0.59527427080986184</v>
      </c>
      <c r="F40" s="5">
        <f>Table1[[#This Row],[Total Intragovernmental Debt]]/Table1[[#This Row],[Total Outstanding National Debt]]</f>
        <v>0.40472572919014094</v>
      </c>
    </row>
    <row r="41" spans="1:6" x14ac:dyDescent="0.3">
      <c r="A41" s="6">
        <v>39844</v>
      </c>
      <c r="B41" s="7">
        <v>6317298.5150272697</v>
      </c>
      <c r="C41" s="7">
        <v>4314781.3893352803</v>
      </c>
      <c r="D41" s="7">
        <v>10632079.9043626</v>
      </c>
      <c r="E41" s="5">
        <f>Table1[[#This Row],[Total Debt held by the Public]]/Table1[[#This Row],[Total Outstanding National Debt]]</f>
        <v>0.5941733481926833</v>
      </c>
      <c r="F41" s="5">
        <f>Table1[[#This Row],[Total Intragovernmental Debt]]/Table1[[#This Row],[Total Outstanding National Debt]]</f>
        <v>0.40582665180731203</v>
      </c>
    </row>
    <row r="42" spans="1:6" x14ac:dyDescent="0.3">
      <c r="A42" s="6">
        <v>39872</v>
      </c>
      <c r="B42" s="7">
        <v>6579162.7508982597</v>
      </c>
      <c r="C42" s="7">
        <v>4297982.4252566202</v>
      </c>
      <c r="D42" s="7">
        <v>10877145.1761549</v>
      </c>
      <c r="E42" s="5">
        <f>Table1[[#This Row],[Total Debt held by the Public]]/Table1[[#This Row],[Total Outstanding National Debt]]</f>
        <v>0.6048611693922441</v>
      </c>
      <c r="F42" s="5">
        <f>Table1[[#This Row],[Total Intragovernmental Debt]]/Table1[[#This Row],[Total Outstanding National Debt]]</f>
        <v>0.39513883060775407</v>
      </c>
    </row>
    <row r="43" spans="1:6" x14ac:dyDescent="0.3">
      <c r="A43" s="6">
        <v>39903</v>
      </c>
      <c r="B43" s="7">
        <v>6833543.4448632998</v>
      </c>
      <c r="C43" s="7">
        <v>4293397.7205328997</v>
      </c>
      <c r="D43" s="7">
        <v>11126941.1653962</v>
      </c>
      <c r="E43" s="5">
        <f>Table1[[#This Row],[Total Debt held by the Public]]/Table1[[#This Row],[Total Outstanding National Debt]]</f>
        <v>0.61414393617133645</v>
      </c>
      <c r="F43" s="5">
        <f>Table1[[#This Row],[Total Intragovernmental Debt]]/Table1[[#This Row],[Total Outstanding National Debt]]</f>
        <v>0.3858560638286635</v>
      </c>
    </row>
    <row r="44" spans="1:6" x14ac:dyDescent="0.3">
      <c r="A44" s="6">
        <v>39933</v>
      </c>
      <c r="B44" s="7">
        <v>6930824.9434764497</v>
      </c>
      <c r="C44" s="7">
        <v>4307766.8895154996</v>
      </c>
      <c r="D44" s="7">
        <v>11238591.832992001</v>
      </c>
      <c r="E44" s="5">
        <f>Table1[[#This Row],[Total Debt held by the Public]]/Table1[[#This Row],[Total Outstanding National Debt]]</f>
        <v>0.61669869735195171</v>
      </c>
      <c r="F44" s="5">
        <f>Table1[[#This Row],[Total Intragovernmental Debt]]/Table1[[#This Row],[Total Outstanding National Debt]]</f>
        <v>0.38330130264804374</v>
      </c>
    </row>
    <row r="45" spans="1:6" x14ac:dyDescent="0.3">
      <c r="A45" s="6">
        <v>39964</v>
      </c>
      <c r="B45" s="7">
        <v>7019321.5541748703</v>
      </c>
      <c r="C45" s="7">
        <v>4302278.4109118599</v>
      </c>
      <c r="D45" s="7">
        <v>11321599.9650867</v>
      </c>
      <c r="E45" s="5">
        <f>Table1[[#This Row],[Total Debt held by the Public]]/Table1[[#This Row],[Total Outstanding National Debt]]</f>
        <v>0.61999377966196467</v>
      </c>
      <c r="F45" s="5">
        <f>Table1[[#This Row],[Total Intragovernmental Debt]]/Table1[[#This Row],[Total Outstanding National Debt]]</f>
        <v>0.38000622033803799</v>
      </c>
    </row>
    <row r="46" spans="1:6" x14ac:dyDescent="0.3">
      <c r="A46" s="6">
        <v>39994</v>
      </c>
      <c r="B46" s="7">
        <v>7174911.9299287004</v>
      </c>
      <c r="C46" s="7">
        <v>4370362.9122906001</v>
      </c>
      <c r="D46" s="7">
        <v>11545274.842219301</v>
      </c>
      <c r="E46" s="5">
        <f>Table1[[#This Row],[Total Debt held by the Public]]/Table1[[#This Row],[Total Outstanding National Debt]]</f>
        <v>0.62145873770723481</v>
      </c>
      <c r="F46" s="5">
        <f>Table1[[#This Row],[Total Intragovernmental Debt]]/Table1[[#This Row],[Total Outstanding National Debt]]</f>
        <v>0.37854126229276525</v>
      </c>
    </row>
    <row r="47" spans="1:6" x14ac:dyDescent="0.3">
      <c r="A47" s="6">
        <v>40025</v>
      </c>
      <c r="B47" s="7">
        <v>7335598.1875499301</v>
      </c>
      <c r="C47" s="7">
        <v>4333677.60847326</v>
      </c>
      <c r="D47" s="7">
        <v>11669276.796023199</v>
      </c>
      <c r="E47" s="5">
        <f>Table1[[#This Row],[Total Debt held by the Public]]/Table1[[#This Row],[Total Outstanding National Debt]]</f>
        <v>0.62862491958797706</v>
      </c>
      <c r="F47" s="5">
        <f>Table1[[#This Row],[Total Intragovernmental Debt]]/Table1[[#This Row],[Total Outstanding National Debt]]</f>
        <v>0.3713749947169086</v>
      </c>
    </row>
    <row r="48" spans="1:6" x14ac:dyDescent="0.3">
      <c r="A48" s="6">
        <v>40056</v>
      </c>
      <c r="B48" s="7">
        <v>7484145.4752734601</v>
      </c>
      <c r="C48" s="7">
        <v>4328725.4505228596</v>
      </c>
      <c r="D48" s="7">
        <v>11812869.9257963</v>
      </c>
      <c r="E48" s="5">
        <f>Table1[[#This Row],[Total Debt held by the Public]]/Table1[[#This Row],[Total Outstanding National Debt]]</f>
        <v>0.63355861211423248</v>
      </c>
      <c r="F48" s="5">
        <f>Table1[[#This Row],[Total Intragovernmental Debt]]/Table1[[#This Row],[Total Outstanding National Debt]]</f>
        <v>0.36644147253920278</v>
      </c>
    </row>
    <row r="49" spans="1:6" x14ac:dyDescent="0.3">
      <c r="A49" s="6">
        <v>40086</v>
      </c>
      <c r="B49" s="7">
        <v>7551862.3351346403</v>
      </c>
      <c r="C49" s="7">
        <v>4357967.2438197397</v>
      </c>
      <c r="D49" s="7">
        <v>11909828.5789544</v>
      </c>
      <c r="E49" s="5">
        <f>Table1[[#This Row],[Total Debt held by the Public]]/Table1[[#This Row],[Total Outstanding National Debt]]</f>
        <v>0.63408656850690293</v>
      </c>
      <c r="F49" s="5">
        <f>Table1[[#This Row],[Total Intragovernmental Debt]]/Table1[[#This Row],[Total Outstanding National Debt]]</f>
        <v>0.36591351545736006</v>
      </c>
    </row>
    <row r="50" spans="1:6" x14ac:dyDescent="0.3">
      <c r="A50" s="6">
        <v>40117</v>
      </c>
      <c r="B50" s="7">
        <v>7487887.0073504299</v>
      </c>
      <c r="C50" s="7">
        <v>4405203.6018329896</v>
      </c>
      <c r="D50" s="7">
        <v>11893090.609183401</v>
      </c>
      <c r="E50" s="5">
        <f>Table1[[#This Row],[Total Debt held by the Public]]/Table1[[#This Row],[Total Outstanding National Debt]]</f>
        <v>0.62959976118979222</v>
      </c>
      <c r="F50" s="5">
        <f>Table1[[#This Row],[Total Intragovernmental Debt]]/Table1[[#This Row],[Total Outstanding National Debt]]</f>
        <v>0.37040023881020934</v>
      </c>
    </row>
    <row r="51" spans="1:6" x14ac:dyDescent="0.3">
      <c r="A51" s="6">
        <v>40147</v>
      </c>
      <c r="B51" s="7">
        <v>7712386.9531086497</v>
      </c>
      <c r="C51" s="7">
        <v>4400659.8438904798</v>
      </c>
      <c r="D51" s="7">
        <v>12113047.796999101</v>
      </c>
      <c r="E51" s="5">
        <f>Table1[[#This Row],[Total Debt held by the Public]]/Table1[[#This Row],[Total Outstanding National Debt]]</f>
        <v>0.63670077773649381</v>
      </c>
      <c r="F51" s="5">
        <f>Table1[[#This Row],[Total Intragovernmental Debt]]/Table1[[#This Row],[Total Outstanding National Debt]]</f>
        <v>0.36329913970790273</v>
      </c>
    </row>
    <row r="52" spans="1:6" x14ac:dyDescent="0.3">
      <c r="A52" s="6">
        <v>40178</v>
      </c>
      <c r="B52" s="7">
        <v>7811008.9782701302</v>
      </c>
      <c r="C52" s="7">
        <v>4500340.7588454299</v>
      </c>
      <c r="D52" s="7">
        <v>12311349.737115599</v>
      </c>
      <c r="E52" s="5">
        <f>Table1[[#This Row],[Total Debt held by the Public]]/Table1[[#This Row],[Total Outstanding National Debt]]</f>
        <v>0.63445594066115418</v>
      </c>
      <c r="F52" s="5">
        <f>Table1[[#This Row],[Total Intragovernmental Debt]]/Table1[[#This Row],[Total Outstanding National Debt]]</f>
        <v>0.36554405933884271</v>
      </c>
    </row>
    <row r="53" spans="1:6" x14ac:dyDescent="0.3">
      <c r="A53" s="6">
        <v>40209</v>
      </c>
      <c r="B53" s="7">
        <v>7759489.6597597897</v>
      </c>
      <c r="C53" s="7">
        <v>4519146.0231550504</v>
      </c>
      <c r="D53" s="7">
        <v>12278635.782914801</v>
      </c>
      <c r="E53" s="5">
        <f>Table1[[#This Row],[Total Debt held by the Public]]/Table1[[#This Row],[Total Outstanding National Debt]]</f>
        <v>0.63195047047138486</v>
      </c>
      <c r="F53" s="5">
        <f>Table1[[#This Row],[Total Intragovernmental Debt]]/Table1[[#This Row],[Total Outstanding National Debt]]</f>
        <v>0.36804952138439107</v>
      </c>
    </row>
    <row r="54" spans="1:6" x14ac:dyDescent="0.3">
      <c r="A54" s="6">
        <v>40237</v>
      </c>
      <c r="B54" s="7">
        <v>7936671.0065938998</v>
      </c>
      <c r="C54" s="7">
        <v>4503396.5227369498</v>
      </c>
      <c r="D54" s="7">
        <v>12440067.6293309</v>
      </c>
      <c r="E54" s="5">
        <f>Table1[[#This Row],[Total Debt held by the Public]]/Table1[[#This Row],[Total Outstanding National Debt]]</f>
        <v>0.63799259321396318</v>
      </c>
      <c r="F54" s="5">
        <f>Table1[[#This Row],[Total Intragovernmental Debt]]/Table1[[#This Row],[Total Outstanding National Debt]]</f>
        <v>0.36200739874749133</v>
      </c>
    </row>
    <row r="55" spans="1:6" x14ac:dyDescent="0.3">
      <c r="A55" s="6">
        <v>40268</v>
      </c>
      <c r="B55" s="7">
        <v>8290068.8315470004</v>
      </c>
      <c r="C55" s="7">
        <v>4483054.2650929401</v>
      </c>
      <c r="D55" s="7">
        <v>12773123.106639899</v>
      </c>
      <c r="E55" s="5">
        <f>Table1[[#This Row],[Total Debt held by the Public]]/Table1[[#This Row],[Total Outstanding National Debt]]</f>
        <v>0.64902442122690762</v>
      </c>
      <c r="F55" s="5">
        <f>Table1[[#This Row],[Total Intragovernmental Debt]]/Table1[[#This Row],[Total Outstanding National Debt]]</f>
        <v>0.35097557799020174</v>
      </c>
    </row>
    <row r="56" spans="1:6" x14ac:dyDescent="0.3">
      <c r="A56" s="6">
        <v>40298</v>
      </c>
      <c r="B56" s="7">
        <v>8434434.6381713208</v>
      </c>
      <c r="C56" s="7">
        <v>4514304.2283286201</v>
      </c>
      <c r="D56" s="7">
        <v>12948738.876499901</v>
      </c>
      <c r="E56" s="5">
        <f>Table1[[#This Row],[Total Debt held by the Public]]/Table1[[#This Row],[Total Outstanding National Debt]]</f>
        <v>0.65137112722835167</v>
      </c>
      <c r="F56" s="5">
        <f>Table1[[#This Row],[Total Intragovernmental Debt]]/Table1[[#This Row],[Total Outstanding National Debt]]</f>
        <v>0.34862887199937542</v>
      </c>
    </row>
    <row r="57" spans="1:6" x14ac:dyDescent="0.3">
      <c r="A57" s="6">
        <v>40329</v>
      </c>
      <c r="B57" s="7">
        <v>8494419.4451857507</v>
      </c>
      <c r="C57" s="7">
        <v>4498119.6364559401</v>
      </c>
      <c r="D57" s="7">
        <v>12992539.0916417</v>
      </c>
      <c r="E57" s="5">
        <f>Table1[[#This Row],[Total Debt held by the Public]]/Table1[[#This Row],[Total Outstanding National Debt]]</f>
        <v>0.65379210216502959</v>
      </c>
      <c r="F57" s="5">
        <f>Table1[[#This Row],[Total Intragovernmental Debt]]/Table1[[#This Row],[Total Outstanding National Debt]]</f>
        <v>0.34620789706529725</v>
      </c>
    </row>
    <row r="58" spans="1:6" x14ac:dyDescent="0.3">
      <c r="A58" s="6">
        <v>40359</v>
      </c>
      <c r="B58" s="7">
        <v>8633680.3952902798</v>
      </c>
      <c r="C58" s="7">
        <v>4568111.1108781695</v>
      </c>
      <c r="D58" s="7">
        <v>13201791.5061685</v>
      </c>
      <c r="E58" s="5">
        <f>Table1[[#This Row],[Total Debt held by the Public]]/Table1[[#This Row],[Total Outstanding National Debt]]</f>
        <v>0.65397793861963482</v>
      </c>
      <c r="F58" s="5">
        <f>Table1[[#This Row],[Total Intragovernmental Debt]]/Table1[[#This Row],[Total Outstanding National Debt]]</f>
        <v>0.34602206138036135</v>
      </c>
    </row>
    <row r="59" spans="1:6" x14ac:dyDescent="0.3">
      <c r="A59" s="6">
        <v>40390</v>
      </c>
      <c r="B59" s="7">
        <v>8702457.6790062897</v>
      </c>
      <c r="C59" s="7">
        <v>4535269.2141448101</v>
      </c>
      <c r="D59" s="7">
        <v>13237726.983151101</v>
      </c>
      <c r="E59" s="5">
        <f>Table1[[#This Row],[Total Debt held by the Public]]/Table1[[#This Row],[Total Outstanding National Debt]]</f>
        <v>0.65739818399961913</v>
      </c>
      <c r="F59" s="5">
        <f>Table1[[#This Row],[Total Intragovernmental Debt]]/Table1[[#This Row],[Total Outstanding National Debt]]</f>
        <v>0.34260180920163058</v>
      </c>
    </row>
    <row r="60" spans="1:6" x14ac:dyDescent="0.3">
      <c r="A60" s="6">
        <v>40421</v>
      </c>
      <c r="B60" s="7">
        <v>8927061.4203605708</v>
      </c>
      <c r="C60" s="7">
        <v>4522591.2989745699</v>
      </c>
      <c r="D60" s="7">
        <v>13449652.7193351</v>
      </c>
      <c r="E60" s="5">
        <f>Table1[[#This Row],[Total Debt held by the Public]]/Table1[[#This Row],[Total Outstanding National Debt]]</f>
        <v>0.6637391765162165</v>
      </c>
      <c r="F60" s="5">
        <f>Table1[[#This Row],[Total Intragovernmental Debt]]/Table1[[#This Row],[Total Outstanding National Debt]]</f>
        <v>0.33626082348378655</v>
      </c>
    </row>
    <row r="61" spans="1:6" x14ac:dyDescent="0.3">
      <c r="A61" s="6">
        <v>40451</v>
      </c>
      <c r="B61" s="7">
        <v>9022807.6505567208</v>
      </c>
      <c r="C61" s="7">
        <v>4538814.9303635899</v>
      </c>
      <c r="D61" s="7">
        <v>13561622.5809203</v>
      </c>
      <c r="E61" s="5">
        <f>Table1[[#This Row],[Total Debt held by the Public]]/Table1[[#This Row],[Total Outstanding National Debt]]</f>
        <v>0.66531918262131928</v>
      </c>
      <c r="F61" s="5">
        <f>Table1[[#This Row],[Total Intragovernmental Debt]]/Table1[[#This Row],[Total Outstanding National Debt]]</f>
        <v>0.33468081737868149</v>
      </c>
    </row>
    <row r="62" spans="1:6" x14ac:dyDescent="0.3">
      <c r="A62" s="6">
        <v>40482</v>
      </c>
      <c r="B62" s="7">
        <v>9069879.0484036505</v>
      </c>
      <c r="C62" s="7">
        <v>4598946.4522378398</v>
      </c>
      <c r="D62" s="7">
        <v>13668824.500641501</v>
      </c>
      <c r="E62" s="5">
        <f>Table1[[#This Row],[Total Debt held by the Public]]/Table1[[#This Row],[Total Outstanding National Debt]]</f>
        <v>0.66354491916828595</v>
      </c>
      <c r="F62" s="5">
        <f>Table1[[#This Row],[Total Intragovernmental Debt]]/Table1[[#This Row],[Total Outstanding National Debt]]</f>
        <v>0.33645515399089393</v>
      </c>
    </row>
    <row r="63" spans="1:6" x14ac:dyDescent="0.3">
      <c r="A63" s="6">
        <v>40512</v>
      </c>
      <c r="B63" s="7">
        <v>9275024.69144498</v>
      </c>
      <c r="C63" s="7">
        <v>4585749.0681745503</v>
      </c>
      <c r="D63" s="7">
        <v>13860773.7596195</v>
      </c>
      <c r="E63" s="5">
        <f>Table1[[#This Row],[Total Debt held by the Public]]/Table1[[#This Row],[Total Outstanding National Debt]]</f>
        <v>0.66915634381580102</v>
      </c>
      <c r="F63" s="5">
        <f>Table1[[#This Row],[Total Intragovernmental Debt]]/Table1[[#This Row],[Total Outstanding National Debt]]</f>
        <v>0.33084365618420108</v>
      </c>
    </row>
    <row r="64" spans="1:6" x14ac:dyDescent="0.3">
      <c r="A64" s="6">
        <v>40543</v>
      </c>
      <c r="B64" s="7">
        <v>9390476.0906429291</v>
      </c>
      <c r="C64" s="7">
        <v>4634739.13066517</v>
      </c>
      <c r="D64" s="7">
        <v>14025215.221308099</v>
      </c>
      <c r="E64" s="5">
        <f>Table1[[#This Row],[Total Debt held by the Public]]/Table1[[#This Row],[Total Outstanding National Debt]]</f>
        <v>0.66954238793970544</v>
      </c>
      <c r="F64" s="5">
        <f>Table1[[#This Row],[Total Intragovernmental Debt]]/Table1[[#This Row],[Total Outstanding National Debt]]</f>
        <v>0.33045761206029456</v>
      </c>
    </row>
    <row r="65" spans="1:6" x14ac:dyDescent="0.3">
      <c r="A65" s="6">
        <v>40574</v>
      </c>
      <c r="B65" s="7">
        <v>9485417</v>
      </c>
      <c r="C65" s="7">
        <v>4645633.7037699996</v>
      </c>
      <c r="D65" s="7">
        <v>14131051.338328199</v>
      </c>
      <c r="E65" s="5">
        <f>Table1[[#This Row],[Total Debt held by the Public]]/Table1[[#This Row],[Total Outstanding National Debt]]</f>
        <v>0.67124637600546644</v>
      </c>
      <c r="F65" s="5">
        <f>Table1[[#This Row],[Total Intragovernmental Debt]]/Table1[[#This Row],[Total Outstanding National Debt]]</f>
        <v>0.32875357908929725</v>
      </c>
    </row>
    <row r="66" spans="1:6" x14ac:dyDescent="0.3">
      <c r="A66" s="6">
        <v>40602</v>
      </c>
      <c r="B66" s="7">
        <v>9565541.4324782006</v>
      </c>
      <c r="C66" s="7">
        <v>4629222.7223797403</v>
      </c>
      <c r="D66" s="7">
        <v>14194764.1548579</v>
      </c>
      <c r="E66" s="5">
        <f>Table1[[#This Row],[Total Debt held by the Public]]/Table1[[#This Row],[Total Outstanding National Debt]]</f>
        <v>0.6738781516989536</v>
      </c>
      <c r="F66" s="5">
        <f>Table1[[#This Row],[Total Intragovernmental Debt]]/Table1[[#This Row],[Total Outstanding National Debt]]</f>
        <v>0.32612184830104929</v>
      </c>
    </row>
    <row r="67" spans="1:6" x14ac:dyDescent="0.3">
      <c r="A67" s="6">
        <v>40633</v>
      </c>
      <c r="B67" s="7">
        <v>9651643.2500368897</v>
      </c>
      <c r="C67" s="7">
        <v>4618470.6406167904</v>
      </c>
      <c r="D67" s="7">
        <v>14270114.8906537</v>
      </c>
      <c r="E67" s="5">
        <f>Table1[[#This Row],[Total Debt held by the Public]]/Table1[[#This Row],[Total Outstanding National Debt]]</f>
        <v>0.67635357696792575</v>
      </c>
      <c r="F67" s="5">
        <f>Table1[[#This Row],[Total Intragovernmental Debt]]/Table1[[#This Row],[Total Outstanding National Debt]]</f>
        <v>0.32364635295555233</v>
      </c>
    </row>
    <row r="68" spans="1:6" x14ac:dyDescent="0.3">
      <c r="A68" s="6">
        <v>40663</v>
      </c>
      <c r="B68" s="7">
        <v>9654950.2812367901</v>
      </c>
      <c r="C68" s="7">
        <v>4632679.8397025</v>
      </c>
      <c r="D68" s="7">
        <v>14287630.120939299</v>
      </c>
      <c r="E68" s="5">
        <f>Table1[[#This Row],[Total Debt held by the Public]]/Table1[[#This Row],[Total Outstanding National Debt]]</f>
        <v>0.67575589510026124</v>
      </c>
      <c r="F68" s="5">
        <f>Table1[[#This Row],[Total Intragovernmental Debt]]/Table1[[#This Row],[Total Outstanding National Debt]]</f>
        <v>0.32424410489973809</v>
      </c>
    </row>
    <row r="69" spans="1:6" x14ac:dyDescent="0.3">
      <c r="A69" s="6">
        <v>40694</v>
      </c>
      <c r="B69" s="7">
        <v>9723455.5236192308</v>
      </c>
      <c r="C69" s="7">
        <v>4621212.2003019396</v>
      </c>
      <c r="D69" s="7">
        <v>14344667.7239212</v>
      </c>
      <c r="E69" s="5">
        <f>Table1[[#This Row],[Total Debt held by the Public]]/Table1[[#This Row],[Total Outstanding National Debt]]</f>
        <v>0.67784459778070527</v>
      </c>
      <c r="F69" s="5">
        <f>Table1[[#This Row],[Total Intragovernmental Debt]]/Table1[[#This Row],[Total Outstanding National Debt]]</f>
        <v>0.32215540221929267</v>
      </c>
    </row>
    <row r="70" spans="1:6" x14ac:dyDescent="0.3">
      <c r="A70" s="6">
        <v>40724</v>
      </c>
      <c r="B70" s="7">
        <v>9742223.4834615402</v>
      </c>
      <c r="C70" s="7">
        <v>4600863.6384157296</v>
      </c>
      <c r="D70" s="7">
        <v>14343088.1218773</v>
      </c>
      <c r="E70" s="5">
        <f>Table1[[#This Row],[Total Debt held by the Public]]/Table1[[#This Row],[Total Outstanding National Debt]]</f>
        <v>0.67922775072418828</v>
      </c>
      <c r="F70" s="5">
        <f>Table1[[#This Row],[Total Intragovernmental Debt]]/Table1[[#This Row],[Total Outstanding National Debt]]</f>
        <v>0.32077217955581688</v>
      </c>
    </row>
    <row r="71" spans="1:6" x14ac:dyDescent="0.3">
      <c r="A71" s="6">
        <v>40755</v>
      </c>
      <c r="B71" s="7">
        <v>9755796.4007976092</v>
      </c>
      <c r="C71" s="7">
        <v>4586573.9564187303</v>
      </c>
      <c r="D71" s="7">
        <v>14342369.3572163</v>
      </c>
      <c r="E71" s="5">
        <f>Table1[[#This Row],[Total Debt held by the Public]]/Table1[[#This Row],[Total Outstanding National Debt]]</f>
        <v>0.68020814119453865</v>
      </c>
      <c r="F71" s="5">
        <f>Table1[[#This Row],[Total Intragovernmental Debt]]/Table1[[#This Row],[Total Outstanding National Debt]]</f>
        <v>0.31979192852895089</v>
      </c>
    </row>
    <row r="72" spans="1:6" x14ac:dyDescent="0.3">
      <c r="A72" s="6">
        <v>40786</v>
      </c>
      <c r="B72" s="7">
        <v>10024253.104963999</v>
      </c>
      <c r="C72" s="7">
        <v>4660039.5687855799</v>
      </c>
      <c r="D72" s="7">
        <v>14684292.6737496</v>
      </c>
      <c r="E72" s="5">
        <f>Table1[[#This Row],[Total Debt held by the Public]]/Table1[[#This Row],[Total Outstanding National Debt]]</f>
        <v>0.68265141043421673</v>
      </c>
      <c r="F72" s="5">
        <f>Table1[[#This Row],[Total Intragovernmental Debt]]/Table1[[#This Row],[Total Outstanding National Debt]]</f>
        <v>0.31734858956578188</v>
      </c>
    </row>
    <row r="73" spans="1:6" x14ac:dyDescent="0.3">
      <c r="A73" s="6">
        <v>40816</v>
      </c>
      <c r="B73" s="7">
        <v>10127031.1527157</v>
      </c>
      <c r="C73" s="7">
        <v>4663309.2882640604</v>
      </c>
      <c r="D73" s="7">
        <v>14790340.440979701</v>
      </c>
      <c r="E73" s="5">
        <f>Table1[[#This Row],[Total Debt held by the Public]]/Table1[[#This Row],[Total Outstanding National Debt]]</f>
        <v>0.68470575056248628</v>
      </c>
      <c r="F73" s="5">
        <f>Table1[[#This Row],[Total Intragovernmental Debt]]/Table1[[#This Row],[Total Outstanding National Debt]]</f>
        <v>0.31529424943751777</v>
      </c>
    </row>
    <row r="74" spans="1:6" x14ac:dyDescent="0.3">
      <c r="A74" s="6">
        <v>40847</v>
      </c>
      <c r="B74" s="7">
        <v>10256015.432385299</v>
      </c>
      <c r="C74" s="7">
        <v>4737693.6127573196</v>
      </c>
      <c r="D74" s="7">
        <v>14993709.045142701</v>
      </c>
      <c r="E74" s="5">
        <f>Table1[[#This Row],[Total Debt held by the Public]]/Table1[[#This Row],[Total Outstanding National Debt]]</f>
        <v>0.68402123860792108</v>
      </c>
      <c r="F74" s="5">
        <f>Table1[[#This Row],[Total Intragovernmental Debt]]/Table1[[#This Row],[Total Outstanding National Debt]]</f>
        <v>0.31597876139207348</v>
      </c>
    </row>
    <row r="75" spans="1:6" x14ac:dyDescent="0.3">
      <c r="A75" s="6">
        <v>40877</v>
      </c>
      <c r="B75" s="7">
        <v>10389957.7807415</v>
      </c>
      <c r="C75" s="7">
        <v>4720540.7676747199</v>
      </c>
      <c r="D75" s="7">
        <v>15110498.5484163</v>
      </c>
      <c r="E75" s="5">
        <f>Table1[[#This Row],[Total Debt held by the Public]]/Table1[[#This Row],[Total Outstanding National Debt]]</f>
        <v>0.68759860883812129</v>
      </c>
      <c r="F75" s="5">
        <f>Table1[[#This Row],[Total Intragovernmental Debt]]/Table1[[#This Row],[Total Outstanding National Debt]]</f>
        <v>0.31240139116187338</v>
      </c>
    </row>
    <row r="76" spans="1:6" x14ac:dyDescent="0.3">
      <c r="A76" s="6">
        <v>40908</v>
      </c>
      <c r="B76" s="7">
        <v>10447662.9880831</v>
      </c>
      <c r="C76" s="7">
        <v>4775277.1936439397</v>
      </c>
      <c r="D76" s="7">
        <v>15222940.181727</v>
      </c>
      <c r="E76" s="5">
        <f>Table1[[#This Row],[Total Debt held by the Public]]/Table1[[#This Row],[Total Outstanding National Debt]]</f>
        <v>0.68631045404908386</v>
      </c>
      <c r="F76" s="5">
        <f>Table1[[#This Row],[Total Intragovernmental Debt]]/Table1[[#This Row],[Total Outstanding National Debt]]</f>
        <v>0.3136895459509188</v>
      </c>
    </row>
    <row r="77" spans="1:6" x14ac:dyDescent="0.3">
      <c r="A77" s="6">
        <v>40939</v>
      </c>
      <c r="B77" s="7">
        <v>10572374.3881869</v>
      </c>
      <c r="C77" s="7">
        <v>4783766.1059170002</v>
      </c>
      <c r="D77" s="7">
        <v>15356140.494103899</v>
      </c>
      <c r="E77" s="5">
        <f>Table1[[#This Row],[Total Debt held by the Public]]/Table1[[#This Row],[Total Outstanding National Debt]]</f>
        <v>0.68847861819486733</v>
      </c>
      <c r="F77" s="5">
        <f>Table1[[#This Row],[Total Intragovernmental Debt]]/Table1[[#This Row],[Total Outstanding National Debt]]</f>
        <v>0.31152138180513272</v>
      </c>
    </row>
    <row r="78" spans="1:6" x14ac:dyDescent="0.3">
      <c r="A78" s="6">
        <v>40968</v>
      </c>
      <c r="B78" s="7">
        <v>10722996.347253401</v>
      </c>
      <c r="C78" s="7">
        <v>4765894.9973798003</v>
      </c>
      <c r="D78" s="7">
        <v>15488891.344633199</v>
      </c>
      <c r="E78" s="5">
        <f>Table1[[#This Row],[Total Debt held by the Public]]/Table1[[#This Row],[Total Outstanding National Debt]]</f>
        <v>0.69230238037461922</v>
      </c>
      <c r="F78" s="5">
        <f>Table1[[#This Row],[Total Intragovernmental Debt]]/Table1[[#This Row],[Total Outstanding National Debt]]</f>
        <v>0.30769761962538089</v>
      </c>
    </row>
    <row r="79" spans="1:6" x14ac:dyDescent="0.3">
      <c r="A79" s="6">
        <v>40999</v>
      </c>
      <c r="B79" s="7">
        <v>10846824.6399239</v>
      </c>
      <c r="C79" s="7">
        <v>4735254.13424554</v>
      </c>
      <c r="D79" s="7">
        <v>15582078.7741694</v>
      </c>
      <c r="E79" s="5">
        <f>Table1[[#This Row],[Total Debt held by the Public]]/Table1[[#This Row],[Total Outstanding National Debt]]</f>
        <v>0.69610895934532258</v>
      </c>
      <c r="F79" s="5">
        <f>Table1[[#This Row],[Total Intragovernmental Debt]]/Table1[[#This Row],[Total Outstanding National Debt]]</f>
        <v>0.30389104065468003</v>
      </c>
    </row>
    <row r="80" spans="1:6" x14ac:dyDescent="0.3">
      <c r="A80" s="6">
        <v>41029</v>
      </c>
      <c r="B80" s="7">
        <v>10916070.9176712</v>
      </c>
      <c r="C80" s="7">
        <v>4776297.1692025503</v>
      </c>
      <c r="D80" s="7">
        <v>15692367.8868738</v>
      </c>
      <c r="E80" s="5">
        <f>Table1[[#This Row],[Total Debt held by the Public]]/Table1[[#This Row],[Total Outstanding National Debt]]</f>
        <v>0.69562930185967464</v>
      </c>
      <c r="F80" s="5">
        <f>Table1[[#This Row],[Total Intragovernmental Debt]]/Table1[[#This Row],[Total Outstanding National Debt]]</f>
        <v>0.30437071088537127</v>
      </c>
    </row>
    <row r="81" spans="1:6" x14ac:dyDescent="0.3">
      <c r="A81" s="6">
        <v>41060</v>
      </c>
      <c r="B81" s="7">
        <v>11006251.446586199</v>
      </c>
      <c r="C81" s="7">
        <v>4764434.3361333404</v>
      </c>
      <c r="D81" s="7">
        <v>15770685.4927196</v>
      </c>
      <c r="E81" s="5">
        <f>Table1[[#This Row],[Total Debt held by the Public]]/Table1[[#This Row],[Total Outstanding National Debt]]</f>
        <v>0.69789302764722172</v>
      </c>
      <c r="F81" s="5">
        <f>Table1[[#This Row],[Total Intragovernmental Debt]]/Table1[[#This Row],[Total Outstanding National Debt]]</f>
        <v>0.30210699074132191</v>
      </c>
    </row>
    <row r="82" spans="1:6" x14ac:dyDescent="0.3">
      <c r="A82" s="6">
        <v>41090</v>
      </c>
      <c r="B82" s="7">
        <v>11044184.8280896</v>
      </c>
      <c r="C82" s="7">
        <v>4810852</v>
      </c>
      <c r="D82" s="7">
        <v>15855037</v>
      </c>
      <c r="E82" s="5">
        <f>Table1[[#This Row],[Total Debt held by the Public]]/Table1[[#This Row],[Total Outstanding National Debt]]</f>
        <v>0.69657263039434092</v>
      </c>
      <c r="F82" s="5">
        <f>Table1[[#This Row],[Total Intragovernmental Debt]]/Table1[[#This Row],[Total Outstanding National Debt]]</f>
        <v>0.30342735876302274</v>
      </c>
    </row>
    <row r="83" spans="1:6" x14ac:dyDescent="0.3">
      <c r="A83" s="6">
        <v>41121</v>
      </c>
      <c r="B83" s="7">
        <v>11122282.455023499</v>
      </c>
      <c r="C83" s="7">
        <v>4810952.56032445</v>
      </c>
      <c r="D83" s="7">
        <v>15933235.0153479</v>
      </c>
      <c r="E83" s="5">
        <f>Table1[[#This Row],[Total Debt held by the Public]]/Table1[[#This Row],[Total Outstanding National Debt]]</f>
        <v>0.69805550751682333</v>
      </c>
      <c r="F83" s="5">
        <f>Table1[[#This Row],[Total Intragovernmental Debt]]/Table1[[#This Row],[Total Outstanding National Debt]]</f>
        <v>0.30194449248317973</v>
      </c>
    </row>
    <row r="84" spans="1:6" x14ac:dyDescent="0.3">
      <c r="A84" s="6">
        <v>41152</v>
      </c>
      <c r="B84" s="7">
        <v>11272625.5059075</v>
      </c>
      <c r="C84" s="7">
        <v>4743144.28935734</v>
      </c>
      <c r="D84" s="7">
        <v>16015769.795264799</v>
      </c>
      <c r="E84" s="5">
        <f>Table1[[#This Row],[Total Debt held by the Public]]/Table1[[#This Row],[Total Outstanding National Debt]]</f>
        <v>0.70384537552733495</v>
      </c>
      <c r="F84" s="5">
        <f>Table1[[#This Row],[Total Intragovernmental Debt]]/Table1[[#This Row],[Total Outstanding National Debt]]</f>
        <v>0.29615462447266766</v>
      </c>
    </row>
    <row r="85" spans="1:6" x14ac:dyDescent="0.3">
      <c r="A85" s="6">
        <v>41182</v>
      </c>
      <c r="B85" s="7">
        <v>11269585.7125756</v>
      </c>
      <c r="C85" s="7">
        <v>4796656.2073373199</v>
      </c>
      <c r="D85" s="7">
        <v>16066240.919912901</v>
      </c>
      <c r="E85" s="5">
        <f>Table1[[#This Row],[Total Debt held by the Public]]/Table1[[#This Row],[Total Outstanding National Debt]]</f>
        <v>0.7014450840586981</v>
      </c>
      <c r="F85" s="5">
        <f>Table1[[#This Row],[Total Intragovernmental Debt]]/Table1[[#This Row],[Total Outstanding National Debt]]</f>
        <v>0.29855497818361632</v>
      </c>
    </row>
    <row r="86" spans="1:6" x14ac:dyDescent="0.3">
      <c r="A86" s="6">
        <v>41213</v>
      </c>
      <c r="B86" s="7">
        <v>11411597.878341099</v>
      </c>
      <c r="C86" s="7">
        <v>4849871.8501330996</v>
      </c>
      <c r="D86" s="7">
        <v>16261470.7284742</v>
      </c>
      <c r="E86" s="5">
        <f>Table1[[#This Row],[Total Debt held by the Public]]/Table1[[#This Row],[Total Outstanding National Debt]]</f>
        <v>0.70175681332188089</v>
      </c>
      <c r="F86" s="5">
        <f>Table1[[#This Row],[Total Intragovernmental Debt]]/Table1[[#This Row],[Total Outstanding National Debt]]</f>
        <v>0.29824312518306634</v>
      </c>
    </row>
    <row r="87" spans="1:6" x14ac:dyDescent="0.3">
      <c r="A87" s="6">
        <v>41243</v>
      </c>
      <c r="B87" s="7">
        <v>11553201.428275499</v>
      </c>
      <c r="C87" s="7">
        <v>4816347.7067069104</v>
      </c>
      <c r="D87" s="7">
        <v>16369549.1349824</v>
      </c>
      <c r="E87" s="5">
        <f>Table1[[#This Row],[Total Debt held by the Public]]/Table1[[#This Row],[Total Outstanding National Debt]]</f>
        <v>0.70577395461588088</v>
      </c>
      <c r="F87" s="5">
        <f>Table1[[#This Row],[Total Intragovernmental Debt]]/Table1[[#This Row],[Total Outstanding National Debt]]</f>
        <v>0.29422604538411978</v>
      </c>
    </row>
    <row r="88" spans="1:6" x14ac:dyDescent="0.3">
      <c r="A88" s="6">
        <v>41274</v>
      </c>
      <c r="B88" s="7">
        <v>11581518.467297399</v>
      </c>
      <c r="C88" s="7">
        <v>4851212.5569979297</v>
      </c>
      <c r="D88" s="7">
        <v>16432730.0242953</v>
      </c>
      <c r="E88" s="5">
        <f>Table1[[#This Row],[Total Debt held by the Public]]/Table1[[#This Row],[Total Outstanding National Debt]]</f>
        <v>0.70478359044263916</v>
      </c>
      <c r="F88" s="5">
        <f>Table1[[#This Row],[Total Intragovernmental Debt]]/Table1[[#This Row],[Total Outstanding National Debt]]</f>
        <v>0.29521647041152366</v>
      </c>
    </row>
    <row r="89" spans="1:6" x14ac:dyDescent="0.3">
      <c r="A89" s="6">
        <v>41305</v>
      </c>
      <c r="B89" s="7">
        <v>11560176.3640381</v>
      </c>
      <c r="C89" s="7">
        <v>4873616.4560688902</v>
      </c>
      <c r="D89" s="7">
        <v>16433791.820107</v>
      </c>
      <c r="E89" s="5">
        <f>Table1[[#This Row],[Total Debt held by the Public]]/Table1[[#This Row],[Total Outstanding National Debt]]</f>
        <v>0.70343938213298074</v>
      </c>
      <c r="F89" s="5">
        <f>Table1[[#This Row],[Total Intragovernmental Debt]]/Table1[[#This Row],[Total Outstanding National Debt]]</f>
        <v>0.29656067871724801</v>
      </c>
    </row>
    <row r="90" spans="1:6" x14ac:dyDescent="0.3">
      <c r="A90" s="6">
        <v>41333</v>
      </c>
      <c r="B90" s="7">
        <v>11822436.0645067</v>
      </c>
      <c r="C90" s="7">
        <v>4864852.5425083898</v>
      </c>
      <c r="D90" s="7">
        <v>16687288.607015099</v>
      </c>
      <c r="E90" s="5">
        <f>Table1[[#This Row],[Total Debt held by the Public]]/Table1[[#This Row],[Total Outstanding National Debt]]</f>
        <v>0.70846956284657991</v>
      </c>
      <c r="F90" s="5">
        <f>Table1[[#This Row],[Total Intragovernmental Debt]]/Table1[[#This Row],[Total Outstanding National Debt]]</f>
        <v>0.29153043715341959</v>
      </c>
    </row>
    <row r="91" spans="1:6" x14ac:dyDescent="0.3">
      <c r="A91" s="6">
        <v>41364</v>
      </c>
      <c r="B91" s="7">
        <v>11916887.840464</v>
      </c>
      <c r="C91" s="7">
        <v>4854491.1913330704</v>
      </c>
      <c r="D91" s="7">
        <v>16771379.0317971</v>
      </c>
      <c r="E91" s="5">
        <f>Table1[[#This Row],[Total Debt held by the Public]]/Table1[[#This Row],[Total Outstanding National Debt]]</f>
        <v>0.71054907398315903</v>
      </c>
      <c r="F91" s="5">
        <f>Table1[[#This Row],[Total Intragovernmental Debt]]/Table1[[#This Row],[Total Outstanding National Debt]]</f>
        <v>0.28945092601683919</v>
      </c>
    </row>
    <row r="92" spans="1:6" x14ac:dyDescent="0.3">
      <c r="A92" s="6">
        <v>41394</v>
      </c>
      <c r="B92" s="7">
        <v>11943148.302300099</v>
      </c>
      <c r="C92" s="7">
        <v>4885697.3269434497</v>
      </c>
      <c r="D92" s="7">
        <v>16828844.629243501</v>
      </c>
      <c r="E92" s="5">
        <f>Table1[[#This Row],[Total Debt held by the Public]]/Table1[[#This Row],[Total Outstanding National Debt]]</f>
        <v>0.70968319961469473</v>
      </c>
      <c r="F92" s="5">
        <f>Table1[[#This Row],[Total Intragovernmental Debt]]/Table1[[#This Row],[Total Outstanding National Debt]]</f>
        <v>0.29031685980709387</v>
      </c>
    </row>
    <row r="93" spans="1:6" x14ac:dyDescent="0.3">
      <c r="A93" s="6">
        <v>41425</v>
      </c>
      <c r="B93" s="7">
        <v>11897150.678677</v>
      </c>
      <c r="C93" s="7">
        <v>4841670.5013783397</v>
      </c>
      <c r="D93" s="7">
        <v>16738822.1800554</v>
      </c>
      <c r="E93" s="5">
        <f>Table1[[#This Row],[Total Debt held by the Public]]/Table1[[#This Row],[Total Outstanding National Debt]]</f>
        <v>0.71075196036508848</v>
      </c>
      <c r="F93" s="5">
        <f>Table1[[#This Row],[Total Intragovernmental Debt]]/Table1[[#This Row],[Total Outstanding National Debt]]</f>
        <v>0.289247979893548</v>
      </c>
    </row>
    <row r="94" spans="1:6" x14ac:dyDescent="0.3">
      <c r="A94" s="6">
        <v>41455</v>
      </c>
      <c r="B94" s="7">
        <v>11901292.1252601</v>
      </c>
      <c r="C94" s="7">
        <v>4837027.9355517896</v>
      </c>
      <c r="D94" s="7">
        <v>16738320.0608119</v>
      </c>
      <c r="E94" s="5">
        <f>Table1[[#This Row],[Total Debt held by the Public]]/Table1[[#This Row],[Total Outstanding National Debt]]</f>
        <v>0.7110207047076158</v>
      </c>
      <c r="F94" s="5">
        <f>Table1[[#This Row],[Total Intragovernmental Debt]]/Table1[[#This Row],[Total Outstanding National Debt]]</f>
        <v>0.28897929529238359</v>
      </c>
    </row>
    <row r="95" spans="1:6" x14ac:dyDescent="0.3">
      <c r="A95" s="6">
        <v>41486</v>
      </c>
      <c r="B95" s="7">
        <v>11917023.175314801</v>
      </c>
      <c r="C95" s="7">
        <v>4821576.0156268096</v>
      </c>
      <c r="D95" s="7">
        <v>16738599.190941701</v>
      </c>
      <c r="E95" s="5">
        <f>Table1[[#This Row],[Total Debt held by the Public]]/Table1[[#This Row],[Total Outstanding National Debt]]</f>
        <v>0.71194865468574242</v>
      </c>
      <c r="F95" s="5">
        <f>Table1[[#This Row],[Total Intragovernmental Debt]]/Table1[[#This Row],[Total Outstanding National Debt]]</f>
        <v>0.28805134531425214</v>
      </c>
    </row>
    <row r="96" spans="1:6" x14ac:dyDescent="0.3">
      <c r="A96" s="6">
        <v>41517</v>
      </c>
      <c r="B96" s="7">
        <v>11967013.9489215</v>
      </c>
      <c r="C96" s="7">
        <v>4771635.7607061202</v>
      </c>
      <c r="D96" s="7">
        <v>16738649.709627699</v>
      </c>
      <c r="E96" s="5">
        <f>Table1[[#This Row],[Total Debt held by the Public]]/Table1[[#This Row],[Total Outstanding National Debt]]</f>
        <v>0.71493305353288683</v>
      </c>
      <c r="F96" s="5">
        <f>Table1[[#This Row],[Total Intragovernmental Debt]]/Table1[[#This Row],[Total Outstanding National Debt]]</f>
        <v>0.28506694646710845</v>
      </c>
    </row>
    <row r="97" spans="1:6" x14ac:dyDescent="0.3">
      <c r="A97" s="6">
        <v>41547</v>
      </c>
      <c r="B97" s="7">
        <v>11976279.213615799</v>
      </c>
      <c r="C97" s="7">
        <v>4761904.3276782203</v>
      </c>
      <c r="D97" s="7">
        <v>16738183.5412941</v>
      </c>
      <c r="E97" s="5">
        <f>Table1[[#This Row],[Total Debt held by the Public]]/Table1[[#This Row],[Total Outstanding National Debt]]</f>
        <v>0.71550650547412165</v>
      </c>
      <c r="F97" s="5">
        <f>Table1[[#This Row],[Total Intragovernmental Debt]]/Table1[[#This Row],[Total Outstanding National Debt]]</f>
        <v>0.28449349452587358</v>
      </c>
    </row>
    <row r="98" spans="1:6" x14ac:dyDescent="0.3">
      <c r="A98" s="6">
        <v>41578</v>
      </c>
      <c r="B98" s="7">
        <v>12187369.7360433</v>
      </c>
      <c r="C98" s="7">
        <v>4968747.2119890498</v>
      </c>
      <c r="D98" s="7">
        <v>17156116.948032301</v>
      </c>
      <c r="E98" s="5">
        <f>Table1[[#This Row],[Total Debt held by the Public]]/Table1[[#This Row],[Total Outstanding National Debt]]</f>
        <v>0.71038043007984486</v>
      </c>
      <c r="F98" s="5">
        <f>Table1[[#This Row],[Total Intragovernmental Debt]]/Table1[[#This Row],[Total Outstanding National Debt]]</f>
        <v>0.28961956992015808</v>
      </c>
    </row>
    <row r="99" spans="1:6" x14ac:dyDescent="0.3">
      <c r="A99" s="6">
        <v>41608</v>
      </c>
      <c r="B99" s="7">
        <v>12281126.179836901</v>
      </c>
      <c r="C99" s="7">
        <v>4936025.2309639296</v>
      </c>
      <c r="D99" s="7">
        <v>17217151.9947141</v>
      </c>
      <c r="E99" s="5">
        <f>Table1[[#This Row],[Total Debt held by the Public]]/Table1[[#This Row],[Total Outstanding National Debt]]</f>
        <v>0.7133076471420694</v>
      </c>
      <c r="F99" s="5">
        <f>Table1[[#This Row],[Total Intragovernmental Debt]]/Table1[[#This Row],[Total Outstanding National Debt]]</f>
        <v>0.28669231894330471</v>
      </c>
    </row>
    <row r="100" spans="1:6" x14ac:dyDescent="0.3">
      <c r="A100" s="6">
        <v>41639</v>
      </c>
      <c r="B100" s="7">
        <v>12355426.862605499</v>
      </c>
      <c r="C100" s="7">
        <v>4996544.1646424197</v>
      </c>
      <c r="D100" s="7">
        <v>17351971.027247999</v>
      </c>
      <c r="E100" s="5">
        <f>Table1[[#This Row],[Total Debt held by the Public]]/Table1[[#This Row],[Total Outstanding National Debt]]</f>
        <v>0.71204745807860281</v>
      </c>
      <c r="F100" s="5">
        <f>Table1[[#This Row],[Total Intragovernmental Debt]]/Table1[[#This Row],[Total Outstanding National Debt]]</f>
        <v>0.28795254192139264</v>
      </c>
    </row>
    <row r="101" spans="1:6" x14ac:dyDescent="0.3">
      <c r="A101" s="6">
        <v>41670</v>
      </c>
      <c r="B101" s="7">
        <v>12308143.188735699</v>
      </c>
      <c r="C101" s="7">
        <v>4984876.5349511299</v>
      </c>
      <c r="D101" s="7">
        <v>17293019.5572857</v>
      </c>
      <c r="E101" s="5">
        <f>Table1[[#This Row],[Total Debt held by the Public]]/Table1[[#This Row],[Total Outstanding National Debt]]</f>
        <v>0.71174054640736073</v>
      </c>
      <c r="F101" s="5">
        <f>Table1[[#This Row],[Total Intragovernmental Debt]]/Table1[[#This Row],[Total Outstanding National Debt]]</f>
        <v>0.28825946321508428</v>
      </c>
    </row>
    <row r="102" spans="1:6" x14ac:dyDescent="0.3">
      <c r="A102" s="6">
        <v>41698</v>
      </c>
      <c r="B102" s="7">
        <v>12492549.8605683</v>
      </c>
      <c r="C102" s="7">
        <v>4970678.7466512099</v>
      </c>
      <c r="D102" s="7">
        <v>17463228.513598301</v>
      </c>
      <c r="E102" s="5">
        <f>Table1[[#This Row],[Total Debt held by the Public]]/Table1[[#This Row],[Total Outstanding National Debt]]</f>
        <v>0.7153631329304645</v>
      </c>
      <c r="F102" s="5">
        <f>Table1[[#This Row],[Total Intragovernmental Debt]]/Table1[[#This Row],[Total Outstanding National Debt]]</f>
        <v>0.28463687243058361</v>
      </c>
    </row>
    <row r="103" spans="1:6" x14ac:dyDescent="0.3">
      <c r="A103" s="6">
        <v>41729</v>
      </c>
      <c r="B103" s="7">
        <v>12619318.895078899</v>
      </c>
      <c r="C103" s="7">
        <v>4981908.4403978903</v>
      </c>
      <c r="D103" s="7">
        <v>17601227.224211499</v>
      </c>
      <c r="E103" s="5">
        <f>Table1[[#This Row],[Total Debt held by the Public]]/Table1[[#This Row],[Total Outstanding National Debt]]</f>
        <v>0.71695676297618049</v>
      </c>
      <c r="F103" s="5">
        <f>Table1[[#This Row],[Total Intragovernmental Debt]]/Table1[[#This Row],[Total Outstanding National Debt]]</f>
        <v>0.2830432433452702</v>
      </c>
    </row>
    <row r="104" spans="1:6" x14ac:dyDescent="0.3">
      <c r="A104" s="6">
        <v>41759</v>
      </c>
      <c r="B104" s="7">
        <v>12503468.325517399</v>
      </c>
      <c r="C104" s="7">
        <v>5004968.79214333</v>
      </c>
      <c r="D104" s="7">
        <v>17508437.117660701</v>
      </c>
      <c r="E104" s="5">
        <f>Table1[[#This Row],[Total Debt held by the Public]]/Table1[[#This Row],[Total Outstanding National Debt]]</f>
        <v>0.71413960260937248</v>
      </c>
      <c r="F104" s="5">
        <f>Table1[[#This Row],[Total Intragovernmental Debt]]/Table1[[#This Row],[Total Outstanding National Debt]]</f>
        <v>0.28586039739062918</v>
      </c>
    </row>
    <row r="105" spans="1:6" x14ac:dyDescent="0.3">
      <c r="A105" s="6">
        <v>41790</v>
      </c>
      <c r="B105" s="7">
        <v>12538030.3860958</v>
      </c>
      <c r="C105" s="7">
        <v>4978928.1021279898</v>
      </c>
      <c r="D105" s="7">
        <v>17516958.488223799</v>
      </c>
      <c r="E105" s="5">
        <f>Table1[[#This Row],[Total Debt held by the Public]]/Table1[[#This Row],[Total Outstanding National Debt]]</f>
        <v>0.71576526224714154</v>
      </c>
      <c r="F105" s="5">
        <f>Table1[[#This Row],[Total Intragovernmental Debt]]/Table1[[#This Row],[Total Outstanding National Debt]]</f>
        <v>0.2842347377528579</v>
      </c>
    </row>
    <row r="106" spans="1:6" x14ac:dyDescent="0.3">
      <c r="A106" s="6">
        <v>41820</v>
      </c>
      <c r="B106" s="7">
        <v>12572219.6120096</v>
      </c>
      <c r="C106" s="7">
        <v>5060386.7194695799</v>
      </c>
      <c r="D106" s="7">
        <v>17632605.772195201</v>
      </c>
      <c r="E106" s="5">
        <f>Table1[[#This Row],[Total Debt held by the Public]]/Table1[[#This Row],[Total Outstanding National Debt]]</f>
        <v>0.71300973743964102</v>
      </c>
      <c r="F106" s="5">
        <f>Table1[[#This Row],[Total Intragovernmental Debt]]/Table1[[#This Row],[Total Outstanding National Debt]]</f>
        <v>0.28699029427909556</v>
      </c>
    </row>
    <row r="107" spans="1:6" x14ac:dyDescent="0.3">
      <c r="A107" s="6">
        <v>41851</v>
      </c>
      <c r="B107" s="7">
        <v>12651478.112988301</v>
      </c>
      <c r="C107" s="7">
        <v>5035658.7074786602</v>
      </c>
      <c r="D107" s="7">
        <v>17687137.2663721</v>
      </c>
      <c r="E107" s="5">
        <f>Table1[[#This Row],[Total Debt held by the Public]]/Table1[[#This Row],[Total Outstanding National Debt]]</f>
        <v>0.71529258366994686</v>
      </c>
      <c r="F107" s="5">
        <f>Table1[[#This Row],[Total Intragovernmental Debt]]/Table1[[#This Row],[Total Outstanding National Debt]]</f>
        <v>0.28470739111935156</v>
      </c>
    </row>
    <row r="108" spans="1:6" x14ac:dyDescent="0.3">
      <c r="A108" s="6">
        <v>41882</v>
      </c>
      <c r="B108" s="7">
        <v>12732611.7819709</v>
      </c>
      <c r="C108" s="7">
        <v>5016561.3768155901</v>
      </c>
      <c r="D108" s="7">
        <v>17749172.430220202</v>
      </c>
      <c r="E108" s="5">
        <f>Table1[[#This Row],[Total Debt held by the Public]]/Table1[[#This Row],[Total Outstanding National Debt]]</f>
        <v>0.71736368735096767</v>
      </c>
      <c r="F108" s="5">
        <f>Table1[[#This Row],[Total Intragovernmental Debt]]/Table1[[#This Row],[Total Outstanding National Debt]]</f>
        <v>0.28263635369693418</v>
      </c>
    </row>
    <row r="109" spans="1:6" x14ac:dyDescent="0.3">
      <c r="A109" s="6">
        <v>41912</v>
      </c>
      <c r="B109" s="7">
        <v>12784971.020747701</v>
      </c>
      <c r="C109" s="7">
        <v>5039099.7585249403</v>
      </c>
      <c r="D109" s="7">
        <v>17824070.622896899</v>
      </c>
      <c r="E109" s="5">
        <f>Table1[[#This Row],[Total Debt held by the Public]]/Table1[[#This Row],[Total Outstanding National Debt]]</f>
        <v>0.71728682472364402</v>
      </c>
      <c r="F109" s="5">
        <f>Table1[[#This Row],[Total Intragovernmental Debt]]/Table1[[#This Row],[Total Outstanding National Debt]]</f>
        <v>0.28271318404964607</v>
      </c>
    </row>
    <row r="110" spans="1:6" x14ac:dyDescent="0.3">
      <c r="A110" s="6">
        <v>41943</v>
      </c>
      <c r="B110" s="7">
        <v>12857056.069025399</v>
      </c>
      <c r="C110" s="7">
        <v>5080104.4285037396</v>
      </c>
      <c r="D110" s="7">
        <v>17937160.497529101</v>
      </c>
      <c r="E110" s="5">
        <f>Table1[[#This Row],[Total Debt held by the Public]]/Table1[[#This Row],[Total Outstanding National Debt]]</f>
        <v>0.71678324285477057</v>
      </c>
      <c r="F110" s="5">
        <f>Table1[[#This Row],[Total Intragovernmental Debt]]/Table1[[#This Row],[Total Outstanding National Debt]]</f>
        <v>0.28321675714523153</v>
      </c>
    </row>
    <row r="111" spans="1:6" x14ac:dyDescent="0.3">
      <c r="A111" s="6">
        <v>41973</v>
      </c>
      <c r="B111" s="7">
        <v>12922681.5072018</v>
      </c>
      <c r="C111" s="7">
        <v>5082868.3618683796</v>
      </c>
      <c r="D111" s="7">
        <v>18005549.394754998</v>
      </c>
      <c r="E111" s="5">
        <f>Table1[[#This Row],[Total Debt held by the Public]]/Table1[[#This Row],[Total Outstanding National Debt]]</f>
        <v>0.71770548200912809</v>
      </c>
      <c r="F111" s="5">
        <f>Table1[[#This Row],[Total Intragovernmental Debt]]/Table1[[#This Row],[Total Outstanding National Debt]]</f>
        <v>0.28229454433359391</v>
      </c>
    </row>
    <row r="112" spans="1:6" x14ac:dyDescent="0.3">
      <c r="A112" s="6">
        <v>42004</v>
      </c>
      <c r="B112" s="7">
        <v>13023951.1625189</v>
      </c>
      <c r="C112" s="7">
        <v>5117492.7451185202</v>
      </c>
      <c r="D112" s="7">
        <v>18141443.907637399</v>
      </c>
      <c r="E112" s="5">
        <f>Table1[[#This Row],[Total Debt held by the Public]]/Table1[[#This Row],[Total Outstanding National Debt]]</f>
        <v>0.7179114974986045</v>
      </c>
      <c r="F112" s="5">
        <f>Table1[[#This Row],[Total Intragovernmental Debt]]/Table1[[#This Row],[Total Outstanding National Debt]]</f>
        <v>0.28208850250139672</v>
      </c>
    </row>
    <row r="113" spans="1:6" x14ac:dyDescent="0.3">
      <c r="A113" s="6">
        <v>42035</v>
      </c>
      <c r="B113" s="7">
        <v>12984929.959734401</v>
      </c>
      <c r="C113" s="7">
        <v>5097364.3246637303</v>
      </c>
      <c r="D113" s="7">
        <v>18082294.108885702</v>
      </c>
      <c r="E113" s="5">
        <f>Table1[[#This Row],[Total Debt held by the Public]]/Table1[[#This Row],[Total Outstanding National Debt]]</f>
        <v>0.71810191126985157</v>
      </c>
      <c r="F113" s="5">
        <f>Table1[[#This Row],[Total Intragovernmental Debt]]/Table1[[#This Row],[Total Outstanding National Debt]]</f>
        <v>0.28189809843646263</v>
      </c>
    </row>
    <row r="114" spans="1:6" x14ac:dyDescent="0.3">
      <c r="A114" s="6">
        <v>42063</v>
      </c>
      <c r="B114" s="7">
        <v>13074035.584404601</v>
      </c>
      <c r="C114" s="7">
        <v>5081818.4799320903</v>
      </c>
      <c r="D114" s="7">
        <v>18155854.064335302</v>
      </c>
      <c r="E114" s="5">
        <f>Table1[[#This Row],[Total Debt held by the Public]]/Table1[[#This Row],[Total Outstanding National Debt]]</f>
        <v>0.72010027939620647</v>
      </c>
      <c r="F114" s="5">
        <f>Table1[[#This Row],[Total Intragovernmental Debt]]/Table1[[#This Row],[Total Outstanding National Debt]]</f>
        <v>0.27989972060387008</v>
      </c>
    </row>
    <row r="115" spans="1:6" x14ac:dyDescent="0.3">
      <c r="A115" s="6">
        <v>42094</v>
      </c>
      <c r="B115" s="7">
        <v>13090399.075396599</v>
      </c>
      <c r="C115" s="7">
        <v>5061657.4008764997</v>
      </c>
      <c r="D115" s="7">
        <v>18152055.9154585</v>
      </c>
      <c r="E115" s="5">
        <f>Table1[[#This Row],[Total Debt held by the Public]]/Table1[[#This Row],[Total Outstanding National Debt]]</f>
        <v>0.72115242132152446</v>
      </c>
      <c r="F115" s="5">
        <f>Table1[[#This Row],[Total Intragovernmental Debt]]/Table1[[#This Row],[Total Outstanding National Debt]]</f>
        <v>0.27884760957385185</v>
      </c>
    </row>
    <row r="116" spans="1:6" x14ac:dyDescent="0.3">
      <c r="A116" s="6">
        <v>42124</v>
      </c>
      <c r="B116" s="7">
        <v>13053681.0296888</v>
      </c>
      <c r="C116" s="7">
        <v>5098878.5069038402</v>
      </c>
      <c r="D116" s="7">
        <v>18152559.953105599</v>
      </c>
      <c r="E116" s="5">
        <f>Table1[[#This Row],[Total Debt held by the Public]]/Table1[[#This Row],[Total Outstanding National Debt]]</f>
        <v>0.71910964973596103</v>
      </c>
      <c r="F116" s="5">
        <f>Table1[[#This Row],[Total Intragovernmental Debt]]/Table1[[#This Row],[Total Outstanding National Debt]]</f>
        <v>0.2808903273189029</v>
      </c>
    </row>
    <row r="117" spans="1:6" x14ac:dyDescent="0.3">
      <c r="A117" s="6">
        <v>42155</v>
      </c>
      <c r="B117" s="7">
        <v>13052706.3904355</v>
      </c>
      <c r="C117" s="7">
        <v>5100145.2405832699</v>
      </c>
      <c r="D117" s="7">
        <v>18152851.839269198</v>
      </c>
      <c r="E117" s="5">
        <f>Table1[[#This Row],[Total Debt held by the Public]]/Table1[[#This Row],[Total Outstanding National Debt]]</f>
        <v>0.71904439621983818</v>
      </c>
      <c r="F117" s="5">
        <f>Table1[[#This Row],[Total Intragovernmental Debt]]/Table1[[#This Row],[Total Outstanding National Debt]]</f>
        <v>0.28095559230811157</v>
      </c>
    </row>
    <row r="118" spans="1:6" x14ac:dyDescent="0.3">
      <c r="A118" s="6">
        <v>42185</v>
      </c>
      <c r="B118" s="7">
        <v>13076413.927094501</v>
      </c>
      <c r="C118" s="7">
        <v>5075583.42108298</v>
      </c>
      <c r="D118" s="7">
        <v>18151998.177522399</v>
      </c>
      <c r="E118" s="5">
        <f>Table1[[#This Row],[Total Debt held by the Public]]/Table1[[#This Row],[Total Outstanding National Debt]]</f>
        <v>0.72038426839900249</v>
      </c>
      <c r="F118" s="5">
        <f>Table1[[#This Row],[Total Intragovernmental Debt]]/Table1[[#This Row],[Total Outstanding National Debt]]</f>
        <v>0.27961568591209257</v>
      </c>
    </row>
    <row r="119" spans="1:6" x14ac:dyDescent="0.3">
      <c r="A119" s="6">
        <v>42216</v>
      </c>
      <c r="B119" s="7">
        <v>13135044.915571</v>
      </c>
      <c r="C119" s="7">
        <v>5016277.62609025</v>
      </c>
      <c r="D119" s="7">
        <v>18151322.541661199</v>
      </c>
      <c r="E119" s="5">
        <f>Table1[[#This Row],[Total Debt held by the Public]]/Table1[[#This Row],[Total Outstanding National Debt]]</f>
        <v>0.72364120495480366</v>
      </c>
      <c r="F119" s="5">
        <f>Table1[[#This Row],[Total Intragovernmental Debt]]/Table1[[#This Row],[Total Outstanding National Debt]]</f>
        <v>0.27635879504519911</v>
      </c>
    </row>
    <row r="120" spans="1:6" x14ac:dyDescent="0.3">
      <c r="A120" s="6">
        <v>42247</v>
      </c>
      <c r="B120" s="7">
        <v>13119752.718787599</v>
      </c>
      <c r="C120" s="7">
        <v>5031396.7859385703</v>
      </c>
      <c r="D120" s="7">
        <v>18151149.504726101</v>
      </c>
      <c r="E120" s="5">
        <f>Table1[[#This Row],[Total Debt held by the Public]]/Table1[[#This Row],[Total Outstanding National Debt]]</f>
        <v>0.72280561158793533</v>
      </c>
      <c r="F120" s="5">
        <f>Table1[[#This Row],[Total Intragovernmental Debt]]/Table1[[#This Row],[Total Outstanding National Debt]]</f>
        <v>0.27719438841206845</v>
      </c>
    </row>
    <row r="121" spans="1:6" x14ac:dyDescent="0.3">
      <c r="A121" s="6">
        <v>42277</v>
      </c>
      <c r="B121" s="7">
        <v>13123847.1631286</v>
      </c>
      <c r="C121" s="7">
        <v>5026770.4681365201</v>
      </c>
      <c r="D121" s="7">
        <v>18150618.2891385</v>
      </c>
      <c r="E121" s="5">
        <f>Table1[[#This Row],[Total Debt held by the Public]]/Table1[[#This Row],[Total Outstanding National Debt]]</f>
        <v>0.72305234753253733</v>
      </c>
      <c r="F121" s="5">
        <f>Table1[[#This Row],[Total Intragovernmental Debt]]/Table1[[#This Row],[Total Outstanding National Debt]]</f>
        <v>0.27694761622223013</v>
      </c>
    </row>
    <row r="122" spans="1:6" x14ac:dyDescent="0.3">
      <c r="A122" s="6">
        <v>42308</v>
      </c>
      <c r="B122" s="7">
        <v>13060656.864967501</v>
      </c>
      <c r="C122" s="7">
        <v>5092324.8107799897</v>
      </c>
      <c r="D122" s="7">
        <v>18152981.675747499</v>
      </c>
      <c r="E122" s="5">
        <f>Table1[[#This Row],[Total Debt held by the Public]]/Table1[[#This Row],[Total Outstanding National Debt]]</f>
        <v>0.71947722408691805</v>
      </c>
      <c r="F122" s="5">
        <f>Table1[[#This Row],[Total Intragovernmental Debt]]/Table1[[#This Row],[Total Outstanding National Debt]]</f>
        <v>0.28052277591308145</v>
      </c>
    </row>
    <row r="123" spans="1:6" x14ac:dyDescent="0.3">
      <c r="A123" s="6">
        <v>42338</v>
      </c>
      <c r="B123" s="7">
        <v>13588989.3584866</v>
      </c>
      <c r="C123" s="7">
        <v>5238334.41885914</v>
      </c>
      <c r="D123" s="7">
        <v>18827322.977346499</v>
      </c>
      <c r="E123" s="5">
        <f>Table1[[#This Row],[Total Debt held by the Public]]/Table1[[#This Row],[Total Outstanding National Debt]]</f>
        <v>0.72176959915316741</v>
      </c>
      <c r="F123" s="5">
        <f>Table1[[#This Row],[Total Intragovernmental Debt]]/Table1[[#This Row],[Total Outstanding National Debt]]</f>
        <v>0.27823044333822888</v>
      </c>
    </row>
    <row r="124" spans="1:6" x14ac:dyDescent="0.3">
      <c r="A124" s="6">
        <v>42369</v>
      </c>
      <c r="B124" s="7">
        <v>13672522.261376901</v>
      </c>
      <c r="C124" s="7">
        <v>5249656.7372589102</v>
      </c>
      <c r="D124" s="7">
        <v>18922178.998310201</v>
      </c>
      <c r="E124" s="5">
        <f>Table1[[#This Row],[Total Debt held by the Public]]/Table1[[#This Row],[Total Outstanding National Debt]]</f>
        <v>0.72256595091917752</v>
      </c>
      <c r="F124" s="5">
        <f>Table1[[#This Row],[Total Intragovernmental Debt]]/Table1[[#This Row],[Total Outstanding National Debt]]</f>
        <v>0.27743404909803032</v>
      </c>
    </row>
    <row r="125" spans="1:6" x14ac:dyDescent="0.3">
      <c r="A125" s="6">
        <v>42400</v>
      </c>
      <c r="B125" s="7">
        <v>13657155.193714</v>
      </c>
      <c r="C125" s="7">
        <v>5355672.5002814</v>
      </c>
      <c r="D125" s="7">
        <v>19012827.7593363</v>
      </c>
      <c r="E125" s="5">
        <f>Table1[[#This Row],[Total Debt held by the Public]]/Table1[[#This Row],[Total Outstanding National Debt]]</f>
        <v>0.7183126763985761</v>
      </c>
      <c r="F125" s="5">
        <f>Table1[[#This Row],[Total Intragovernmental Debt]]/Table1[[#This Row],[Total Outstanding National Debt]]</f>
        <v>0.28168732016474946</v>
      </c>
    </row>
    <row r="126" spans="1:6" x14ac:dyDescent="0.3">
      <c r="A126" s="6">
        <v>42429</v>
      </c>
      <c r="B126" s="7">
        <v>13785189.2275711</v>
      </c>
      <c r="C126" s="7">
        <v>5340266.0070756301</v>
      </c>
      <c r="D126" s="7">
        <v>19125455.236860599</v>
      </c>
      <c r="E126" s="5">
        <f>Table1[[#This Row],[Total Debt held by the Public]]/Table1[[#This Row],[Total Outstanding National Debt]]</f>
        <v>0.72077705115237345</v>
      </c>
      <c r="F126" s="5">
        <f>Table1[[#This Row],[Total Intragovernmental Debt]]/Table1[[#This Row],[Total Outstanding National Debt]]</f>
        <v>0.27922294873187148</v>
      </c>
    </row>
    <row r="127" spans="1:6" x14ac:dyDescent="0.3">
      <c r="A127" s="6">
        <v>42460</v>
      </c>
      <c r="B127" s="7">
        <v>13924877.6533246</v>
      </c>
      <c r="C127" s="7">
        <v>5340060.9806862501</v>
      </c>
      <c r="D127" s="7">
        <v>19264938.6340109</v>
      </c>
      <c r="E127" s="5">
        <f>Table1[[#This Row],[Total Debt held by the Public]]/Table1[[#This Row],[Total Outstanding National Debt]]</f>
        <v>0.72280934384816586</v>
      </c>
      <c r="F127" s="5">
        <f>Table1[[#This Row],[Total Intragovernmental Debt]]/Table1[[#This Row],[Total Outstanding National Debt]]</f>
        <v>0.27719065615183153</v>
      </c>
    </row>
    <row r="128" spans="1:6" x14ac:dyDescent="0.3">
      <c r="A128" s="6">
        <v>42490</v>
      </c>
      <c r="B128" s="7">
        <v>13841194.750298901</v>
      </c>
      <c r="C128" s="7">
        <v>5346192.7506843396</v>
      </c>
      <c r="D128" s="7">
        <v>19187386.500983201</v>
      </c>
      <c r="E128" s="5">
        <f>Table1[[#This Row],[Total Debt held by the Public]]/Table1[[#This Row],[Total Outstanding National Debt]]</f>
        <v>0.72136946579929728</v>
      </c>
      <c r="F128" s="5">
        <f>Table1[[#This Row],[Total Intragovernmental Debt]]/Table1[[#This Row],[Total Outstanding National Debt]]</f>
        <v>0.27863058631827686</v>
      </c>
    </row>
    <row r="129" spans="1:6" x14ac:dyDescent="0.3">
      <c r="A129" s="6">
        <v>42521</v>
      </c>
      <c r="B129" s="7">
        <v>13886302.643889301</v>
      </c>
      <c r="C129" s="7">
        <v>5379148.9329640698</v>
      </c>
      <c r="D129" s="7">
        <v>19265451.576853301</v>
      </c>
      <c r="E129" s="5">
        <f>Table1[[#This Row],[Total Debt held by the Public]]/Table1[[#This Row],[Total Outstanding National Debt]]</f>
        <v>0.72078780964434586</v>
      </c>
      <c r="F129" s="5">
        <f>Table1[[#This Row],[Total Intragovernmental Debt]]/Table1[[#This Row],[Total Outstanding National Debt]]</f>
        <v>0.2792121903556577</v>
      </c>
    </row>
    <row r="130" spans="1:6" x14ac:dyDescent="0.3">
      <c r="A130" s="6">
        <v>42551</v>
      </c>
      <c r="B130" s="7">
        <v>13932742.714223601</v>
      </c>
      <c r="C130" s="7">
        <v>5448848.4272517897</v>
      </c>
      <c r="D130" s="7">
        <v>19381591.1404754</v>
      </c>
      <c r="E130" s="5">
        <f>Table1[[#This Row],[Total Debt held by the Public]]/Table1[[#This Row],[Total Outstanding National Debt]]</f>
        <v>0.71886475229204805</v>
      </c>
      <c r="F130" s="5">
        <f>Table1[[#This Row],[Total Intragovernmental Debt]]/Table1[[#This Row],[Total Outstanding National Debt]]</f>
        <v>0.28113524775954685</v>
      </c>
    </row>
    <row r="131" spans="1:6" x14ac:dyDescent="0.3">
      <c r="A131" s="6">
        <v>42582</v>
      </c>
      <c r="B131" s="7">
        <v>13998219.6131726</v>
      </c>
      <c r="C131" s="7">
        <v>5429474.7409552401</v>
      </c>
      <c r="D131" s="7">
        <v>19427695.354127798</v>
      </c>
      <c r="E131" s="5">
        <f>Table1[[#This Row],[Total Debt held by the Public]]/Table1[[#This Row],[Total Outstanding National Debt]]</f>
        <v>0.72052908788269632</v>
      </c>
      <c r="F131" s="5">
        <f>Table1[[#This Row],[Total Intragovernmental Debt]]/Table1[[#This Row],[Total Outstanding National Debt]]</f>
        <v>0.27947086064439652</v>
      </c>
    </row>
    <row r="132" spans="1:6" x14ac:dyDescent="0.3">
      <c r="A132" s="6">
        <v>42613</v>
      </c>
      <c r="B132" s="7">
        <v>14104114.025273699</v>
      </c>
      <c r="C132" s="7">
        <v>5406182.80186655</v>
      </c>
      <c r="D132" s="7">
        <v>19510295.827140201</v>
      </c>
      <c r="E132" s="5">
        <f>Table1[[#This Row],[Total Debt held by the Public]]/Table1[[#This Row],[Total Outstanding National Debt]]</f>
        <v>0.72290621066103367</v>
      </c>
      <c r="F132" s="5">
        <f>Table1[[#This Row],[Total Intragovernmental Debt]]/Table1[[#This Row],[Total Outstanding National Debt]]</f>
        <v>0.27709384059395797</v>
      </c>
    </row>
    <row r="133" spans="1:6" x14ac:dyDescent="0.3">
      <c r="A133" s="6">
        <v>42643</v>
      </c>
      <c r="B133" s="7">
        <v>14173424.153898099</v>
      </c>
      <c r="C133" s="7">
        <v>5400021.4724861104</v>
      </c>
      <c r="D133" s="7">
        <v>19573444.626384299</v>
      </c>
      <c r="E133" s="5">
        <f>Table1[[#This Row],[Total Debt held by the Public]]/Table1[[#This Row],[Total Outstanding National Debt]]</f>
        <v>0.72411496414856047</v>
      </c>
      <c r="F133" s="5">
        <f>Table1[[#This Row],[Total Intragovernmental Debt]]/Table1[[#This Row],[Total Outstanding National Debt]]</f>
        <v>0.27588508694106278</v>
      </c>
    </row>
    <row r="134" spans="1:6" x14ac:dyDescent="0.3">
      <c r="A134" s="6">
        <v>42674</v>
      </c>
      <c r="B134" s="7">
        <v>14286500.546096001</v>
      </c>
      <c r="C134" s="7">
        <v>5519214.6762511795</v>
      </c>
      <c r="D134" s="7">
        <v>19805715.2223472</v>
      </c>
      <c r="E134" s="5">
        <f>Table1[[#This Row],[Total Debt held by the Public]]/Table1[[#This Row],[Total Outstanding National Debt]]</f>
        <v>0.72133222081150827</v>
      </c>
      <c r="F134" s="5">
        <f>Table1[[#This Row],[Total Intragovernmental Debt]]/Table1[[#This Row],[Total Outstanding National Debt]]</f>
        <v>0.27866777918849073</v>
      </c>
    </row>
    <row r="135" spans="1:6" x14ac:dyDescent="0.3">
      <c r="A135" s="6">
        <v>42704</v>
      </c>
      <c r="B135" s="7">
        <v>14443700.1497031</v>
      </c>
      <c r="C135" s="7">
        <v>5504364.5493875602</v>
      </c>
      <c r="D135" s="7">
        <v>19948064.6990906</v>
      </c>
      <c r="E135" s="5">
        <f>Table1[[#This Row],[Total Debt held by the Public]]/Table1[[#This Row],[Total Outstanding National Debt]]</f>
        <v>0.72406523477746521</v>
      </c>
      <c r="F135" s="5">
        <f>Table1[[#This Row],[Total Intragovernmental Debt]]/Table1[[#This Row],[Total Outstanding National Debt]]</f>
        <v>0.27593476522253785</v>
      </c>
    </row>
    <row r="136" spans="1:6" x14ac:dyDescent="0.3">
      <c r="A136" s="6">
        <v>42735</v>
      </c>
      <c r="B136" s="7">
        <v>14434842.2903118</v>
      </c>
      <c r="C136" s="7">
        <v>5541985.4301194297</v>
      </c>
      <c r="D136" s="7">
        <v>19976826.720431201</v>
      </c>
      <c r="E136" s="5">
        <f>Table1[[#This Row],[Total Debt held by the Public]]/Table1[[#This Row],[Total Outstanding National Debt]]</f>
        <v>0.7225793411697683</v>
      </c>
      <c r="F136" s="5">
        <f>Table1[[#This Row],[Total Intragovernmental Debt]]/Table1[[#This Row],[Total Outstanding National Debt]]</f>
        <v>0.27742070888823356</v>
      </c>
    </row>
    <row r="137" spans="1:6" x14ac:dyDescent="0.3">
      <c r="A137" s="6">
        <v>42766</v>
      </c>
      <c r="B137" s="7">
        <v>14376138.8020289</v>
      </c>
      <c r="C137" s="7">
        <v>5561122.5109684803</v>
      </c>
      <c r="D137" s="7">
        <v>19937261.312997401</v>
      </c>
      <c r="E137" s="5">
        <f>Table1[[#This Row],[Total Debt held by the Public]]/Table1[[#This Row],[Total Outstanding National Debt]]</f>
        <v>0.72106888585830387</v>
      </c>
      <c r="F137" s="5">
        <f>Table1[[#This Row],[Total Intragovernmental Debt]]/Table1[[#This Row],[Total Outstanding National Debt]]</f>
        <v>0.27893111414169514</v>
      </c>
    </row>
    <row r="138" spans="1:6" x14ac:dyDescent="0.3">
      <c r="A138" s="6">
        <v>42794</v>
      </c>
      <c r="B138" s="7">
        <v>14411380.9847071</v>
      </c>
      <c r="C138" s="7">
        <v>5548212.6661530398</v>
      </c>
      <c r="D138" s="7">
        <v>19959593.650860101</v>
      </c>
      <c r="E138" s="5">
        <f>Table1[[#This Row],[Total Debt held by the Public]]/Table1[[#This Row],[Total Outstanding National Debt]]</f>
        <v>0.72202777455271905</v>
      </c>
      <c r="F138" s="5">
        <f>Table1[[#This Row],[Total Intragovernmental Debt]]/Table1[[#This Row],[Total Outstanding National Debt]]</f>
        <v>0.27797222544728289</v>
      </c>
    </row>
    <row r="139" spans="1:6" x14ac:dyDescent="0.3">
      <c r="A139" s="6">
        <v>42825</v>
      </c>
      <c r="B139" s="7">
        <v>14369681.936943199</v>
      </c>
      <c r="C139" s="7">
        <v>5476738.1133739604</v>
      </c>
      <c r="D139" s="7">
        <v>19846420.050317101</v>
      </c>
      <c r="E139" s="5">
        <f>Table1[[#This Row],[Total Debt held by the Public]]/Table1[[#This Row],[Total Outstanding National Debt]]</f>
        <v>0.7240440291252227</v>
      </c>
      <c r="F139" s="5">
        <f>Table1[[#This Row],[Total Intragovernmental Debt]]/Table1[[#This Row],[Total Outstanding National Debt]]</f>
        <v>0.27595597087478024</v>
      </c>
    </row>
    <row r="140" spans="1:6" x14ac:dyDescent="0.3">
      <c r="A140" s="6">
        <v>42855</v>
      </c>
      <c r="B140" s="7">
        <v>14293344.660028899</v>
      </c>
      <c r="C140" s="7">
        <v>5552784.5311721098</v>
      </c>
      <c r="D140" s="7">
        <v>19846129.191201001</v>
      </c>
      <c r="E140" s="5">
        <f>Table1[[#This Row],[Total Debt held by the Public]]/Table1[[#This Row],[Total Outstanding National Debt]]</f>
        <v>0.72020818378860552</v>
      </c>
      <c r="F140" s="5">
        <f>Table1[[#This Row],[Total Intragovernmental Debt]]/Table1[[#This Row],[Total Outstanding National Debt]]</f>
        <v>0.27979181621139487</v>
      </c>
    </row>
    <row r="141" spans="1:6" x14ac:dyDescent="0.3">
      <c r="A141" s="6">
        <v>42886</v>
      </c>
      <c r="B141" s="7">
        <v>14298976.495062299</v>
      </c>
      <c r="C141" s="7">
        <v>5546965.4206730798</v>
      </c>
      <c r="D141" s="7">
        <v>19845941.915735401</v>
      </c>
      <c r="E141" s="5">
        <f>Table1[[#This Row],[Total Debt held by the Public]]/Table1[[#This Row],[Total Outstanding National Debt]]</f>
        <v>0.72049875766919191</v>
      </c>
      <c r="F141" s="5">
        <f>Table1[[#This Row],[Total Intragovernmental Debt]]/Table1[[#This Row],[Total Outstanding National Debt]]</f>
        <v>0.27950124233080698</v>
      </c>
    </row>
    <row r="142" spans="1:6" x14ac:dyDescent="0.3">
      <c r="A142" s="6">
        <v>42916</v>
      </c>
      <c r="B142" s="7">
        <v>14366186.347182799</v>
      </c>
      <c r="C142" s="7">
        <v>5478367.83808563</v>
      </c>
      <c r="D142" s="7">
        <v>19844554.185268398</v>
      </c>
      <c r="E142" s="5">
        <f>Table1[[#This Row],[Total Debt held by the Public]]/Table1[[#This Row],[Total Outstanding National Debt]]</f>
        <v>0.72393595810015909</v>
      </c>
      <c r="F142" s="5">
        <f>Table1[[#This Row],[Total Intragovernmental Debt]]/Table1[[#This Row],[Total Outstanding National Debt]]</f>
        <v>0.27606404189984252</v>
      </c>
    </row>
    <row r="143" spans="1:6" x14ac:dyDescent="0.3">
      <c r="A143" s="6">
        <v>42947</v>
      </c>
      <c r="B143" s="7">
        <v>14360944.496199399</v>
      </c>
      <c r="C143" s="7">
        <v>5483964.5525273699</v>
      </c>
      <c r="D143" s="7">
        <v>19844909.0487267</v>
      </c>
      <c r="E143" s="5">
        <f>Table1[[#This Row],[Total Debt held by the Public]]/Table1[[#This Row],[Total Outstanding National Debt]]</f>
        <v>0.72365887195239298</v>
      </c>
      <c r="F143" s="5">
        <f>Table1[[#This Row],[Total Intragovernmental Debt]]/Table1[[#This Row],[Total Outstanding National Debt]]</f>
        <v>0.27634112804761052</v>
      </c>
    </row>
    <row r="144" spans="1:6" x14ac:dyDescent="0.3">
      <c r="A144" s="6">
        <v>42978</v>
      </c>
      <c r="B144" s="7">
        <v>14381562.0058697</v>
      </c>
      <c r="C144" s="7">
        <v>5462971.4464271497</v>
      </c>
      <c r="D144" s="7">
        <v>19844533.452296901</v>
      </c>
      <c r="E144" s="5">
        <f>Table1[[#This Row],[Total Debt held by the Public]]/Table1[[#This Row],[Total Outstanding National Debt]]</f>
        <v>0.72471152019979124</v>
      </c>
      <c r="F144" s="5">
        <f>Table1[[#This Row],[Total Intragovernmental Debt]]/Table1[[#This Row],[Total Outstanding National Debt]]</f>
        <v>0.2752884798002061</v>
      </c>
    </row>
    <row r="145" spans="1:6" x14ac:dyDescent="0.3">
      <c r="A145" s="6">
        <v>43008</v>
      </c>
      <c r="B145" s="7">
        <v>14673428.5682228</v>
      </c>
      <c r="C145" s="7">
        <v>5571471.3529125703</v>
      </c>
      <c r="D145" s="7">
        <v>20244899.921135399</v>
      </c>
      <c r="E145" s="5">
        <f>Table1[[#This Row],[Total Debt held by the Public]]/Table1[[#This Row],[Total Outstanding National Debt]]</f>
        <v>0.72479630056871469</v>
      </c>
      <c r="F145" s="5">
        <f>Table1[[#This Row],[Total Intragovernmental Debt]]/Table1[[#This Row],[Total Outstanding National Debt]]</f>
        <v>0.27520369943128392</v>
      </c>
    </row>
    <row r="146" spans="1:6" x14ac:dyDescent="0.3">
      <c r="A146" s="6">
        <v>43039</v>
      </c>
      <c r="B146" s="7">
        <v>14751446.090316201</v>
      </c>
      <c r="C146" s="7">
        <v>5691027.4530892996</v>
      </c>
      <c r="D146" s="7">
        <v>20442473.543405499</v>
      </c>
      <c r="E146" s="5">
        <f>Table1[[#This Row],[Total Debt held by the Public]]/Table1[[#This Row],[Total Outstanding National Debt]]</f>
        <v>0.72160768896163463</v>
      </c>
      <c r="F146" s="5">
        <f>Table1[[#This Row],[Total Intragovernmental Debt]]/Table1[[#This Row],[Total Outstanding National Debt]]</f>
        <v>0.27839231103836543</v>
      </c>
    </row>
    <row r="147" spans="1:6" x14ac:dyDescent="0.3">
      <c r="A147" s="6">
        <v>43069</v>
      </c>
      <c r="B147" s="7">
        <v>14918735.642358899</v>
      </c>
      <c r="C147" s="7">
        <v>5671656.1445052801</v>
      </c>
      <c r="D147" s="7">
        <v>20590391.786864098</v>
      </c>
      <c r="E147" s="5">
        <f>Table1[[#This Row],[Total Debt held by the Public]]/Table1[[#This Row],[Total Outstanding National Debt]]</f>
        <v>0.7245484105783988</v>
      </c>
      <c r="F147" s="5">
        <f>Table1[[#This Row],[Total Intragovernmental Debt]]/Table1[[#This Row],[Total Outstanding National Debt]]</f>
        <v>0.27545158942160514</v>
      </c>
    </row>
    <row r="148" spans="1:6" x14ac:dyDescent="0.3">
      <c r="A148" s="6">
        <v>43100</v>
      </c>
      <c r="B148" s="7">
        <v>14814720.9625454</v>
      </c>
      <c r="C148" s="7">
        <v>5678025.4183899797</v>
      </c>
      <c r="D148" s="7">
        <v>20492747.380935401</v>
      </c>
      <c r="E148" s="5">
        <f>Table1[[#This Row],[Total Debt held by the Public]]/Table1[[#This Row],[Total Outstanding National Debt]]</f>
        <v>0.72292507623100244</v>
      </c>
      <c r="F148" s="5">
        <f>Table1[[#This Row],[Total Intragovernmental Debt]]/Table1[[#This Row],[Total Outstanding National Debt]]</f>
        <v>0.27707487497124478</v>
      </c>
    </row>
    <row r="149" spans="1:6" x14ac:dyDescent="0.3">
      <c r="A149" s="6">
        <v>43131</v>
      </c>
      <c r="B149" s="7">
        <v>14803169.5870704</v>
      </c>
      <c r="C149" s="7">
        <v>5690560.1890858496</v>
      </c>
      <c r="D149" s="7">
        <v>20493729.776156198</v>
      </c>
      <c r="E149" s="5">
        <f>Table1[[#This Row],[Total Debt held by the Public]]/Table1[[#This Row],[Total Outstanding National Debt]]</f>
        <v>0.72232676768742288</v>
      </c>
      <c r="F149" s="5">
        <f>Table1[[#This Row],[Total Intragovernmental Debt]]/Table1[[#This Row],[Total Outstanding National Debt]]</f>
        <v>0.27767323231257957</v>
      </c>
    </row>
    <row r="150" spans="1:6" x14ac:dyDescent="0.3">
      <c r="A150" s="6">
        <v>43159</v>
      </c>
      <c r="B150" s="7">
        <v>15150589.0924685</v>
      </c>
      <c r="C150" s="7">
        <v>5705082.3022345901</v>
      </c>
      <c r="D150" s="7">
        <v>20855672.394703101</v>
      </c>
      <c r="E150" s="5">
        <f>Table1[[#This Row],[Total Debt held by the Public]]/Table1[[#This Row],[Total Outstanding National Debt]]</f>
        <v>0.72644932303004661</v>
      </c>
      <c r="F150" s="5">
        <f>Table1[[#This Row],[Total Intragovernmental Debt]]/Table1[[#This Row],[Total Outstanding National Debt]]</f>
        <v>0.27355062902136684</v>
      </c>
    </row>
    <row r="151" spans="1:6" x14ac:dyDescent="0.3">
      <c r="A151" s="6">
        <v>43190</v>
      </c>
      <c r="B151" s="7">
        <v>15428009.9066214</v>
      </c>
      <c r="C151" s="7">
        <v>5661632.9086770201</v>
      </c>
      <c r="D151" s="7">
        <v>21089642.815298401</v>
      </c>
      <c r="E151" s="5">
        <f>Table1[[#This Row],[Total Debt held by the Public]]/Table1[[#This Row],[Total Outstanding National Debt]]</f>
        <v>0.73154439085283796</v>
      </c>
      <c r="F151" s="5">
        <f>Table1[[#This Row],[Total Intragovernmental Debt]]/Table1[[#This Row],[Total Outstanding National Debt]]</f>
        <v>0.26845560914716293</v>
      </c>
    </row>
    <row r="152" spans="1:6" x14ac:dyDescent="0.3">
      <c r="A152" s="6">
        <v>43220</v>
      </c>
      <c r="B152" s="7">
        <v>15335128.368494799</v>
      </c>
      <c r="C152" s="7">
        <v>5733072.0895918598</v>
      </c>
      <c r="D152" s="7">
        <v>21068200.458086599</v>
      </c>
      <c r="E152" s="5">
        <f>Table1[[#This Row],[Total Debt held by the Public]]/Table1[[#This Row],[Total Outstanding National Debt]]</f>
        <v>0.72788031417314158</v>
      </c>
      <c r="F152" s="5">
        <f>Table1[[#This Row],[Total Intragovernmental Debt]]/Table1[[#This Row],[Total Outstanding National Debt]]</f>
        <v>0.27211968582686125</v>
      </c>
    </row>
    <row r="153" spans="1:6" x14ac:dyDescent="0.3">
      <c r="A153" s="6">
        <v>43251</v>
      </c>
      <c r="B153" s="7">
        <v>15426913.425444201</v>
      </c>
      <c r="C153" s="7">
        <v>5718301.7512545204</v>
      </c>
      <c r="D153" s="7">
        <v>21145215.1766987</v>
      </c>
      <c r="E153" s="5">
        <f>Table1[[#This Row],[Total Debt held by the Public]]/Table1[[#This Row],[Total Outstanding National Debt]]</f>
        <v>0.72956994272842057</v>
      </c>
      <c r="F153" s="5">
        <f>Table1[[#This Row],[Total Intragovernmental Debt]]/Table1[[#This Row],[Total Outstanding National Debt]]</f>
        <v>0.27043005727158043</v>
      </c>
    </row>
    <row r="154" spans="1:6" x14ac:dyDescent="0.3">
      <c r="A154" s="6">
        <v>43281</v>
      </c>
      <c r="B154" s="7">
        <v>15466564.2305851</v>
      </c>
      <c r="C154" s="7">
        <v>5728504.5166719304</v>
      </c>
      <c r="D154" s="7">
        <v>21195069.747257002</v>
      </c>
      <c r="E154" s="5">
        <f>Table1[[#This Row],[Total Debt held by the Public]]/Table1[[#This Row],[Total Outstanding National Debt]]</f>
        <v>0.72972462063196242</v>
      </c>
      <c r="F154" s="5">
        <f>Table1[[#This Row],[Total Intragovernmental Debt]]/Table1[[#This Row],[Total Outstanding National Debt]]</f>
        <v>0.27027533218725525</v>
      </c>
    </row>
    <row r="155" spans="1:6" x14ac:dyDescent="0.3">
      <c r="A155" s="6">
        <v>43312</v>
      </c>
      <c r="B155" s="7">
        <v>15569493.1191567</v>
      </c>
      <c r="C155" s="7">
        <v>5743567.9348112904</v>
      </c>
      <c r="D155" s="7">
        <v>21313061.053968001</v>
      </c>
      <c r="E155" s="5">
        <f>Table1[[#This Row],[Total Debt held by the Public]]/Table1[[#This Row],[Total Outstanding National Debt]]</f>
        <v>0.73051417061736512</v>
      </c>
      <c r="F155" s="5">
        <f>Table1[[#This Row],[Total Intragovernmental Debt]]/Table1[[#This Row],[Total Outstanding National Debt]]</f>
        <v>0.26948582938263438</v>
      </c>
    </row>
    <row r="156" spans="1:6" x14ac:dyDescent="0.3">
      <c r="A156" s="6">
        <v>43343</v>
      </c>
      <c r="B156" s="7">
        <v>15785389.162775701</v>
      </c>
      <c r="C156" s="7">
        <v>5673460.5317128403</v>
      </c>
      <c r="D156" s="7">
        <v>21458849.694488499</v>
      </c>
      <c r="E156" s="5">
        <f>Table1[[#This Row],[Total Debt held by the Public]]/Table1[[#This Row],[Total Outstanding National Debt]]</f>
        <v>0.73561208487470919</v>
      </c>
      <c r="F156" s="5">
        <f>Table1[[#This Row],[Total Intragovernmental Debt]]/Table1[[#This Row],[Total Outstanding National Debt]]</f>
        <v>0.26438791512529281</v>
      </c>
    </row>
    <row r="157" spans="1:6" x14ac:dyDescent="0.3">
      <c r="A157" s="6">
        <v>43373</v>
      </c>
      <c r="B157" s="7">
        <v>15761154.5218339</v>
      </c>
      <c r="C157" s="7">
        <v>5754904.1555752298</v>
      </c>
      <c r="D157" s="7">
        <v>21516057.579132099</v>
      </c>
      <c r="E157" s="5">
        <f>Table1[[#This Row],[Total Debt held by the Public]]/Table1[[#This Row],[Total Outstanding National Debt]]</f>
        <v>0.73252985422014583</v>
      </c>
      <c r="F157" s="5">
        <f>Table1[[#This Row],[Total Intragovernmental Debt]]/Table1[[#This Row],[Total Outstanding National Debt]]</f>
        <v>0.26747019682438344</v>
      </c>
    </row>
    <row r="158" spans="1:6" x14ac:dyDescent="0.3">
      <c r="A158" s="6">
        <v>43404</v>
      </c>
      <c r="B158" s="7">
        <v>15843329.298334099</v>
      </c>
      <c r="C158" s="7">
        <v>5859040.4575844798</v>
      </c>
      <c r="D158" s="7">
        <v>21702369.7559186</v>
      </c>
      <c r="E158" s="5">
        <f>Table1[[#This Row],[Total Debt held by the Public]]/Table1[[#This Row],[Total Outstanding National Debt]]</f>
        <v>0.73002761802145399</v>
      </c>
      <c r="F158" s="5">
        <f>Table1[[#This Row],[Total Intragovernmental Debt]]/Table1[[#This Row],[Total Outstanding National Debt]]</f>
        <v>0.26997238197854506</v>
      </c>
    </row>
    <row r="159" spans="1:6" x14ac:dyDescent="0.3">
      <c r="A159" s="6">
        <v>43434</v>
      </c>
      <c r="B159" s="7">
        <v>16044318.1919477</v>
      </c>
      <c r="C159" s="7">
        <v>5805775.6854969896</v>
      </c>
      <c r="D159" s="7">
        <v>21850093.877444699</v>
      </c>
      <c r="E159" s="5">
        <f>Table1[[#This Row],[Total Debt held by the Public]]/Table1[[#This Row],[Total Outstanding National Debt]]</f>
        <v>0.73429058391871926</v>
      </c>
      <c r="F159" s="5">
        <f>Table1[[#This Row],[Total Intragovernmental Debt]]/Table1[[#This Row],[Total Outstanding National Debt]]</f>
        <v>0.26570941608128035</v>
      </c>
    </row>
    <row r="160" spans="1:6" x14ac:dyDescent="0.3">
      <c r="A160" s="6">
        <v>43465</v>
      </c>
      <c r="B160" s="7">
        <v>16101666.5273713</v>
      </c>
      <c r="C160" s="7">
        <v>5872429.2053088704</v>
      </c>
      <c r="D160" s="7">
        <v>21974095.732680202</v>
      </c>
      <c r="E160" s="5">
        <f>Table1[[#This Row],[Total Debt held by the Public]]/Table1[[#This Row],[Total Outstanding National Debt]]</f>
        <v>0.73275672970809269</v>
      </c>
      <c r="F160" s="5">
        <f>Table1[[#This Row],[Total Intragovernmental Debt]]/Table1[[#This Row],[Total Outstanding National Debt]]</f>
        <v>0.26724327029190587</v>
      </c>
    </row>
    <row r="161" spans="1:6" x14ac:dyDescent="0.3">
      <c r="A161" s="6">
        <v>43496</v>
      </c>
      <c r="B161" s="7">
        <v>16101226.7883921</v>
      </c>
      <c r="C161" s="7">
        <v>5881196.2445873599</v>
      </c>
      <c r="D161" s="7">
        <v>21982423.032979399</v>
      </c>
      <c r="E161" s="5">
        <f>Table1[[#This Row],[Total Debt held by the Public]]/Table1[[#This Row],[Total Outstanding National Debt]]</f>
        <v>0.73245914539248191</v>
      </c>
      <c r="F161" s="5">
        <f>Table1[[#This Row],[Total Intragovernmental Debt]]/Table1[[#This Row],[Total Outstanding National Debt]]</f>
        <v>0.26754085460752092</v>
      </c>
    </row>
    <row r="162" spans="1:6" x14ac:dyDescent="0.3">
      <c r="A162" s="6">
        <v>43524</v>
      </c>
      <c r="B162" s="7">
        <v>16250898.044729199</v>
      </c>
      <c r="C162" s="7">
        <v>5864628.4008707302</v>
      </c>
      <c r="D162" s="7">
        <v>22115526.445599999</v>
      </c>
      <c r="E162" s="5">
        <f>Table1[[#This Row],[Total Debt held by the Public]]/Table1[[#This Row],[Total Outstanding National Debt]]</f>
        <v>0.73481850340317811</v>
      </c>
      <c r="F162" s="5">
        <f>Table1[[#This Row],[Total Intragovernmental Debt]]/Table1[[#This Row],[Total Outstanding National Debt]]</f>
        <v>0.26518149659681872</v>
      </c>
    </row>
    <row r="163" spans="1:6" x14ac:dyDescent="0.3">
      <c r="A163" s="6">
        <v>43555</v>
      </c>
      <c r="B163" s="7">
        <v>16204392.012154501</v>
      </c>
      <c r="C163" s="7">
        <v>5823487.6070324201</v>
      </c>
      <c r="D163" s="7">
        <v>22027879.619186901</v>
      </c>
      <c r="E163" s="5">
        <f>Table1[[#This Row],[Total Debt held by the Public]]/Table1[[#This Row],[Total Outstanding National Debt]]</f>
        <v>0.73563104085787823</v>
      </c>
      <c r="F163" s="5">
        <f>Table1[[#This Row],[Total Intragovernmental Debt]]/Table1[[#This Row],[Total Outstanding National Debt]]</f>
        <v>0.26436895914212277</v>
      </c>
    </row>
    <row r="164" spans="1:6" x14ac:dyDescent="0.3">
      <c r="A164" s="6">
        <v>43585</v>
      </c>
      <c r="B164" s="7">
        <v>16192789.389691601</v>
      </c>
      <c r="C164" s="7">
        <v>5834879.3690448599</v>
      </c>
      <c r="D164" s="7">
        <v>22027667.758736499</v>
      </c>
      <c r="E164" s="5">
        <f>Table1[[#This Row],[Total Debt held by the Public]]/Table1[[#This Row],[Total Outstanding National Debt]]</f>
        <v>0.73511138660012254</v>
      </c>
      <c r="F164" s="5">
        <f>Table1[[#This Row],[Total Intragovernmental Debt]]/Table1[[#This Row],[Total Outstanding National Debt]]</f>
        <v>0.2648886587973282</v>
      </c>
    </row>
    <row r="165" spans="1:6" x14ac:dyDescent="0.3">
      <c r="A165" s="6">
        <v>43616</v>
      </c>
      <c r="B165" s="7">
        <v>16202283.336054999</v>
      </c>
      <c r="C165" s="7">
        <v>5824141.1001871703</v>
      </c>
      <c r="D165" s="7">
        <v>22026424.4362422</v>
      </c>
      <c r="E165" s="5">
        <f>Table1[[#This Row],[Total Debt held by the Public]]/Table1[[#This Row],[Total Outstanding National Debt]]</f>
        <v>0.73558390663696738</v>
      </c>
      <c r="F165" s="5">
        <f>Table1[[#This Row],[Total Intragovernmental Debt]]/Table1[[#This Row],[Total Outstanding National Debt]]</f>
        <v>0.26441609336303123</v>
      </c>
    </row>
    <row r="166" spans="1:6" x14ac:dyDescent="0.3">
      <c r="A166" s="6">
        <v>43646</v>
      </c>
      <c r="B166" s="7">
        <v>16188422.0742102</v>
      </c>
      <c r="C166" s="7">
        <v>5834860.57064074</v>
      </c>
      <c r="D166" s="7">
        <v>22023282.644850999</v>
      </c>
      <c r="E166" s="5">
        <f>Table1[[#This Row],[Total Debt held by the Public]]/Table1[[#This Row],[Total Outstanding National Debt]]</f>
        <v>0.73505945209285239</v>
      </c>
      <c r="F166" s="5">
        <f>Table1[[#This Row],[Total Intragovernmental Debt]]/Table1[[#This Row],[Total Outstanding National Debt]]</f>
        <v>0.26494054790714494</v>
      </c>
    </row>
    <row r="167" spans="1:6" x14ac:dyDescent="0.3">
      <c r="A167" s="6">
        <v>43677</v>
      </c>
      <c r="B167" s="7">
        <v>16211185.0174034</v>
      </c>
      <c r="C167" s="7">
        <v>5811184.3162967497</v>
      </c>
      <c r="D167" s="7">
        <v>22022369.333700102</v>
      </c>
      <c r="E167" s="5">
        <f>Table1[[#This Row],[Total Debt held by the Public]]/Table1[[#This Row],[Total Outstanding National Debt]]</f>
        <v>0.73612356471544416</v>
      </c>
      <c r="F167" s="5">
        <f>Table1[[#This Row],[Total Intragovernmental Debt]]/Table1[[#This Row],[Total Outstanding National Debt]]</f>
        <v>0.26387643528455801</v>
      </c>
    </row>
    <row r="168" spans="1:6" x14ac:dyDescent="0.3">
      <c r="A168" s="6">
        <v>43708</v>
      </c>
      <c r="B168" s="7">
        <v>16596815.637760401</v>
      </c>
      <c r="C168" s="7">
        <v>5863651.0356916301</v>
      </c>
      <c r="D168" s="7">
        <v>22460466.673452001</v>
      </c>
      <c r="E168" s="5">
        <f>Table1[[#This Row],[Total Debt held by the Public]]/Table1[[#This Row],[Total Outstanding National Debt]]</f>
        <v>0.73893458577945026</v>
      </c>
      <c r="F168" s="5">
        <f>Table1[[#This Row],[Total Intragovernmental Debt]]/Table1[[#This Row],[Total Outstanding National Debt]]</f>
        <v>0.26106541422055107</v>
      </c>
    </row>
    <row r="169" spans="1:6" x14ac:dyDescent="0.3">
      <c r="A169" s="6">
        <v>43738</v>
      </c>
      <c r="B169" s="7">
        <v>16809092.334793098</v>
      </c>
      <c r="C169" s="7">
        <v>5910309.00036225</v>
      </c>
      <c r="D169" s="7">
        <v>22719402.335155301</v>
      </c>
      <c r="E169" s="5">
        <f>Table1[[#This Row],[Total Debt held by the Public]]/Table1[[#This Row],[Total Outstanding National Debt]]</f>
        <v>0.7398562729259488</v>
      </c>
      <c r="F169" s="5">
        <f>Table1[[#This Row],[Total Intragovernmental Debt]]/Table1[[#This Row],[Total Outstanding National Debt]]</f>
        <v>0.26014368305881097</v>
      </c>
    </row>
    <row r="170" spans="1:6" x14ac:dyDescent="0.3">
      <c r="A170" s="6">
        <v>43769</v>
      </c>
      <c r="B170" s="7">
        <v>16981310.6052294</v>
      </c>
      <c r="C170" s="7">
        <v>6027098.6491275001</v>
      </c>
      <c r="D170" s="7">
        <v>23008410.254356999</v>
      </c>
      <c r="E170" s="5">
        <f>Table1[[#This Row],[Total Debt held by the Public]]/Table1[[#This Row],[Total Outstanding National Debt]]</f>
        <v>0.73804797539255129</v>
      </c>
      <c r="F170" s="5">
        <f>Table1[[#This Row],[Total Intragovernmental Debt]]/Table1[[#This Row],[Total Outstanding National Debt]]</f>
        <v>0.26195198114507612</v>
      </c>
    </row>
    <row r="171" spans="1:6" x14ac:dyDescent="0.3">
      <c r="A171" s="6">
        <v>43799</v>
      </c>
      <c r="B171" s="7">
        <v>17105420.786741</v>
      </c>
      <c r="C171" s="7">
        <v>5970777.6147715002</v>
      </c>
      <c r="D171" s="7">
        <v>23076199.4015125</v>
      </c>
      <c r="E171" s="5">
        <f>Table1[[#This Row],[Total Debt held by the Public]]/Table1[[#This Row],[Total Outstanding National Debt]]</f>
        <v>0.7412581460714821</v>
      </c>
      <c r="F171" s="5">
        <f>Table1[[#This Row],[Total Intragovernmental Debt]]/Table1[[#This Row],[Total Outstanding National Debt]]</f>
        <v>0.25874181059382567</v>
      </c>
    </row>
    <row r="172" spans="1:6" x14ac:dyDescent="0.3">
      <c r="A172" s="6">
        <v>43830</v>
      </c>
      <c r="B172" s="7">
        <v>17170441.5200595</v>
      </c>
      <c r="C172" s="7">
        <v>6030937.6471751798</v>
      </c>
      <c r="D172" s="7">
        <v>23201380.1672346</v>
      </c>
      <c r="E172" s="5">
        <f>Table1[[#This Row],[Total Debt held by the Public]]/Table1[[#This Row],[Total Outstanding National Debt]]</f>
        <v>0.74006121171652972</v>
      </c>
      <c r="F172" s="5">
        <f>Table1[[#This Row],[Total Intragovernmental Debt]]/Table1[[#This Row],[Total Outstanding National Debt]]</f>
        <v>0.25993874518258947</v>
      </c>
    </row>
    <row r="173" spans="1:6" x14ac:dyDescent="0.3">
      <c r="A173" s="6">
        <v>43861</v>
      </c>
      <c r="B173" s="7">
        <v>17212634.794820301</v>
      </c>
      <c r="C173" s="7">
        <v>6011178.1108271098</v>
      </c>
      <c r="D173" s="7">
        <v>23223812.905647401</v>
      </c>
      <c r="E173" s="5">
        <f>Table1[[#This Row],[Total Debt held by the Public]]/Table1[[#This Row],[Total Outstanding National Debt]]</f>
        <v>0.74116317009403121</v>
      </c>
      <c r="F173" s="5">
        <f>Table1[[#This Row],[Total Intragovernmental Debt]]/Table1[[#This Row],[Total Outstanding National Debt]]</f>
        <v>0.25883682990596923</v>
      </c>
    </row>
    <row r="174" spans="1:6" x14ac:dyDescent="0.3">
      <c r="A174" s="6">
        <v>43890</v>
      </c>
      <c r="B174" s="7">
        <v>17413050.167409301</v>
      </c>
      <c r="C174" s="7">
        <v>5996908.8829013295</v>
      </c>
      <c r="D174" s="7">
        <v>23409959.050310601</v>
      </c>
      <c r="E174" s="5">
        <f>Table1[[#This Row],[Total Debt held by the Public]]/Table1[[#This Row],[Total Outstanding National Debt]]</f>
        <v>0.74383086830637868</v>
      </c>
      <c r="F174" s="5">
        <f>Table1[[#This Row],[Total Intragovernmental Debt]]/Table1[[#This Row],[Total Outstanding National Debt]]</f>
        <v>0.25616913169362265</v>
      </c>
    </row>
    <row r="175" spans="1:6" x14ac:dyDescent="0.3">
      <c r="A175" s="6">
        <v>43921</v>
      </c>
      <c r="B175" s="7">
        <v>17674770.832453199</v>
      </c>
      <c r="C175" s="7">
        <v>6012100.1678953199</v>
      </c>
      <c r="D175" s="7">
        <v>23686871.000348501</v>
      </c>
      <c r="E175" s="5">
        <f>Table1[[#This Row],[Total Debt held by the Public]]/Table1[[#This Row],[Total Outstanding National Debt]]</f>
        <v>0.74618428209420962</v>
      </c>
      <c r="F175" s="5">
        <f>Table1[[#This Row],[Total Intragovernmental Debt]]/Table1[[#This Row],[Total Outstanding National Debt]]</f>
        <v>0.25381571790579116</v>
      </c>
    </row>
    <row r="176" spans="1:6" x14ac:dyDescent="0.3">
      <c r="A176" s="6">
        <v>43951</v>
      </c>
      <c r="B176" s="7">
        <v>19053618.914902199</v>
      </c>
      <c r="C176" s="7">
        <v>5920552.9534519101</v>
      </c>
      <c r="D176" s="7">
        <v>24974171.868354101</v>
      </c>
      <c r="E176" s="5">
        <f>Table1[[#This Row],[Total Debt held by the Public]]/Table1[[#This Row],[Total Outstanding National Debt]]</f>
        <v>0.76293296191518156</v>
      </c>
      <c r="F176" s="5">
        <f>Table1[[#This Row],[Total Intragovernmental Debt]]/Table1[[#This Row],[Total Outstanding National Debt]]</f>
        <v>0.23706703808481872</v>
      </c>
    </row>
    <row r="177" spans="1:6" x14ac:dyDescent="0.3">
      <c r="A177" s="6">
        <v>43982</v>
      </c>
      <c r="B177" s="7">
        <v>19812781.9674768</v>
      </c>
      <c r="C177" s="7">
        <v>5933479.3997274498</v>
      </c>
      <c r="D177" s="7">
        <v>25746260.367204301</v>
      </c>
      <c r="E177" s="5">
        <f>Table1[[#This Row],[Total Debt held by the Public]]/Table1[[#This Row],[Total Outstanding National Debt]]</f>
        <v>0.76954018505593957</v>
      </c>
      <c r="F177" s="5">
        <f>Table1[[#This Row],[Total Intragovernmental Debt]]/Table1[[#This Row],[Total Outstanding National Debt]]</f>
        <v>0.23045985378465067</v>
      </c>
    </row>
    <row r="178" spans="1:6" x14ac:dyDescent="0.3">
      <c r="A178" s="6">
        <v>44012</v>
      </c>
      <c r="B178" s="7">
        <v>20530277.746996701</v>
      </c>
      <c r="C178" s="7">
        <v>5946962.8794379598</v>
      </c>
      <c r="D178" s="7">
        <v>26477240.626434602</v>
      </c>
      <c r="E178" s="5">
        <f>Table1[[#This Row],[Total Debt held by the Public]]/Table1[[#This Row],[Total Outstanding National Debt]]</f>
        <v>0.77539340434514481</v>
      </c>
      <c r="F178" s="5">
        <f>Table1[[#This Row],[Total Intragovernmental Debt]]/Table1[[#This Row],[Total Outstanding National Debt]]</f>
        <v>0.22460659565485738</v>
      </c>
    </row>
    <row r="179" spans="1:6" x14ac:dyDescent="0.3">
      <c r="A179" s="6">
        <v>44043</v>
      </c>
      <c r="B179" s="7">
        <v>20634400.329900801</v>
      </c>
      <c r="C179" s="7">
        <v>5890553.5847046403</v>
      </c>
      <c r="D179" s="7">
        <v>26524952.914605498</v>
      </c>
      <c r="E179" s="5">
        <f>Table1[[#This Row],[Total Debt held by the Public]]/Table1[[#This Row],[Total Outstanding National Debt]]</f>
        <v>0.77792410777622278</v>
      </c>
      <c r="F179" s="5">
        <f>Table1[[#This Row],[Total Intragovernmental Debt]]/Table1[[#This Row],[Total Outstanding National Debt]]</f>
        <v>0.22207592992412478</v>
      </c>
    </row>
    <row r="180" spans="1:6" x14ac:dyDescent="0.3">
      <c r="A180" s="6">
        <v>44074</v>
      </c>
      <c r="B180" s="7">
        <v>20822038.3899034</v>
      </c>
      <c r="C180" s="7">
        <v>5906797.4566023797</v>
      </c>
      <c r="D180" s="7">
        <v>26728835.846505798</v>
      </c>
      <c r="E180" s="5">
        <f>Table1[[#This Row],[Total Debt held by the Public]]/Table1[[#This Row],[Total Outstanding National Debt]]</f>
        <v>0.77901029844610381</v>
      </c>
      <c r="F180" s="5">
        <f>Table1[[#This Row],[Total Intragovernmental Debt]]/Table1[[#This Row],[Total Outstanding National Debt]]</f>
        <v>0.22098970155389547</v>
      </c>
    </row>
    <row r="181" spans="1:6" x14ac:dyDescent="0.3">
      <c r="A181" s="6">
        <v>44104</v>
      </c>
      <c r="B181" s="7">
        <v>21018952.067281801</v>
      </c>
      <c r="C181" s="7">
        <v>5926439.1142295199</v>
      </c>
      <c r="D181" s="7">
        <v>26945391.181511398</v>
      </c>
      <c r="E181" s="5">
        <f>Table1[[#This Row],[Total Debt held by the Public]]/Table1[[#This Row],[Total Outstanding National Debt]]</f>
        <v>0.78005741040063181</v>
      </c>
      <c r="F181" s="5">
        <f>Table1[[#This Row],[Total Intragovernmental Debt]]/Table1[[#This Row],[Total Outstanding National Debt]]</f>
        <v>0.21994258959936536</v>
      </c>
    </row>
    <row r="182" spans="1:6" x14ac:dyDescent="0.3">
      <c r="A182" s="6">
        <v>44135</v>
      </c>
      <c r="B182" s="7">
        <v>21096974.617868699</v>
      </c>
      <c r="C182" s="7">
        <v>6038502.2159831999</v>
      </c>
      <c r="D182" s="7">
        <v>27135476.658851899</v>
      </c>
      <c r="E182" s="5">
        <f>Table1[[#This Row],[Total Debt held by the Public]]/Table1[[#This Row],[Total Outstanding National Debt]]</f>
        <v>0.77746836302529543</v>
      </c>
      <c r="F182" s="5">
        <f>Table1[[#This Row],[Total Intragovernmental Debt]]/Table1[[#This Row],[Total Outstanding National Debt]]</f>
        <v>0.22253164342382659</v>
      </c>
    </row>
    <row r="183" spans="1:6" x14ac:dyDescent="0.3">
      <c r="A183" s="6">
        <v>44165</v>
      </c>
      <c r="B183" s="7">
        <v>21349471.564053901</v>
      </c>
      <c r="C183" s="7">
        <v>6096816.6704079099</v>
      </c>
      <c r="D183" s="7">
        <v>27446288.234461799</v>
      </c>
      <c r="E183" s="5">
        <f>Table1[[#This Row],[Total Debt held by the Public]]/Table1[[#This Row],[Total Outstanding National Debt]]</f>
        <v>0.77786370898952073</v>
      </c>
      <c r="F183" s="5">
        <f>Table1[[#This Row],[Total Intragovernmental Debt]]/Table1[[#This Row],[Total Outstanding National Debt]]</f>
        <v>0.22213629101047966</v>
      </c>
    </row>
    <row r="184" spans="1:6" x14ac:dyDescent="0.3">
      <c r="A184" s="6">
        <v>44196</v>
      </c>
      <c r="B184" s="7">
        <v>21632418.910329498</v>
      </c>
      <c r="C184" s="7">
        <v>6115378.6109027704</v>
      </c>
      <c r="D184" s="7">
        <v>27747797.5212323</v>
      </c>
      <c r="E184" s="5">
        <f>Table1[[#This Row],[Total Debt held by the Public]]/Table1[[#This Row],[Total Outstanding National Debt]]</f>
        <v>0.77960850383806557</v>
      </c>
      <c r="F184" s="5">
        <f>Table1[[#This Row],[Total Intragovernmental Debt]]/Table1[[#This Row],[Total Outstanding National Debt]]</f>
        <v>0.22039149616193329</v>
      </c>
    </row>
    <row r="185" spans="1:6" x14ac:dyDescent="0.3">
      <c r="A185" s="6">
        <v>44227</v>
      </c>
      <c r="B185" s="7">
        <v>21643914.7930982</v>
      </c>
      <c r="C185" s="7">
        <v>6140637.7562788799</v>
      </c>
      <c r="D185" s="7">
        <v>27784552.549377099</v>
      </c>
      <c r="E185" s="5">
        <f>Table1[[#This Row],[Total Debt held by the Public]]/Table1[[#This Row],[Total Outstanding National Debt]]</f>
        <v>0.7789909430657157</v>
      </c>
      <c r="F185" s="5">
        <f>Table1[[#This Row],[Total Intragovernmental Debt]]/Table1[[#This Row],[Total Outstanding National Debt]]</f>
        <v>0.22100905693428369</v>
      </c>
    </row>
    <row r="186" spans="1:6" x14ac:dyDescent="0.3">
      <c r="A186" s="6">
        <v>44255</v>
      </c>
      <c r="B186" s="7">
        <v>21755736.828285899</v>
      </c>
      <c r="C186" s="7">
        <v>6146627.2493307199</v>
      </c>
      <c r="D186" s="7">
        <v>27902364.077616598</v>
      </c>
      <c r="E186" s="5">
        <f>Table1[[#This Row],[Total Debt held by the Public]]/Table1[[#This Row],[Total Outstanding National Debt]]</f>
        <v>0.77970944568594636</v>
      </c>
      <c r="F186" s="5">
        <f>Table1[[#This Row],[Total Intragovernmental Debt]]/Table1[[#This Row],[Total Outstanding National Debt]]</f>
        <v>0.22029055431405442</v>
      </c>
    </row>
    <row r="187" spans="1:6" x14ac:dyDescent="0.3">
      <c r="A187" s="6">
        <v>44286</v>
      </c>
      <c r="B187" s="7">
        <v>21986939.4927462</v>
      </c>
      <c r="C187" s="7">
        <v>6145631.5543551203</v>
      </c>
      <c r="D187" s="7">
        <v>28132570.0471013</v>
      </c>
      <c r="E187" s="5">
        <f>Table1[[#This Row],[Total Debt held by the Public]]/Table1[[#This Row],[Total Outstanding National Debt]]</f>
        <v>0.78154748947338615</v>
      </c>
      <c r="F187" s="5">
        <f>Table1[[#This Row],[Total Intragovernmental Debt]]/Table1[[#This Row],[Total Outstanding National Debt]]</f>
        <v>0.21845254607260273</v>
      </c>
    </row>
    <row r="188" spans="1:6" x14ac:dyDescent="0.3">
      <c r="A188" s="6">
        <v>44316</v>
      </c>
      <c r="B188" s="7">
        <v>22056055.120056801</v>
      </c>
      <c r="C188" s="7">
        <v>6118659.17938531</v>
      </c>
      <c r="D188" s="7">
        <v>28174714.299442101</v>
      </c>
      <c r="E188" s="5">
        <f>Table1[[#This Row],[Total Debt held by the Public]]/Table1[[#This Row],[Total Outstanding National Debt]]</f>
        <v>0.78283154482576389</v>
      </c>
      <c r="F188" s="5">
        <f>Table1[[#This Row],[Total Intragovernmental Debt]]/Table1[[#This Row],[Total Outstanding National Debt]]</f>
        <v>0.21716845517423641</v>
      </c>
    </row>
    <row r="189" spans="1:6" x14ac:dyDescent="0.3">
      <c r="A189" s="6">
        <v>44347</v>
      </c>
      <c r="B189" s="7">
        <v>22020939.210173201</v>
      </c>
      <c r="C189" s="7">
        <v>6178069.4656476397</v>
      </c>
      <c r="D189" s="7">
        <v>28199007.675820801</v>
      </c>
      <c r="E189" s="5">
        <f>Table1[[#This Row],[Total Debt held by the Public]]/Table1[[#This Row],[Total Outstanding National Debt]]</f>
        <v>0.78091184850646445</v>
      </c>
      <c r="F189" s="5">
        <f>Table1[[#This Row],[Total Intragovernmental Debt]]/Table1[[#This Row],[Total Outstanding National Debt]]</f>
        <v>0.21908818695577775</v>
      </c>
    </row>
    <row r="190" spans="1:6" x14ac:dyDescent="0.3">
      <c r="A190" s="6">
        <v>44377</v>
      </c>
      <c r="B190" s="7">
        <v>22329822.791512702</v>
      </c>
      <c r="C190" s="7">
        <v>6199613.3395231003</v>
      </c>
      <c r="D190" s="7">
        <v>28529436.131035801</v>
      </c>
      <c r="E190" s="5">
        <f>Table1[[#This Row],[Total Debt held by the Public]]/Table1[[#This Row],[Total Outstanding National Debt]]</f>
        <v>0.78269415101482365</v>
      </c>
      <c r="F190" s="5">
        <f>Table1[[#This Row],[Total Intragovernmental Debt]]/Table1[[#This Row],[Total Outstanding National Debt]]</f>
        <v>0.21730584898517638</v>
      </c>
    </row>
    <row r="191" spans="1:6" x14ac:dyDescent="0.3">
      <c r="A191" s="6">
        <v>44408</v>
      </c>
      <c r="B191" s="7">
        <v>22284627.5511792</v>
      </c>
      <c r="C191" s="7">
        <v>6143094.03387227</v>
      </c>
      <c r="D191" s="7">
        <v>28427721.585051499</v>
      </c>
      <c r="E191" s="5">
        <f>Table1[[#This Row],[Total Debt held by the Public]]/Table1[[#This Row],[Total Outstanding National Debt]]</f>
        <v>0.78390480519189421</v>
      </c>
      <c r="F191" s="5">
        <f>Table1[[#This Row],[Total Intragovernmental Debt]]/Table1[[#This Row],[Total Outstanding National Debt]]</f>
        <v>0.21609519480810482</v>
      </c>
    </row>
    <row r="192" spans="1:6" x14ac:dyDescent="0.3">
      <c r="A192" s="6">
        <v>44439</v>
      </c>
      <c r="B192" s="7">
        <v>22254544.444416199</v>
      </c>
      <c r="C192" s="7">
        <v>6172774.30783947</v>
      </c>
      <c r="D192" s="7">
        <v>28427316.7522556</v>
      </c>
      <c r="E192" s="5">
        <f>Table1[[#This Row],[Total Debt held by the Public]]/Table1[[#This Row],[Total Outstanding National Debt]]</f>
        <v>0.78285772232268047</v>
      </c>
      <c r="F192" s="5">
        <f>Table1[[#This Row],[Total Intragovernmental Debt]]/Table1[[#This Row],[Total Outstanding National Debt]]</f>
        <v>0.21714234803218577</v>
      </c>
    </row>
    <row r="193" spans="1:6" x14ac:dyDescent="0.3">
      <c r="A193" s="6">
        <v>44469</v>
      </c>
      <c r="B193" s="7">
        <v>22282900.228130199</v>
      </c>
      <c r="C193" s="7">
        <v>6146017.8843384497</v>
      </c>
      <c r="D193" s="7">
        <v>28428919.1124686</v>
      </c>
      <c r="E193" s="5">
        <f>Table1[[#This Row],[Total Debt held by the Public]]/Table1[[#This Row],[Total Outstanding National Debt]]</f>
        <v>0.78381102496285804</v>
      </c>
      <c r="F193" s="5">
        <f>Table1[[#This Row],[Total Intragovernmental Debt]]/Table1[[#This Row],[Total Outstanding National Debt]]</f>
        <v>0.21618893986169443</v>
      </c>
    </row>
    <row r="194" spans="1:6" x14ac:dyDescent="0.3">
      <c r="A194" s="6">
        <v>44500</v>
      </c>
      <c r="B194" s="7">
        <v>22637089.618510999</v>
      </c>
      <c r="C194" s="7">
        <v>6271676.2427948797</v>
      </c>
      <c r="D194" s="7">
        <v>28908764.8613059</v>
      </c>
      <c r="E194" s="5">
        <f>Table1[[#This Row],[Total Debt held by the Public]]/Table1[[#This Row],[Total Outstanding National Debt]]</f>
        <v>0.78305281208366406</v>
      </c>
      <c r="F194" s="5">
        <f>Table1[[#This Row],[Total Intragovernmental Debt]]/Table1[[#This Row],[Total Outstanding National Debt]]</f>
        <v>0.21694722250792034</v>
      </c>
    </row>
    <row r="195" spans="1:6" x14ac:dyDescent="0.3">
      <c r="A195" s="6">
        <v>44530</v>
      </c>
      <c r="B195" s="7">
        <v>22645911.862125501</v>
      </c>
      <c r="C195" s="7">
        <v>6262074.6051263297</v>
      </c>
      <c r="D195" s="7">
        <v>28907987.4672518</v>
      </c>
      <c r="E195" s="5">
        <f>Table1[[#This Row],[Total Debt held by the Public]]/Table1[[#This Row],[Total Outstanding National Debt]]</f>
        <v>0.78337905354981063</v>
      </c>
      <c r="F195" s="5">
        <f>Table1[[#This Row],[Total Intragovernmental Debt]]/Table1[[#This Row],[Total Outstanding National Debt]]</f>
        <v>0.21662091185767512</v>
      </c>
    </row>
    <row r="196" spans="1:6" x14ac:dyDescent="0.3">
      <c r="A196" s="6">
        <v>44561</v>
      </c>
      <c r="B196" s="7">
        <v>23143747.341942899</v>
      </c>
      <c r="C196" s="7">
        <v>6473468.1786839198</v>
      </c>
      <c r="D196" s="7">
        <v>29617214.520626798</v>
      </c>
      <c r="E196" s="5">
        <f>Table1[[#This Row],[Total Debt held by the Public]]/Table1[[#This Row],[Total Outstanding National Debt]]</f>
        <v>0.78142889925804881</v>
      </c>
      <c r="F196" s="5">
        <f>Table1[[#This Row],[Total Intragovernmental Debt]]/Table1[[#This Row],[Total Outstanding National Debt]]</f>
        <v>0.21857113450609938</v>
      </c>
    </row>
    <row r="197" spans="1:6" x14ac:dyDescent="0.3">
      <c r="A197" s="6">
        <v>44592</v>
      </c>
      <c r="B197" s="7">
        <v>23487180.851727601</v>
      </c>
      <c r="C197" s="7">
        <v>6525204.8742312202</v>
      </c>
      <c r="D197" s="7">
        <v>30012385.725958802</v>
      </c>
      <c r="E197" s="5">
        <f>Table1[[#This Row],[Total Debt held by the Public]]/Table1[[#This Row],[Total Outstanding National Debt]]</f>
        <v>0.78258293313259286</v>
      </c>
      <c r="F197" s="5">
        <f>Table1[[#This Row],[Total Intragovernmental Debt]]/Table1[[#This Row],[Total Outstanding National Debt]]</f>
        <v>0.2174170668674078</v>
      </c>
    </row>
    <row r="198" spans="1:6" x14ac:dyDescent="0.3">
      <c r="A198" s="6">
        <v>44620</v>
      </c>
      <c r="B198" s="7">
        <v>23776559.8583396</v>
      </c>
      <c r="C198" s="7">
        <v>6513793.4688508604</v>
      </c>
      <c r="D198" s="7">
        <v>30290353.3271905</v>
      </c>
      <c r="E198" s="5">
        <f>Table1[[#This Row],[Total Debt held by the Public]]/Table1[[#This Row],[Total Outstanding National Debt]]</f>
        <v>0.78495485349773997</v>
      </c>
      <c r="F198" s="5">
        <f>Table1[[#This Row],[Total Intragovernmental Debt]]/Table1[[#This Row],[Total Outstanding National Debt]]</f>
        <v>0.2150451465022587</v>
      </c>
    </row>
    <row r="199" spans="1:6" x14ac:dyDescent="0.3">
      <c r="A199" s="6">
        <v>44651</v>
      </c>
      <c r="B199" s="7">
        <v>23879767.7245996</v>
      </c>
      <c r="C199" s="7">
        <v>6521191.9035437703</v>
      </c>
      <c r="D199" s="7">
        <v>30400959.6281434</v>
      </c>
      <c r="E199" s="5">
        <f>Table1[[#This Row],[Total Debt held by the Public]]/Table1[[#This Row],[Total Outstanding National Debt]]</f>
        <v>0.78549387968967699</v>
      </c>
      <c r="F199" s="5">
        <f>Table1[[#This Row],[Total Intragovernmental Debt]]/Table1[[#This Row],[Total Outstanding National Debt]]</f>
        <v>0.21450612031032201</v>
      </c>
    </row>
    <row r="200" spans="1:6" x14ac:dyDescent="0.3">
      <c r="A200" s="6">
        <v>44681</v>
      </c>
      <c r="B200" s="7">
        <v>23847245.051507901</v>
      </c>
      <c r="C200" s="7">
        <v>6526909.1200853502</v>
      </c>
      <c r="D200" s="7">
        <v>30374155.171593301</v>
      </c>
      <c r="E200" s="5">
        <f>Table1[[#This Row],[Total Debt held by the Public]]/Table1[[#This Row],[Total Outstanding National Debt]]</f>
        <v>0.78511632395328201</v>
      </c>
      <c r="F200" s="5">
        <f>Table1[[#This Row],[Total Intragovernmental Debt]]/Table1[[#This Row],[Total Outstanding National Debt]]</f>
        <v>0.21488364312399</v>
      </c>
    </row>
    <row r="201" spans="1:6" x14ac:dyDescent="0.3">
      <c r="A201" s="6">
        <v>44712</v>
      </c>
      <c r="B201" s="7">
        <v>23904391.421216499</v>
      </c>
      <c r="C201" s="7">
        <v>6595226.8034866797</v>
      </c>
      <c r="D201" s="7">
        <v>30499619.2247032</v>
      </c>
      <c r="E201" s="5">
        <f>Table1[[#This Row],[Total Debt held by the Public]]/Table1[[#This Row],[Total Outstanding National Debt]]</f>
        <v>0.78376032320610456</v>
      </c>
      <c r="F201" s="5">
        <f>Table1[[#This Row],[Total Intragovernmental Debt]]/Table1[[#This Row],[Total Outstanding National Debt]]</f>
        <v>0.2162396440066002</v>
      </c>
    </row>
    <row r="202" spans="1:6" x14ac:dyDescent="0.3">
      <c r="A202" s="6">
        <v>44742</v>
      </c>
      <c r="B202" s="7">
        <v>23912159.7086404</v>
      </c>
      <c r="C202" s="7">
        <v>6656422.0275450898</v>
      </c>
      <c r="D202" s="7">
        <v>30568581.736185499</v>
      </c>
      <c r="E202" s="5">
        <f>Table1[[#This Row],[Total Debt held by the Public]]/Table1[[#This Row],[Total Outstanding National Debt]]</f>
        <v>0.7822462917975167</v>
      </c>
      <c r="F202" s="5">
        <f>Table1[[#This Row],[Total Intragovernmental Debt]]/Table1[[#This Row],[Total Outstanding National Debt]]</f>
        <v>0.21775370820248305</v>
      </c>
    </row>
    <row r="203" spans="1:6" x14ac:dyDescent="0.3">
      <c r="A203" s="6">
        <v>44773</v>
      </c>
      <c r="B203" s="7">
        <v>23952579.263626199</v>
      </c>
      <c r="C203" s="7">
        <v>6642529.3841331704</v>
      </c>
      <c r="D203" s="7">
        <v>30595108.622759301</v>
      </c>
      <c r="E203" s="5">
        <f>Table1[[#This Row],[Total Debt held by the Public]]/Table1[[#This Row],[Total Outstanding National Debt]]</f>
        <v>0.78288917221912357</v>
      </c>
      <c r="F203" s="5">
        <f>Table1[[#This Row],[Total Intragovernmental Debt]]/Table1[[#This Row],[Total Outstanding National Debt]]</f>
        <v>0.21711082859800274</v>
      </c>
    </row>
    <row r="204" spans="1:6" x14ac:dyDescent="0.3">
      <c r="A204" s="6">
        <v>44804</v>
      </c>
      <c r="B204" s="7">
        <v>24267551.2205685</v>
      </c>
      <c r="C204" s="7">
        <v>6668523.9726021001</v>
      </c>
      <c r="D204" s="7">
        <v>30936075.1931706</v>
      </c>
      <c r="E204" s="5">
        <f>Table1[[#This Row],[Total Debt held by the Public]]/Table1[[#This Row],[Total Outstanding National Debt]]</f>
        <v>0.78444182298618692</v>
      </c>
      <c r="F204" s="5">
        <f>Table1[[#This Row],[Total Intragovernmental Debt]]/Table1[[#This Row],[Total Outstanding National Debt]]</f>
        <v>0.21555817701381308</v>
      </c>
    </row>
    <row r="205" spans="1:6" x14ac:dyDescent="0.3">
      <c r="A205" s="6">
        <v>44834</v>
      </c>
      <c r="B205" s="7">
        <v>24299192.593880199</v>
      </c>
      <c r="C205" s="7">
        <v>6629718.9931482198</v>
      </c>
      <c r="D205" s="7">
        <v>30928911.587028399</v>
      </c>
      <c r="E205" s="5">
        <f>Table1[[#This Row],[Total Debt held by the Public]]/Table1[[#This Row],[Total Outstanding National Debt]]</f>
        <v>0.78564654709903503</v>
      </c>
      <c r="F205" s="5">
        <f>Table1[[#This Row],[Total Intragovernmental Debt]]/Table1[[#This Row],[Total Outstanding National Debt]]</f>
        <v>0.21435345290096555</v>
      </c>
    </row>
    <row r="206" spans="1:6" x14ac:dyDescent="0.3">
      <c r="A206" s="6">
        <v>44865</v>
      </c>
      <c r="B206" s="7">
        <v>24352541.670687702</v>
      </c>
      <c r="C206" s="7">
        <v>6885759.4858939303</v>
      </c>
      <c r="D206" s="7">
        <v>31238301.1565817</v>
      </c>
      <c r="E206" s="5">
        <f>Table1[[#This Row],[Total Debt held by the Public]]/Table1[[#This Row],[Total Outstanding National Debt]]</f>
        <v>0.77957317680692073</v>
      </c>
      <c r="F206" s="5">
        <f>Table1[[#This Row],[Total Intragovernmental Debt]]/Table1[[#This Row],[Total Outstanding National Debt]]</f>
        <v>0.2204268231930771</v>
      </c>
    </row>
    <row r="207" spans="1:6" x14ac:dyDescent="0.3">
      <c r="A207" s="6">
        <v>44895</v>
      </c>
      <c r="B207" s="7">
        <v>24553456.552924301</v>
      </c>
      <c r="C207" s="7">
        <v>6859865.8806183701</v>
      </c>
      <c r="D207" s="7">
        <v>31413322.433542699</v>
      </c>
      <c r="E207" s="5">
        <f>Table1[[#This Row],[Total Debt held by the Public]]/Table1[[#This Row],[Total Outstanding National Debt]]</f>
        <v>0.78162558592358478</v>
      </c>
      <c r="F207" s="5">
        <f>Table1[[#This Row],[Total Intragovernmental Debt]]/Table1[[#This Row],[Total Outstanding National Debt]]</f>
        <v>0.21837441407641436</v>
      </c>
    </row>
    <row r="208" spans="1:6" x14ac:dyDescent="0.3">
      <c r="A208" s="6">
        <v>44926</v>
      </c>
      <c r="B208" s="7">
        <v>24517593.303862698</v>
      </c>
      <c r="C208" s="7">
        <v>6902096.2129920302</v>
      </c>
      <c r="D208" s="7">
        <v>31419689.416854698</v>
      </c>
      <c r="E208" s="5">
        <f>Table1[[#This Row],[Total Debt held by the Public]]/Table1[[#This Row],[Total Outstanding National Debt]]</f>
        <v>0.78032576893362104</v>
      </c>
      <c r="F208" s="5">
        <f>Table1[[#This Row],[Total Intragovernmental Debt]]/Table1[[#This Row],[Total Outstanding National Debt]]</f>
        <v>0.21967423424909754</v>
      </c>
    </row>
    <row r="209" spans="1:6" x14ac:dyDescent="0.3">
      <c r="A209" s="6">
        <v>44957</v>
      </c>
      <c r="B209" s="7">
        <v>24583994.486687999</v>
      </c>
      <c r="C209" s="7">
        <v>6870988.6546645099</v>
      </c>
      <c r="D209" s="7">
        <v>31454982.041352499</v>
      </c>
      <c r="E209" s="5">
        <f>Table1[[#This Row],[Total Debt held by the Public]]/Table1[[#This Row],[Total Outstanding National Debt]]</f>
        <v>0.7815612310434159</v>
      </c>
      <c r="F209" s="5">
        <f>Table1[[#This Row],[Total Intragovernmental Debt]]/Table1[[#This Row],[Total Outstanding National Debt]]</f>
        <v>0.21843880392719728</v>
      </c>
    </row>
    <row r="210" spans="1:6" x14ac:dyDescent="0.3">
      <c r="A210" s="6">
        <v>44985</v>
      </c>
      <c r="B210" s="7">
        <v>24609240.800815798</v>
      </c>
      <c r="C210" s="7">
        <v>6850050.6568576898</v>
      </c>
      <c r="D210" s="7">
        <v>31459291.457673501</v>
      </c>
      <c r="E210" s="5">
        <f>Table1[[#This Row],[Total Debt held by the Public]]/Table1[[#This Row],[Total Outstanding National Debt]]</f>
        <v>0.78225667713864389</v>
      </c>
      <c r="F210" s="5">
        <f>Table1[[#This Row],[Total Intragovernmental Debt]]/Table1[[#This Row],[Total Outstanding National Debt]]</f>
        <v>0.21774332286135567</v>
      </c>
    </row>
    <row r="211" spans="1:6" x14ac:dyDescent="0.3">
      <c r="A211" s="6">
        <v>45016</v>
      </c>
      <c r="B211" s="7">
        <v>24693515.024481401</v>
      </c>
      <c r="C211" s="7">
        <v>6764922.6212353604</v>
      </c>
      <c r="D211" s="7">
        <v>31458437.645716801</v>
      </c>
      <c r="E211" s="5">
        <f>Table1[[#This Row],[Total Debt held by the Public]]/Table1[[#This Row],[Total Outstanding National Debt]]</f>
        <v>0.78495681516604265</v>
      </c>
      <c r="F211" s="5">
        <f>Table1[[#This Row],[Total Intragovernmental Debt]]/Table1[[#This Row],[Total Outstanding National Debt]]</f>
        <v>0.2150431848339561</v>
      </c>
    </row>
    <row r="212" spans="1:6" x14ac:dyDescent="0.3">
      <c r="A212" s="6">
        <v>45046</v>
      </c>
      <c r="B212" s="7">
        <v>24605068.000536501</v>
      </c>
      <c r="C212" s="7">
        <v>6852747.0258489298</v>
      </c>
      <c r="D212" s="7">
        <v>31457815.026385501</v>
      </c>
      <c r="E212" s="5">
        <f>Table1[[#This Row],[Total Debt held by the Public]]/Table1[[#This Row],[Total Outstanding National Debt]]</f>
        <v>0.78216074383738343</v>
      </c>
      <c r="F212" s="5">
        <f>Table1[[#This Row],[Total Intragovernmental Debt]]/Table1[[#This Row],[Total Outstanding National Debt]]</f>
        <v>0.21783925616261435</v>
      </c>
    </row>
    <row r="213" spans="1:6" x14ac:dyDescent="0.3">
      <c r="A213" s="6">
        <v>45077</v>
      </c>
      <c r="B213" s="7">
        <v>24630686.2480428</v>
      </c>
      <c r="C213" s="7">
        <v>6833771.1821094304</v>
      </c>
      <c r="D213" s="7">
        <v>31464457.4301522</v>
      </c>
      <c r="E213" s="5">
        <f>Table1[[#This Row],[Total Debt held by the Public]]/Table1[[#This Row],[Total Outstanding National Debt]]</f>
        <v>0.78280981970594421</v>
      </c>
      <c r="F213" s="5">
        <f>Table1[[#This Row],[Total Intragovernmental Debt]]/Table1[[#This Row],[Total Outstanding National Debt]]</f>
        <v>0.21719018029405676</v>
      </c>
    </row>
    <row r="214" spans="1:6" x14ac:dyDescent="0.3">
      <c r="A214" s="6">
        <v>45107</v>
      </c>
      <c r="B214" s="7">
        <v>25461998.182279699</v>
      </c>
      <c r="C214" s="7">
        <v>6870275.9977071499</v>
      </c>
      <c r="D214" s="7">
        <v>32332274.179986801</v>
      </c>
      <c r="E214" s="5">
        <f>Table1[[#This Row],[Total Debt held by the Public]]/Table1[[#This Row],[Total Outstanding National Debt]]</f>
        <v>0.78751027659045081</v>
      </c>
      <c r="F214" s="5">
        <f>Table1[[#This Row],[Total Intragovernmental Debt]]/Table1[[#This Row],[Total Outstanding National Debt]]</f>
        <v>0.21248972340955061</v>
      </c>
    </row>
    <row r="215" spans="1:6" x14ac:dyDescent="0.3">
      <c r="A215" s="6">
        <v>45138</v>
      </c>
      <c r="B215" s="7">
        <v>25708799.263748098</v>
      </c>
      <c r="C215" s="7">
        <v>6899785.8458563499</v>
      </c>
      <c r="D215" s="7">
        <v>32608585.1096044</v>
      </c>
      <c r="E215" s="5">
        <f>Table1[[#This Row],[Total Debt held by the Public]]/Table1[[#This Row],[Total Outstanding National Debt]]</f>
        <v>0.78840585009546871</v>
      </c>
      <c r="F215" s="5">
        <f>Table1[[#This Row],[Total Intragovernmental Debt]]/Table1[[#This Row],[Total Outstanding National Debt]]</f>
        <v>0.21159414990453282</v>
      </c>
    </row>
    <row r="216" spans="1:6" x14ac:dyDescent="0.3">
      <c r="A216" s="6">
        <v>45169</v>
      </c>
      <c r="B216" s="7">
        <v>26044050.623762101</v>
      </c>
      <c r="C216" s="7">
        <v>6870098.6592041096</v>
      </c>
      <c r="D216" s="7">
        <v>32914149.2829662</v>
      </c>
      <c r="E216" s="5">
        <f>Table1[[#This Row],[Total Debt held by the Public]]/Table1[[#This Row],[Total Outstanding National Debt]]</f>
        <v>0.79127217902121116</v>
      </c>
      <c r="F216" s="5">
        <f>Table1[[#This Row],[Total Intragovernmental Debt]]/Table1[[#This Row],[Total Outstanding National Debt]]</f>
        <v>0.20872782097878911</v>
      </c>
    </row>
    <row r="217" spans="1:6" x14ac:dyDescent="0.3">
      <c r="A217" s="6">
        <v>45199</v>
      </c>
      <c r="B217" s="7">
        <v>26330141.852956101</v>
      </c>
      <c r="C217" s="7">
        <v>6837191.9725012202</v>
      </c>
      <c r="D217" s="7">
        <v>33167333.825457301</v>
      </c>
      <c r="E217" s="5">
        <f>Table1[[#This Row],[Total Debt held by the Public]]/Table1[[#This Row],[Total Outstanding National Debt]]</f>
        <v>0.79385765499024308</v>
      </c>
      <c r="F217" s="5">
        <f>Table1[[#This Row],[Total Intragovernmental Debt]]/Table1[[#This Row],[Total Outstanding National Debt]]</f>
        <v>0.20614234500975753</v>
      </c>
    </row>
    <row r="218" spans="1:6" x14ac:dyDescent="0.3">
      <c r="A218" s="6">
        <v>45230</v>
      </c>
      <c r="B218" s="7">
        <v>26576222.041190598</v>
      </c>
      <c r="C218" s="7">
        <v>7123357.5465747099</v>
      </c>
      <c r="D218" s="7">
        <v>33699579.587765403</v>
      </c>
      <c r="E218" s="5">
        <f>Table1[[#This Row],[Total Debt held by the Public]]/Table1[[#This Row],[Total Outstanding National Debt]]</f>
        <v>0.78862176817300911</v>
      </c>
      <c r="F218" s="5">
        <f>Table1[[#This Row],[Total Intragovernmental Debt]]/Table1[[#This Row],[Total Outstanding National Debt]]</f>
        <v>0.21137823182698806</v>
      </c>
    </row>
    <row r="219" spans="1:6" x14ac:dyDescent="0.3">
      <c r="A219" s="6">
        <v>45260</v>
      </c>
      <c r="B219" s="7">
        <v>26843822.063999899</v>
      </c>
      <c r="C219" s="7">
        <v>7034856.7257833797</v>
      </c>
      <c r="D219" s="7">
        <v>33878678.789783299</v>
      </c>
      <c r="E219" s="5">
        <f>Table1[[#This Row],[Total Debt held by the Public]]/Table1[[#This Row],[Total Outstanding National Debt]]</f>
        <v>0.79235150315528591</v>
      </c>
      <c r="F219" s="5">
        <f>Table1[[#This Row],[Total Intragovernmental Debt]]/Table1[[#This Row],[Total Outstanding National Debt]]</f>
        <v>0.20764849684471351</v>
      </c>
    </row>
    <row r="220" spans="1:6" x14ac:dyDescent="0.3">
      <c r="A220" s="6">
        <v>45291</v>
      </c>
      <c r="B220" s="7">
        <v>26938517.5432868</v>
      </c>
      <c r="C220" s="7">
        <v>7062976.0408808896</v>
      </c>
      <c r="D220" s="7">
        <v>34001493.584167697</v>
      </c>
      <c r="E220" s="5">
        <f>Table1[[#This Row],[Total Debt held by the Public]]/Table1[[#This Row],[Total Outstanding National Debt]]</f>
        <v>0.79227453572305218</v>
      </c>
      <c r="F220" s="5">
        <f>Table1[[#This Row],[Total Intragovernmental Debt]]/Table1[[#This Row],[Total Outstanding National Debt]]</f>
        <v>0.2077254642769476</v>
      </c>
    </row>
    <row r="221" spans="1:6" x14ac:dyDescent="0.3">
      <c r="A221" s="6">
        <v>45322</v>
      </c>
      <c r="B221" s="7">
        <v>27071861.911249202</v>
      </c>
      <c r="C221" s="7">
        <v>7119288.5083254203</v>
      </c>
      <c r="D221" s="7">
        <v>34191150.4195747</v>
      </c>
      <c r="E221" s="5">
        <f>Table1[[#This Row],[Total Debt held by the Public]]/Table1[[#This Row],[Total Outstanding National Debt]]</f>
        <v>0.79177979035623058</v>
      </c>
      <c r="F221" s="5">
        <f>Table1[[#This Row],[Total Intragovernmental Debt]]/Table1[[#This Row],[Total Outstanding National Debt]]</f>
        <v>0.20822020964376711</v>
      </c>
    </row>
    <row r="222" spans="1:6" x14ac:dyDescent="0.3">
      <c r="A222" s="6">
        <v>45351</v>
      </c>
      <c r="B222" s="7">
        <v>27380289.958246201</v>
      </c>
      <c r="C222" s="7">
        <v>7090792.6307873996</v>
      </c>
      <c r="D222" s="7">
        <v>34471082.589033499</v>
      </c>
      <c r="E222" s="5">
        <f>Table1[[#This Row],[Total Debt held by the Public]]/Table1[[#This Row],[Total Outstanding National Debt]]</f>
        <v>0.79429736178221633</v>
      </c>
      <c r="F222" s="5">
        <f>Table1[[#This Row],[Total Intragovernmental Debt]]/Table1[[#This Row],[Total Outstanding National Debt]]</f>
        <v>0.20570263821778656</v>
      </c>
    </row>
    <row r="223" spans="1:6" x14ac:dyDescent="0.3">
      <c r="A223" s="6">
        <v>45382</v>
      </c>
      <c r="B223" s="7">
        <v>27511455.249566302</v>
      </c>
      <c r="C223" s="7">
        <v>7075077.5464968104</v>
      </c>
      <c r="D223" s="7">
        <v>34586532.7960632</v>
      </c>
      <c r="E223" s="5">
        <f>Table1[[#This Row],[Total Debt held by the Public]]/Table1[[#This Row],[Total Outstanding National Debt]]</f>
        <v>0.79543836937300016</v>
      </c>
      <c r="F223" s="5">
        <f>Table1[[#This Row],[Total Intragovernmental Debt]]/Table1[[#This Row],[Total Outstanding National Debt]]</f>
        <v>0.20456163062699736</v>
      </c>
    </row>
    <row r="224" spans="1:6" x14ac:dyDescent="0.3">
      <c r="A224" s="6">
        <v>45412</v>
      </c>
      <c r="B224" s="7">
        <v>27480960.204128101</v>
      </c>
      <c r="C224" s="7">
        <v>7136034.1701968201</v>
      </c>
      <c r="D224" s="7">
        <v>34616994.374324903</v>
      </c>
      <c r="E224" s="5">
        <f>Table1[[#This Row],[Total Debt held by the Public]]/Table1[[#This Row],[Total Outstanding National Debt]]</f>
        <v>0.7938574882315742</v>
      </c>
      <c r="F224" s="5">
        <f>Table1[[#This Row],[Total Intragovernmental Debt]]/Table1[[#This Row],[Total Outstanding National Debt]]</f>
        <v>0.20614251176842635</v>
      </c>
    </row>
    <row r="225" spans="1:6" x14ac:dyDescent="0.3">
      <c r="A225" s="6">
        <v>45443</v>
      </c>
      <c r="B225" s="7">
        <v>27606806.583404198</v>
      </c>
      <c r="C225" s="7">
        <v>7060308.8550176499</v>
      </c>
      <c r="D225" s="7">
        <v>34667115.438421801</v>
      </c>
      <c r="E225" s="5">
        <f>Table1[[#This Row],[Total Debt held by the Public]]/Table1[[#This Row],[Total Outstanding National Debt]]</f>
        <v>0.79633988101609932</v>
      </c>
      <c r="F225" s="5">
        <f>Table1[[#This Row],[Total Intragovernmental Debt]]/Table1[[#This Row],[Total Outstanding National Debt]]</f>
        <v>0.20366011898390199</v>
      </c>
    </row>
    <row r="226" spans="1:6" x14ac:dyDescent="0.3">
      <c r="A226" s="6">
        <v>45473</v>
      </c>
      <c r="B226" s="7">
        <v>27612897.138644401</v>
      </c>
      <c r="C226" s="7">
        <v>7218737.8471678998</v>
      </c>
      <c r="D226" s="7">
        <v>34831633.985812299</v>
      </c>
      <c r="E226" s="5">
        <f>Table1[[#This Row],[Total Debt held by the Public]]/Table1[[#This Row],[Total Outstanding National Debt]]</f>
        <v>0.79275342494388146</v>
      </c>
      <c r="F226" s="5">
        <f>Table1[[#This Row],[Total Intragovernmental Debt]]/Table1[[#This Row],[Total Outstanding National Debt]]</f>
        <v>0.20724660376565315</v>
      </c>
    </row>
    <row r="227" spans="1:6" x14ac:dyDescent="0.3">
      <c r="A227" s="6">
        <v>45504</v>
      </c>
      <c r="B227" s="7">
        <v>27930512.4980211</v>
      </c>
      <c r="C227" s="7">
        <v>7174259.1205072002</v>
      </c>
      <c r="D227" s="7">
        <v>35104770.618528299</v>
      </c>
      <c r="E227" s="5">
        <f>Table1[[#This Row],[Total Debt held by the Public]]/Table1[[#This Row],[Total Outstanding National Debt]]</f>
        <v>0.79563295831021252</v>
      </c>
      <c r="F227" s="5">
        <f>Table1[[#This Row],[Total Intragovernmental Debt]]/Table1[[#This Row],[Total Outstanding National Debt]]</f>
        <v>0.2043670701759443</v>
      </c>
    </row>
    <row r="228" spans="1:6" x14ac:dyDescent="0.3">
      <c r="A228" s="6">
        <v>45535</v>
      </c>
      <c r="B228" s="7">
        <v>28168005.136298601</v>
      </c>
      <c r="C228" s="7">
        <v>7088052.4435059596</v>
      </c>
      <c r="D228" s="7">
        <v>35256056.579804502</v>
      </c>
      <c r="E228" s="5">
        <f>Table1[[#This Row],[Total Debt held by the Public]]/Table1[[#This Row],[Total Outstanding National Debt]]</f>
        <v>0.79895506953644657</v>
      </c>
      <c r="F228" s="5">
        <f>Table1[[#This Row],[Total Intragovernmental Debt]]/Table1[[#This Row],[Total Outstanding National Debt]]</f>
        <v>0.20104495882747597</v>
      </c>
    </row>
    <row r="229" spans="1:6" x14ac:dyDescent="0.3">
      <c r="A229" s="6">
        <v>45565</v>
      </c>
      <c r="B229" s="7">
        <v>28307312.267010398</v>
      </c>
      <c r="C229" s="7">
        <v>7157361.6504699299</v>
      </c>
      <c r="D229" s="7">
        <v>35464673.917480297</v>
      </c>
      <c r="E229" s="5">
        <f>Table1[[#This Row],[Total Debt held by the Public]]/Table1[[#This Row],[Total Outstanding National Debt]]</f>
        <v>0.79818335092763715</v>
      </c>
      <c r="F229" s="5">
        <f>Table1[[#This Row],[Total Intragovernmental Debt]]/Table1[[#This Row],[Total Outstanding National Debt]]</f>
        <v>0.20181664907236366</v>
      </c>
    </row>
    <row r="230" spans="1:6" x14ac:dyDescent="0.3">
      <c r="A230" s="6">
        <v>45596</v>
      </c>
      <c r="B230" s="7">
        <v>28572149.0401484</v>
      </c>
      <c r="C230" s="7">
        <v>7379452.147593</v>
      </c>
      <c r="D230" s="7">
        <v>35951601.187741503</v>
      </c>
      <c r="E230" s="5">
        <f>Table1[[#This Row],[Total Debt held by the Public]]/Table1[[#This Row],[Total Outstanding National Debt]]</f>
        <v>0.79473926323734112</v>
      </c>
      <c r="F230" s="5">
        <f>Table1[[#This Row],[Total Intragovernmental Debt]]/Table1[[#This Row],[Total Outstanding National Debt]]</f>
        <v>0.20526073676265602</v>
      </c>
    </row>
    <row r="231" spans="1:6" x14ac:dyDescent="0.3">
      <c r="A231" s="6">
        <v>45626</v>
      </c>
      <c r="B231" s="7">
        <v>28791208.127993599</v>
      </c>
      <c r="C231" s="7">
        <v>7296155.2241708003</v>
      </c>
      <c r="D231" s="7">
        <v>36087363.352164403</v>
      </c>
      <c r="E231" s="5">
        <f>Table1[[#This Row],[Total Debt held by the Public]]/Table1[[#This Row],[Total Outstanding National Debt]]</f>
        <v>0.7978196646574014</v>
      </c>
      <c r="F231" s="5">
        <f>Table1[[#This Row],[Total Intragovernmental Debt]]/Table1[[#This Row],[Total Outstanding National Debt]]</f>
        <v>0.20218033534259855</v>
      </c>
    </row>
    <row r="232" spans="1:6" x14ac:dyDescent="0.3">
      <c r="A232" s="6">
        <v>45657</v>
      </c>
      <c r="B232" s="7">
        <v>28836996.083105899</v>
      </c>
      <c r="C232" s="7">
        <v>7381609.2192744799</v>
      </c>
      <c r="D232" s="7">
        <v>36218605.302380398</v>
      </c>
      <c r="E232" s="5">
        <f>Table1[[#This Row],[Total Debt held by the Public]]/Table1[[#This Row],[Total Outstanding National Debt]]</f>
        <v>0.79619289153607042</v>
      </c>
      <c r="F232" s="5">
        <f>Table1[[#This Row],[Total Intragovernmental Debt]]/Table1[[#This Row],[Total Outstanding National Debt]]</f>
        <v>0.2038071084639291</v>
      </c>
    </row>
    <row r="233" spans="1:6" x14ac:dyDescent="0.3">
      <c r="A233" s="6">
        <v>45688</v>
      </c>
      <c r="B233" s="7">
        <v>28911508.6287813</v>
      </c>
      <c r="C233" s="7">
        <v>7308698.0793548701</v>
      </c>
      <c r="D233" s="7">
        <v>36220206.708136201</v>
      </c>
      <c r="E233" s="5">
        <f>Table1[[#This Row],[Total Debt held by the Public]]/Table1[[#This Row],[Total Outstanding National Debt]]</f>
        <v>0.79821489870975426</v>
      </c>
      <c r="F233" s="5">
        <f>Table1[[#This Row],[Total Intragovernmental Debt]]/Table1[[#This Row],[Total Outstanding National Debt]]</f>
        <v>0.20178510129024488</v>
      </c>
    </row>
    <row r="234" spans="1:6" x14ac:dyDescent="0.3">
      <c r="A234" s="6">
        <v>45716</v>
      </c>
      <c r="B234" s="7">
        <v>28914410.533359699</v>
      </c>
      <c r="C234" s="7">
        <v>7304512.7815497601</v>
      </c>
      <c r="D234" s="7">
        <v>36218923.314909503</v>
      </c>
      <c r="E234" s="5">
        <f>Table1[[#This Row],[Total Debt held by the Public]]/Table1[[#This Row],[Total Outstanding National Debt]]</f>
        <v>0.79832330414573904</v>
      </c>
      <c r="F234" s="5">
        <f>Table1[[#This Row],[Total Intragovernmental Debt]]/Table1[[#This Row],[Total Outstanding National Debt]]</f>
        <v>0.20167669585425974</v>
      </c>
    </row>
    <row r="235" spans="1:6" x14ac:dyDescent="0.3">
      <c r="A235" s="6">
        <v>45747</v>
      </c>
      <c r="B235" s="7">
        <v>28909508.836279001</v>
      </c>
      <c r="C235" s="7">
        <v>7304801.5698985504</v>
      </c>
      <c r="D235" s="7">
        <v>36214310.406177498</v>
      </c>
      <c r="E235" s="5">
        <f>Table1[[#This Row],[Total Debt held by the Public]]/Table1[[#This Row],[Total Outstanding National Debt]]</f>
        <v>0.79828964053247764</v>
      </c>
      <c r="F235" s="5">
        <f>Table1[[#This Row],[Total Intragovernmental Debt]]/Table1[[#This Row],[Total Outstanding National Debt]]</f>
        <v>0.20171035946752378</v>
      </c>
    </row>
    <row r="236" spans="1:6" x14ac:dyDescent="0.3">
      <c r="A236" s="6">
        <v>45777</v>
      </c>
      <c r="B236" s="7">
        <v>28852660.931639001</v>
      </c>
      <c r="C236" s="7">
        <v>7360896.2464914396</v>
      </c>
      <c r="D236" s="7">
        <v>36213557.178130403</v>
      </c>
      <c r="E236" s="5">
        <f>Table1[[#This Row],[Total Debt held by the Public]]/Table1[[#This Row],[Total Outstanding National Debt]]</f>
        <v>0.79673644844432201</v>
      </c>
      <c r="F236" s="5">
        <f>Table1[[#This Row],[Total Intragovernmental Debt]]/Table1[[#This Row],[Total Outstanding National Debt]]</f>
        <v>0.20326355155567902</v>
      </c>
    </row>
    <row r="237" spans="1:6" x14ac:dyDescent="0.3">
      <c r="A237" s="6">
        <v>45808</v>
      </c>
      <c r="B237" s="7">
        <v>28952461.137501299</v>
      </c>
      <c r="C237" s="7">
        <v>7263357.23611956</v>
      </c>
      <c r="D237" s="7">
        <v>36215818.373620801</v>
      </c>
      <c r="E237" s="5">
        <f>Table1[[#This Row],[Total Debt held by the Public]]/Table1[[#This Row],[Total Outstanding National Debt]]</f>
        <v>0.79944241046310172</v>
      </c>
      <c r="F237" s="5">
        <f>Table1[[#This Row],[Total Intragovernmental Debt]]/Table1[[#This Row],[Total Outstanding National Debt]]</f>
        <v>0.20055758953689995</v>
      </c>
    </row>
    <row r="238" spans="1:6" x14ac:dyDescent="0.3">
      <c r="A238" s="6">
        <v>45838</v>
      </c>
      <c r="B238" s="7">
        <v>28953497.4743427</v>
      </c>
      <c r="C238" s="7">
        <v>7257972.8464777702</v>
      </c>
      <c r="D238" s="7">
        <v>36211469.320820399</v>
      </c>
      <c r="E238" s="5">
        <f>Table1[[#This Row],[Total Debt held by the Public]]/Table1[[#This Row],[Total Outstanding National Debt]]</f>
        <v>0.7995670437403487</v>
      </c>
      <c r="F238" s="5">
        <f>Table1[[#This Row],[Total Intragovernmental Debt]]/Table1[[#This Row],[Total Outstanding National Debt]]</f>
        <v>0.20043298387521313</v>
      </c>
    </row>
    <row r="239" spans="1:6" x14ac:dyDescent="0.3">
      <c r="A239" s="6">
        <v>45869</v>
      </c>
      <c r="B239" s="7">
        <v>29531340.685479201</v>
      </c>
      <c r="C239" s="7">
        <v>7385647.1644018898</v>
      </c>
      <c r="D239" s="7">
        <v>36916986.849881098</v>
      </c>
      <c r="E239" s="5">
        <f>Table1[[#This Row],[Total Debt held by the Public]]/Table1[[#This Row],[Total Outstanding National Debt]]</f>
        <v>0.79993908510369982</v>
      </c>
      <c r="F239" s="5">
        <f>Table1[[#This Row],[Total Intragovernmental Debt]]/Table1[[#This Row],[Total Outstanding National Debt]]</f>
        <v>0.20006094198410121</v>
      </c>
    </row>
    <row r="240" spans="1:6" x14ac:dyDescent="0.3">
      <c r="A240" s="6">
        <v>45900</v>
      </c>
      <c r="B240" s="7">
        <v>29968531.276469301</v>
      </c>
      <c r="C240" s="7">
        <v>7305734.67246278</v>
      </c>
      <c r="D240" s="7">
        <v>37274265.948932096</v>
      </c>
      <c r="E240" s="5">
        <f>Table1[[#This Row],[Total Debt held by the Public]]/Table1[[#This Row],[Total Outstanding National Debt]]</f>
        <v>0.80400057555869575</v>
      </c>
      <c r="F240" s="5">
        <f>Table1[[#This Row],[Total Intragovernmental Debt]]/Table1[[#This Row],[Total Outstanding National Debt]]</f>
        <v>0.1959994244413038</v>
      </c>
    </row>
    <row r="241" spans="1:6" x14ac:dyDescent="0.3">
      <c r="A241" s="6">
        <v>45930</v>
      </c>
      <c r="B241" s="7">
        <v>30277766.420262799</v>
      </c>
      <c r="C241" s="7">
        <v>7359787.1067514196</v>
      </c>
      <c r="D241" s="7">
        <v>37637552.527014203</v>
      </c>
      <c r="E241" s="5">
        <f>Table1[[#This Row],[Total Debt held by the Public]]/Table1[[#This Row],[Total Outstanding National Debt]]</f>
        <v>0.80445630460511619</v>
      </c>
      <c r="F241" s="5">
        <f>Table1[[#This Row],[Total Intragovernmental Debt]]/Table1[[#This Row],[Total Outstanding National Debt]]</f>
        <v>0.19554372196409323</v>
      </c>
    </row>
    <row r="242" spans="1:6" x14ac:dyDescent="0.3">
      <c r="A242" s="6">
        <v>45961</v>
      </c>
      <c r="B242" s="7">
        <v>30570708.449539602</v>
      </c>
      <c r="C242" s="7">
        <v>7469385.3560982896</v>
      </c>
      <c r="D242" s="7">
        <v>38040093.805637904</v>
      </c>
      <c r="E242" s="5">
        <f>Table1[[#This Row],[Total Debt held by the Public]]/Table1[[#This Row],[Total Outstanding National Debt]]</f>
        <v>0.80364440229137213</v>
      </c>
      <c r="F242" s="5">
        <f>Table1[[#This Row],[Total Intragovernmental Debt]]/Table1[[#This Row],[Total Outstanding National Debt]]</f>
        <v>0.19635559770862751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2DAD-7B41-437C-B646-89E348951457}">
  <dimension ref="A3:F245"/>
  <sheetViews>
    <sheetView zoomScaleNormal="100" workbookViewId="0">
      <selection activeCell="D19" sqref="D19"/>
    </sheetView>
  </sheetViews>
  <sheetFormatPr defaultRowHeight="14.4" x14ac:dyDescent="0.3"/>
  <cols>
    <col min="1" max="1" width="10.33203125" bestFit="1" customWidth="1"/>
    <col min="2" max="2" width="14.77734375" bestFit="1" customWidth="1"/>
    <col min="3" max="3" width="16.33203125" bestFit="1" customWidth="1"/>
    <col min="4" max="4" width="14.77734375" bestFit="1" customWidth="1"/>
    <col min="5" max="5" width="21.77734375" bestFit="1" customWidth="1"/>
    <col min="6" max="7" width="24.77734375" bestFit="1" customWidth="1"/>
    <col min="8" max="8" width="31" bestFit="1" customWidth="1"/>
    <col min="9" max="9" width="37.88671875" bestFit="1" customWidth="1"/>
    <col min="10" max="36" width="12.6640625" bestFit="1" customWidth="1"/>
    <col min="37" max="243" width="13.77734375" bestFit="1" customWidth="1"/>
  </cols>
  <sheetData>
    <row r="3" spans="1:6" x14ac:dyDescent="0.3">
      <c r="A3" s="3" t="s">
        <v>30</v>
      </c>
      <c r="B3" t="s">
        <v>34</v>
      </c>
      <c r="C3" t="s">
        <v>35</v>
      </c>
      <c r="D3" t="s">
        <v>32</v>
      </c>
      <c r="E3" t="s">
        <v>36</v>
      </c>
      <c r="F3" t="s">
        <v>33</v>
      </c>
    </row>
    <row r="4" spans="1:6" x14ac:dyDescent="0.3">
      <c r="A4" s="4">
        <v>38656</v>
      </c>
      <c r="B4" s="2">
        <v>936595.96400000004</v>
      </c>
      <c r="C4" s="2">
        <v>2335971.6069999998</v>
      </c>
      <c r="D4" s="2">
        <v>520701.76270000002</v>
      </c>
      <c r="E4" s="2">
        <v>338026.46400000015</v>
      </c>
      <c r="F4" s="2">
        <v>3895828.15186565</v>
      </c>
    </row>
    <row r="5" spans="1:6" x14ac:dyDescent="0.3">
      <c r="A5" s="4">
        <v>38686</v>
      </c>
      <c r="B5" s="2">
        <v>986934.11899999995</v>
      </c>
      <c r="C5" s="2">
        <v>2339795.0246000001</v>
      </c>
      <c r="D5" s="2">
        <v>516627.00099999999</v>
      </c>
      <c r="E5" s="2">
        <v>341907.33899999969</v>
      </c>
      <c r="F5" s="2">
        <v>3907058.0631664102</v>
      </c>
    </row>
    <row r="6" spans="1:6" x14ac:dyDescent="0.3">
      <c r="A6" s="4">
        <v>38717</v>
      </c>
      <c r="B6" s="2">
        <v>963866.81499999994</v>
      </c>
      <c r="C6" s="2">
        <v>2360793.4706000001</v>
      </c>
      <c r="D6" s="2">
        <v>516620.9987</v>
      </c>
      <c r="E6" s="2">
        <v>342677.79070000025</v>
      </c>
      <c r="F6" s="2">
        <v>3986454.25738631</v>
      </c>
    </row>
    <row r="7" spans="1:6" x14ac:dyDescent="0.3">
      <c r="A7" s="4">
        <v>38748</v>
      </c>
      <c r="B7" s="2">
        <v>956249.82200000004</v>
      </c>
      <c r="C7" s="2">
        <v>2361102.4306000001</v>
      </c>
      <c r="D7" s="2">
        <v>516618.80420000001</v>
      </c>
      <c r="E7" s="2">
        <v>360860.58532860968</v>
      </c>
      <c r="F7" s="2">
        <v>4001239.15595889</v>
      </c>
    </row>
    <row r="8" spans="1:6" x14ac:dyDescent="0.3">
      <c r="A8" s="4">
        <v>38776</v>
      </c>
      <c r="B8" s="2">
        <v>999561.12800000003</v>
      </c>
      <c r="C8" s="2">
        <v>2391741.9826000002</v>
      </c>
      <c r="D8" s="2">
        <v>526716.48270000005</v>
      </c>
      <c r="E8" s="2">
        <v>359550.73706338974</v>
      </c>
      <c r="F8" s="2">
        <v>3992315.0098907999</v>
      </c>
    </row>
    <row r="9" spans="1:6" x14ac:dyDescent="0.3">
      <c r="A9" s="4">
        <v>38807</v>
      </c>
      <c r="B9" s="2">
        <v>1042049.982</v>
      </c>
      <c r="C9" s="2">
        <v>2409746.8045999999</v>
      </c>
      <c r="D9" s="2">
        <v>526703.65960000001</v>
      </c>
      <c r="E9" s="2">
        <v>361899.1578234206</v>
      </c>
      <c r="F9" s="2">
        <v>4030757.0622228002</v>
      </c>
    </row>
    <row r="10" spans="1:6" x14ac:dyDescent="0.3">
      <c r="A10" s="4">
        <v>38837</v>
      </c>
      <c r="B10" s="2">
        <v>965107.24800000002</v>
      </c>
      <c r="C10" s="2">
        <v>2409739.8585999999</v>
      </c>
      <c r="D10" s="2">
        <v>526701.75639999995</v>
      </c>
      <c r="E10" s="2">
        <v>381656.38283179048</v>
      </c>
      <c r="F10" s="2">
        <v>4072512.62290254</v>
      </c>
    </row>
    <row r="11" spans="1:6" x14ac:dyDescent="0.3">
      <c r="A11" s="4">
        <v>38868</v>
      </c>
      <c r="B11" s="2">
        <v>954441.12199999997</v>
      </c>
      <c r="C11" s="2">
        <v>2407985.5965999998</v>
      </c>
      <c r="D11" s="2">
        <v>523165.9094</v>
      </c>
      <c r="E11" s="2">
        <v>383650.94695005007</v>
      </c>
      <c r="F11" s="2">
        <v>4087533.3995320601</v>
      </c>
    </row>
    <row r="12" spans="1:6" x14ac:dyDescent="0.3">
      <c r="A12" s="4">
        <v>38898</v>
      </c>
      <c r="B12" s="2">
        <v>916706.52300000004</v>
      </c>
      <c r="C12" s="2">
        <v>2427397.2486</v>
      </c>
      <c r="D12" s="2">
        <v>523157.03240000003</v>
      </c>
      <c r="E12" s="2">
        <v>386756.67997948965</v>
      </c>
      <c r="F12" s="2">
        <v>4166024.0449238298</v>
      </c>
    </row>
    <row r="13" spans="1:6" x14ac:dyDescent="0.3">
      <c r="A13" s="4">
        <v>38929</v>
      </c>
      <c r="B13" s="2">
        <v>932693.75199999998</v>
      </c>
      <c r="C13" s="2">
        <v>2416903.3846</v>
      </c>
      <c r="D13" s="2">
        <v>523155.63589999999</v>
      </c>
      <c r="E13" s="2">
        <v>407657.47142999992</v>
      </c>
      <c r="F13" s="2">
        <v>4163936.5155442199</v>
      </c>
    </row>
    <row r="14" spans="1:6" x14ac:dyDescent="0.3">
      <c r="A14" s="4">
        <v>38960</v>
      </c>
      <c r="B14" s="2">
        <v>962312.91799999995</v>
      </c>
      <c r="C14" s="2">
        <v>2439162.7886000001</v>
      </c>
      <c r="D14" s="2">
        <v>534710.78579999995</v>
      </c>
      <c r="E14" s="2">
        <v>408485.37026336044</v>
      </c>
      <c r="F14" s="2">
        <v>4170361.90943219</v>
      </c>
    </row>
    <row r="15" spans="1:6" x14ac:dyDescent="0.3">
      <c r="A15" s="4">
        <v>38990</v>
      </c>
      <c r="B15" s="2">
        <v>911530.57299999997</v>
      </c>
      <c r="C15" s="2">
        <v>2447160.1606000001</v>
      </c>
      <c r="D15" s="2">
        <v>534709.88430000003</v>
      </c>
      <c r="E15" s="2">
        <v>409638.28115015011</v>
      </c>
      <c r="F15" s="2">
        <v>4203935.2701813597</v>
      </c>
    </row>
    <row r="16" spans="1:6" x14ac:dyDescent="0.3">
      <c r="A16" s="4">
        <v>39021</v>
      </c>
      <c r="B16" s="2">
        <v>929516.57</v>
      </c>
      <c r="C16" s="2">
        <v>2444385.1066000001</v>
      </c>
      <c r="D16" s="2">
        <v>534709.11124999996</v>
      </c>
      <c r="E16" s="2">
        <v>429358.70933387987</v>
      </c>
      <c r="F16" s="2">
        <v>4246359.96289811</v>
      </c>
    </row>
    <row r="17" spans="1:6" x14ac:dyDescent="0.3">
      <c r="A17" s="4">
        <v>39051</v>
      </c>
      <c r="B17" s="2">
        <v>989036.22199999995</v>
      </c>
      <c r="C17" s="2">
        <v>2433862.1746</v>
      </c>
      <c r="D17" s="2">
        <v>530694.37014999997</v>
      </c>
      <c r="E17" s="2">
        <v>427418.35000252025</v>
      </c>
      <c r="F17" s="2">
        <v>4252234.3786084997</v>
      </c>
    </row>
    <row r="18" spans="1:6" x14ac:dyDescent="0.3">
      <c r="A18" s="4">
        <v>39082</v>
      </c>
      <c r="B18" s="2">
        <v>944223.52899999998</v>
      </c>
      <c r="C18" s="2">
        <v>2441859.9775999999</v>
      </c>
      <c r="D18" s="2">
        <v>530682.03315000003</v>
      </c>
      <c r="E18" s="2">
        <v>425192.86220112024</v>
      </c>
      <c r="F18" s="2">
        <v>4338266.4661517097</v>
      </c>
    </row>
    <row r="19" spans="1:6" x14ac:dyDescent="0.3">
      <c r="A19" s="4">
        <v>39113</v>
      </c>
      <c r="B19" s="2">
        <v>932075.37</v>
      </c>
      <c r="C19" s="2">
        <v>2459740.0855999999</v>
      </c>
      <c r="D19" s="2">
        <v>530675.82065000001</v>
      </c>
      <c r="E19" s="2">
        <v>424950.62615166977</v>
      </c>
      <c r="F19" s="2">
        <v>4360119.3141484</v>
      </c>
    </row>
    <row r="20" spans="1:6" x14ac:dyDescent="0.3">
      <c r="A20" s="4">
        <v>39141</v>
      </c>
      <c r="B20" s="2">
        <v>982088.78899999999</v>
      </c>
      <c r="C20" s="2">
        <v>2460490.7436000002</v>
      </c>
      <c r="D20" s="2">
        <v>540496.94915</v>
      </c>
      <c r="E20" s="2">
        <v>425484.83966595959</v>
      </c>
      <c r="F20" s="2">
        <v>4369549.5861992603</v>
      </c>
    </row>
    <row r="21" spans="1:6" x14ac:dyDescent="0.3">
      <c r="A21" s="4">
        <v>39172</v>
      </c>
      <c r="B21" s="2">
        <v>1033096.039</v>
      </c>
      <c r="C21" s="2">
        <v>2468490.1815999998</v>
      </c>
      <c r="D21" s="2">
        <v>540495.05715000001</v>
      </c>
      <c r="E21" s="2">
        <v>426705.53380875103</v>
      </c>
      <c r="F21" s="2">
        <v>4380878.4355531996</v>
      </c>
    </row>
    <row r="22" spans="1:6" x14ac:dyDescent="0.3">
      <c r="A22" s="4">
        <v>39202</v>
      </c>
      <c r="B22" s="2">
        <v>944086.87</v>
      </c>
      <c r="C22" s="2">
        <v>2482719.8646</v>
      </c>
      <c r="D22" s="2">
        <v>540494.14714999998</v>
      </c>
      <c r="E22" s="2">
        <v>445084.53793015936</v>
      </c>
      <c r="F22" s="2">
        <v>4427783.3571466804</v>
      </c>
    </row>
    <row r="23" spans="1:6" x14ac:dyDescent="0.3">
      <c r="A23" s="4">
        <v>39233</v>
      </c>
      <c r="B23" s="2">
        <v>919078.94200000004</v>
      </c>
      <c r="C23" s="2">
        <v>2462977.4005999998</v>
      </c>
      <c r="D23" s="2">
        <v>547256.62505000003</v>
      </c>
      <c r="E23" s="2">
        <v>448959.98074163031</v>
      </c>
      <c r="F23" s="2">
        <v>4450719.57148646</v>
      </c>
    </row>
    <row r="24" spans="1:6" x14ac:dyDescent="0.3">
      <c r="A24" s="4">
        <v>39263</v>
      </c>
      <c r="B24" s="2">
        <v>869051.6</v>
      </c>
      <c r="C24" s="2">
        <v>2470975.7566</v>
      </c>
      <c r="D24" s="2">
        <v>547255.26194999996</v>
      </c>
      <c r="E24" s="2">
        <v>451818.59389758017</v>
      </c>
      <c r="F24" s="2">
        <v>4528573.9923210898</v>
      </c>
    </row>
    <row r="25" spans="1:6" x14ac:dyDescent="0.3">
      <c r="A25" s="4">
        <v>39294</v>
      </c>
      <c r="B25" s="2">
        <v>892068.28500000003</v>
      </c>
      <c r="C25" s="2">
        <v>2494059.5735999998</v>
      </c>
      <c r="D25" s="2">
        <v>547253.57695000002</v>
      </c>
      <c r="E25" s="2">
        <v>470039.86967754038</v>
      </c>
      <c r="F25" s="2">
        <v>4529016.8767877296</v>
      </c>
    </row>
    <row r="26" spans="1:6" x14ac:dyDescent="0.3">
      <c r="A26" s="4">
        <v>39325</v>
      </c>
      <c r="B26" s="2">
        <v>1014066.795</v>
      </c>
      <c r="C26" s="2">
        <v>2450041.1675999998</v>
      </c>
      <c r="D26" s="2">
        <v>561098.65745000006</v>
      </c>
      <c r="E26" s="2">
        <v>470992.6090398496</v>
      </c>
      <c r="F26" s="2">
        <v>4509449.4111885</v>
      </c>
    </row>
    <row r="27" spans="1:6" x14ac:dyDescent="0.3">
      <c r="A27" s="4">
        <v>39355</v>
      </c>
      <c r="B27" s="2">
        <v>958081.26699999999</v>
      </c>
      <c r="C27" s="2">
        <v>2458038.6505999998</v>
      </c>
      <c r="D27" s="2">
        <v>561098.15044999996</v>
      </c>
      <c r="E27" s="2">
        <v>470915.88023622055</v>
      </c>
      <c r="F27" s="2">
        <v>4559519.4679534202</v>
      </c>
    </row>
    <row r="28" spans="1:6" x14ac:dyDescent="0.3">
      <c r="A28" s="4">
        <v>39386</v>
      </c>
      <c r="B28" s="2">
        <v>938072.72199999995</v>
      </c>
      <c r="C28" s="2">
        <v>2482113.8316000002</v>
      </c>
      <c r="D28" s="2">
        <v>561097.60294999997</v>
      </c>
      <c r="E28" s="2">
        <v>483446.26496251952</v>
      </c>
      <c r="F28" s="2">
        <v>4614355.8843697403</v>
      </c>
    </row>
    <row r="29" spans="1:6" x14ac:dyDescent="0.3">
      <c r="A29" s="4">
        <v>39416</v>
      </c>
      <c r="B29" s="2">
        <v>1035049.336</v>
      </c>
      <c r="C29" s="2">
        <v>2465000.1705999998</v>
      </c>
      <c r="D29" s="2">
        <v>558541.72290000005</v>
      </c>
      <c r="E29" s="2">
        <v>484668.56701584021</v>
      </c>
      <c r="F29" s="2">
        <v>4606082.06617771</v>
      </c>
    </row>
    <row r="30" spans="1:6" x14ac:dyDescent="0.3">
      <c r="A30" s="4">
        <v>39447</v>
      </c>
      <c r="B30" s="2">
        <v>1003874.672</v>
      </c>
      <c r="C30" s="2">
        <v>2488486.6705999998</v>
      </c>
      <c r="D30" s="2">
        <v>558537.83490000002</v>
      </c>
      <c r="E30" s="2">
        <v>485686.1228396995</v>
      </c>
      <c r="F30" s="2">
        <v>4692586.5089913597</v>
      </c>
    </row>
    <row r="31" spans="1:6" x14ac:dyDescent="0.3">
      <c r="A31" s="4">
        <v>39478</v>
      </c>
      <c r="B31" s="2">
        <v>984387.57499999995</v>
      </c>
      <c r="C31" s="2">
        <v>2503949.1076000002</v>
      </c>
      <c r="D31" s="2">
        <v>558536.77839999995</v>
      </c>
      <c r="E31" s="2">
        <v>486012.59408169985</v>
      </c>
      <c r="F31" s="2">
        <v>4705121.5953261703</v>
      </c>
    </row>
    <row r="32" spans="1:6" x14ac:dyDescent="0.3">
      <c r="A32" s="4">
        <v>39507</v>
      </c>
      <c r="B32" s="2">
        <v>1125392.7830000001</v>
      </c>
      <c r="C32" s="2">
        <v>2478366.7365999999</v>
      </c>
      <c r="D32" s="2">
        <v>571830.40040000004</v>
      </c>
      <c r="E32" s="2">
        <v>485797.34870722005</v>
      </c>
      <c r="F32" s="2">
        <v>4696663.6500300001</v>
      </c>
    </row>
    <row r="33" spans="1:6" x14ac:dyDescent="0.3">
      <c r="A33" s="4">
        <v>39538</v>
      </c>
      <c r="B33" s="2">
        <v>1158388.0460000001</v>
      </c>
      <c r="C33" s="2">
        <v>2514087.0995999998</v>
      </c>
      <c r="D33" s="2">
        <v>571829.59939999995</v>
      </c>
      <c r="E33" s="2">
        <v>488056.29611476976</v>
      </c>
      <c r="F33" s="2">
        <v>4705232.6174085299</v>
      </c>
    </row>
    <row r="34" spans="1:6" x14ac:dyDescent="0.3">
      <c r="A34" s="4">
        <v>39568</v>
      </c>
      <c r="B34" s="2">
        <v>1025716.2554</v>
      </c>
      <c r="C34" s="2">
        <v>2540745.1899000001</v>
      </c>
      <c r="D34" s="2">
        <v>571828.92189999996</v>
      </c>
      <c r="E34" s="2">
        <v>504271.56012772024</v>
      </c>
      <c r="F34" s="2">
        <v>4734994.8939915802</v>
      </c>
    </row>
    <row r="35" spans="1:6" x14ac:dyDescent="0.3">
      <c r="A35" s="4">
        <v>39599</v>
      </c>
      <c r="B35" s="2">
        <v>1119245.4436000001</v>
      </c>
      <c r="C35" s="2">
        <v>2476584.4306999999</v>
      </c>
      <c r="D35" s="2">
        <v>581059.20559999999</v>
      </c>
      <c r="E35" s="2">
        <v>508294.5365906395</v>
      </c>
      <c r="F35" s="2">
        <v>4703615.2948973197</v>
      </c>
    </row>
    <row r="36" spans="1:6" x14ac:dyDescent="0.3">
      <c r="A36" s="4">
        <v>39629</v>
      </c>
      <c r="B36" s="2">
        <v>1060456.8025</v>
      </c>
      <c r="C36" s="2">
        <v>2543441.5795999998</v>
      </c>
      <c r="D36" s="2">
        <v>581058.87159999995</v>
      </c>
      <c r="E36" s="2">
        <v>511468.34475107957</v>
      </c>
      <c r="F36" s="2">
        <v>4795581.0738244597</v>
      </c>
    </row>
    <row r="37" spans="1:6" x14ac:dyDescent="0.3">
      <c r="A37" s="4">
        <v>39660</v>
      </c>
      <c r="B37" s="2">
        <v>1135785.9504</v>
      </c>
      <c r="C37" s="2">
        <v>2574753.0783000002</v>
      </c>
      <c r="D37" s="2">
        <v>581057.76809999999</v>
      </c>
      <c r="E37" s="2">
        <v>530526.52026147954</v>
      </c>
      <c r="F37" s="2">
        <v>4763356.0504604401</v>
      </c>
    </row>
    <row r="38" spans="1:6" x14ac:dyDescent="0.3">
      <c r="A38" s="4">
        <v>39691</v>
      </c>
      <c r="B38" s="2">
        <v>1227192.348</v>
      </c>
      <c r="C38" s="2">
        <v>2556438.4783000001</v>
      </c>
      <c r="D38" s="2">
        <v>582874.13450000004</v>
      </c>
      <c r="E38" s="2">
        <v>535385.02518525068</v>
      </c>
      <c r="F38" s="2">
        <v>4743865.3936137697</v>
      </c>
    </row>
    <row r="39" spans="1:6" x14ac:dyDescent="0.3">
      <c r="A39" s="4">
        <v>39721</v>
      </c>
      <c r="B39" s="2">
        <v>1489808.2461999999</v>
      </c>
      <c r="C39" s="2">
        <v>2624759.0767000001</v>
      </c>
      <c r="D39" s="2">
        <v>582871.53630000004</v>
      </c>
      <c r="E39" s="2">
        <v>538537.32193636987</v>
      </c>
      <c r="F39" s="2">
        <v>4788749.1020698799</v>
      </c>
    </row>
    <row r="40" spans="1:6" x14ac:dyDescent="0.3">
      <c r="A40" s="4">
        <v>39752</v>
      </c>
      <c r="B40" s="2">
        <v>1909735.6562999999</v>
      </c>
      <c r="C40" s="2">
        <v>2686604.3240999999</v>
      </c>
      <c r="D40" s="2">
        <v>582870.37329999998</v>
      </c>
      <c r="E40" s="2">
        <v>550150.04009872023</v>
      </c>
      <c r="F40" s="2">
        <v>4844733.99501622</v>
      </c>
    </row>
    <row r="41" spans="1:6" x14ac:dyDescent="0.3">
      <c r="A41" s="4">
        <v>39782</v>
      </c>
      <c r="B41" s="2">
        <v>2003705.9193</v>
      </c>
      <c r="C41" s="2">
        <v>2674880.3122999999</v>
      </c>
      <c r="D41" s="2">
        <v>594641.67709999997</v>
      </c>
      <c r="E41" s="2">
        <v>549437.33437531069</v>
      </c>
      <c r="F41" s="2">
        <v>4838510.0517740399</v>
      </c>
    </row>
    <row r="42" spans="1:6" x14ac:dyDescent="0.3">
      <c r="A42" s="4">
        <v>39813</v>
      </c>
      <c r="B42" s="2">
        <v>1866666.324</v>
      </c>
      <c r="C42" s="2">
        <v>2792206.3319999999</v>
      </c>
      <c r="D42" s="2">
        <v>594641.14300000004</v>
      </c>
      <c r="E42" s="2">
        <v>544130.12644388061</v>
      </c>
      <c r="F42" s="2">
        <v>4902160.9253017502</v>
      </c>
    </row>
    <row r="43" spans="1:6" x14ac:dyDescent="0.3">
      <c r="A43" s="4">
        <v>39844</v>
      </c>
      <c r="B43" s="2">
        <v>1798562.7548</v>
      </c>
      <c r="C43" s="2">
        <v>2826009.3365000002</v>
      </c>
      <c r="D43" s="2">
        <v>594640.86199999996</v>
      </c>
      <c r="E43" s="2">
        <v>530703.22703893017</v>
      </c>
      <c r="F43" s="2">
        <v>4882163.7240236197</v>
      </c>
    </row>
    <row r="44" spans="1:6" x14ac:dyDescent="0.3">
      <c r="A44" s="4">
        <v>39872</v>
      </c>
      <c r="B44" s="2">
        <v>1985567.0541999999</v>
      </c>
      <c r="C44" s="2">
        <v>2891961.1990999999</v>
      </c>
      <c r="D44" s="2">
        <v>609353.17200000002</v>
      </c>
      <c r="E44" s="2">
        <v>525510.25153806992</v>
      </c>
      <c r="F44" s="2">
        <v>4864753.4993168097</v>
      </c>
    </row>
    <row r="45" spans="1:6" x14ac:dyDescent="0.3">
      <c r="A45" s="4">
        <v>39903</v>
      </c>
      <c r="B45" s="2">
        <v>2033565.5160000001</v>
      </c>
      <c r="C45" s="2">
        <v>3084887.1900999998</v>
      </c>
      <c r="D45" s="2">
        <v>620548.43629999994</v>
      </c>
      <c r="E45" s="2">
        <v>527119.66067568958</v>
      </c>
      <c r="F45" s="2">
        <v>4860821.3623205097</v>
      </c>
    </row>
    <row r="46" spans="1:6" x14ac:dyDescent="0.3">
      <c r="A46" s="4">
        <v>39933</v>
      </c>
      <c r="B46" s="2">
        <v>1994533.33</v>
      </c>
      <c r="C46" s="2">
        <v>3204451.5904000001</v>
      </c>
      <c r="D46" s="2">
        <v>620548.26710000006</v>
      </c>
      <c r="E46" s="2">
        <v>543857.8385228999</v>
      </c>
      <c r="F46" s="2">
        <v>4875200.8069690503</v>
      </c>
    </row>
    <row r="47" spans="1:6" x14ac:dyDescent="0.3">
      <c r="A47" s="4">
        <v>39964</v>
      </c>
      <c r="B47" s="2">
        <v>2065401.3322999999</v>
      </c>
      <c r="C47" s="2">
        <v>3211302.9045000002</v>
      </c>
      <c r="D47" s="2">
        <v>632545.93370000005</v>
      </c>
      <c r="E47" s="2">
        <v>545019.41836071014</v>
      </c>
      <c r="F47" s="2">
        <v>4867330.37622602</v>
      </c>
    </row>
    <row r="48" spans="1:6" x14ac:dyDescent="0.3">
      <c r="A48" s="4">
        <v>39994</v>
      </c>
      <c r="B48" s="2">
        <v>2006462.8655999999</v>
      </c>
      <c r="C48" s="2">
        <v>3417740.1154999998</v>
      </c>
      <c r="D48" s="2">
        <v>643660.31259999995</v>
      </c>
      <c r="E48" s="2">
        <v>544246.69977652095</v>
      </c>
      <c r="F48" s="2">
        <v>4933164.8487427803</v>
      </c>
    </row>
    <row r="49" spans="1:6" x14ac:dyDescent="0.3">
      <c r="A49" s="4">
        <v>40025</v>
      </c>
      <c r="B49" s="2">
        <v>2020483.8473</v>
      </c>
      <c r="C49" s="2">
        <v>3547482.3391</v>
      </c>
      <c r="D49" s="2">
        <v>654845.36340000003</v>
      </c>
      <c r="E49" s="2">
        <v>559969.26616543997</v>
      </c>
      <c r="F49" s="2">
        <v>4886494.9800577499</v>
      </c>
    </row>
    <row r="50" spans="1:6" x14ac:dyDescent="0.3">
      <c r="A50" s="4">
        <v>40056</v>
      </c>
      <c r="B50" s="2">
        <v>2068494.4820999999</v>
      </c>
      <c r="C50" s="2">
        <v>3638634.9734</v>
      </c>
      <c r="D50" s="2">
        <v>667776.20325000002</v>
      </c>
      <c r="E50" s="2">
        <v>564333.57543807942</v>
      </c>
      <c r="F50" s="2">
        <v>4873630.6916082399</v>
      </c>
    </row>
    <row r="51" spans="1:6" x14ac:dyDescent="0.3">
      <c r="A51" s="4">
        <v>40086</v>
      </c>
      <c r="B51" s="2">
        <v>1992507.9058999999</v>
      </c>
      <c r="C51" s="2">
        <v>3773767.2078999998</v>
      </c>
      <c r="D51" s="2">
        <v>679800.03835000005</v>
      </c>
      <c r="E51" s="2">
        <v>563658.23554118071</v>
      </c>
      <c r="F51" s="2">
        <v>4900096.1912631998</v>
      </c>
    </row>
    <row r="52" spans="1:6" x14ac:dyDescent="0.3">
      <c r="A52" s="4">
        <v>40117</v>
      </c>
      <c r="B52" s="2">
        <v>1858506.7152</v>
      </c>
      <c r="C52" s="2">
        <v>3818223.7376999999</v>
      </c>
      <c r="D52" s="2">
        <v>691887.65865</v>
      </c>
      <c r="E52" s="2">
        <v>579014.69098413084</v>
      </c>
      <c r="F52" s="2">
        <v>4945457.80664929</v>
      </c>
    </row>
    <row r="53" spans="1:6" x14ac:dyDescent="0.3">
      <c r="A53" s="4">
        <v>40147</v>
      </c>
      <c r="B53" s="2">
        <v>1850499.4236999999</v>
      </c>
      <c r="C53" s="2">
        <v>4039775.8966999999</v>
      </c>
      <c r="D53" s="2">
        <v>704861.87175000005</v>
      </c>
      <c r="E53" s="2">
        <v>579435.51612220053</v>
      </c>
      <c r="F53" s="2">
        <v>4938475.0887269303</v>
      </c>
    </row>
    <row r="54" spans="1:6" x14ac:dyDescent="0.3">
      <c r="A54" s="4">
        <v>40178</v>
      </c>
      <c r="B54" s="2">
        <v>1793480.4983000001</v>
      </c>
      <c r="C54" s="2">
        <v>4181107.9898999999</v>
      </c>
      <c r="D54" s="2">
        <v>717931.18024999998</v>
      </c>
      <c r="E54" s="2">
        <v>579976.31506231055</v>
      </c>
      <c r="F54" s="2">
        <v>5038852.7536032498</v>
      </c>
    </row>
    <row r="55" spans="1:6" x14ac:dyDescent="0.3">
      <c r="A55" s="4">
        <v>40209</v>
      </c>
      <c r="B55" s="2">
        <v>1689452.68</v>
      </c>
      <c r="C55" s="2">
        <v>4229470.0553000001</v>
      </c>
      <c r="D55" s="2">
        <v>731435.74274999998</v>
      </c>
      <c r="E55" s="2">
        <v>576192.59152153973</v>
      </c>
      <c r="F55" s="2">
        <v>5052084.7133432999</v>
      </c>
    </row>
    <row r="56" spans="1:6" x14ac:dyDescent="0.3">
      <c r="A56" s="4">
        <v>40237</v>
      </c>
      <c r="B56" s="2">
        <v>1736455.3439</v>
      </c>
      <c r="C56" s="2">
        <v>4337337.2712000003</v>
      </c>
      <c r="D56" s="2">
        <v>749232.29055000003</v>
      </c>
      <c r="E56" s="2">
        <v>583356.20161822997</v>
      </c>
      <c r="F56" s="2">
        <v>5033686.5220626201</v>
      </c>
    </row>
    <row r="57" spans="1:6" x14ac:dyDescent="0.3">
      <c r="A57" s="4">
        <v>40268</v>
      </c>
      <c r="B57" s="2">
        <v>1843478.1791000001</v>
      </c>
      <c r="C57" s="2">
        <v>4566056.8075000001</v>
      </c>
      <c r="D57" s="2">
        <v>762385.96814999997</v>
      </c>
      <c r="E57" s="2">
        <v>585120.29892432969</v>
      </c>
      <c r="F57" s="2">
        <v>5016081.8529656101</v>
      </c>
    </row>
    <row r="58" spans="1:6" x14ac:dyDescent="0.3">
      <c r="A58" s="4">
        <v>40298</v>
      </c>
      <c r="B58" s="2">
        <v>1847529.9140000001</v>
      </c>
      <c r="C58" s="2">
        <v>4704282.5508000003</v>
      </c>
      <c r="D58" s="2">
        <v>776337.46554999996</v>
      </c>
      <c r="E58" s="2">
        <v>573128.34445764963</v>
      </c>
      <c r="F58" s="2">
        <v>5047460.60169229</v>
      </c>
    </row>
    <row r="59" spans="1:6" x14ac:dyDescent="0.3">
      <c r="A59" s="4">
        <v>40329</v>
      </c>
      <c r="B59" s="2">
        <v>1855517.8015000001</v>
      </c>
      <c r="C59" s="2">
        <v>4734001.1391000003</v>
      </c>
      <c r="D59" s="2">
        <v>793731.41425000003</v>
      </c>
      <c r="E59" s="2">
        <v>575139.12354542967</v>
      </c>
      <c r="F59" s="2">
        <v>5034149.6132462602</v>
      </c>
    </row>
    <row r="60" spans="1:6" x14ac:dyDescent="0.3">
      <c r="A60" s="4">
        <v>40359</v>
      </c>
      <c r="B60" s="2">
        <v>1782525.5611</v>
      </c>
      <c r="C60" s="2">
        <v>4938376.0173000004</v>
      </c>
      <c r="D60" s="2">
        <v>806805.73285000003</v>
      </c>
      <c r="E60" s="2">
        <v>574700.90580156911</v>
      </c>
      <c r="F60" s="2">
        <v>5099383.2891168799</v>
      </c>
    </row>
    <row r="61" spans="1:6" x14ac:dyDescent="0.3">
      <c r="A61" s="4">
        <v>40390</v>
      </c>
      <c r="B61" s="2">
        <v>1790503.3211000001</v>
      </c>
      <c r="C61" s="2">
        <v>4981389.8132999996</v>
      </c>
      <c r="D61" s="2">
        <v>819809.23395000002</v>
      </c>
      <c r="E61" s="2">
        <v>587150.09778700955</v>
      </c>
      <c r="F61" s="2">
        <v>5058874.51701409</v>
      </c>
    </row>
    <row r="62" spans="1:6" x14ac:dyDescent="0.3">
      <c r="A62" s="4">
        <v>40421</v>
      </c>
      <c r="B62" s="2">
        <v>1825518.2359</v>
      </c>
      <c r="C62" s="2">
        <v>5148300.1813000003</v>
      </c>
      <c r="D62" s="2">
        <v>836767.36829999997</v>
      </c>
      <c r="E62" s="2">
        <v>593877.88687927928</v>
      </c>
      <c r="F62" s="2">
        <v>5045189.0469558602</v>
      </c>
    </row>
    <row r="63" spans="1:6" x14ac:dyDescent="0.3">
      <c r="A63" s="4">
        <v>40451</v>
      </c>
      <c r="B63" s="2">
        <v>1788452.9038</v>
      </c>
      <c r="C63" s="2">
        <v>5255885.6087999996</v>
      </c>
      <c r="D63" s="2">
        <v>849907.58724999998</v>
      </c>
      <c r="E63" s="2">
        <v>604078.83084517159</v>
      </c>
      <c r="F63" s="2">
        <v>5063297.6502251299</v>
      </c>
    </row>
    <row r="64" spans="1:6" x14ac:dyDescent="0.3">
      <c r="A64" s="4">
        <v>40482</v>
      </c>
      <c r="B64" s="2">
        <v>1768460.2339000001</v>
      </c>
      <c r="C64" s="2">
        <v>5296344.6003999999</v>
      </c>
      <c r="D64" s="2">
        <v>863021.90755</v>
      </c>
      <c r="E64" s="2">
        <v>614892.27539316937</v>
      </c>
      <c r="F64" s="2">
        <v>5126106.4833983202</v>
      </c>
    </row>
    <row r="65" spans="1:6" x14ac:dyDescent="0.3">
      <c r="A65" s="4">
        <v>40512</v>
      </c>
      <c r="B65" s="2">
        <v>1775456.0445000001</v>
      </c>
      <c r="C65" s="2">
        <v>5467787.9620000003</v>
      </c>
      <c r="D65" s="2">
        <v>879450.76910000003</v>
      </c>
      <c r="E65" s="2">
        <v>625591.59945589025</v>
      </c>
      <c r="F65" s="2">
        <v>5112487.3845636398</v>
      </c>
    </row>
    <row r="66" spans="1:6" x14ac:dyDescent="0.3">
      <c r="A66" s="4">
        <v>40543</v>
      </c>
      <c r="B66" s="2">
        <v>1772527.8811999999</v>
      </c>
      <c r="C66" s="2">
        <v>5571748.5499</v>
      </c>
      <c r="D66" s="2">
        <v>892639.63690000004</v>
      </c>
      <c r="E66" s="2">
        <v>626344.52906599082</v>
      </c>
      <c r="F66" s="2">
        <v>5161954.6242421204</v>
      </c>
    </row>
    <row r="67" spans="1:6" x14ac:dyDescent="0.3">
      <c r="A67" s="4">
        <v>40574</v>
      </c>
      <c r="B67" s="2">
        <v>1760544.1584000001</v>
      </c>
      <c r="C67" s="2">
        <v>5672183.7712000003</v>
      </c>
      <c r="D67" s="2">
        <v>905924.5037</v>
      </c>
      <c r="E67" s="2">
        <v>626052.5696211895</v>
      </c>
      <c r="F67" s="2">
        <v>5166346.3354069702</v>
      </c>
    </row>
    <row r="68" spans="1:6" x14ac:dyDescent="0.3">
      <c r="A68" s="4">
        <v>40602</v>
      </c>
      <c r="B68" s="2">
        <v>1738515.1597</v>
      </c>
      <c r="C68" s="2">
        <v>5750826.6413000003</v>
      </c>
      <c r="D68" s="2">
        <v>922290.5085</v>
      </c>
      <c r="E68" s="2">
        <v>636582.42106958106</v>
      </c>
      <c r="F68" s="2">
        <v>5146550.4242883604</v>
      </c>
    </row>
    <row r="69" spans="1:6" x14ac:dyDescent="0.3">
      <c r="A69" s="4">
        <v>40633</v>
      </c>
      <c r="B69" s="2">
        <v>1698500.8334999999</v>
      </c>
      <c r="C69" s="2">
        <v>5847871.2418</v>
      </c>
      <c r="D69" s="2">
        <v>935289.17110000004</v>
      </c>
      <c r="E69" s="2">
        <v>651078.79845703021</v>
      </c>
      <c r="F69" s="2">
        <v>5137373.8457966503</v>
      </c>
    </row>
    <row r="70" spans="1:6" x14ac:dyDescent="0.3">
      <c r="A70" s="4">
        <v>40663</v>
      </c>
      <c r="B70" s="2">
        <v>1638492.5634000001</v>
      </c>
      <c r="C70" s="2">
        <v>5903480.3480000002</v>
      </c>
      <c r="D70" s="2">
        <v>948928.9523</v>
      </c>
      <c r="E70" s="2">
        <v>645668.31957495026</v>
      </c>
      <c r="F70" s="2">
        <v>5151059.9376643403</v>
      </c>
    </row>
    <row r="71" spans="1:6" x14ac:dyDescent="0.3">
      <c r="A71" s="4">
        <v>40694</v>
      </c>
      <c r="B71" s="2">
        <v>1578504.8411999999</v>
      </c>
      <c r="C71" s="2">
        <v>6054739.7154000001</v>
      </c>
      <c r="D71" s="2">
        <v>964928.84719999996</v>
      </c>
      <c r="E71" s="2">
        <v>664057.43899426982</v>
      </c>
      <c r="F71" s="2">
        <v>5082436.8811269104</v>
      </c>
    </row>
    <row r="72" spans="1:6" x14ac:dyDescent="0.3">
      <c r="A72" s="4">
        <v>40724</v>
      </c>
      <c r="B72" s="2">
        <v>1531494.871</v>
      </c>
      <c r="C72" s="2">
        <v>6151264.3032999998</v>
      </c>
      <c r="D72" s="2">
        <v>977924.24780000001</v>
      </c>
      <c r="E72" s="2">
        <v>673964.93401844054</v>
      </c>
      <c r="F72" s="2">
        <v>5008438.7657588404</v>
      </c>
    </row>
    <row r="73" spans="1:6" x14ac:dyDescent="0.3">
      <c r="A73" s="4">
        <v>40755</v>
      </c>
      <c r="B73" s="2">
        <v>1492496.7899</v>
      </c>
      <c r="C73" s="2">
        <v>6204263.5055</v>
      </c>
      <c r="D73" s="2">
        <v>990924.14635000005</v>
      </c>
      <c r="E73" s="2">
        <v>689945.95641501807</v>
      </c>
      <c r="F73" s="2">
        <v>4964738.9590513101</v>
      </c>
    </row>
    <row r="74" spans="1:6" x14ac:dyDescent="0.3">
      <c r="A74" s="4">
        <v>40786</v>
      </c>
      <c r="B74" s="2">
        <v>1493509.9842999999</v>
      </c>
      <c r="C74" s="2">
        <v>6318673.9828000003</v>
      </c>
      <c r="D74" s="2">
        <v>1007413.8952499999</v>
      </c>
      <c r="E74" s="2">
        <v>702207.55245965905</v>
      </c>
      <c r="F74" s="2">
        <v>5162488.2589399703</v>
      </c>
    </row>
    <row r="75" spans="1:6" x14ac:dyDescent="0.3">
      <c r="A75" s="4">
        <v>40816</v>
      </c>
      <c r="B75" s="2">
        <v>1477505.2662</v>
      </c>
      <c r="C75" s="2">
        <v>6412493.4748</v>
      </c>
      <c r="D75" s="2">
        <v>1020412.85405</v>
      </c>
      <c r="E75" s="2">
        <v>714134.08135969006</v>
      </c>
      <c r="F75" s="2">
        <v>5165794.7645700304</v>
      </c>
    </row>
    <row r="76" spans="1:6" x14ac:dyDescent="0.3">
      <c r="A76" s="4">
        <v>40847</v>
      </c>
      <c r="B76" s="2">
        <v>1482502.8165</v>
      </c>
      <c r="C76" s="2">
        <v>6506992.1827999996</v>
      </c>
      <c r="D76" s="2">
        <v>1033412.64595</v>
      </c>
      <c r="E76" s="2">
        <v>723624.3936746791</v>
      </c>
      <c r="F76" s="2">
        <v>5247177.0062179798</v>
      </c>
    </row>
    <row r="77" spans="1:6" x14ac:dyDescent="0.3">
      <c r="A77" s="4">
        <v>40877</v>
      </c>
      <c r="B77" s="2">
        <v>1512477.9716</v>
      </c>
      <c r="C77" s="2">
        <v>6578957.8158</v>
      </c>
      <c r="D77" s="2">
        <v>1050636.75495</v>
      </c>
      <c r="E77" s="2">
        <v>736243.86241589114</v>
      </c>
      <c r="F77" s="2">
        <v>5232182.1436503697</v>
      </c>
    </row>
    <row r="78" spans="1:6" x14ac:dyDescent="0.3">
      <c r="A78" s="4">
        <v>40908</v>
      </c>
      <c r="B78" s="2">
        <v>1520517.2592</v>
      </c>
      <c r="C78" s="2">
        <v>6605055.7670999998</v>
      </c>
      <c r="D78" s="2">
        <v>1064112.3280499999</v>
      </c>
      <c r="E78" s="2">
        <v>747196.9080446586</v>
      </c>
      <c r="F78" s="2">
        <v>5286057.9193323404</v>
      </c>
    </row>
    <row r="79" spans="1:6" x14ac:dyDescent="0.3">
      <c r="A79" s="4">
        <v>40939</v>
      </c>
      <c r="B79" s="2">
        <v>1525445.6916</v>
      </c>
      <c r="C79" s="2">
        <v>6711316.2653000001</v>
      </c>
      <c r="D79" s="2">
        <v>1078034.59035</v>
      </c>
      <c r="E79" s="2">
        <v>754113.01116509922</v>
      </c>
      <c r="F79" s="2">
        <v>5287230.9356887499</v>
      </c>
    </row>
    <row r="80" spans="1:6" x14ac:dyDescent="0.3">
      <c r="A80" s="4">
        <v>40968</v>
      </c>
      <c r="B80" s="2">
        <v>1610416.1174999999</v>
      </c>
      <c r="C80" s="2">
        <v>6754414.9779000003</v>
      </c>
      <c r="D80" s="2">
        <v>1095985.37815</v>
      </c>
      <c r="E80" s="2">
        <v>761480.8755661007</v>
      </c>
      <c r="F80" s="2">
        <v>5266593.99551709</v>
      </c>
    </row>
    <row r="81" spans="1:6" x14ac:dyDescent="0.3">
      <c r="A81" s="4">
        <v>40999</v>
      </c>
      <c r="B81" s="2">
        <v>1674435.3526000001</v>
      </c>
      <c r="C81" s="2">
        <v>6776484.2499000002</v>
      </c>
      <c r="D81" s="2">
        <v>1109888.0362499999</v>
      </c>
      <c r="E81" s="2">
        <v>777477.92526569776</v>
      </c>
      <c r="F81" s="2">
        <v>5243793.2101537101</v>
      </c>
    </row>
    <row r="82" spans="1:6" x14ac:dyDescent="0.3">
      <c r="A82" s="4">
        <v>41029</v>
      </c>
      <c r="B82" s="2">
        <v>1613425.568</v>
      </c>
      <c r="C82" s="2">
        <v>6883348.8925999999</v>
      </c>
      <c r="D82" s="2">
        <v>1125253.4725500001</v>
      </c>
      <c r="E82" s="2">
        <v>778048.58066269942</v>
      </c>
      <c r="F82" s="2">
        <v>5292291.3730610898</v>
      </c>
    </row>
    <row r="83" spans="1:6" x14ac:dyDescent="0.3">
      <c r="A83" s="4">
        <v>41060</v>
      </c>
      <c r="B83" s="2">
        <v>1605420.9405</v>
      </c>
      <c r="C83" s="2">
        <v>6941507.3612000002</v>
      </c>
      <c r="D83" s="2">
        <v>1142254.4681500001</v>
      </c>
      <c r="E83" s="2">
        <v>796989.24270979874</v>
      </c>
      <c r="F83" s="2">
        <v>5284513.4801597996</v>
      </c>
    </row>
    <row r="84" spans="1:6" x14ac:dyDescent="0.3">
      <c r="A84" s="4">
        <v>41090</v>
      </c>
      <c r="B84" s="2">
        <v>1596401.8578999999</v>
      </c>
      <c r="C84" s="2">
        <v>6962879.3243000004</v>
      </c>
      <c r="D84" s="2">
        <v>1156172.2095999999</v>
      </c>
      <c r="E84" s="2">
        <v>805201.6082000006</v>
      </c>
      <c r="F84" s="2">
        <v>5334383.2210909696</v>
      </c>
    </row>
    <row r="85" spans="1:6" x14ac:dyDescent="0.3">
      <c r="A85" s="4">
        <v>41121</v>
      </c>
      <c r="B85" s="2">
        <v>1580992.2901000001</v>
      </c>
      <c r="C85" s="2">
        <v>7067150.6113999998</v>
      </c>
      <c r="D85" s="2">
        <v>1169171.9396500001</v>
      </c>
      <c r="E85" s="2">
        <v>790032.31400140002</v>
      </c>
      <c r="F85" s="2">
        <v>5325886.8601964796</v>
      </c>
    </row>
    <row r="86" spans="1:6" x14ac:dyDescent="0.3">
      <c r="A86" s="4">
        <v>41152</v>
      </c>
      <c r="B86" s="2">
        <v>1663005.4136999999</v>
      </c>
      <c r="C86" s="2">
        <v>7105788.5439999998</v>
      </c>
      <c r="D86" s="2">
        <v>1185172.1172499999</v>
      </c>
      <c r="E86" s="2">
        <v>803058.50421910174</v>
      </c>
      <c r="F86" s="2">
        <v>5258745.2160957605</v>
      </c>
    </row>
    <row r="87" spans="1:6" x14ac:dyDescent="0.3">
      <c r="A87" s="4">
        <v>41182</v>
      </c>
      <c r="B87" s="2">
        <v>1616008.8097999999</v>
      </c>
      <c r="C87" s="2">
        <v>7120705.1073000003</v>
      </c>
      <c r="D87" s="2">
        <v>1198167.2944499999</v>
      </c>
      <c r="E87" s="2">
        <v>814876.39855269901</v>
      </c>
      <c r="F87" s="2">
        <v>5316484.3098101597</v>
      </c>
    </row>
    <row r="88" spans="1:6" x14ac:dyDescent="0.3">
      <c r="A88" s="4">
        <v>41213</v>
      </c>
      <c r="B88" s="2">
        <v>1622004.6351000001</v>
      </c>
      <c r="C88" s="2">
        <v>7228168.5762999998</v>
      </c>
      <c r="D88" s="2">
        <v>1211167.20545</v>
      </c>
      <c r="E88" s="2">
        <v>826127.6090535</v>
      </c>
      <c r="F88" s="2">
        <v>5374001.7025707699</v>
      </c>
    </row>
    <row r="89" spans="1:6" x14ac:dyDescent="0.3">
      <c r="A89" s="4">
        <v>41243</v>
      </c>
      <c r="B89" s="2">
        <v>1694989.2453000001</v>
      </c>
      <c r="C89" s="2">
        <v>7267744.767</v>
      </c>
      <c r="D89" s="2">
        <v>1227162.1782500001</v>
      </c>
      <c r="E89" s="2">
        <v>842887.646917101</v>
      </c>
      <c r="F89" s="2">
        <v>5336765.2975152303</v>
      </c>
    </row>
    <row r="90" spans="1:6" x14ac:dyDescent="0.3">
      <c r="A90" s="4">
        <v>41274</v>
      </c>
      <c r="B90" s="2">
        <v>1628970.5789999999</v>
      </c>
      <c r="C90" s="2">
        <v>7327115.4967999998</v>
      </c>
      <c r="D90" s="2">
        <v>1240161.1360500001</v>
      </c>
      <c r="E90" s="2">
        <v>856955.14897109941</v>
      </c>
      <c r="F90" s="2">
        <v>5379527.6634742403</v>
      </c>
    </row>
    <row r="91" spans="1:6" x14ac:dyDescent="0.3">
      <c r="A91" s="4">
        <v>41305</v>
      </c>
      <c r="B91" s="2">
        <v>1607947.9669000001</v>
      </c>
      <c r="C91" s="2">
        <v>7386165.1086999997</v>
      </c>
      <c r="D91" s="2">
        <v>1253161.1117499999</v>
      </c>
      <c r="E91" s="2">
        <v>868046.85650350153</v>
      </c>
      <c r="F91" s="2">
        <v>5318470.7762535</v>
      </c>
    </row>
    <row r="92" spans="1:6" x14ac:dyDescent="0.3">
      <c r="A92" s="4">
        <v>41333</v>
      </c>
      <c r="B92" s="2">
        <v>1741950.0837999999</v>
      </c>
      <c r="C92" s="2">
        <v>7422461.6073000003</v>
      </c>
      <c r="D92" s="2">
        <v>1269160.8702499999</v>
      </c>
      <c r="E92" s="2">
        <v>874780.71664010175</v>
      </c>
      <c r="F92" s="2">
        <v>5378936.3290249296</v>
      </c>
    </row>
    <row r="93" spans="1:6" x14ac:dyDescent="0.3">
      <c r="A93" s="4">
        <v>41364</v>
      </c>
      <c r="B93" s="2">
        <v>1790952.2896</v>
      </c>
      <c r="C93" s="2">
        <v>7434988.1755999997</v>
      </c>
      <c r="D93" s="2">
        <v>1282160.8287500001</v>
      </c>
      <c r="E93" s="2">
        <v>889904.09029720165</v>
      </c>
      <c r="F93" s="2">
        <v>5373373.6475499198</v>
      </c>
    </row>
    <row r="94" spans="1:6" x14ac:dyDescent="0.3">
      <c r="A94" s="4">
        <v>41394</v>
      </c>
      <c r="B94" s="2">
        <v>1694949.3496999999</v>
      </c>
      <c r="C94" s="2">
        <v>7527969.9528000001</v>
      </c>
      <c r="D94" s="2">
        <v>1295160.6830500001</v>
      </c>
      <c r="E94" s="2">
        <v>898680.86277589947</v>
      </c>
      <c r="F94" s="2">
        <v>5412084.78091761</v>
      </c>
    </row>
    <row r="95" spans="1:6" x14ac:dyDescent="0.3">
      <c r="A95" s="4">
        <v>41425</v>
      </c>
      <c r="B95" s="2">
        <v>1606939.8532</v>
      </c>
      <c r="C95" s="2">
        <v>7564929.2488000002</v>
      </c>
      <c r="D95" s="2">
        <v>1311160.5785000001</v>
      </c>
      <c r="E95" s="2">
        <v>914281.35585899837</v>
      </c>
      <c r="F95" s="2">
        <v>5341511.1436963296</v>
      </c>
    </row>
    <row r="96" spans="1:6" x14ac:dyDescent="0.3">
      <c r="A96" s="4">
        <v>41455</v>
      </c>
      <c r="B96" s="2">
        <v>1569949.7052</v>
      </c>
      <c r="C96" s="2">
        <v>7581719.1189000001</v>
      </c>
      <c r="D96" s="2">
        <v>1324160.4598000001</v>
      </c>
      <c r="E96" s="2">
        <v>919173.59174269997</v>
      </c>
      <c r="F96" s="2">
        <v>5343317.1851691101</v>
      </c>
    </row>
    <row r="97" spans="1:6" x14ac:dyDescent="0.3">
      <c r="A97" s="4">
        <v>41486</v>
      </c>
      <c r="B97" s="2">
        <v>1555957.7714</v>
      </c>
      <c r="C97" s="2">
        <v>7680082.4568999996</v>
      </c>
      <c r="D97" s="2">
        <v>1337159.5360000001</v>
      </c>
      <c r="E97" s="2">
        <v>910290.92121100053</v>
      </c>
      <c r="F97" s="2">
        <v>5255108.50543069</v>
      </c>
    </row>
    <row r="98" spans="1:6" x14ac:dyDescent="0.3">
      <c r="A98" s="4">
        <v>41517</v>
      </c>
      <c r="B98" s="2">
        <v>1637964.1410000001</v>
      </c>
      <c r="C98" s="2">
        <v>7666524.9167999998</v>
      </c>
      <c r="D98" s="2">
        <v>1353158.3518999999</v>
      </c>
      <c r="E98" s="2">
        <v>928531.65472180024</v>
      </c>
      <c r="F98" s="2">
        <v>5152470.6452058302</v>
      </c>
    </row>
    <row r="99" spans="1:6" x14ac:dyDescent="0.3">
      <c r="A99" s="4">
        <v>41547</v>
      </c>
      <c r="B99" s="2">
        <v>1529971.7638000001</v>
      </c>
      <c r="C99" s="2">
        <v>7757950.7977</v>
      </c>
      <c r="D99" s="2">
        <v>1366158.2705999999</v>
      </c>
      <c r="E99" s="2">
        <v>942074.1935437005</v>
      </c>
      <c r="F99" s="2">
        <v>5142028.5156503497</v>
      </c>
    </row>
    <row r="100" spans="1:6" x14ac:dyDescent="0.3">
      <c r="A100" s="4">
        <v>41578</v>
      </c>
      <c r="B100" s="2">
        <v>1544961.5736</v>
      </c>
      <c r="C100" s="2">
        <v>7811275.2959000003</v>
      </c>
      <c r="D100" s="2">
        <v>1379158.2344</v>
      </c>
      <c r="E100" s="2">
        <v>959602.23318750039</v>
      </c>
      <c r="F100" s="2">
        <v>5461119.6109448196</v>
      </c>
    </row>
    <row r="101" spans="1:6" x14ac:dyDescent="0.3">
      <c r="A101" s="4">
        <v>41608</v>
      </c>
      <c r="B101" s="2">
        <v>1620955.6969999999</v>
      </c>
      <c r="C101" s="2">
        <v>7801785.2140999902</v>
      </c>
      <c r="D101" s="2">
        <v>1395153.2433</v>
      </c>
      <c r="E101" s="2">
        <v>973743.27602140978</v>
      </c>
      <c r="F101" s="2">
        <v>5425513.5642927401</v>
      </c>
    </row>
    <row r="102" spans="1:6" x14ac:dyDescent="0.3">
      <c r="A102" s="4">
        <v>41639</v>
      </c>
      <c r="B102" s="2">
        <v>1591951.6288000001</v>
      </c>
      <c r="C102" s="2">
        <v>7881733.7672999902</v>
      </c>
      <c r="D102" s="2">
        <v>1408152.9380000001</v>
      </c>
      <c r="E102" s="2">
        <v>987595.83972601034</v>
      </c>
      <c r="F102" s="2">
        <v>5482536.8534219302</v>
      </c>
    </row>
    <row r="103" spans="1:6" x14ac:dyDescent="0.3">
      <c r="A103" s="4">
        <v>41670</v>
      </c>
      <c r="B103" s="2">
        <v>1485976.6554</v>
      </c>
      <c r="C103" s="2">
        <v>7929093.41709999</v>
      </c>
      <c r="D103" s="2">
        <v>1421152.9401</v>
      </c>
      <c r="E103" s="2">
        <v>989098.58391931094</v>
      </c>
      <c r="F103" s="2">
        <v>5467697.9607664105</v>
      </c>
    </row>
    <row r="104" spans="1:6" x14ac:dyDescent="0.3">
      <c r="A104" s="4">
        <v>41698</v>
      </c>
      <c r="B104" s="2">
        <v>1613972.1987000001</v>
      </c>
      <c r="C104" s="2">
        <v>7949334.1953999903</v>
      </c>
      <c r="D104" s="2">
        <v>1437152.5759000001</v>
      </c>
      <c r="E104" s="2">
        <v>1010983.9686853103</v>
      </c>
      <c r="F104" s="2">
        <v>5451785.57491305</v>
      </c>
    </row>
    <row r="105" spans="1:6" x14ac:dyDescent="0.3">
      <c r="A105" s="4">
        <v>41729</v>
      </c>
      <c r="B105" s="2">
        <v>1651968.5286000001</v>
      </c>
      <c r="C105" s="2">
        <v>7992892.5967999902</v>
      </c>
      <c r="D105" s="2">
        <v>1450152.5869499999</v>
      </c>
      <c r="E105" s="2">
        <v>1040478.4958173092</v>
      </c>
      <c r="F105" s="2">
        <v>5465735.0160442004</v>
      </c>
    </row>
    <row r="106" spans="1:6" x14ac:dyDescent="0.3">
      <c r="A106" s="4">
        <v>41759</v>
      </c>
      <c r="B106" s="2">
        <v>1458970.5999</v>
      </c>
      <c r="C106" s="2">
        <v>8034161.2555999896</v>
      </c>
      <c r="D106" s="2">
        <v>1463152.5181499999</v>
      </c>
      <c r="E106" s="2">
        <v>1060217.345748309</v>
      </c>
      <c r="F106" s="2">
        <v>5491935.3982623797</v>
      </c>
    </row>
    <row r="107" spans="1:6" x14ac:dyDescent="0.3">
      <c r="A107" s="4">
        <v>41790</v>
      </c>
      <c r="B107" s="2">
        <v>1448984.1529000001</v>
      </c>
      <c r="C107" s="2">
        <v>8027852.9286999898</v>
      </c>
      <c r="D107" s="2">
        <v>1479147.64885</v>
      </c>
      <c r="E107" s="2">
        <v>1092431.7824009098</v>
      </c>
      <c r="F107" s="2">
        <v>5468541.9753728304</v>
      </c>
    </row>
    <row r="108" spans="1:6" x14ac:dyDescent="0.3">
      <c r="A108" s="4">
        <v>41820</v>
      </c>
      <c r="B108" s="2">
        <v>1387986.4894999999</v>
      </c>
      <c r="C108" s="2">
        <v>8089288.3816999895</v>
      </c>
      <c r="D108" s="2">
        <v>1492147.5854499999</v>
      </c>
      <c r="E108" s="2">
        <v>1114794.3422346115</v>
      </c>
      <c r="F108" s="2">
        <v>5548388.9733106</v>
      </c>
    </row>
    <row r="109" spans="1:6" x14ac:dyDescent="0.3">
      <c r="A109" s="4">
        <v>41851</v>
      </c>
      <c r="B109" s="2">
        <v>1409986.5554</v>
      </c>
      <c r="C109" s="2">
        <v>8123336.7631999897</v>
      </c>
      <c r="D109" s="2">
        <v>1505144.55265</v>
      </c>
      <c r="E109" s="2">
        <v>1124403.565612711</v>
      </c>
      <c r="F109" s="2">
        <v>5524264.8295093896</v>
      </c>
    </row>
    <row r="110" spans="1:6" x14ac:dyDescent="0.3">
      <c r="A110" s="4">
        <v>41882</v>
      </c>
      <c r="B110" s="2">
        <v>1451997.6675</v>
      </c>
      <c r="C110" s="2">
        <v>8116633.99599999</v>
      </c>
      <c r="D110" s="2">
        <v>1521144.4349499999</v>
      </c>
      <c r="E110" s="2">
        <v>1155495.3815142103</v>
      </c>
      <c r="F110" s="2">
        <v>5503900.9502560301</v>
      </c>
    </row>
    <row r="111" spans="1:6" x14ac:dyDescent="0.3">
      <c r="A111" s="4">
        <v>41912</v>
      </c>
      <c r="B111" s="2">
        <v>1410980.0164999999</v>
      </c>
      <c r="C111" s="2">
        <v>8167758.6248999899</v>
      </c>
      <c r="D111" s="2">
        <v>1534144.4408499999</v>
      </c>
      <c r="E111" s="2">
        <v>1181329.5498959087</v>
      </c>
      <c r="F111" s="2">
        <v>5529858.9907510802</v>
      </c>
    </row>
    <row r="112" spans="1:6" x14ac:dyDescent="0.3">
      <c r="A112" s="4">
        <v>41943</v>
      </c>
      <c r="B112" s="2">
        <v>1413945.199</v>
      </c>
      <c r="C112" s="2">
        <v>8199717.9828999899</v>
      </c>
      <c r="D112" s="2">
        <v>1547144.4013499999</v>
      </c>
      <c r="E112" s="2">
        <v>1201766.786176011</v>
      </c>
      <c r="F112" s="2">
        <v>5574586.1281031603</v>
      </c>
    </row>
    <row r="113" spans="1:6" x14ac:dyDescent="0.3">
      <c r="A113" s="4">
        <v>41973</v>
      </c>
      <c r="B113" s="2">
        <v>1439922.0847</v>
      </c>
      <c r="C113" s="2">
        <v>8189862.6190999905</v>
      </c>
      <c r="D113" s="2">
        <v>1563165.78605</v>
      </c>
      <c r="E113" s="2">
        <v>1228450.7028182093</v>
      </c>
      <c r="F113" s="2">
        <v>5584148.2020867299</v>
      </c>
    </row>
    <row r="114" spans="1:6" x14ac:dyDescent="0.3">
      <c r="A114" s="4">
        <v>42004</v>
      </c>
      <c r="B114" s="2">
        <v>1457885.0944000001</v>
      </c>
      <c r="C114" s="2">
        <v>8229186.1236999901</v>
      </c>
      <c r="D114" s="2">
        <v>1576165.79205</v>
      </c>
      <c r="E114" s="2">
        <v>1255157.1485414095</v>
      </c>
      <c r="F114" s="2">
        <v>5623049.74894593</v>
      </c>
    </row>
    <row r="115" spans="1:6" x14ac:dyDescent="0.3">
      <c r="A115" s="4">
        <v>42035</v>
      </c>
      <c r="B115" s="2">
        <v>1412886.9066999999</v>
      </c>
      <c r="C115" s="2">
        <v>8239914.54699999</v>
      </c>
      <c r="D115" s="2">
        <v>1589165.2581499999</v>
      </c>
      <c r="E115" s="2">
        <v>1241329.9829096105</v>
      </c>
      <c r="F115" s="2">
        <v>5598997.4141260805</v>
      </c>
    </row>
    <row r="116" spans="1:6" x14ac:dyDescent="0.3">
      <c r="A116" s="4">
        <v>42063</v>
      </c>
      <c r="B116" s="2">
        <v>1472887.7398999999</v>
      </c>
      <c r="C116" s="2">
        <v>8230115.3929999899</v>
      </c>
      <c r="D116" s="2">
        <v>1594648.2240500001</v>
      </c>
      <c r="E116" s="2">
        <v>1272673.3921590094</v>
      </c>
      <c r="F116" s="2">
        <v>5585529.3152262103</v>
      </c>
    </row>
    <row r="117" spans="1:6" x14ac:dyDescent="0.3">
      <c r="A117" s="4">
        <v>42094</v>
      </c>
      <c r="B117" s="2">
        <v>1477899.5856000001</v>
      </c>
      <c r="C117" s="2">
        <v>8264432.8816999895</v>
      </c>
      <c r="D117" s="2">
        <v>1607646.96835</v>
      </c>
      <c r="E117" s="2">
        <v>1293827.1377961095</v>
      </c>
      <c r="F117" s="2">
        <v>5508250.3420123504</v>
      </c>
    </row>
    <row r="118" spans="1:6" x14ac:dyDescent="0.3">
      <c r="A118" s="4">
        <v>42124</v>
      </c>
      <c r="B118" s="2">
        <v>1432934.6255000001</v>
      </c>
      <c r="C118" s="2">
        <v>8284023.4589999998</v>
      </c>
      <c r="D118" s="2">
        <v>1620646.0121500001</v>
      </c>
      <c r="E118" s="2">
        <v>1307900.4068500996</v>
      </c>
      <c r="F118" s="2">
        <v>5507056.4496055199</v>
      </c>
    </row>
    <row r="119" spans="1:6" x14ac:dyDescent="0.3">
      <c r="A119" s="4">
        <v>42155</v>
      </c>
      <c r="B119" s="2">
        <v>1446958.3382999999</v>
      </c>
      <c r="C119" s="2">
        <v>8264634.7446999997</v>
      </c>
      <c r="D119" s="2">
        <v>1637007.6939999999</v>
      </c>
      <c r="E119" s="2">
        <v>1339417.7084650993</v>
      </c>
      <c r="F119" s="2">
        <v>5464833.3538040901</v>
      </c>
    </row>
    <row r="120" spans="1:6" x14ac:dyDescent="0.3">
      <c r="A120" s="4">
        <v>42185</v>
      </c>
      <c r="B120" s="2">
        <v>1394991.4998999999</v>
      </c>
      <c r="C120" s="2">
        <v>8305379.2065000003</v>
      </c>
      <c r="D120" s="2">
        <v>1650007.3415000001</v>
      </c>
      <c r="E120" s="2">
        <v>1360715.8690801021</v>
      </c>
      <c r="F120" s="2">
        <v>5440904.2605422502</v>
      </c>
    </row>
    <row r="121" spans="1:6" x14ac:dyDescent="0.3">
      <c r="A121" s="4">
        <v>42216</v>
      </c>
      <c r="B121" s="2">
        <v>1439988.7150000001</v>
      </c>
      <c r="C121" s="2">
        <v>8335145.2591000004</v>
      </c>
      <c r="D121" s="2">
        <v>1663007.3256000001</v>
      </c>
      <c r="E121" s="2">
        <v>1375290.321536798</v>
      </c>
      <c r="F121" s="2">
        <v>5337890.9204244297</v>
      </c>
    </row>
    <row r="122" spans="1:6" x14ac:dyDescent="0.3">
      <c r="A122" s="4">
        <v>42247</v>
      </c>
      <c r="B122" s="2">
        <v>1423975.0643</v>
      </c>
      <c r="C122" s="2">
        <v>8338758.6069</v>
      </c>
      <c r="D122" s="2">
        <v>1675306.0414</v>
      </c>
      <c r="E122" s="2">
        <v>1408509.0077349003</v>
      </c>
      <c r="F122" s="2">
        <v>5304600.78439127</v>
      </c>
    </row>
    <row r="123" spans="1:6" x14ac:dyDescent="0.3">
      <c r="A123" s="4">
        <v>42277</v>
      </c>
      <c r="B123" s="2">
        <v>1357997.0004</v>
      </c>
      <c r="C123" s="2">
        <v>8372656.8760000002</v>
      </c>
      <c r="D123" s="2">
        <v>1688305.2059500001</v>
      </c>
      <c r="E123" s="2">
        <v>1434791.7035198007</v>
      </c>
      <c r="F123" s="2">
        <v>5296866.5032686703</v>
      </c>
    </row>
    <row r="124" spans="1:6" x14ac:dyDescent="0.3">
      <c r="A124" s="4">
        <v>42308</v>
      </c>
      <c r="B124" s="2">
        <v>1272997.9737</v>
      </c>
      <c r="C124" s="2">
        <v>8385657.2973999996</v>
      </c>
      <c r="D124" s="2">
        <v>1701304.8806499999</v>
      </c>
      <c r="E124" s="2">
        <v>1443058.5836893991</v>
      </c>
      <c r="F124" s="2">
        <v>5349962.9403080298</v>
      </c>
    </row>
    <row r="125" spans="1:6" x14ac:dyDescent="0.3">
      <c r="A125" s="4">
        <v>42338</v>
      </c>
      <c r="B125" s="2">
        <v>1505974.838</v>
      </c>
      <c r="C125" s="2">
        <v>8422584.7158000004</v>
      </c>
      <c r="D125" s="2">
        <v>1711802.5014500001</v>
      </c>
      <c r="E125" s="2">
        <v>1482280.8929642998</v>
      </c>
      <c r="F125" s="2">
        <v>5704680.0291322302</v>
      </c>
    </row>
    <row r="126" spans="1:6" x14ac:dyDescent="0.3">
      <c r="A126" s="4">
        <v>42369</v>
      </c>
      <c r="B126" s="2">
        <v>1513957.2205999999</v>
      </c>
      <c r="C126" s="2">
        <v>8456830.9907000009</v>
      </c>
      <c r="D126" s="2">
        <v>1724802.1682500001</v>
      </c>
      <c r="E126" s="2">
        <v>1510965.0118934996</v>
      </c>
      <c r="F126" s="2">
        <v>5715623.6068667797</v>
      </c>
    </row>
    <row r="127" spans="1:6" x14ac:dyDescent="0.3">
      <c r="A127" s="4">
        <v>42400</v>
      </c>
      <c r="B127" s="2">
        <v>1477933.7185</v>
      </c>
      <c r="C127" s="2">
        <v>8469829.3416000009</v>
      </c>
      <c r="D127" s="2">
        <v>1737796.9538499999</v>
      </c>
      <c r="E127" s="2">
        <v>1503399.1317466013</v>
      </c>
      <c r="F127" s="2">
        <v>5823868.6136396797</v>
      </c>
    </row>
    <row r="128" spans="1:6" x14ac:dyDescent="0.3">
      <c r="A128" s="4">
        <v>42429</v>
      </c>
      <c r="B128" s="2">
        <v>1551947.1177999999</v>
      </c>
      <c r="C128" s="2">
        <v>8515939.1089999992</v>
      </c>
      <c r="D128" s="2">
        <v>1748541.5285499999</v>
      </c>
      <c r="E128" s="2">
        <v>1496303.0670193024</v>
      </c>
      <c r="F128" s="2">
        <v>5812724.4144913396</v>
      </c>
    </row>
    <row r="129" spans="1:6" x14ac:dyDescent="0.3">
      <c r="A129" s="4">
        <v>42460</v>
      </c>
      <c r="B129" s="2">
        <v>1617959.5922999999</v>
      </c>
      <c r="C129" s="2">
        <v>8543199.6816000007</v>
      </c>
      <c r="D129" s="2">
        <v>1760539.60255</v>
      </c>
      <c r="E129" s="2">
        <v>1524441.4987367988</v>
      </c>
      <c r="F129" s="2">
        <v>5818798.2588240998</v>
      </c>
    </row>
    <row r="130" spans="1:6" x14ac:dyDescent="0.3">
      <c r="A130" s="4">
        <v>42490</v>
      </c>
      <c r="B130" s="2">
        <v>1526955.9099000001</v>
      </c>
      <c r="C130" s="2">
        <v>8555483.2606999893</v>
      </c>
      <c r="D130" s="2">
        <v>1772617.9582499999</v>
      </c>
      <c r="E130" s="2">
        <v>1500113.7067137118</v>
      </c>
      <c r="F130" s="2">
        <v>5832216.6654195096</v>
      </c>
    </row>
    <row r="131" spans="1:6" x14ac:dyDescent="0.3">
      <c r="A131" s="4">
        <v>42521</v>
      </c>
      <c r="B131" s="2">
        <v>1523956.9109</v>
      </c>
      <c r="C131" s="2">
        <v>8587680.4291999992</v>
      </c>
      <c r="D131" s="2">
        <v>1772196.76565</v>
      </c>
      <c r="E131" s="2">
        <v>1509698.2219357006</v>
      </c>
      <c r="F131" s="2">
        <v>5871919.24916761</v>
      </c>
    </row>
    <row r="132" spans="1:6" x14ac:dyDescent="0.3">
      <c r="A132" s="4">
        <v>42551</v>
      </c>
      <c r="B132" s="2">
        <v>1507947.0490000001</v>
      </c>
      <c r="C132" s="2">
        <v>8606607.3399</v>
      </c>
      <c r="D132" s="2">
        <v>1784191.8012999999</v>
      </c>
      <c r="E132" s="2">
        <v>1532049.7341538984</v>
      </c>
      <c r="F132" s="2">
        <v>5950795.2161214603</v>
      </c>
    </row>
    <row r="133" spans="1:6" x14ac:dyDescent="0.3">
      <c r="A133" s="4">
        <v>42582</v>
      </c>
      <c r="B133" s="2">
        <v>1549932.3032</v>
      </c>
      <c r="C133" s="2">
        <v>8621472.2762999907</v>
      </c>
      <c r="D133" s="2">
        <v>1796971.3829000001</v>
      </c>
      <c r="E133" s="2">
        <v>1525846.5239388105</v>
      </c>
      <c r="F133" s="2">
        <v>5933471.8677890897</v>
      </c>
    </row>
    <row r="134" spans="1:6" x14ac:dyDescent="0.3">
      <c r="A134" s="4">
        <v>42613</v>
      </c>
      <c r="B134" s="2">
        <v>1632948.8173</v>
      </c>
      <c r="C134" s="2">
        <v>8619230.9175000004</v>
      </c>
      <c r="D134" s="2">
        <v>1813507.2034</v>
      </c>
      <c r="E134" s="2">
        <v>1533384.3083464</v>
      </c>
      <c r="F134" s="2">
        <v>5911224.5805937899</v>
      </c>
    </row>
    <row r="135" spans="1:6" x14ac:dyDescent="0.3">
      <c r="A135" s="4">
        <v>42643</v>
      </c>
      <c r="B135" s="2">
        <v>1646964.0462</v>
      </c>
      <c r="C135" s="2">
        <v>8630992.4817999993</v>
      </c>
      <c r="D135" s="2">
        <v>1825507.0456999999</v>
      </c>
      <c r="E135" s="2">
        <v>1557140.4094401002</v>
      </c>
      <c r="F135" s="2">
        <v>5912840.6432441501</v>
      </c>
    </row>
    <row r="136" spans="1:6" x14ac:dyDescent="0.3">
      <c r="A136" s="4">
        <v>42674</v>
      </c>
      <c r="B136" s="2">
        <v>1752948.7932</v>
      </c>
      <c r="C136" s="2">
        <v>8641228.0458000004</v>
      </c>
      <c r="D136" s="2">
        <v>1837505.3466</v>
      </c>
      <c r="E136" s="2">
        <v>1538372.8529759012</v>
      </c>
      <c r="F136" s="2">
        <v>6035660.1837712303</v>
      </c>
    </row>
    <row r="137" spans="1:6" x14ac:dyDescent="0.3">
      <c r="A137" s="4">
        <v>42704</v>
      </c>
      <c r="B137" s="2">
        <v>1872954.4948</v>
      </c>
      <c r="C137" s="2">
        <v>8645042.6788999904</v>
      </c>
      <c r="D137" s="2">
        <v>1837001.5194000001</v>
      </c>
      <c r="E137" s="2">
        <v>1566471.0608833097</v>
      </c>
      <c r="F137" s="2">
        <v>6026594.9451072896</v>
      </c>
    </row>
    <row r="138" spans="1:6" x14ac:dyDescent="0.3">
      <c r="A138" s="4">
        <v>42735</v>
      </c>
      <c r="B138" s="2">
        <v>1817963.28</v>
      </c>
      <c r="C138" s="2">
        <v>8659017.5004999992</v>
      </c>
      <c r="D138" s="2">
        <v>1849001.3959999999</v>
      </c>
      <c r="E138" s="2">
        <v>1595282.8259953018</v>
      </c>
      <c r="F138" s="2">
        <v>6055561.71793589</v>
      </c>
    </row>
    <row r="139" spans="1:6" x14ac:dyDescent="0.3">
      <c r="A139" s="4">
        <v>42766</v>
      </c>
      <c r="B139" s="2">
        <v>1761978.8089999999</v>
      </c>
      <c r="C139" s="2">
        <v>8678480.2028000001</v>
      </c>
      <c r="D139" s="2">
        <v>1861666.1989</v>
      </c>
      <c r="E139" s="2">
        <v>1561635.5332418997</v>
      </c>
      <c r="F139" s="2">
        <v>6073500.5690555498</v>
      </c>
    </row>
    <row r="140" spans="1:6" x14ac:dyDescent="0.3">
      <c r="A140" s="4">
        <v>42794</v>
      </c>
      <c r="B140" s="2">
        <v>1752962.9443000001</v>
      </c>
      <c r="C140" s="2">
        <v>8684635.4244999904</v>
      </c>
      <c r="D140" s="2">
        <v>1878397.8816</v>
      </c>
      <c r="E140" s="2">
        <v>1582930.4370589107</v>
      </c>
      <c r="F140" s="2">
        <v>6060666.96340119</v>
      </c>
    </row>
    <row r="141" spans="1:6" x14ac:dyDescent="0.3">
      <c r="A141" s="4">
        <v>42825</v>
      </c>
      <c r="B141" s="2">
        <v>1756960.3962000001</v>
      </c>
      <c r="C141" s="2">
        <v>8702373.6252999995</v>
      </c>
      <c r="D141" s="2">
        <v>1890397.5338000001</v>
      </c>
      <c r="E141" s="2">
        <v>1616938.0965638999</v>
      </c>
      <c r="F141" s="2">
        <v>5879750.39845319</v>
      </c>
    </row>
    <row r="142" spans="1:6" x14ac:dyDescent="0.3">
      <c r="A142" s="4">
        <v>42855</v>
      </c>
      <c r="B142" s="2">
        <v>1741990.8498</v>
      </c>
      <c r="C142" s="2">
        <v>8716710.5761999991</v>
      </c>
      <c r="D142" s="2">
        <v>1902496.0869</v>
      </c>
      <c r="E142" s="2">
        <v>1589148.6249986012</v>
      </c>
      <c r="F142" s="2">
        <v>5895783.0533024296</v>
      </c>
    </row>
    <row r="143" spans="1:6" x14ac:dyDescent="0.3">
      <c r="A143" s="4">
        <v>42886</v>
      </c>
      <c r="B143" s="2">
        <v>1747958.689</v>
      </c>
      <c r="C143" s="2">
        <v>8735869.0550999995</v>
      </c>
      <c r="D143" s="2">
        <v>1906887.4027</v>
      </c>
      <c r="E143" s="2">
        <v>1591938.613908302</v>
      </c>
      <c r="F143" s="2">
        <v>5863288.1550271204</v>
      </c>
    </row>
    <row r="144" spans="1:6" x14ac:dyDescent="0.3">
      <c r="A144" s="4">
        <v>42916</v>
      </c>
      <c r="B144" s="2">
        <v>1717958.0643</v>
      </c>
      <c r="C144" s="2">
        <v>8758317.0138000008</v>
      </c>
      <c r="D144" s="2">
        <v>1918886.8992000001</v>
      </c>
      <c r="E144" s="2">
        <v>1614254.9635710996</v>
      </c>
      <c r="F144" s="2">
        <v>5835137.2443973096</v>
      </c>
    </row>
    <row r="145" spans="1:6" x14ac:dyDescent="0.3">
      <c r="A145" s="4">
        <v>42947</v>
      </c>
      <c r="B145" s="2">
        <v>1757956.5041</v>
      </c>
      <c r="C145" s="2">
        <v>8782310.0219000001</v>
      </c>
      <c r="D145" s="2">
        <v>1931160.2356</v>
      </c>
      <c r="E145" s="2">
        <v>1588746.9953063987</v>
      </c>
      <c r="F145" s="2">
        <v>5784735.2918203203</v>
      </c>
    </row>
    <row r="146" spans="1:6" x14ac:dyDescent="0.3">
      <c r="A146" s="4">
        <v>42978</v>
      </c>
      <c r="B146" s="2">
        <v>1747922.415</v>
      </c>
      <c r="C146" s="2">
        <v>8788504.8880000003</v>
      </c>
      <c r="D146" s="2">
        <v>1939705.0101999999</v>
      </c>
      <c r="E146" s="2">
        <v>1617430.8867157008</v>
      </c>
      <c r="F146" s="2">
        <v>5750970.2523811599</v>
      </c>
    </row>
    <row r="147" spans="1:6" x14ac:dyDescent="0.3">
      <c r="A147" s="4">
        <v>43008</v>
      </c>
      <c r="B147" s="2">
        <v>1801936.2261999999</v>
      </c>
      <c r="C147" s="2">
        <v>8805498.7047999892</v>
      </c>
      <c r="D147" s="2">
        <v>1951704.8063999999</v>
      </c>
      <c r="E147" s="2">
        <v>1640651.8112166114</v>
      </c>
      <c r="F147" s="2">
        <v>6045108.3725187602</v>
      </c>
    </row>
    <row r="148" spans="1:6" x14ac:dyDescent="0.3">
      <c r="A148" s="4">
        <v>43039</v>
      </c>
      <c r="B148" s="2">
        <v>1855928.7075</v>
      </c>
      <c r="C148" s="2">
        <v>8830132.6074000001</v>
      </c>
      <c r="D148" s="2">
        <v>1963703.9483</v>
      </c>
      <c r="E148" s="2">
        <v>1623912.4435663</v>
      </c>
      <c r="F148" s="2">
        <v>6168795.8366392199</v>
      </c>
    </row>
    <row r="149" spans="1:6" x14ac:dyDescent="0.3">
      <c r="A149" s="4">
        <v>43069</v>
      </c>
      <c r="B149" s="2">
        <v>1970909.9183</v>
      </c>
      <c r="C149" s="2">
        <v>8830744.6208999995</v>
      </c>
      <c r="D149" s="2">
        <v>1980525.0109999999</v>
      </c>
      <c r="E149" s="2">
        <v>1655361.5411724988</v>
      </c>
      <c r="F149" s="2">
        <v>6152850.6954916501</v>
      </c>
    </row>
    <row r="150" spans="1:6" x14ac:dyDescent="0.3">
      <c r="A150" s="4">
        <v>43100</v>
      </c>
      <c r="B150" s="2">
        <v>1955932.5582999999</v>
      </c>
      <c r="C150" s="2">
        <v>8849743.682</v>
      </c>
      <c r="D150" s="2">
        <v>1992524.0612999999</v>
      </c>
      <c r="E150" s="2">
        <v>1682037.3014831003</v>
      </c>
      <c r="F150" s="2">
        <v>6012508.7778523099</v>
      </c>
    </row>
    <row r="151" spans="1:6" x14ac:dyDescent="0.3">
      <c r="A151" s="4">
        <v>43131</v>
      </c>
      <c r="B151" s="2">
        <v>1966939.3541000001</v>
      </c>
      <c r="C151" s="2">
        <v>8889175.2015999891</v>
      </c>
      <c r="D151" s="2">
        <v>2004929.7239999999</v>
      </c>
      <c r="E151" s="2">
        <v>1653500.663503211</v>
      </c>
      <c r="F151" s="2">
        <v>5979184.8329530396</v>
      </c>
    </row>
    <row r="152" spans="1:6" x14ac:dyDescent="0.3">
      <c r="A152" s="4">
        <v>43159</v>
      </c>
      <c r="B152" s="2">
        <v>2077966.3355</v>
      </c>
      <c r="C152" s="2">
        <v>8899556.5108000003</v>
      </c>
      <c r="D152" s="2">
        <v>2023951.8171999999</v>
      </c>
      <c r="E152" s="2">
        <v>1676467.3397937007</v>
      </c>
      <c r="F152" s="2">
        <v>6177730.3914093599</v>
      </c>
    </row>
    <row r="153" spans="1:6" x14ac:dyDescent="0.3">
      <c r="A153" s="4">
        <v>43190</v>
      </c>
      <c r="B153" s="2">
        <v>2288968.9572999999</v>
      </c>
      <c r="C153" s="2">
        <v>8924555.3232000005</v>
      </c>
      <c r="D153" s="2">
        <v>2036951.7793000001</v>
      </c>
      <c r="E153" s="2">
        <v>1694259.6074311994</v>
      </c>
      <c r="F153" s="2">
        <v>6144907.1480672797</v>
      </c>
    </row>
    <row r="154" spans="1:6" x14ac:dyDescent="0.3">
      <c r="A154" s="4">
        <v>43220</v>
      </c>
      <c r="B154" s="2">
        <v>2168986.9803999998</v>
      </c>
      <c r="C154" s="2">
        <v>8974219.4868999999</v>
      </c>
      <c r="D154" s="2">
        <v>2049973.9426</v>
      </c>
      <c r="E154" s="2">
        <v>1656712.6629991997</v>
      </c>
      <c r="F154" s="2">
        <v>6218307.3851874797</v>
      </c>
    </row>
    <row r="155" spans="1:6" x14ac:dyDescent="0.3">
      <c r="A155" s="4">
        <v>43251</v>
      </c>
      <c r="B155" s="2">
        <v>2183982.1354999999</v>
      </c>
      <c r="C155" s="2">
        <v>9002197.3423999995</v>
      </c>
      <c r="D155" s="2">
        <v>2064354.6624</v>
      </c>
      <c r="E155" s="2">
        <v>1688860.4453875013</v>
      </c>
      <c r="F155" s="2">
        <v>6205820.5910111899</v>
      </c>
    </row>
    <row r="156" spans="1:6" x14ac:dyDescent="0.3">
      <c r="A156" s="4">
        <v>43281</v>
      </c>
      <c r="B156" s="2">
        <v>2157980.7514</v>
      </c>
      <c r="C156" s="2">
        <v>9032196.3167000003</v>
      </c>
      <c r="D156" s="2">
        <v>2078354.5501999999</v>
      </c>
      <c r="E156" s="2">
        <v>1713873.9751223996</v>
      </c>
      <c r="F156" s="2">
        <v>6212664.1538345898</v>
      </c>
    </row>
    <row r="157" spans="1:6" x14ac:dyDescent="0.3">
      <c r="A157" s="4">
        <v>43312</v>
      </c>
      <c r="B157" s="2">
        <v>2205896.0077</v>
      </c>
      <c r="C157" s="2">
        <v>9094940.9371000007</v>
      </c>
      <c r="D157" s="2">
        <v>2092407.8692000001</v>
      </c>
      <c r="E157" s="2">
        <v>1692057.2871042993</v>
      </c>
      <c r="F157" s="2">
        <v>6227758.9528636904</v>
      </c>
    </row>
    <row r="158" spans="1:6" x14ac:dyDescent="0.3">
      <c r="A158" s="4">
        <v>43343</v>
      </c>
      <c r="B158" s="2">
        <v>2340923.0734000001</v>
      </c>
      <c r="C158" s="2">
        <v>9120380.4952000007</v>
      </c>
      <c r="D158" s="2">
        <v>2112822.5747000002</v>
      </c>
      <c r="E158" s="2">
        <v>1727711.437655</v>
      </c>
      <c r="F158" s="2">
        <v>6157012.1135335304</v>
      </c>
    </row>
    <row r="159" spans="1:6" x14ac:dyDescent="0.3">
      <c r="A159" s="4">
        <v>43373</v>
      </c>
      <c r="B159" s="2">
        <v>2239936.2821</v>
      </c>
      <c r="C159" s="2">
        <v>9154379.6796000004</v>
      </c>
      <c r="D159" s="2">
        <v>2127822.5328000002</v>
      </c>
      <c r="E159" s="2">
        <v>1755906.7134860996</v>
      </c>
      <c r="F159" s="2">
        <v>6238013.3711460298</v>
      </c>
    </row>
    <row r="160" spans="1:6" x14ac:dyDescent="0.3">
      <c r="A160" s="4">
        <v>43404</v>
      </c>
      <c r="B160" s="2">
        <v>2258001.4007000001</v>
      </c>
      <c r="C160" s="2">
        <v>9218210.1812999994</v>
      </c>
      <c r="D160" s="2">
        <v>2142822.2642999999</v>
      </c>
      <c r="E160" s="2">
        <v>1738862.2718846016</v>
      </c>
      <c r="F160" s="2">
        <v>6344473.6377339596</v>
      </c>
    </row>
    <row r="161" spans="1:6" x14ac:dyDescent="0.3">
      <c r="A161" s="4">
        <v>43434</v>
      </c>
      <c r="B161" s="2">
        <v>2389100.0967999999</v>
      </c>
      <c r="C161" s="2">
        <v>9240433.6325000003</v>
      </c>
      <c r="D161" s="2">
        <v>2158521.1729000001</v>
      </c>
      <c r="E161" s="2">
        <v>1772054.2069132999</v>
      </c>
      <c r="F161" s="2">
        <v>6289984.7683313601</v>
      </c>
    </row>
    <row r="162" spans="1:6" x14ac:dyDescent="0.3">
      <c r="A162" s="4">
        <v>43465</v>
      </c>
      <c r="B162" s="2">
        <v>2339992.5847</v>
      </c>
      <c r="C162" s="2">
        <v>9297047.4965000004</v>
      </c>
      <c r="D162" s="2">
        <v>2174521.1348000001</v>
      </c>
      <c r="E162" s="2">
        <v>1806745.6975072008</v>
      </c>
      <c r="F162" s="2">
        <v>6355788.8191729896</v>
      </c>
    </row>
    <row r="163" spans="1:6" x14ac:dyDescent="0.3">
      <c r="A163" s="4">
        <v>43496</v>
      </c>
      <c r="B163" s="2">
        <v>2299064.8783999998</v>
      </c>
      <c r="C163" s="2">
        <v>9355849.7375000007</v>
      </c>
      <c r="D163" s="2">
        <v>2190515.7075</v>
      </c>
      <c r="E163" s="2">
        <v>1774416.9066423997</v>
      </c>
      <c r="F163" s="2">
        <v>6362575.8029370001</v>
      </c>
    </row>
    <row r="164" spans="1:6" x14ac:dyDescent="0.3">
      <c r="A164" s="4">
        <v>43524</v>
      </c>
      <c r="B164" s="2">
        <v>2396041.9429000001</v>
      </c>
      <c r="C164" s="2">
        <v>9376271.0765999891</v>
      </c>
      <c r="D164" s="2">
        <v>2200999.8032</v>
      </c>
      <c r="E164" s="2">
        <v>1796363.8813185096</v>
      </c>
      <c r="F164" s="2">
        <v>6345849.7415814605</v>
      </c>
    </row>
    <row r="165" spans="1:6" x14ac:dyDescent="0.3">
      <c r="A165" s="4">
        <v>43555</v>
      </c>
      <c r="B165" s="2">
        <v>2480035.1888000001</v>
      </c>
      <c r="C165" s="2">
        <v>9414269.8446999993</v>
      </c>
      <c r="D165" s="2">
        <v>2216999.6079000002</v>
      </c>
      <c r="E165" s="2">
        <v>1827593.5941616017</v>
      </c>
      <c r="F165" s="2">
        <v>6088982.3836253602</v>
      </c>
    </row>
    <row r="166" spans="1:6" x14ac:dyDescent="0.3">
      <c r="A166" s="4">
        <v>43585</v>
      </c>
      <c r="B166" s="2">
        <v>2383993.1211000001</v>
      </c>
      <c r="C166" s="2">
        <v>9491388.6872999892</v>
      </c>
      <c r="D166" s="2">
        <v>2233001.5641999999</v>
      </c>
      <c r="E166" s="2">
        <v>1772528.20382821</v>
      </c>
      <c r="F166" s="2">
        <v>6146757.1823082799</v>
      </c>
    </row>
    <row r="167" spans="1:6" x14ac:dyDescent="0.3">
      <c r="A167" s="4">
        <v>43616</v>
      </c>
      <c r="B167" s="2">
        <v>2353946.2359000002</v>
      </c>
      <c r="C167" s="2">
        <v>9516392.1121999901</v>
      </c>
      <c r="D167" s="2">
        <v>2258474.0521</v>
      </c>
      <c r="E167" s="2">
        <v>1812438.7316504084</v>
      </c>
      <c r="F167" s="2">
        <v>6085173.3043917501</v>
      </c>
    </row>
    <row r="168" spans="1:6" x14ac:dyDescent="0.3">
      <c r="A168" s="4">
        <v>43646</v>
      </c>
      <c r="B168" s="2">
        <v>2250933.8631000002</v>
      </c>
      <c r="C168" s="2">
        <v>9554416.6458000001</v>
      </c>
      <c r="D168" s="2">
        <v>2274473.6428499999</v>
      </c>
      <c r="E168" s="2">
        <v>1851075.291739</v>
      </c>
      <c r="F168" s="2">
        <v>6092383.2013619104</v>
      </c>
    </row>
    <row r="169" spans="1:6" x14ac:dyDescent="0.3">
      <c r="A169" s="4">
        <v>43677</v>
      </c>
      <c r="B169" s="2">
        <v>2205896.8459999999</v>
      </c>
      <c r="C169" s="2">
        <v>9642221.1373999901</v>
      </c>
      <c r="D169" s="2">
        <v>2290609.6382499998</v>
      </c>
      <c r="E169" s="2">
        <v>1829412.7762099076</v>
      </c>
      <c r="F169" s="2">
        <v>6054227.93584025</v>
      </c>
    </row>
    <row r="170" spans="1:6" x14ac:dyDescent="0.3">
      <c r="A170" s="4">
        <v>43708</v>
      </c>
      <c r="B170" s="2">
        <v>2331915.1312000002</v>
      </c>
      <c r="C170" s="2">
        <v>9656422.1655999999</v>
      </c>
      <c r="D170" s="2">
        <v>2303067.20205</v>
      </c>
      <c r="E170" s="2">
        <v>1854902.4189974982</v>
      </c>
      <c r="F170" s="2">
        <v>6314159.7556045596</v>
      </c>
    </row>
    <row r="171" spans="1:6" x14ac:dyDescent="0.3">
      <c r="A171" s="4">
        <v>43738</v>
      </c>
      <c r="B171" s="2">
        <v>2376957.9278000002</v>
      </c>
      <c r="C171" s="2">
        <v>9762783.7637999896</v>
      </c>
      <c r="D171" s="2">
        <v>2319064.9882499999</v>
      </c>
      <c r="E171" s="2">
        <v>1888533.6311671101</v>
      </c>
      <c r="F171" s="2">
        <v>6372061.0241382401</v>
      </c>
    </row>
    <row r="172" spans="1:6" x14ac:dyDescent="0.3">
      <c r="A172" s="4">
        <v>43769</v>
      </c>
      <c r="B172" s="2">
        <v>2456075.3764</v>
      </c>
      <c r="C172" s="2">
        <v>9834945.2884</v>
      </c>
      <c r="D172" s="2">
        <v>2335064.7870499999</v>
      </c>
      <c r="E172" s="2">
        <v>1888038.2490219008</v>
      </c>
      <c r="F172" s="2">
        <v>6494285.5534850899</v>
      </c>
    </row>
    <row r="173" spans="1:6" x14ac:dyDescent="0.3">
      <c r="A173" s="4">
        <v>43799</v>
      </c>
      <c r="B173" s="2">
        <v>2515128.0787999998</v>
      </c>
      <c r="C173" s="2">
        <v>9830428.8082999997</v>
      </c>
      <c r="D173" s="2">
        <v>2363058.4257499999</v>
      </c>
      <c r="E173" s="2">
        <v>1919129.9592025001</v>
      </c>
      <c r="F173" s="2">
        <v>6448454.1294599799</v>
      </c>
    </row>
    <row r="174" spans="1:6" x14ac:dyDescent="0.3">
      <c r="A174" s="4">
        <v>43830</v>
      </c>
      <c r="B174" s="2">
        <v>2416864.2230000002</v>
      </c>
      <c r="C174" s="2">
        <v>9929230.5972999893</v>
      </c>
      <c r="D174" s="2">
        <v>2379057.2348500001</v>
      </c>
      <c r="E174" s="2">
        <v>1956984.0915530082</v>
      </c>
      <c r="F174" s="2">
        <v>6519244.0205316199</v>
      </c>
    </row>
    <row r="175" spans="1:6" x14ac:dyDescent="0.3">
      <c r="A175" s="4">
        <v>43861</v>
      </c>
      <c r="B175" s="2">
        <v>2404290.7659</v>
      </c>
      <c r="C175" s="2">
        <v>9998735.9517000001</v>
      </c>
      <c r="D175" s="2">
        <v>2395568.8438499998</v>
      </c>
      <c r="E175" s="2">
        <v>1921406.5345916003</v>
      </c>
      <c r="F175" s="2">
        <v>6503810.8096058201</v>
      </c>
    </row>
    <row r="176" spans="1:6" x14ac:dyDescent="0.3">
      <c r="A176" s="4">
        <v>43890</v>
      </c>
      <c r="B176" s="2">
        <v>2564583.1002000002</v>
      </c>
      <c r="C176" s="2">
        <v>9994275.0287999995</v>
      </c>
      <c r="D176" s="2">
        <v>2413542.04825</v>
      </c>
      <c r="E176" s="2">
        <v>1946125.0636473</v>
      </c>
      <c r="F176" s="2">
        <v>6491433.8094133204</v>
      </c>
    </row>
    <row r="177" spans="1:6" x14ac:dyDescent="0.3">
      <c r="A177" s="4">
        <v>43921</v>
      </c>
      <c r="B177" s="2">
        <v>2657439.3487</v>
      </c>
      <c r="C177" s="2">
        <v>10092497.4356</v>
      </c>
      <c r="D177" s="2">
        <v>2429557.1893500001</v>
      </c>
      <c r="E177" s="2">
        <v>1983312.7790461015</v>
      </c>
      <c r="F177" s="2">
        <v>6524064.2476523602</v>
      </c>
    </row>
    <row r="178" spans="1:6" x14ac:dyDescent="0.3">
      <c r="A178" s="4">
        <v>43951</v>
      </c>
      <c r="B178" s="2">
        <v>4001773.2059999998</v>
      </c>
      <c r="C178" s="2">
        <v>10163726.695599999</v>
      </c>
      <c r="D178" s="2">
        <v>2446613.12005</v>
      </c>
      <c r="E178" s="2">
        <v>1923491.0191176999</v>
      </c>
      <c r="F178" s="2">
        <v>6438567.8275864497</v>
      </c>
    </row>
    <row r="179" spans="1:6" x14ac:dyDescent="0.3">
      <c r="A179" s="4">
        <v>43982</v>
      </c>
      <c r="B179" s="2">
        <v>4629918.6409999998</v>
      </c>
      <c r="C179" s="2">
        <v>10176713.185699999</v>
      </c>
      <c r="D179" s="2">
        <v>2472665.6805500002</v>
      </c>
      <c r="E179" s="2">
        <v>1952741.9322417006</v>
      </c>
      <c r="F179" s="2">
        <v>6514220.9277125699</v>
      </c>
    </row>
    <row r="180" spans="1:6" x14ac:dyDescent="0.3">
      <c r="A180" s="4">
        <v>44012</v>
      </c>
      <c r="B180" s="2">
        <v>5079626.0735999998</v>
      </c>
      <c r="C180" s="2">
        <v>10314464.974099999</v>
      </c>
      <c r="D180" s="2">
        <v>2533360.64365</v>
      </c>
      <c r="E180" s="2">
        <v>1978513.2667484023</v>
      </c>
      <c r="F180" s="2">
        <v>6571275.66833618</v>
      </c>
    </row>
    <row r="181" spans="1:6" x14ac:dyDescent="0.3">
      <c r="A181" s="4">
        <v>44043</v>
      </c>
      <c r="B181" s="2">
        <v>5078940.9177000001</v>
      </c>
      <c r="C181" s="2">
        <v>10427628.862500001</v>
      </c>
      <c r="D181" s="2">
        <v>2572959.32675</v>
      </c>
      <c r="E181" s="2">
        <v>1928334.8378082998</v>
      </c>
      <c r="F181" s="2">
        <v>6517089.9698471399</v>
      </c>
    </row>
    <row r="182" spans="1:6" x14ac:dyDescent="0.3">
      <c r="A182" s="4">
        <v>44074</v>
      </c>
      <c r="B182" s="2">
        <v>5076721.4434000002</v>
      </c>
      <c r="C182" s="2">
        <v>10524031.8627</v>
      </c>
      <c r="D182" s="2">
        <v>2624535.3957500001</v>
      </c>
      <c r="E182" s="2">
        <v>1965457.6689044982</v>
      </c>
      <c r="F182" s="2">
        <v>6538089.47575121</v>
      </c>
    </row>
    <row r="183" spans="1:6" x14ac:dyDescent="0.3">
      <c r="A183" s="4">
        <v>44104</v>
      </c>
      <c r="B183" s="2">
        <v>5028907.6507999999</v>
      </c>
      <c r="C183" s="2">
        <v>10663763.656099999</v>
      </c>
      <c r="D183" s="2">
        <v>2673492.7924500001</v>
      </c>
      <c r="E183" s="2">
        <v>2008776.3472681008</v>
      </c>
      <c r="F183" s="2">
        <v>6570450.7348932801</v>
      </c>
    </row>
    <row r="184" spans="1:6" x14ac:dyDescent="0.3">
      <c r="A184" s="4">
        <v>44135</v>
      </c>
      <c r="B184" s="2">
        <v>4985339.5272000004</v>
      </c>
      <c r="C184" s="2">
        <v>10729201.632200001</v>
      </c>
      <c r="D184" s="2">
        <v>2697136.165</v>
      </c>
      <c r="E184" s="2">
        <v>2030549.6337519996</v>
      </c>
      <c r="F184" s="2">
        <v>6693249.7006999198</v>
      </c>
    </row>
    <row r="185" spans="1:6" x14ac:dyDescent="0.3">
      <c r="A185" s="4">
        <v>44165</v>
      </c>
      <c r="B185" s="2">
        <v>4943663.5075000003</v>
      </c>
      <c r="C185" s="2">
        <v>10919135.8752</v>
      </c>
      <c r="D185" s="2">
        <v>2786619.2894000001</v>
      </c>
      <c r="E185" s="2">
        <v>2042991.0061572008</v>
      </c>
      <c r="F185" s="2">
        <v>6753878.5562046198</v>
      </c>
    </row>
    <row r="186" spans="1:6" x14ac:dyDescent="0.3">
      <c r="A186" s="4">
        <v>44196</v>
      </c>
      <c r="B186" s="2">
        <v>4964139.8545000004</v>
      </c>
      <c r="C186" s="2">
        <v>11091924.1943</v>
      </c>
      <c r="D186" s="2">
        <v>2839292.9035</v>
      </c>
      <c r="E186" s="2">
        <v>2085034.3278960027</v>
      </c>
      <c r="F186" s="2">
        <v>6767407.2410363303</v>
      </c>
    </row>
    <row r="187" spans="1:6" x14ac:dyDescent="0.3">
      <c r="A187" s="4">
        <v>44227</v>
      </c>
      <c r="B187" s="2">
        <v>4954950.1574999997</v>
      </c>
      <c r="C187" s="2">
        <v>11172761.7718</v>
      </c>
      <c r="D187" s="2">
        <v>2865705.4896</v>
      </c>
      <c r="E187" s="2">
        <v>2055548.050657101</v>
      </c>
      <c r="F187" s="2">
        <v>6735588.0798200304</v>
      </c>
    </row>
    <row r="188" spans="1:6" x14ac:dyDescent="0.3">
      <c r="A188" s="4">
        <v>44255</v>
      </c>
      <c r="B188" s="2">
        <v>4859032.8505999995</v>
      </c>
      <c r="C188" s="2">
        <v>11312275.940400001</v>
      </c>
      <c r="D188" s="2">
        <v>2919668.3899500002</v>
      </c>
      <c r="E188" s="2">
        <v>2067542.6964673996</v>
      </c>
      <c r="F188" s="2">
        <v>6743844.20019913</v>
      </c>
    </row>
    <row r="189" spans="1:6" x14ac:dyDescent="0.3">
      <c r="A189" s="4">
        <v>44286</v>
      </c>
      <c r="B189" s="2">
        <v>4669038.5120999999</v>
      </c>
      <c r="C189" s="2">
        <v>11597217.010199999</v>
      </c>
      <c r="D189" s="2">
        <v>3006314.5255499999</v>
      </c>
      <c r="E189" s="2">
        <v>2115529.9137109034</v>
      </c>
      <c r="F189" s="2">
        <v>6744470.0855404101</v>
      </c>
    </row>
    <row r="190" spans="1:6" x14ac:dyDescent="0.3">
      <c r="A190" s="4">
        <v>44316</v>
      </c>
      <c r="B190" s="2">
        <v>4540050.4091999996</v>
      </c>
      <c r="C190" s="2">
        <v>11783304.155099999</v>
      </c>
      <c r="D190" s="2">
        <v>3062582.24235</v>
      </c>
      <c r="E190" s="2">
        <v>2070917.1288773008</v>
      </c>
      <c r="F190" s="2">
        <v>6717861.36391488</v>
      </c>
    </row>
    <row r="191" spans="1:6" x14ac:dyDescent="0.3">
      <c r="A191" s="4">
        <v>44347</v>
      </c>
      <c r="B191" s="2">
        <v>4377077.6848999998</v>
      </c>
      <c r="C191" s="2">
        <v>11830354.9449</v>
      </c>
      <c r="D191" s="2">
        <v>3093839.08715</v>
      </c>
      <c r="E191" s="2">
        <v>2120055.3706436008</v>
      </c>
      <c r="F191" s="2">
        <v>6777680.5882271901</v>
      </c>
    </row>
    <row r="192" spans="1:6" x14ac:dyDescent="0.3">
      <c r="A192" s="4">
        <v>44377</v>
      </c>
      <c r="B192" s="2">
        <v>4275091.9676000001</v>
      </c>
      <c r="C192" s="2">
        <v>12106351.555600001</v>
      </c>
      <c r="D192" s="2">
        <v>3179928.5870500002</v>
      </c>
      <c r="E192" s="2">
        <v>2177653.0771970972</v>
      </c>
      <c r="F192" s="2">
        <v>6790410.9435886703</v>
      </c>
    </row>
    <row r="193" spans="1:6" x14ac:dyDescent="0.3">
      <c r="A193" s="4">
        <v>44408</v>
      </c>
      <c r="B193" s="2">
        <v>4142126.6849000002</v>
      </c>
      <c r="C193" s="2">
        <v>12185025.832699999</v>
      </c>
      <c r="D193" s="2">
        <v>3207879.53015</v>
      </c>
      <c r="E193" s="2">
        <v>2163509.7858484015</v>
      </c>
      <c r="F193" s="2">
        <v>6729179.7514530905</v>
      </c>
    </row>
    <row r="194" spans="1:6" x14ac:dyDescent="0.3">
      <c r="A194" s="4">
        <v>44439</v>
      </c>
      <c r="B194" s="2">
        <v>4038112.7478</v>
      </c>
      <c r="C194" s="2">
        <v>12411912.973200001</v>
      </c>
      <c r="D194" s="2">
        <v>3294109.6476500002</v>
      </c>
      <c r="E194" s="2">
        <v>2188052.4116612002</v>
      </c>
      <c r="F194" s="2">
        <v>6495128.9719444104</v>
      </c>
    </row>
    <row r="195" spans="1:6" x14ac:dyDescent="0.3">
      <c r="A195" s="4">
        <v>44469</v>
      </c>
      <c r="B195" s="2">
        <v>3714118.5682999999</v>
      </c>
      <c r="C195" s="2">
        <v>12578941.0997</v>
      </c>
      <c r="D195" s="2">
        <v>3347555.48905</v>
      </c>
      <c r="E195" s="2">
        <v>2238087.0552606024</v>
      </c>
      <c r="F195" s="2">
        <v>6550215.9001580896</v>
      </c>
    </row>
    <row r="196" spans="1:6" x14ac:dyDescent="0.3">
      <c r="A196" s="4">
        <v>44500</v>
      </c>
      <c r="B196" s="2">
        <v>3852105.9434000002</v>
      </c>
      <c r="C196" s="2">
        <v>12646164.423900001</v>
      </c>
      <c r="D196" s="2">
        <v>3373360.3669500002</v>
      </c>
      <c r="E196" s="2">
        <v>2260451.3456784971</v>
      </c>
      <c r="F196" s="2">
        <v>6776682.7813774301</v>
      </c>
    </row>
    <row r="197" spans="1:6" x14ac:dyDescent="0.3">
      <c r="A197" s="4">
        <v>44530</v>
      </c>
      <c r="B197" s="2">
        <v>3786096.3273999998</v>
      </c>
      <c r="C197" s="2">
        <v>12854561.256999999</v>
      </c>
      <c r="D197" s="2">
        <v>3433525.3276499999</v>
      </c>
      <c r="E197" s="2">
        <v>2277424.0507532023</v>
      </c>
      <c r="F197" s="2">
        <v>6556379.5044486299</v>
      </c>
    </row>
    <row r="198" spans="1:6" x14ac:dyDescent="0.3">
      <c r="A198" s="4">
        <v>44561</v>
      </c>
      <c r="B198" s="2">
        <v>3770065.5680999998</v>
      </c>
      <c r="C198" s="2">
        <v>13000506.5035</v>
      </c>
      <c r="D198" s="2">
        <v>3481511.35525</v>
      </c>
      <c r="E198" s="2">
        <v>2338008.1346647032</v>
      </c>
      <c r="F198" s="2">
        <v>7027122.9591121599</v>
      </c>
    </row>
    <row r="199" spans="1:6" x14ac:dyDescent="0.3">
      <c r="A199" s="4">
        <v>44592</v>
      </c>
      <c r="B199" s="2">
        <v>3961051.3703000001</v>
      </c>
      <c r="C199" s="2">
        <v>13141550.891799999</v>
      </c>
      <c r="D199" s="2">
        <v>3530029.4334499999</v>
      </c>
      <c r="E199" s="2">
        <v>2286266.5960734002</v>
      </c>
      <c r="F199" s="2">
        <v>7093488.4343353501</v>
      </c>
    </row>
    <row r="200" spans="1:6" x14ac:dyDescent="0.3">
      <c r="A200" s="4">
        <v>44620</v>
      </c>
      <c r="B200" s="2">
        <v>4055001.6864999998</v>
      </c>
      <c r="C200" s="2">
        <v>13227624.8696</v>
      </c>
      <c r="D200" s="2">
        <v>3589195.6134500001</v>
      </c>
      <c r="E200" s="2">
        <v>2324140.0022774972</v>
      </c>
      <c r="F200" s="2">
        <v>7094391.1553630102</v>
      </c>
    </row>
    <row r="201" spans="1:6" x14ac:dyDescent="0.3">
      <c r="A201" s="4">
        <v>44651</v>
      </c>
      <c r="B201" s="2">
        <v>3928960.8736</v>
      </c>
      <c r="C201" s="2">
        <v>13348463.450200001</v>
      </c>
      <c r="D201" s="2">
        <v>3631506.4312499999</v>
      </c>
      <c r="E201" s="2">
        <v>2377181.3491672017</v>
      </c>
      <c r="F201" s="2">
        <v>7114847.5239261901</v>
      </c>
    </row>
    <row r="202" spans="1:6" x14ac:dyDescent="0.3">
      <c r="A202" s="4">
        <v>44681</v>
      </c>
      <c r="B202" s="2">
        <v>3827928.1022999999</v>
      </c>
      <c r="C202" s="2">
        <v>13409539.3332</v>
      </c>
      <c r="D202" s="2">
        <v>3656277.2743500001</v>
      </c>
      <c r="E202" s="2">
        <v>2360874.809953101</v>
      </c>
      <c r="F202" s="2">
        <v>7119534.6517901802</v>
      </c>
    </row>
    <row r="203" spans="1:6" x14ac:dyDescent="0.3">
      <c r="A203" s="4">
        <v>44712</v>
      </c>
      <c r="B203" s="2">
        <v>3672923.3171000001</v>
      </c>
      <c r="C203" s="2">
        <v>13516330.681</v>
      </c>
      <c r="D203" s="2">
        <v>3731432.1550500002</v>
      </c>
      <c r="E203" s="2">
        <v>2386469.1637023985</v>
      </c>
      <c r="F203" s="2">
        <v>7192462.9078508504</v>
      </c>
    </row>
    <row r="204" spans="1:6" x14ac:dyDescent="0.3">
      <c r="A204" s="4">
        <v>44742</v>
      </c>
      <c r="B204" s="2">
        <v>3523925.3166</v>
      </c>
      <c r="C204" s="2">
        <v>13583597.317600001</v>
      </c>
      <c r="D204" s="2">
        <v>3766619.8216499998</v>
      </c>
      <c r="E204" s="2">
        <v>2437439.6442212015</v>
      </c>
      <c r="F204" s="2">
        <v>7256999.63611429</v>
      </c>
    </row>
    <row r="205" spans="1:6" x14ac:dyDescent="0.3">
      <c r="A205" s="4">
        <v>44773</v>
      </c>
      <c r="B205" s="2">
        <v>3514936.0011999998</v>
      </c>
      <c r="C205" s="2">
        <v>13630963.2107</v>
      </c>
      <c r="D205" s="2">
        <v>3788041.4324500002</v>
      </c>
      <c r="E205" s="2">
        <v>2420805.2958962992</v>
      </c>
      <c r="F205" s="2">
        <v>7240362.6825130498</v>
      </c>
    </row>
    <row r="206" spans="1:6" x14ac:dyDescent="0.3">
      <c r="A206" s="4">
        <v>44804</v>
      </c>
      <c r="B206" s="2">
        <v>3724979.3820000002</v>
      </c>
      <c r="C206" s="2">
        <v>13672145.814300001</v>
      </c>
      <c r="D206" s="2">
        <v>3844352.7732500001</v>
      </c>
      <c r="E206" s="2">
        <v>2433480.4144283012</v>
      </c>
      <c r="F206" s="2">
        <v>7261116.8091923296</v>
      </c>
    </row>
    <row r="207" spans="1:6" x14ac:dyDescent="0.3">
      <c r="A207" s="4">
        <v>44834</v>
      </c>
      <c r="B207" s="2">
        <v>3644620.2004</v>
      </c>
      <c r="C207" s="2">
        <v>13703795.352499999</v>
      </c>
      <c r="D207" s="2">
        <v>3874352.1434499999</v>
      </c>
      <c r="E207" s="2">
        <v>2471356.245639503</v>
      </c>
      <c r="F207" s="2">
        <v>7234787.6450389801</v>
      </c>
    </row>
    <row r="208" spans="1:6" x14ac:dyDescent="0.3">
      <c r="A208" s="4">
        <v>44865</v>
      </c>
      <c r="B208" s="2">
        <v>3665978.4493</v>
      </c>
      <c r="C208" s="2">
        <v>13734209.057700001</v>
      </c>
      <c r="D208" s="2">
        <v>3904340.2751500001</v>
      </c>
      <c r="E208" s="2">
        <v>2438957.7097389996</v>
      </c>
      <c r="F208" s="2">
        <v>7494815.6646926897</v>
      </c>
    </row>
    <row r="209" spans="1:6" x14ac:dyDescent="0.3">
      <c r="A209" s="4">
        <v>44895</v>
      </c>
      <c r="B209" s="2">
        <v>3811905.1513999999</v>
      </c>
      <c r="C209" s="2">
        <v>13717937.353700001</v>
      </c>
      <c r="D209" s="2">
        <v>3941889.45065</v>
      </c>
      <c r="E209" s="2">
        <v>2481768.3479866013</v>
      </c>
      <c r="F209" s="2">
        <v>7459822.1298060901</v>
      </c>
    </row>
    <row r="210" spans="1:6" x14ac:dyDescent="0.3">
      <c r="A210" s="4">
        <v>44926</v>
      </c>
      <c r="B210" s="2">
        <v>3697386.1438000002</v>
      </c>
      <c r="C210" s="2">
        <v>13751916.8697</v>
      </c>
      <c r="D210" s="2">
        <v>3959873.6060500001</v>
      </c>
      <c r="E210" s="2">
        <v>2530123.1937255003</v>
      </c>
      <c r="F210" s="2">
        <v>7480389.7035792097</v>
      </c>
    </row>
    <row r="211" spans="1:6" x14ac:dyDescent="0.3">
      <c r="A211" s="4">
        <v>44957</v>
      </c>
      <c r="B211" s="2">
        <v>3938873.4478000002</v>
      </c>
      <c r="C211" s="2">
        <v>13753790.567399999</v>
      </c>
      <c r="D211" s="2">
        <v>4001861.70805</v>
      </c>
      <c r="E211" s="2">
        <v>2433083.577902399</v>
      </c>
      <c r="F211" s="2">
        <v>7327372.8402000898</v>
      </c>
    </row>
    <row r="212" spans="1:6" x14ac:dyDescent="0.3">
      <c r="A212" s="4">
        <v>44985</v>
      </c>
      <c r="B212" s="2">
        <v>4057778.6239999998</v>
      </c>
      <c r="C212" s="2">
        <v>13730524.3871</v>
      </c>
      <c r="D212" s="2">
        <v>4033694.1141499998</v>
      </c>
      <c r="E212" s="2">
        <v>2460567.7760051005</v>
      </c>
      <c r="F212" s="2">
        <v>7176726.5564184496</v>
      </c>
    </row>
    <row r="213" spans="1:6" x14ac:dyDescent="0.3">
      <c r="A213" s="4">
        <v>45016</v>
      </c>
      <c r="B213" s="2">
        <v>4068832.8519000001</v>
      </c>
      <c r="C213" s="2">
        <v>13737852.871099999</v>
      </c>
      <c r="D213" s="2">
        <v>4063693.6587999999</v>
      </c>
      <c r="E213" s="2">
        <v>2511862.0018087029</v>
      </c>
      <c r="F213" s="2">
        <v>7076196.2621080698</v>
      </c>
    </row>
    <row r="214" spans="1:6" x14ac:dyDescent="0.3">
      <c r="A214" s="4">
        <v>45046</v>
      </c>
      <c r="B214" s="2">
        <v>3942645.4053000002</v>
      </c>
      <c r="C214" s="2">
        <v>13774295.518999999</v>
      </c>
      <c r="D214" s="2">
        <v>4082825.0224000001</v>
      </c>
      <c r="E214" s="2">
        <v>2486029.747982502</v>
      </c>
      <c r="F214" s="2">
        <v>7172019.3317030203</v>
      </c>
    </row>
    <row r="215" spans="1:6" x14ac:dyDescent="0.3">
      <c r="A215" s="4">
        <v>45077</v>
      </c>
      <c r="B215" s="2">
        <v>3993421.1839999999</v>
      </c>
      <c r="C215" s="2">
        <v>13718277.407299999</v>
      </c>
      <c r="D215" s="2">
        <v>4140503.5304</v>
      </c>
      <c r="E215" s="2">
        <v>2475979.066319</v>
      </c>
      <c r="F215" s="2">
        <v>7136276.2421332197</v>
      </c>
    </row>
    <row r="216" spans="1:6" x14ac:dyDescent="0.3">
      <c r="A216" s="4">
        <v>45107</v>
      </c>
      <c r="B216" s="2">
        <v>4466697.7315999996</v>
      </c>
      <c r="C216" s="2">
        <v>13723968.5165</v>
      </c>
      <c r="D216" s="2">
        <v>4170502.2053999999</v>
      </c>
      <c r="E216" s="2">
        <v>2525481.2186420001</v>
      </c>
      <c r="F216" s="2">
        <v>7445624.50784487</v>
      </c>
    </row>
    <row r="217" spans="1:6" x14ac:dyDescent="0.3">
      <c r="A217" s="4">
        <v>45138</v>
      </c>
      <c r="B217" s="2">
        <v>4770514.5957000004</v>
      </c>
      <c r="C217" s="2">
        <v>13732106.4332</v>
      </c>
      <c r="D217" s="2">
        <v>4200350.8120999997</v>
      </c>
      <c r="E217" s="2">
        <v>2435023.9964585975</v>
      </c>
      <c r="F217" s="2">
        <v>7470589.2721458497</v>
      </c>
    </row>
    <row r="218" spans="1:6" x14ac:dyDescent="0.3">
      <c r="A218" s="4">
        <v>45169</v>
      </c>
      <c r="B218" s="2">
        <v>5073922.4118999997</v>
      </c>
      <c r="C218" s="2">
        <v>13702547.2695</v>
      </c>
      <c r="D218" s="2">
        <v>4226927.2682999996</v>
      </c>
      <c r="E218" s="2">
        <v>2474166.0710612983</v>
      </c>
      <c r="F218" s="2">
        <v>7436586.2622048799</v>
      </c>
    </row>
    <row r="219" spans="1:6" x14ac:dyDescent="0.3">
      <c r="A219" s="4">
        <v>45199</v>
      </c>
      <c r="B219" s="2">
        <v>5260406.9243999999</v>
      </c>
      <c r="C219" s="2">
        <v>13729486.2761</v>
      </c>
      <c r="D219" s="2">
        <v>4246926.2789000003</v>
      </c>
      <c r="E219" s="2">
        <v>2516863.1713809967</v>
      </c>
      <c r="F219" s="2">
        <v>7413651.1746763196</v>
      </c>
    </row>
    <row r="220" spans="1:6" x14ac:dyDescent="0.3">
      <c r="A220" s="4">
        <v>45230</v>
      </c>
      <c r="B220" s="2">
        <v>5456998.4133000001</v>
      </c>
      <c r="C220" s="2">
        <v>13762307.187899999</v>
      </c>
      <c r="D220" s="2">
        <v>4292925.4729000004</v>
      </c>
      <c r="E220" s="2">
        <v>2491235.861359302</v>
      </c>
      <c r="F220" s="2">
        <v>7696112.65230601</v>
      </c>
    </row>
    <row r="221" spans="1:6" x14ac:dyDescent="0.3">
      <c r="A221" s="4">
        <v>45260</v>
      </c>
      <c r="B221" s="2">
        <v>5671149.2182</v>
      </c>
      <c r="C221" s="2">
        <v>13729610.566099999</v>
      </c>
      <c r="D221" s="2">
        <v>4333565.4223999996</v>
      </c>
      <c r="E221" s="2">
        <v>2537600.7525630035</v>
      </c>
      <c r="F221" s="2">
        <v>7606752.8305202499</v>
      </c>
    </row>
    <row r="222" spans="1:6" x14ac:dyDescent="0.3">
      <c r="A222" s="4">
        <v>45291</v>
      </c>
      <c r="B222" s="2">
        <v>5675781.0635000002</v>
      </c>
      <c r="C222" s="2">
        <v>13758204.841</v>
      </c>
      <c r="D222" s="2">
        <v>4354552.9642000003</v>
      </c>
      <c r="E222" s="2">
        <v>2583168.9282259978</v>
      </c>
      <c r="F222" s="2">
        <v>7629785.7872417197</v>
      </c>
    </row>
    <row r="223" spans="1:6" x14ac:dyDescent="0.3">
      <c r="A223" s="4">
        <v>45322</v>
      </c>
      <c r="B223" s="2">
        <v>5780243.7895</v>
      </c>
      <c r="C223" s="2">
        <v>13831182.693700001</v>
      </c>
      <c r="D223" s="2">
        <v>4401548.0274999999</v>
      </c>
      <c r="E223" s="2">
        <v>2497363.0442950018</v>
      </c>
      <c r="F223" s="2">
        <v>7680811.8645796897</v>
      </c>
    </row>
    <row r="224" spans="1:6" x14ac:dyDescent="0.3">
      <c r="A224" s="4">
        <v>45351</v>
      </c>
      <c r="B224" s="2">
        <v>6011236.3775000004</v>
      </c>
      <c r="C224" s="2">
        <v>13829792.0693</v>
      </c>
      <c r="D224" s="2">
        <v>4445076.9741000002</v>
      </c>
      <c r="E224" s="2">
        <v>2532744.6659722961</v>
      </c>
      <c r="F224" s="2">
        <v>7652232.5021612002</v>
      </c>
    </row>
    <row r="225" spans="1:6" x14ac:dyDescent="0.3">
      <c r="A225" s="4">
        <v>45382</v>
      </c>
      <c r="B225" s="2">
        <v>6062865.3366</v>
      </c>
      <c r="C225" s="2">
        <v>13863195.002800001</v>
      </c>
      <c r="D225" s="2">
        <v>4467056.3455999997</v>
      </c>
      <c r="E225" s="2">
        <v>2558391.2171268985</v>
      </c>
      <c r="F225" s="2">
        <v>7635026.8939362802</v>
      </c>
    </row>
    <row r="226" spans="1:6" x14ac:dyDescent="0.3">
      <c r="A226" s="4">
        <v>45412</v>
      </c>
      <c r="B226" s="2">
        <v>5866762.4480999997</v>
      </c>
      <c r="C226" s="2">
        <v>13994853.499700001</v>
      </c>
      <c r="D226" s="2">
        <v>4515268.1727999998</v>
      </c>
      <c r="E226" s="2">
        <v>2541480.4452201985</v>
      </c>
      <c r="F226" s="2">
        <v>7698627.8085047901</v>
      </c>
    </row>
    <row r="227" spans="1:6" x14ac:dyDescent="0.3">
      <c r="A227" s="4">
        <v>45443</v>
      </c>
      <c r="B227" s="2">
        <v>5866780.3756999997</v>
      </c>
      <c r="C227" s="2">
        <v>14013772.202500001</v>
      </c>
      <c r="D227" s="2">
        <v>4560357.9354999997</v>
      </c>
      <c r="E227" s="2">
        <v>2601255.6706338003</v>
      </c>
      <c r="F227" s="2">
        <v>7624950.2540880404</v>
      </c>
    </row>
    <row r="228" spans="1:6" x14ac:dyDescent="0.3">
      <c r="A228" s="4">
        <v>45473</v>
      </c>
      <c r="B228" s="2">
        <v>5765830.0899</v>
      </c>
      <c r="C228" s="2">
        <v>14046707.3817</v>
      </c>
      <c r="D228" s="2">
        <v>4581064.9061000003</v>
      </c>
      <c r="E228" s="2">
        <v>2656391.829434</v>
      </c>
      <c r="F228" s="2">
        <v>7781639.7786783297</v>
      </c>
    </row>
    <row r="229" spans="1:6" x14ac:dyDescent="0.3">
      <c r="A229" s="4">
        <v>45504</v>
      </c>
      <c r="B229" s="2">
        <v>5915782.1836999999</v>
      </c>
      <c r="C229" s="2">
        <v>14226985.2226</v>
      </c>
      <c r="D229" s="2">
        <v>4631803.5488</v>
      </c>
      <c r="E229" s="2">
        <v>2587806.1402160004</v>
      </c>
      <c r="F229" s="2">
        <v>7742393.5232122699</v>
      </c>
    </row>
    <row r="230" spans="1:6" x14ac:dyDescent="0.3">
      <c r="A230" s="4">
        <v>45535</v>
      </c>
      <c r="B230" s="2">
        <v>6121801.8453000002</v>
      </c>
      <c r="C230" s="2">
        <v>14192205.4659</v>
      </c>
      <c r="D230" s="2">
        <v>4657558.2077000001</v>
      </c>
      <c r="E230" s="2">
        <v>2624290.0248310007</v>
      </c>
      <c r="F230" s="2">
        <v>7660201.03607349</v>
      </c>
    </row>
    <row r="231" spans="1:6" x14ac:dyDescent="0.3">
      <c r="A231" s="4">
        <v>45565</v>
      </c>
      <c r="B231" s="2">
        <v>6004760.6776999999</v>
      </c>
      <c r="C231" s="2">
        <v>14343433.823799999</v>
      </c>
      <c r="D231" s="2">
        <v>4708307.8279999997</v>
      </c>
      <c r="E231" s="2">
        <v>2671835.1308614016</v>
      </c>
      <c r="F231" s="2">
        <v>7736336.4571189303</v>
      </c>
    </row>
    <row r="232" spans="1:6" x14ac:dyDescent="0.3">
      <c r="A232" s="4">
        <v>45596</v>
      </c>
      <c r="B232" s="2">
        <v>6186777.7925000004</v>
      </c>
      <c r="C232" s="2">
        <v>14443632.6176</v>
      </c>
      <c r="D232" s="2">
        <v>4743828.2596000005</v>
      </c>
      <c r="E232" s="2">
        <v>2616532.3372246027</v>
      </c>
      <c r="F232" s="2">
        <v>7960830.1808168702</v>
      </c>
    </row>
    <row r="233" spans="1:6" x14ac:dyDescent="0.3">
      <c r="A233" s="4">
        <v>45626</v>
      </c>
      <c r="B233" s="2">
        <v>6389763.2319999998</v>
      </c>
      <c r="C233" s="2">
        <v>14409501.922599999</v>
      </c>
      <c r="D233" s="2">
        <v>4759296.1254000003</v>
      </c>
      <c r="E233" s="2">
        <v>2664498.3913116008</v>
      </c>
      <c r="F233" s="2">
        <v>7864302.6808527401</v>
      </c>
    </row>
    <row r="234" spans="1:6" x14ac:dyDescent="0.3">
      <c r="A234" s="4">
        <v>45657</v>
      </c>
      <c r="B234" s="2">
        <v>6186882.0707</v>
      </c>
      <c r="C234" s="2">
        <v>14565431.063100001</v>
      </c>
      <c r="D234" s="2">
        <v>4811667.7061000001</v>
      </c>
      <c r="E234" s="2">
        <v>2716687.8176745996</v>
      </c>
      <c r="F234" s="2">
        <v>7937936.6448058402</v>
      </c>
    </row>
    <row r="235" spans="1:6" x14ac:dyDescent="0.3">
      <c r="A235" s="4">
        <v>45688</v>
      </c>
      <c r="B235" s="2">
        <v>6379924.9601999996</v>
      </c>
      <c r="C235" s="2">
        <v>14691030.376800001</v>
      </c>
      <c r="D235" s="2">
        <v>4850208.2671999997</v>
      </c>
      <c r="E235" s="2">
        <v>2597689.4670520984</v>
      </c>
      <c r="F235" s="2">
        <v>7701353.63688411</v>
      </c>
    </row>
    <row r="236" spans="1:6" x14ac:dyDescent="0.3">
      <c r="A236" s="4">
        <v>45716</v>
      </c>
      <c r="B236" s="2">
        <v>6367951.7093000002</v>
      </c>
      <c r="C236" s="2">
        <v>14736013.5853</v>
      </c>
      <c r="D236" s="2">
        <v>4886175.8746999996</v>
      </c>
      <c r="E236" s="2">
        <v>2638409.9776654989</v>
      </c>
      <c r="F236" s="2">
        <v>7590372.1679439601</v>
      </c>
    </row>
    <row r="237" spans="1:6" x14ac:dyDescent="0.3">
      <c r="A237" s="4">
        <v>45747</v>
      </c>
      <c r="B237" s="2">
        <v>6155950.4395000003</v>
      </c>
      <c r="C237" s="2">
        <v>14813886.517100001</v>
      </c>
      <c r="D237" s="2">
        <v>4919912.8173000002</v>
      </c>
      <c r="E237" s="2">
        <v>2697300.6972299963</v>
      </c>
      <c r="F237" s="2">
        <v>7627259.9350475203</v>
      </c>
    </row>
    <row r="238" spans="1:6" x14ac:dyDescent="0.3">
      <c r="A238" s="4">
        <v>45777</v>
      </c>
      <c r="B238" s="2">
        <v>6060018.6605000002</v>
      </c>
      <c r="C238" s="2">
        <v>14907753.197799999</v>
      </c>
      <c r="D238" s="2">
        <v>4957464.5207000002</v>
      </c>
      <c r="E238" s="2">
        <v>2650521.7592111006</v>
      </c>
      <c r="F238" s="2">
        <v>7637799.0399192898</v>
      </c>
    </row>
    <row r="239" spans="1:6" x14ac:dyDescent="0.3">
      <c r="A239" s="4">
        <v>45808</v>
      </c>
      <c r="B239" s="2">
        <v>6003024.2416000003</v>
      </c>
      <c r="C239" s="2">
        <v>14897646.643200001</v>
      </c>
      <c r="D239" s="2">
        <v>4987268.9903999995</v>
      </c>
      <c r="E239" s="2">
        <v>2700531.4184437953</v>
      </c>
      <c r="F239" s="2">
        <v>7627347.0799770597</v>
      </c>
    </row>
    <row r="240" spans="1:6" x14ac:dyDescent="0.3">
      <c r="A240" s="4">
        <v>45838</v>
      </c>
      <c r="B240" s="2">
        <v>5784061.0517999995</v>
      </c>
      <c r="C240" s="2">
        <v>15073596.704399999</v>
      </c>
      <c r="D240" s="2">
        <v>5040146.4793999996</v>
      </c>
      <c r="E240" s="2">
        <v>2759483.7451886982</v>
      </c>
      <c r="F240" s="2">
        <v>7554181.3400317105</v>
      </c>
    </row>
    <row r="241" spans="1:6" x14ac:dyDescent="0.3">
      <c r="A241" s="4">
        <v>45869</v>
      </c>
      <c r="B241" s="2">
        <v>5995910.2789000003</v>
      </c>
      <c r="C241" s="2">
        <v>15206990.3684</v>
      </c>
      <c r="D241" s="2">
        <v>5076632.5811000001</v>
      </c>
      <c r="E241" s="2">
        <v>2690431.3099879995</v>
      </c>
      <c r="F241" s="2">
        <v>7947023.3114930904</v>
      </c>
    </row>
    <row r="242" spans="1:6" x14ac:dyDescent="0.3">
      <c r="A242" s="4">
        <v>45900</v>
      </c>
      <c r="B242" s="2">
        <v>6369006.6390000004</v>
      </c>
      <c r="C242" s="2">
        <v>15211301.9838</v>
      </c>
      <c r="D242" s="2">
        <v>5094927.9239999996</v>
      </c>
      <c r="E242" s="2">
        <v>2731608.5045743026</v>
      </c>
      <c r="F242" s="2">
        <v>7867420.8975577801</v>
      </c>
    </row>
    <row r="243" spans="1:6" x14ac:dyDescent="0.3">
      <c r="A243" s="4">
        <v>45930</v>
      </c>
      <c r="B243" s="2">
        <v>6397045.0500999996</v>
      </c>
      <c r="C243" s="2">
        <v>15392478.881200001</v>
      </c>
      <c r="D243" s="2">
        <v>5142560.5762</v>
      </c>
      <c r="E243" s="2">
        <v>2782628.8110455982</v>
      </c>
      <c r="F243" s="2">
        <v>7922840.2084686495</v>
      </c>
    </row>
    <row r="244" spans="1:6" x14ac:dyDescent="0.3">
      <c r="A244" s="4">
        <v>45961</v>
      </c>
      <c r="B244" s="2">
        <v>6593194.1854999997</v>
      </c>
      <c r="C244" s="2">
        <v>15505681.5835</v>
      </c>
      <c r="D244" s="2">
        <v>5172699.2598000001</v>
      </c>
      <c r="E244" s="2">
        <v>2726988.8322594985</v>
      </c>
      <c r="F244" s="2">
        <v>8041529.9445784297</v>
      </c>
    </row>
    <row r="245" spans="1:6" x14ac:dyDescent="0.3">
      <c r="A245" s="4" t="s">
        <v>31</v>
      </c>
      <c r="B245" s="2">
        <v>613800735.38760018</v>
      </c>
      <c r="C245" s="2">
        <v>1994698699.5721998</v>
      </c>
      <c r="D245" s="2">
        <v>485636808.22439998</v>
      </c>
      <c r="E245" s="2">
        <v>337518284.60234952</v>
      </c>
      <c r="F245" s="2">
        <v>1412105463.663676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transformed_data</vt:lpstr>
      <vt:lpstr>share_of_debt</vt:lpstr>
      <vt:lpstr>share_of_marketable</vt:lpstr>
      <vt:lpstr>public_vs_intragovernmental</vt:lpstr>
      <vt:lpstr>pvt_total_debt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2025-12-03T23:03:21Z</dcterms:created>
  <dcterms:modified xsi:type="dcterms:W3CDTF">2025-12-28T20:27:53Z</dcterms:modified>
</cp:coreProperties>
</file>