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ve\Desktop\excel treasury project\"/>
    </mc:Choice>
  </mc:AlternateContent>
  <xr:revisionPtr revIDLastSave="0" documentId="13_ncr:1_{BAD155B1-616D-446F-A64F-0D5643D8F7A7}" xr6:coauthVersionLast="47" xr6:coauthVersionMax="47" xr10:uidLastSave="{00000000-0000-0000-0000-000000000000}"/>
  <bookViews>
    <workbookView xWindow="1536" yWindow="1176" windowWidth="19920" windowHeight="11184" xr2:uid="{0259D651-6327-4167-AAED-FA11854B2D31}"/>
  </bookViews>
  <sheets>
    <sheet name="notesbonds_auction_data" sheetId="1" r:id="rId1"/>
    <sheet name="pvt_soma_share" sheetId="5" r:id="rId2"/>
    <sheet name="pvt_soma_gross" sheetId="6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" i="1" l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S1320" i="1"/>
  <c r="S1319" i="1"/>
  <c r="S1318" i="1"/>
  <c r="S1317" i="1"/>
  <c r="S1316" i="1"/>
  <c r="S1315" i="1"/>
  <c r="S1314" i="1"/>
  <c r="S1313" i="1"/>
  <c r="S1312" i="1"/>
  <c r="S1311" i="1"/>
  <c r="S1309" i="1"/>
  <c r="S1310" i="1"/>
  <c r="S1308" i="1"/>
  <c r="S1307" i="1"/>
  <c r="S1306" i="1"/>
  <c r="S1305" i="1"/>
  <c r="S1304" i="1"/>
  <c r="S1303" i="1"/>
  <c r="S1302" i="1"/>
  <c r="S1301" i="1"/>
  <c r="S1300" i="1"/>
  <c r="S1299" i="1"/>
  <c r="S1298" i="1"/>
  <c r="S1297" i="1"/>
  <c r="S1296" i="1"/>
  <c r="S1295" i="1"/>
  <c r="S1294" i="1"/>
  <c r="S1293" i="1"/>
  <c r="S1292" i="1"/>
  <c r="S1291" i="1"/>
  <c r="S1290" i="1"/>
  <c r="S1289" i="1"/>
  <c r="S1288" i="1"/>
  <c r="S1287" i="1"/>
  <c r="S1286" i="1"/>
  <c r="S1285" i="1"/>
  <c r="S1284" i="1"/>
  <c r="S1283" i="1"/>
  <c r="S1282" i="1"/>
  <c r="S1281" i="1"/>
  <c r="S1280" i="1"/>
  <c r="S1279" i="1"/>
  <c r="S1278" i="1"/>
  <c r="S1277" i="1"/>
  <c r="S1276" i="1"/>
  <c r="S1275" i="1"/>
  <c r="S1274" i="1"/>
  <c r="S1273" i="1"/>
  <c r="S1272" i="1"/>
  <c r="S1271" i="1"/>
  <c r="S1270" i="1"/>
  <c r="S1269" i="1"/>
  <c r="S1268" i="1"/>
  <c r="S1267" i="1"/>
  <c r="S1266" i="1"/>
  <c r="S1265" i="1"/>
  <c r="S1264" i="1"/>
  <c r="S1263" i="1"/>
  <c r="S1262" i="1"/>
  <c r="S1261" i="1"/>
  <c r="S1260" i="1"/>
  <c r="S1259" i="1"/>
  <c r="S1258" i="1"/>
  <c r="S1257" i="1"/>
  <c r="S1256" i="1"/>
  <c r="S1255" i="1"/>
  <c r="S1254" i="1"/>
  <c r="S1253" i="1"/>
  <c r="S1252" i="1"/>
  <c r="S1251" i="1"/>
  <c r="S1250" i="1"/>
  <c r="S1249" i="1"/>
  <c r="S1248" i="1"/>
  <c r="S1247" i="1"/>
  <c r="S1246" i="1"/>
  <c r="S1245" i="1"/>
  <c r="S1244" i="1"/>
  <c r="S1243" i="1"/>
  <c r="S1242" i="1"/>
  <c r="S1238" i="1"/>
  <c r="S1239" i="1"/>
  <c r="S1240" i="1"/>
  <c r="S1241" i="1"/>
  <c r="S1235" i="1"/>
  <c r="S1236" i="1"/>
  <c r="S1237" i="1"/>
  <c r="S1231" i="1"/>
  <c r="S1232" i="1"/>
  <c r="S1233" i="1"/>
  <c r="S1234" i="1"/>
  <c r="S1228" i="1"/>
  <c r="S1229" i="1"/>
  <c r="S1230" i="1"/>
  <c r="S1224" i="1"/>
  <c r="S1226" i="1"/>
  <c r="S1227" i="1"/>
  <c r="S1225" i="1"/>
  <c r="S1221" i="1"/>
  <c r="S1222" i="1"/>
  <c r="S1223" i="1"/>
  <c r="S1217" i="1"/>
  <c r="S1218" i="1"/>
  <c r="S1219" i="1"/>
  <c r="S1220" i="1"/>
  <c r="S1214" i="1"/>
  <c r="S1215" i="1"/>
  <c r="S1216" i="1"/>
  <c r="S1210" i="1"/>
  <c r="S1211" i="1"/>
  <c r="S1212" i="1"/>
  <c r="S1213" i="1"/>
  <c r="S1208" i="1"/>
  <c r="S1207" i="1"/>
  <c r="S1209" i="1"/>
  <c r="S1204" i="1"/>
  <c r="S1206" i="1"/>
  <c r="S1205" i="1"/>
  <c r="S1203" i="1"/>
  <c r="S1201" i="1"/>
  <c r="S1200" i="1"/>
  <c r="S1202" i="1"/>
  <c r="S1198" i="1"/>
  <c r="S1199" i="1"/>
  <c r="S1197" i="1"/>
  <c r="S1196" i="1"/>
  <c r="S1193" i="1"/>
  <c r="S1195" i="1"/>
  <c r="S1194" i="1"/>
  <c r="S1189" i="1"/>
  <c r="S1190" i="1"/>
  <c r="S1191" i="1"/>
  <c r="S1192" i="1"/>
  <c r="S1186" i="1"/>
  <c r="S1187" i="1"/>
  <c r="S1188" i="1"/>
  <c r="S1182" i="1"/>
  <c r="S1184" i="1"/>
  <c r="S1185" i="1"/>
  <c r="S1183" i="1"/>
  <c r="S1179" i="1"/>
  <c r="S1180" i="1"/>
  <c r="S1181" i="1"/>
  <c r="S1175" i="1"/>
  <c r="S1176" i="1"/>
  <c r="S1177" i="1"/>
  <c r="S1178" i="1"/>
  <c r="S1173" i="1"/>
  <c r="S1174" i="1"/>
  <c r="S1172" i="1"/>
  <c r="S1168" i="1"/>
  <c r="S1169" i="1"/>
  <c r="S1170" i="1"/>
  <c r="S1171" i="1"/>
  <c r="S1165" i="1"/>
  <c r="S1166" i="1"/>
  <c r="S1167" i="1"/>
  <c r="S1161" i="1"/>
  <c r="S1162" i="1"/>
  <c r="S1163" i="1"/>
  <c r="S1164" i="1"/>
  <c r="S1158" i="1"/>
  <c r="S1159" i="1"/>
  <c r="S1160" i="1"/>
  <c r="S1154" i="1"/>
  <c r="S1155" i="1"/>
  <c r="S1156" i="1"/>
  <c r="S1157" i="1"/>
  <c r="S1153" i="1"/>
  <c r="S1152" i="1"/>
  <c r="S1151" i="1"/>
  <c r="S1148" i="1"/>
  <c r="S1150" i="1"/>
  <c r="S1147" i="1"/>
  <c r="S1149" i="1"/>
  <c r="S1144" i="1"/>
  <c r="S1146" i="1"/>
  <c r="S1145" i="1"/>
  <c r="S1142" i="1"/>
  <c r="S1140" i="1"/>
  <c r="S1141" i="1"/>
  <c r="S1143" i="1"/>
  <c r="S1137" i="1"/>
  <c r="S1138" i="1"/>
  <c r="S1139" i="1"/>
  <c r="S1135" i="1"/>
  <c r="S1133" i="1"/>
  <c r="S1134" i="1"/>
  <c r="S1136" i="1"/>
  <c r="S1131" i="1"/>
  <c r="S1130" i="1"/>
  <c r="S1132" i="1"/>
  <c r="S1127" i="1"/>
  <c r="S1128" i="1"/>
  <c r="S1126" i="1"/>
  <c r="S1129" i="1"/>
  <c r="S1123" i="1"/>
  <c r="S1124" i="1"/>
  <c r="S1125" i="1"/>
  <c r="S1122" i="1"/>
  <c r="S1120" i="1"/>
  <c r="S1119" i="1"/>
  <c r="S1121" i="1"/>
  <c r="S1116" i="1"/>
  <c r="S1117" i="1"/>
  <c r="S1118" i="1"/>
  <c r="S1115" i="1"/>
  <c r="S1112" i="1"/>
  <c r="S1113" i="1"/>
  <c r="S1114" i="1"/>
  <c r="S1110" i="1"/>
  <c r="S1109" i="1"/>
  <c r="S1111" i="1"/>
  <c r="S1105" i="1"/>
  <c r="S1106" i="1"/>
  <c r="S1107" i="1"/>
  <c r="S1108" i="1"/>
  <c r="S1102" i="1"/>
  <c r="S1104" i="1"/>
  <c r="S1103" i="1"/>
  <c r="S1099" i="1"/>
  <c r="S1100" i="1"/>
  <c r="S1098" i="1"/>
  <c r="S1101" i="1"/>
  <c r="S1095" i="1"/>
  <c r="S1096" i="1"/>
  <c r="S1097" i="1"/>
  <c r="S1091" i="1"/>
  <c r="S1092" i="1"/>
  <c r="S1093" i="1"/>
  <c r="S1094" i="1"/>
  <c r="S1088" i="1"/>
  <c r="S1089" i="1"/>
  <c r="S1090" i="1"/>
  <c r="S1084" i="1"/>
  <c r="S1087" i="1"/>
  <c r="S1085" i="1"/>
  <c r="S1086" i="1"/>
  <c r="S1081" i="1"/>
  <c r="S1082" i="1"/>
  <c r="S1083" i="1"/>
  <c r="S1079" i="1"/>
  <c r="S1080" i="1"/>
  <c r="S1078" i="1"/>
  <c r="S1077" i="1"/>
  <c r="S1074" i="1"/>
  <c r="S1075" i="1"/>
  <c r="S1076" i="1"/>
  <c r="S1071" i="1"/>
  <c r="S1070" i="1"/>
  <c r="S1072" i="1"/>
  <c r="S1073" i="1"/>
  <c r="S1067" i="1"/>
  <c r="S1068" i="1"/>
  <c r="S1069" i="1"/>
  <c r="S1063" i="1"/>
  <c r="S1064" i="1"/>
  <c r="S1065" i="1"/>
  <c r="S1066" i="1"/>
  <c r="S1060" i="1"/>
  <c r="S1061" i="1"/>
  <c r="S1062" i="1"/>
  <c r="S1056" i="1"/>
  <c r="S1057" i="1"/>
  <c r="S1058" i="1"/>
  <c r="S1059" i="1"/>
  <c r="S1054" i="1"/>
  <c r="S1053" i="1"/>
  <c r="S1055" i="1"/>
  <c r="S1051" i="1"/>
  <c r="S1052" i="1"/>
  <c r="S1049" i="1"/>
  <c r="S1050" i="1"/>
  <c r="S1046" i="1"/>
  <c r="S1047" i="1"/>
  <c r="S1048" i="1"/>
  <c r="S1042" i="1"/>
  <c r="S1043" i="1"/>
  <c r="S1044" i="1"/>
  <c r="S1045" i="1"/>
  <c r="S1039" i="1"/>
  <c r="S1040" i="1"/>
  <c r="S1041" i="1"/>
  <c r="S1038" i="1"/>
  <c r="S1035" i="1"/>
  <c r="S1036" i="1"/>
  <c r="S1037" i="1"/>
  <c r="S1032" i="1"/>
  <c r="S1033" i="1"/>
  <c r="S1034" i="1"/>
  <c r="S1029" i="1"/>
  <c r="S1030" i="1"/>
  <c r="S1031" i="1"/>
  <c r="S1028" i="1"/>
  <c r="S1025" i="1"/>
  <c r="S1027" i="1"/>
  <c r="S1026" i="1"/>
  <c r="S1021" i="1"/>
  <c r="S1022" i="1"/>
  <c r="S1023" i="1"/>
  <c r="S1024" i="1"/>
  <c r="S1019" i="1"/>
  <c r="S1018" i="1"/>
  <c r="S1020" i="1"/>
  <c r="S1015" i="1"/>
  <c r="S1014" i="1"/>
  <c r="S1016" i="1"/>
  <c r="S1017" i="1"/>
  <c r="S1012" i="1"/>
  <c r="S1013" i="1"/>
  <c r="S1011" i="1"/>
  <c r="S1007" i="1"/>
  <c r="S1009" i="1"/>
  <c r="S1010" i="1"/>
  <c r="S1008" i="1"/>
  <c r="S1005" i="1"/>
  <c r="S1006" i="1"/>
  <c r="S1004" i="1"/>
  <c r="S1001" i="1"/>
  <c r="S1002" i="1"/>
  <c r="S1000" i="1"/>
  <c r="S1003" i="1"/>
  <c r="S997" i="1"/>
  <c r="S998" i="1"/>
  <c r="S999" i="1"/>
  <c r="S993" i="1"/>
  <c r="S995" i="1"/>
  <c r="S994" i="1"/>
  <c r="S996" i="1"/>
  <c r="S990" i="1"/>
  <c r="S991" i="1"/>
  <c r="S992" i="1"/>
  <c r="S986" i="1"/>
  <c r="S989" i="1"/>
  <c r="S987" i="1"/>
  <c r="S988" i="1"/>
  <c r="S984" i="1"/>
  <c r="S983" i="1"/>
  <c r="S985" i="1"/>
  <c r="S982" i="1"/>
  <c r="S978" i="1"/>
  <c r="S979" i="1"/>
  <c r="S980" i="1"/>
  <c r="S981" i="1"/>
  <c r="S975" i="1"/>
  <c r="S976" i="1"/>
  <c r="S977" i="1"/>
  <c r="S971" i="1"/>
  <c r="S972" i="1"/>
  <c r="S973" i="1"/>
  <c r="S974" i="1"/>
  <c r="S969" i="1"/>
  <c r="S968" i="1"/>
  <c r="S970" i="1"/>
  <c r="S964" i="1"/>
  <c r="S965" i="1"/>
  <c r="S966" i="1"/>
  <c r="S967" i="1"/>
  <c r="S962" i="1"/>
  <c r="S963" i="1"/>
  <c r="S961" i="1"/>
  <c r="S957" i="1"/>
  <c r="S958" i="1"/>
  <c r="S959" i="1"/>
  <c r="S960" i="1"/>
  <c r="S954" i="1"/>
  <c r="S955" i="1"/>
  <c r="S956" i="1"/>
  <c r="S950" i="1"/>
  <c r="S951" i="1"/>
  <c r="S952" i="1"/>
  <c r="S953" i="1"/>
  <c r="S947" i="1"/>
  <c r="S949" i="1"/>
  <c r="S948" i="1"/>
  <c r="S944" i="1"/>
  <c r="S945" i="1"/>
  <c r="S943" i="1"/>
  <c r="S946" i="1"/>
  <c r="S942" i="1"/>
  <c r="S940" i="1"/>
  <c r="S941" i="1"/>
  <c r="S939" i="1"/>
  <c r="S936" i="1"/>
  <c r="S937" i="1"/>
  <c r="S938" i="1"/>
  <c r="S933" i="1"/>
  <c r="S934" i="1"/>
  <c r="S935" i="1"/>
  <c r="S929" i="1"/>
  <c r="S930" i="1"/>
  <c r="S931" i="1"/>
  <c r="S932" i="1"/>
  <c r="S927" i="1"/>
  <c r="S926" i="1"/>
  <c r="S928" i="1"/>
  <c r="S923" i="1"/>
  <c r="S922" i="1"/>
  <c r="S924" i="1"/>
  <c r="S925" i="1"/>
  <c r="S920" i="1"/>
  <c r="S919" i="1"/>
  <c r="S921" i="1"/>
  <c r="S918" i="1"/>
  <c r="S915" i="1"/>
  <c r="S916" i="1"/>
  <c r="S917" i="1"/>
  <c r="S912" i="1"/>
  <c r="S913" i="1"/>
  <c r="S914" i="1"/>
  <c r="S908" i="1"/>
  <c r="S909" i="1"/>
  <c r="S910" i="1"/>
  <c r="S911" i="1"/>
  <c r="S906" i="1"/>
  <c r="S905" i="1"/>
  <c r="S907" i="1"/>
  <c r="S902" i="1"/>
  <c r="S903" i="1"/>
  <c r="S904" i="1"/>
  <c r="S901" i="1"/>
  <c r="S898" i="1"/>
  <c r="S899" i="1"/>
  <c r="S900" i="1"/>
  <c r="S894" i="1"/>
  <c r="S895" i="1"/>
  <c r="S896" i="1"/>
  <c r="S897" i="1"/>
  <c r="S893" i="1"/>
  <c r="S891" i="1"/>
  <c r="S892" i="1"/>
  <c r="S890" i="1"/>
  <c r="S887" i="1"/>
  <c r="S888" i="1"/>
  <c r="S889" i="1"/>
  <c r="S884" i="1"/>
  <c r="S885" i="1"/>
  <c r="S886" i="1"/>
  <c r="S880" i="1"/>
  <c r="S881" i="1"/>
  <c r="S882" i="1"/>
  <c r="S883" i="1"/>
  <c r="S877" i="1"/>
  <c r="S878" i="1"/>
  <c r="S879" i="1"/>
  <c r="S876" i="1"/>
  <c r="S873" i="1"/>
  <c r="S874" i="1"/>
  <c r="S875" i="1"/>
  <c r="S870" i="1"/>
  <c r="S871" i="1"/>
  <c r="S872" i="1"/>
  <c r="S866" i="1"/>
  <c r="S867" i="1"/>
  <c r="S868" i="1"/>
  <c r="S869" i="1"/>
  <c r="S864" i="1"/>
  <c r="S865" i="1"/>
  <c r="S863" i="1"/>
  <c r="S859" i="1"/>
  <c r="S860" i="1"/>
  <c r="S861" i="1"/>
  <c r="S862" i="1"/>
  <c r="S857" i="1"/>
  <c r="S856" i="1"/>
  <c r="S858" i="1"/>
  <c r="S852" i="1"/>
  <c r="S853" i="1"/>
  <c r="S854" i="1"/>
  <c r="S855" i="1"/>
  <c r="S849" i="1"/>
  <c r="S850" i="1"/>
  <c r="S851" i="1"/>
  <c r="S846" i="1"/>
  <c r="S847" i="1"/>
  <c r="S848" i="1"/>
  <c r="S844" i="1"/>
  <c r="S845" i="1"/>
  <c r="S843" i="1"/>
  <c r="S840" i="1"/>
  <c r="S841" i="1"/>
  <c r="S842" i="1"/>
  <c r="S838" i="1"/>
  <c r="S839" i="1"/>
  <c r="S837" i="1"/>
  <c r="S835" i="1"/>
  <c r="S836" i="1"/>
  <c r="S834" i="1"/>
  <c r="S831" i="1"/>
  <c r="S832" i="1"/>
  <c r="S833" i="1"/>
  <c r="S828" i="1"/>
  <c r="S829" i="1"/>
  <c r="S830" i="1"/>
  <c r="S826" i="1"/>
  <c r="S827" i="1"/>
  <c r="S825" i="1"/>
  <c r="S823" i="1"/>
  <c r="S824" i="1"/>
  <c r="S822" i="1"/>
  <c r="S820" i="1"/>
  <c r="S819" i="1"/>
  <c r="S821" i="1"/>
  <c r="S817" i="1"/>
  <c r="S816" i="1"/>
  <c r="S818" i="1"/>
  <c r="S813" i="1"/>
  <c r="S814" i="1"/>
  <c r="S815" i="1"/>
  <c r="S810" i="1"/>
  <c r="S811" i="1"/>
  <c r="S812" i="1"/>
  <c r="S809" i="1"/>
  <c r="S807" i="1"/>
  <c r="S808" i="1"/>
  <c r="S804" i="1"/>
  <c r="S805" i="1"/>
  <c r="S806" i="1"/>
  <c r="S802" i="1"/>
  <c r="S803" i="1"/>
  <c r="S801" i="1"/>
  <c r="S798" i="1"/>
  <c r="S799" i="1"/>
  <c r="S800" i="1"/>
  <c r="S797" i="1"/>
  <c r="S795" i="1"/>
  <c r="S796" i="1"/>
  <c r="S794" i="1"/>
  <c r="S792" i="1"/>
  <c r="S793" i="1"/>
  <c r="S790" i="1"/>
  <c r="S791" i="1"/>
  <c r="S789" i="1"/>
  <c r="S786" i="1"/>
  <c r="S787" i="1"/>
  <c r="S788" i="1"/>
  <c r="S785" i="1"/>
  <c r="S783" i="1"/>
  <c r="S784" i="1"/>
  <c r="S782" i="1"/>
  <c r="S781" i="1"/>
  <c r="S779" i="1"/>
  <c r="S780" i="1"/>
  <c r="S777" i="1"/>
  <c r="S778" i="1"/>
  <c r="S776" i="1"/>
  <c r="S773" i="1"/>
  <c r="S774" i="1"/>
  <c r="S775" i="1"/>
  <c r="S771" i="1"/>
  <c r="S772" i="1"/>
  <c r="S770" i="1"/>
  <c r="S767" i="1"/>
  <c r="S768" i="1"/>
  <c r="S769" i="1"/>
  <c r="S764" i="1"/>
  <c r="S765" i="1"/>
  <c r="S766" i="1"/>
  <c r="S761" i="1"/>
  <c r="S762" i="1"/>
  <c r="S763" i="1"/>
  <c r="S760" i="1"/>
  <c r="S758" i="1"/>
  <c r="S759" i="1"/>
  <c r="S755" i="1"/>
  <c r="S756" i="1"/>
  <c r="S757" i="1"/>
  <c r="S754" i="1"/>
  <c r="S752" i="1"/>
  <c r="S753" i="1"/>
  <c r="S751" i="1"/>
  <c r="S749" i="1"/>
  <c r="S750" i="1"/>
  <c r="S748" i="1"/>
  <c r="S746" i="1"/>
  <c r="S747" i="1"/>
  <c r="S744" i="1"/>
  <c r="S745" i="1"/>
  <c r="S743" i="1"/>
  <c r="S740" i="1"/>
  <c r="S741" i="1"/>
  <c r="S742" i="1"/>
  <c r="S737" i="1"/>
  <c r="S738" i="1"/>
  <c r="S739" i="1"/>
  <c r="S734" i="1"/>
  <c r="S735" i="1"/>
  <c r="S736" i="1"/>
  <c r="S731" i="1"/>
  <c r="S732" i="1"/>
  <c r="S733" i="1"/>
  <c r="S729" i="1"/>
  <c r="S728" i="1"/>
  <c r="S730" i="1"/>
  <c r="S726" i="1"/>
  <c r="S725" i="1"/>
  <c r="S727" i="1"/>
  <c r="S722" i="1"/>
  <c r="S723" i="1"/>
  <c r="S724" i="1"/>
  <c r="S720" i="1"/>
  <c r="S721" i="1"/>
  <c r="S719" i="1"/>
  <c r="S716" i="1"/>
  <c r="S717" i="1"/>
  <c r="S718" i="1"/>
  <c r="S715" i="1"/>
  <c r="S713" i="1"/>
  <c r="S714" i="1"/>
  <c r="S711" i="1"/>
  <c r="S710" i="1"/>
  <c r="S712" i="1"/>
  <c r="S709" i="1"/>
  <c r="S707" i="1"/>
  <c r="S708" i="1"/>
  <c r="S704" i="1"/>
  <c r="S705" i="1"/>
  <c r="S706" i="1"/>
  <c r="S701" i="1"/>
  <c r="S702" i="1"/>
  <c r="S703" i="1"/>
  <c r="S699" i="1"/>
  <c r="S700" i="1"/>
  <c r="S698" i="1"/>
  <c r="S695" i="1"/>
  <c r="S696" i="1"/>
  <c r="S697" i="1"/>
  <c r="S692" i="1"/>
  <c r="S693" i="1"/>
  <c r="S694" i="1"/>
  <c r="S689" i="1"/>
  <c r="S690" i="1"/>
  <c r="S691" i="1"/>
  <c r="S688" i="1"/>
  <c r="S686" i="1"/>
  <c r="S687" i="1"/>
  <c r="S683" i="1"/>
  <c r="S684" i="1"/>
  <c r="S685" i="1"/>
  <c r="S682" i="1"/>
  <c r="S680" i="1"/>
  <c r="S681" i="1"/>
  <c r="S678" i="1"/>
  <c r="S677" i="1"/>
  <c r="S679" i="1"/>
  <c r="S675" i="1"/>
  <c r="S674" i="1"/>
  <c r="S676" i="1"/>
  <c r="S672" i="1"/>
  <c r="S673" i="1"/>
  <c r="S671" i="1"/>
  <c r="S668" i="1"/>
  <c r="S669" i="1"/>
  <c r="S670" i="1"/>
  <c r="S665" i="1"/>
  <c r="S666" i="1"/>
  <c r="S667" i="1"/>
  <c r="S663" i="1"/>
  <c r="S662" i="1"/>
  <c r="S664" i="1"/>
  <c r="S659" i="1"/>
  <c r="S660" i="1"/>
  <c r="S661" i="1"/>
  <c r="S656" i="1"/>
  <c r="S657" i="1"/>
  <c r="S658" i="1"/>
  <c r="S653" i="1"/>
  <c r="S654" i="1"/>
  <c r="S655" i="1"/>
  <c r="S650" i="1"/>
  <c r="S651" i="1"/>
  <c r="S652" i="1"/>
  <c r="S647" i="1"/>
  <c r="S648" i="1"/>
  <c r="S649" i="1"/>
  <c r="S644" i="1"/>
  <c r="S645" i="1"/>
  <c r="S646" i="1"/>
  <c r="S641" i="1"/>
  <c r="S642" i="1"/>
  <c r="S643" i="1"/>
  <c r="S638" i="1"/>
  <c r="S639" i="1"/>
  <c r="S640" i="1"/>
  <c r="S635" i="1"/>
  <c r="S636" i="1"/>
  <c r="S637" i="1"/>
  <c r="S633" i="1"/>
  <c r="S634" i="1"/>
  <c r="S632" i="1"/>
  <c r="S629" i="1"/>
  <c r="S630" i="1"/>
  <c r="S631" i="1"/>
  <c r="S626" i="1"/>
  <c r="S627" i="1"/>
  <c r="S628" i="1"/>
  <c r="S625" i="1"/>
  <c r="S623" i="1"/>
  <c r="S624" i="1"/>
  <c r="S620" i="1"/>
  <c r="S621" i="1"/>
  <c r="S622" i="1"/>
  <c r="S617" i="1"/>
  <c r="S618" i="1"/>
  <c r="S619" i="1"/>
  <c r="S614" i="1"/>
  <c r="S615" i="1"/>
  <c r="S616" i="1"/>
  <c r="S611" i="1"/>
  <c r="S613" i="1"/>
  <c r="S612" i="1"/>
  <c r="S610" i="1"/>
  <c r="S608" i="1"/>
  <c r="S609" i="1"/>
  <c r="S605" i="1"/>
  <c r="S606" i="1"/>
  <c r="S607" i="1"/>
  <c r="S602" i="1"/>
  <c r="S604" i="1"/>
  <c r="S603" i="1"/>
  <c r="S599" i="1"/>
  <c r="S600" i="1"/>
  <c r="S601" i="1"/>
  <c r="S596" i="1"/>
  <c r="S597" i="1"/>
  <c r="S598" i="1"/>
  <c r="S594" i="1"/>
  <c r="S593" i="1"/>
  <c r="S595" i="1"/>
  <c r="S590" i="1"/>
  <c r="S592" i="1"/>
  <c r="S591" i="1"/>
  <c r="S588" i="1"/>
  <c r="S587" i="1"/>
  <c r="S589" i="1"/>
  <c r="S584" i="1"/>
  <c r="S585" i="1"/>
  <c r="S586" i="1"/>
  <c r="S581" i="1"/>
  <c r="S582" i="1"/>
  <c r="S583" i="1"/>
  <c r="S579" i="1"/>
  <c r="S578" i="1"/>
  <c r="S580" i="1"/>
  <c r="S575" i="1"/>
  <c r="S576" i="1"/>
  <c r="S577" i="1"/>
  <c r="S573" i="1"/>
  <c r="S574" i="1"/>
  <c r="S572" i="1"/>
  <c r="S569" i="1"/>
  <c r="S570" i="1"/>
  <c r="S571" i="1"/>
  <c r="S566" i="1"/>
  <c r="S567" i="1"/>
  <c r="S568" i="1"/>
  <c r="S563" i="1"/>
  <c r="S564" i="1"/>
  <c r="S565" i="1"/>
  <c r="S560" i="1"/>
  <c r="S561" i="1"/>
  <c r="S562" i="1"/>
  <c r="S559" i="1"/>
  <c r="S557" i="1"/>
  <c r="S558" i="1"/>
  <c r="S555" i="1"/>
  <c r="S556" i="1"/>
  <c r="S554" i="1"/>
  <c r="S551" i="1"/>
  <c r="S552" i="1"/>
  <c r="S553" i="1"/>
  <c r="S548" i="1"/>
  <c r="S549" i="1"/>
  <c r="S550" i="1"/>
  <c r="S545" i="1"/>
  <c r="S546" i="1"/>
  <c r="S547" i="1"/>
  <c r="S542" i="1"/>
  <c r="S543" i="1"/>
  <c r="S544" i="1"/>
  <c r="S539" i="1"/>
  <c r="S540" i="1"/>
  <c r="S541" i="1"/>
  <c r="S536" i="1"/>
  <c r="S537" i="1"/>
  <c r="S538" i="1"/>
  <c r="S534" i="1"/>
  <c r="S535" i="1"/>
  <c r="S533" i="1"/>
  <c r="S530" i="1"/>
  <c r="S531" i="1"/>
  <c r="S532" i="1"/>
  <c r="S527" i="1"/>
  <c r="S528" i="1"/>
  <c r="S529" i="1"/>
  <c r="S524" i="1"/>
  <c r="S525" i="1"/>
  <c r="S526" i="1"/>
  <c r="S523" i="1"/>
  <c r="S522" i="1"/>
  <c r="S521" i="1"/>
  <c r="S518" i="1"/>
  <c r="S519" i="1"/>
  <c r="S520" i="1"/>
  <c r="S515" i="1"/>
  <c r="S516" i="1"/>
  <c r="S517" i="1"/>
  <c r="S512" i="1"/>
  <c r="S513" i="1"/>
  <c r="S514" i="1"/>
  <c r="S510" i="1"/>
  <c r="S511" i="1"/>
  <c r="S509" i="1"/>
  <c r="S506" i="1"/>
  <c r="S507" i="1"/>
  <c r="S508" i="1"/>
  <c r="S503" i="1"/>
  <c r="S504" i="1"/>
  <c r="S505" i="1"/>
  <c r="S500" i="1"/>
  <c r="S501" i="1"/>
  <c r="S502" i="1"/>
  <c r="S497" i="1"/>
  <c r="S498" i="1"/>
  <c r="S499" i="1"/>
  <c r="S494" i="1"/>
  <c r="S495" i="1"/>
  <c r="S496" i="1"/>
  <c r="S491" i="1"/>
  <c r="S492" i="1"/>
  <c r="S493" i="1"/>
  <c r="S490" i="1"/>
  <c r="S488" i="1"/>
  <c r="S489" i="1"/>
  <c r="S485" i="1"/>
  <c r="S486" i="1"/>
  <c r="S487" i="1"/>
  <c r="S482" i="1"/>
  <c r="S483" i="1"/>
  <c r="S484" i="1"/>
  <c r="S479" i="1"/>
  <c r="S480" i="1"/>
  <c r="S481" i="1"/>
  <c r="S477" i="1"/>
  <c r="S476" i="1"/>
  <c r="S478" i="1"/>
  <c r="S475" i="1"/>
  <c r="S474" i="1"/>
  <c r="S473" i="1"/>
  <c r="S470" i="1"/>
  <c r="S471" i="1"/>
  <c r="S472" i="1"/>
  <c r="S467" i="1"/>
  <c r="S468" i="1"/>
  <c r="S469" i="1"/>
  <c r="S464" i="1"/>
  <c r="S465" i="1"/>
  <c r="S466" i="1"/>
  <c r="S463" i="1"/>
  <c r="S461" i="1"/>
  <c r="S462" i="1"/>
  <c r="S459" i="1"/>
  <c r="S460" i="1"/>
  <c r="S458" i="1"/>
  <c r="S455" i="1"/>
  <c r="S456" i="1"/>
  <c r="S457" i="1"/>
  <c r="S454" i="1"/>
  <c r="S452" i="1"/>
  <c r="S453" i="1"/>
  <c r="S449" i="1"/>
  <c r="S450" i="1"/>
  <c r="S451" i="1"/>
  <c r="S447" i="1"/>
  <c r="S448" i="1"/>
  <c r="S446" i="1"/>
  <c r="S443" i="1"/>
  <c r="S444" i="1"/>
  <c r="S445" i="1"/>
  <c r="S442" i="1"/>
  <c r="S440" i="1"/>
  <c r="S441" i="1"/>
  <c r="S437" i="1"/>
  <c r="S438" i="1"/>
  <c r="S439" i="1"/>
  <c r="S434" i="1"/>
  <c r="S435" i="1"/>
  <c r="S436" i="1"/>
  <c r="S433" i="1"/>
  <c r="S431" i="1"/>
  <c r="S432" i="1"/>
  <c r="S430" i="1"/>
  <c r="S428" i="1"/>
  <c r="S429" i="1"/>
  <c r="S427" i="1"/>
  <c r="S425" i="1"/>
  <c r="S426" i="1"/>
  <c r="S422" i="1"/>
  <c r="S423" i="1"/>
  <c r="S424" i="1"/>
  <c r="S421" i="1"/>
  <c r="S419" i="1"/>
  <c r="S420" i="1"/>
  <c r="S417" i="1"/>
  <c r="S418" i="1"/>
  <c r="S416" i="1"/>
  <c r="S413" i="1"/>
  <c r="S414" i="1"/>
  <c r="S415" i="1"/>
  <c r="S410" i="1"/>
  <c r="S411" i="1"/>
  <c r="S412" i="1"/>
  <c r="S407" i="1"/>
  <c r="S408" i="1"/>
  <c r="S409" i="1"/>
  <c r="S404" i="1"/>
  <c r="S405" i="1"/>
  <c r="S406" i="1"/>
  <c r="S402" i="1"/>
  <c r="S401" i="1"/>
  <c r="S403" i="1"/>
  <c r="S398" i="1"/>
  <c r="S399" i="1"/>
  <c r="S400" i="1"/>
  <c r="S395" i="1"/>
  <c r="S396" i="1"/>
  <c r="S397" i="1"/>
  <c r="S392" i="1"/>
  <c r="S393" i="1"/>
  <c r="S394" i="1"/>
  <c r="S391" i="1"/>
  <c r="S389" i="1"/>
  <c r="S390" i="1"/>
  <c r="S386" i="1"/>
  <c r="S387" i="1"/>
  <c r="S388" i="1"/>
  <c r="S385" i="1"/>
  <c r="S383" i="1"/>
  <c r="S384" i="1"/>
  <c r="S381" i="1"/>
  <c r="S382" i="1"/>
  <c r="S380" i="1"/>
  <c r="S379" i="1"/>
  <c r="S377" i="1"/>
  <c r="S378" i="1"/>
  <c r="S374" i="1"/>
  <c r="S375" i="1"/>
  <c r="S376" i="1"/>
  <c r="S372" i="1"/>
  <c r="S371" i="1"/>
  <c r="S373" i="1"/>
  <c r="S369" i="1"/>
  <c r="S370" i="1"/>
  <c r="S368" i="1"/>
  <c r="S365" i="1"/>
  <c r="S367" i="1"/>
  <c r="S366" i="1"/>
  <c r="S362" i="1"/>
  <c r="S363" i="1"/>
  <c r="S364" i="1"/>
  <c r="S359" i="1"/>
  <c r="S360" i="1"/>
  <c r="S361" i="1"/>
  <c r="S357" i="1"/>
  <c r="S358" i="1"/>
  <c r="S356" i="1"/>
  <c r="S353" i="1"/>
  <c r="S354" i="1"/>
  <c r="S355" i="1"/>
  <c r="S351" i="1"/>
  <c r="S350" i="1"/>
  <c r="S352" i="1"/>
  <c r="S349" i="1"/>
  <c r="S347" i="1"/>
  <c r="S348" i="1"/>
  <c r="S344" i="1"/>
  <c r="S345" i="1"/>
  <c r="S346" i="1"/>
  <c r="S341" i="1"/>
  <c r="S342" i="1"/>
  <c r="S343" i="1"/>
  <c r="S340" i="1"/>
  <c r="S338" i="1"/>
  <c r="S339" i="1"/>
  <c r="S335" i="1"/>
  <c r="S336" i="1"/>
  <c r="S337" i="1"/>
  <c r="S332" i="1"/>
  <c r="S333" i="1"/>
  <c r="S334" i="1"/>
  <c r="S329" i="1"/>
  <c r="S330" i="1"/>
  <c r="S331" i="1"/>
  <c r="S326" i="1"/>
  <c r="S327" i="1"/>
  <c r="S328" i="1"/>
  <c r="S323" i="1"/>
  <c r="S324" i="1"/>
  <c r="S325" i="1"/>
  <c r="S320" i="1"/>
  <c r="S321" i="1"/>
  <c r="S322" i="1"/>
  <c r="S317" i="1"/>
  <c r="S318" i="1"/>
  <c r="S319" i="1"/>
  <c r="S315" i="1"/>
  <c r="S316" i="1"/>
  <c r="S314" i="1"/>
  <c r="S312" i="1"/>
  <c r="S313" i="1"/>
  <c r="S311" i="1"/>
  <c r="S310" i="1"/>
  <c r="S308" i="1"/>
  <c r="S309" i="1"/>
  <c r="S305" i="1"/>
  <c r="S306" i="1"/>
  <c r="S307" i="1"/>
  <c r="S302" i="1"/>
  <c r="S304" i="1"/>
  <c r="S303" i="1"/>
  <c r="S299" i="1"/>
  <c r="S300" i="1"/>
  <c r="S301" i="1"/>
  <c r="S298" i="1"/>
  <c r="S296" i="1"/>
  <c r="S297" i="1"/>
  <c r="S293" i="1"/>
  <c r="S294" i="1"/>
  <c r="S295" i="1"/>
  <c r="S290" i="1"/>
  <c r="S291" i="1"/>
  <c r="S292" i="1"/>
  <c r="S287" i="1"/>
  <c r="S288" i="1"/>
  <c r="S289" i="1"/>
  <c r="S284" i="1"/>
  <c r="S285" i="1"/>
  <c r="S286" i="1"/>
  <c r="S281" i="1"/>
  <c r="S282" i="1"/>
  <c r="S283" i="1"/>
  <c r="S280" i="1"/>
  <c r="S278" i="1"/>
  <c r="S279" i="1"/>
  <c r="S275" i="1"/>
  <c r="S276" i="1"/>
  <c r="S277" i="1"/>
  <c r="S274" i="1"/>
  <c r="S272" i="1"/>
  <c r="S273" i="1"/>
  <c r="S269" i="1"/>
  <c r="S270" i="1"/>
  <c r="S271" i="1"/>
  <c r="S268" i="1"/>
  <c r="S266" i="1"/>
  <c r="S267" i="1"/>
  <c r="S263" i="1"/>
  <c r="S264" i="1"/>
  <c r="S265" i="1"/>
  <c r="S260" i="1"/>
  <c r="S261" i="1"/>
  <c r="S262" i="1"/>
  <c r="S258" i="1"/>
  <c r="S257" i="1"/>
  <c r="S259" i="1"/>
  <c r="S254" i="1"/>
  <c r="S255" i="1"/>
  <c r="S256" i="1"/>
  <c r="S251" i="1"/>
  <c r="S252" i="1"/>
  <c r="S253" i="1"/>
  <c r="S248" i="1"/>
  <c r="S249" i="1"/>
  <c r="S250" i="1"/>
  <c r="S245" i="1"/>
  <c r="S246" i="1"/>
  <c r="S247" i="1"/>
  <c r="S243" i="1"/>
  <c r="S244" i="1"/>
  <c r="S242" i="1"/>
  <c r="S239" i="1"/>
  <c r="S240" i="1"/>
  <c r="S241" i="1"/>
  <c r="S236" i="1"/>
  <c r="S237" i="1"/>
  <c r="S238" i="1"/>
  <c r="S234" i="1"/>
  <c r="S235" i="1"/>
  <c r="S233" i="1"/>
  <c r="S231" i="1"/>
  <c r="S232" i="1"/>
  <c r="S230" i="1"/>
  <c r="S227" i="1"/>
  <c r="S228" i="1"/>
  <c r="S229" i="1"/>
  <c r="S225" i="1"/>
  <c r="S226" i="1"/>
  <c r="S224" i="1"/>
  <c r="S222" i="1"/>
  <c r="S223" i="1"/>
  <c r="S221" i="1"/>
  <c r="S218" i="1"/>
  <c r="S219" i="1"/>
  <c r="S220" i="1"/>
  <c r="S216" i="1"/>
  <c r="S217" i="1"/>
  <c r="S215" i="1"/>
  <c r="S214" i="1"/>
  <c r="S212" i="1"/>
  <c r="S213" i="1"/>
  <c r="S211" i="1"/>
  <c r="S209" i="1"/>
  <c r="S210" i="1"/>
  <c r="S207" i="1"/>
  <c r="S208" i="1"/>
  <c r="S206" i="1"/>
  <c r="S203" i="1"/>
  <c r="S204" i="1"/>
  <c r="S205" i="1"/>
  <c r="S202" i="1"/>
  <c r="S200" i="1"/>
  <c r="S201" i="1"/>
  <c r="S197" i="1"/>
  <c r="S198" i="1"/>
  <c r="S199" i="1"/>
  <c r="S195" i="1"/>
  <c r="S196" i="1"/>
  <c r="S194" i="1"/>
  <c r="S191" i="1"/>
  <c r="S192" i="1"/>
  <c r="S193" i="1"/>
  <c r="S190" i="1"/>
  <c r="S188" i="1"/>
  <c r="S189" i="1"/>
  <c r="S186" i="1"/>
  <c r="S187" i="1"/>
  <c r="S185" i="1"/>
  <c r="S182" i="1"/>
  <c r="S183" i="1"/>
  <c r="S184" i="1"/>
  <c r="S181" i="1"/>
  <c r="S179" i="1"/>
  <c r="S180" i="1"/>
  <c r="S178" i="1"/>
  <c r="S176" i="1"/>
  <c r="S177" i="1"/>
  <c r="S173" i="1"/>
  <c r="S175" i="1"/>
  <c r="S174" i="1"/>
  <c r="S171" i="1"/>
  <c r="S172" i="1"/>
  <c r="S170" i="1"/>
  <c r="S168" i="1"/>
  <c r="S169" i="1"/>
  <c r="S167" i="1"/>
  <c r="S164" i="1"/>
  <c r="S165" i="1"/>
  <c r="S166" i="1"/>
  <c r="S161" i="1"/>
  <c r="S162" i="1"/>
  <c r="S163" i="1"/>
  <c r="S159" i="1"/>
  <c r="S158" i="1"/>
  <c r="S160" i="1"/>
  <c r="S155" i="1"/>
  <c r="S156" i="1"/>
  <c r="S157" i="1"/>
  <c r="S152" i="1"/>
  <c r="S153" i="1"/>
  <c r="S154" i="1"/>
  <c r="S149" i="1"/>
  <c r="S150" i="1"/>
  <c r="S151" i="1"/>
  <c r="S146" i="1"/>
  <c r="S147" i="1"/>
  <c r="S148" i="1"/>
  <c r="S145" i="1"/>
  <c r="S143" i="1"/>
  <c r="S144" i="1"/>
  <c r="S141" i="1"/>
  <c r="S142" i="1"/>
  <c r="S140" i="1"/>
  <c r="S138" i="1"/>
  <c r="S139" i="1"/>
  <c r="S137" i="1"/>
  <c r="S135" i="1"/>
  <c r="S134" i="1"/>
  <c r="S136" i="1"/>
  <c r="S131" i="1"/>
  <c r="S132" i="1"/>
  <c r="S133" i="1"/>
  <c r="S128" i="1"/>
  <c r="S129" i="1"/>
  <c r="S130" i="1"/>
  <c r="S125" i="1"/>
  <c r="S126" i="1"/>
  <c r="S127" i="1"/>
  <c r="S123" i="1"/>
  <c r="S122" i="1"/>
  <c r="S124" i="1"/>
  <c r="S121" i="1"/>
  <c r="S119" i="1"/>
  <c r="S120" i="1"/>
  <c r="S117" i="1"/>
  <c r="S116" i="1"/>
  <c r="S118" i="1"/>
  <c r="S113" i="1"/>
  <c r="S114" i="1"/>
  <c r="S115" i="1"/>
  <c r="S110" i="1"/>
  <c r="S111" i="1"/>
  <c r="S112" i="1"/>
  <c r="S109" i="1"/>
  <c r="S107" i="1"/>
  <c r="S108" i="1"/>
  <c r="S105" i="1"/>
  <c r="S104" i="1"/>
  <c r="S106" i="1"/>
  <c r="S101" i="1"/>
  <c r="S102" i="1"/>
  <c r="S103" i="1"/>
  <c r="S98" i="1"/>
  <c r="S99" i="1"/>
  <c r="S100" i="1"/>
  <c r="S97" i="1"/>
  <c r="S95" i="1"/>
  <c r="S96" i="1"/>
  <c r="S93" i="1"/>
  <c r="S92" i="1"/>
  <c r="S94" i="1"/>
  <c r="S89" i="1"/>
  <c r="S90" i="1"/>
  <c r="S91" i="1"/>
  <c r="S87" i="1"/>
  <c r="S88" i="1"/>
  <c r="S86" i="1"/>
  <c r="S85" i="1"/>
  <c r="S83" i="1"/>
  <c r="S84" i="1"/>
  <c r="S81" i="1"/>
  <c r="S82" i="1"/>
  <c r="S80" i="1"/>
  <c r="S77" i="1"/>
  <c r="S78" i="1"/>
  <c r="S79" i="1"/>
  <c r="S74" i="1"/>
  <c r="S75" i="1"/>
  <c r="S76" i="1"/>
  <c r="S71" i="1"/>
  <c r="S72" i="1"/>
  <c r="S73" i="1"/>
  <c r="S69" i="1"/>
  <c r="S70" i="1"/>
  <c r="S68" i="1"/>
  <c r="S65" i="1"/>
  <c r="S66" i="1"/>
  <c r="S67" i="1"/>
  <c r="S62" i="1"/>
  <c r="S63" i="1"/>
  <c r="S64" i="1"/>
  <c r="S59" i="1"/>
  <c r="S60" i="1"/>
  <c r="S61" i="1"/>
  <c r="S56" i="1"/>
  <c r="S57" i="1"/>
  <c r="S58" i="1"/>
  <c r="S55" i="1"/>
  <c r="S53" i="1"/>
  <c r="S54" i="1"/>
  <c r="S52" i="1"/>
  <c r="S51" i="1"/>
  <c r="S48" i="1"/>
  <c r="S49" i="1"/>
  <c r="S50" i="1"/>
  <c r="S47" i="1"/>
  <c r="S45" i="1"/>
  <c r="S46" i="1"/>
  <c r="S42" i="1"/>
  <c r="S43" i="1"/>
  <c r="S44" i="1"/>
  <c r="S39" i="1"/>
  <c r="S41" i="1"/>
  <c r="S40" i="1"/>
  <c r="S38" i="1"/>
  <c r="S37" i="1"/>
  <c r="S35" i="1"/>
  <c r="S36" i="1"/>
  <c r="S33" i="1"/>
  <c r="S34" i="1"/>
  <c r="S31" i="1"/>
  <c r="S32" i="1"/>
  <c r="S29" i="1"/>
  <c r="S30" i="1"/>
  <c r="S28" i="1"/>
  <c r="S26" i="1"/>
  <c r="S27" i="1"/>
  <c r="S24" i="1"/>
  <c r="S25" i="1"/>
  <c r="S21" i="1"/>
  <c r="S20" i="1"/>
  <c r="S22" i="1"/>
  <c r="S23" i="1"/>
  <c r="S18" i="1"/>
  <c r="S19" i="1"/>
  <c r="S17" i="1"/>
  <c r="S15" i="1"/>
  <c r="S16" i="1"/>
  <c r="S13" i="1"/>
  <c r="S14" i="1"/>
  <c r="S11" i="1"/>
  <c r="S12" i="1"/>
  <c r="S10" i="1"/>
  <c r="S9" i="1"/>
  <c r="S8" i="1"/>
  <c r="S7" i="1"/>
  <c r="S6" i="1"/>
  <c r="S4" i="1"/>
  <c r="S5" i="1"/>
  <c r="S2" i="1"/>
  <c r="S3" i="1"/>
</calcChain>
</file>

<file path=xl/sharedStrings.xml><?xml version="1.0" encoding="utf-8"?>
<sst xmlns="http://schemas.openxmlformats.org/spreadsheetml/2006/main" count="4084" uniqueCount="1060">
  <si>
    <t>auction_date</t>
  </si>
  <si>
    <t>cusip</t>
  </si>
  <si>
    <t>security_type</t>
  </si>
  <si>
    <t>security_term</t>
  </si>
  <si>
    <t>high_yield</t>
  </si>
  <si>
    <t>low_yield</t>
  </si>
  <si>
    <t>bid_to_cover_ratio</t>
  </si>
  <si>
    <t>soma_accepted</t>
  </si>
  <si>
    <t>comp_tendered</t>
  </si>
  <si>
    <t>comp_accepted</t>
  </si>
  <si>
    <t>noncomp_accepted</t>
  </si>
  <si>
    <t>direct_bidder_accepted</t>
  </si>
  <si>
    <t>direct_bidder_tendered</t>
  </si>
  <si>
    <t>primary_dealer_accepted</t>
  </si>
  <si>
    <t>primary_dealer_tendered</t>
  </si>
  <si>
    <t>indirect_bidder_accepted</t>
  </si>
  <si>
    <t>indirect_bidder_tendered</t>
  </si>
  <si>
    <t>912828HY9</t>
  </si>
  <si>
    <t>Note</t>
  </si>
  <si>
    <t>5-Year</t>
  </si>
  <si>
    <t>912828HX1</t>
  </si>
  <si>
    <t>2-Year</t>
  </si>
  <si>
    <t>912810PW2</t>
  </si>
  <si>
    <t>Bond</t>
  </si>
  <si>
    <t>29-Year 9-Month</t>
  </si>
  <si>
    <t>912828HZ6</t>
  </si>
  <si>
    <t>10-Year</t>
  </si>
  <si>
    <t>912828JA9</t>
  </si>
  <si>
    <t>912828JB7</t>
  </si>
  <si>
    <t>9-Year 11-Month</t>
  </si>
  <si>
    <t>912828JC5</t>
  </si>
  <si>
    <t>912828JD3</t>
  </si>
  <si>
    <t>912828JG6</t>
  </si>
  <si>
    <t>912828JF8</t>
  </si>
  <si>
    <t>912810PX0</t>
  </si>
  <si>
    <t>912828JH4</t>
  </si>
  <si>
    <t>912828JK7</t>
  </si>
  <si>
    <t>912828JJ0</t>
  </si>
  <si>
    <t>912828JM3</t>
  </si>
  <si>
    <t>912828JL5</t>
  </si>
  <si>
    <t>912828DM9</t>
  </si>
  <si>
    <t>6-Year 4-Month</t>
  </si>
  <si>
    <t>912828HR4</t>
  </si>
  <si>
    <t>9-Year 4-Month</t>
  </si>
  <si>
    <t>912828DV9</t>
  </si>
  <si>
    <t>6-Year 7-Month</t>
  </si>
  <si>
    <t>912828EE6</t>
  </si>
  <si>
    <t>6-Year 10-Month</t>
  </si>
  <si>
    <t>912828JQ4</t>
  </si>
  <si>
    <t>912828JP6</t>
  </si>
  <si>
    <t>912828JR2</t>
  </si>
  <si>
    <t>912828JU5</t>
  </si>
  <si>
    <t>3-Year</t>
  </si>
  <si>
    <t>29-Year 6-Month</t>
  </si>
  <si>
    <t>912828JT8</t>
  </si>
  <si>
    <t>912828JS0</t>
  </si>
  <si>
    <t>912828KA7</t>
  </si>
  <si>
    <t>912828JW1</t>
  </si>
  <si>
    <t>912828JV3</t>
  </si>
  <si>
    <t>9-Year 10-Month</t>
  </si>
  <si>
    <t>912828KB5</t>
  </si>
  <si>
    <t>912828JY7</t>
  </si>
  <si>
    <t>912828JZ4</t>
  </si>
  <si>
    <t>912828KD1</t>
  </si>
  <si>
    <t>912810QA9</t>
  </si>
  <si>
    <t>30-Year</t>
  </si>
  <si>
    <t>912828KC3</t>
  </si>
  <si>
    <t>912828KS8</t>
  </si>
  <si>
    <t>7-Year</t>
  </si>
  <si>
    <t>912828KF6</t>
  </si>
  <si>
    <t>912828KE9</t>
  </si>
  <si>
    <t>912828KG4</t>
  </si>
  <si>
    <t>29-Year 11-Month</t>
  </si>
  <si>
    <t>912828KT6</t>
  </si>
  <si>
    <t>912828KJ8</t>
  </si>
  <si>
    <t>912828KH2</t>
  </si>
  <si>
    <t>912828KK5</t>
  </si>
  <si>
    <t>912828KN9</t>
  </si>
  <si>
    <t>912828KL3</t>
  </si>
  <si>
    <t>912828KR0</t>
  </si>
  <si>
    <t>912810QB7</t>
  </si>
  <si>
    <t>912828KQ2</t>
  </si>
  <si>
    <t>912828KP4</t>
  </si>
  <si>
    <t>912828KW9</t>
  </si>
  <si>
    <t>912828KV1</t>
  </si>
  <si>
    <t>912828KU3</t>
  </si>
  <si>
    <t>912828KX7</t>
  </si>
  <si>
    <t>912828KZ2</t>
  </si>
  <si>
    <t>912828KY5</t>
  </si>
  <si>
    <t>912828LF5</t>
  </si>
  <si>
    <t>912828LB4</t>
  </si>
  <si>
    <t>29-Year 10-Month</t>
  </si>
  <si>
    <t>912828LD0</t>
  </si>
  <si>
    <t>912828LC2</t>
  </si>
  <si>
    <t>912828LG3</t>
  </si>
  <si>
    <t>912810QC5</t>
  </si>
  <si>
    <t>912828LJ7</t>
  </si>
  <si>
    <t>912828LH1</t>
  </si>
  <si>
    <t>912828LL2</t>
  </si>
  <si>
    <t>912828LK4</t>
  </si>
  <si>
    <t>912828LV0</t>
  </si>
  <si>
    <t>912828LM0</t>
  </si>
  <si>
    <t>912828LQ1</t>
  </si>
  <si>
    <t>912828LW8</t>
  </si>
  <si>
    <t>912828LP3</t>
  </si>
  <si>
    <t>912828LR9</t>
  </si>
  <si>
    <t>912828LU2</t>
  </si>
  <si>
    <t>912828LS7</t>
  </si>
  <si>
    <t>912828LT5</t>
  </si>
  <si>
    <t>912810QD3</t>
  </si>
  <si>
    <t>912828LX6</t>
  </si>
  <si>
    <t>912828LY4</t>
  </si>
  <si>
    <t>912828LZ1</t>
  </si>
  <si>
    <t>912828MM9</t>
  </si>
  <si>
    <t>912828MA5</t>
  </si>
  <si>
    <t>912828MB3</t>
  </si>
  <si>
    <t>912828MD9</t>
  </si>
  <si>
    <t>912828ME7</t>
  </si>
  <si>
    <t>912828ML1</t>
  </si>
  <si>
    <t>912828MG2</t>
  </si>
  <si>
    <t>912828MH0</t>
  </si>
  <si>
    <t>912828MJ6</t>
  </si>
  <si>
    <t>912828MK3</t>
  </si>
  <si>
    <t>912810QE1</t>
  </si>
  <si>
    <t>912828MP2</t>
  </si>
  <si>
    <t>912828MN7</t>
  </si>
  <si>
    <t>912828MS6</t>
  </si>
  <si>
    <t>912828MR8</t>
  </si>
  <si>
    <t>912828MQ0</t>
  </si>
  <si>
    <t>912828MT4</t>
  </si>
  <si>
    <t>912828MW7</t>
  </si>
  <si>
    <t>912828MU1</t>
  </si>
  <si>
    <t>912828MV9</t>
  </si>
  <si>
    <t>912828MX5</t>
  </si>
  <si>
    <t>912828NA4</t>
  </si>
  <si>
    <t>912828MZ0</t>
  </si>
  <si>
    <t>912828NB2</t>
  </si>
  <si>
    <t>912810QH4</t>
  </si>
  <si>
    <t>912828ND8</t>
  </si>
  <si>
    <t>912828NC0</t>
  </si>
  <si>
    <t>912828NG1</t>
  </si>
  <si>
    <t>912828NF3</t>
  </si>
  <si>
    <t>912828NE6</t>
  </si>
  <si>
    <t>912828NH9</t>
  </si>
  <si>
    <t>912828NS5</t>
  </si>
  <si>
    <t>912828NK2</t>
  </si>
  <si>
    <t>912828NL0</t>
  </si>
  <si>
    <t>912828NN6</t>
  </si>
  <si>
    <t>912828NP1</t>
  </si>
  <si>
    <t>912828NQ9</t>
  </si>
  <si>
    <t>912828NR7</t>
  </si>
  <si>
    <t>912810QK7</t>
  </si>
  <si>
    <t>912828NT3</t>
  </si>
  <si>
    <t>912828NU0</t>
  </si>
  <si>
    <t>912828NW6</t>
  </si>
  <si>
    <t>912828NV8</t>
  </si>
  <si>
    <t>912828PH7</t>
  </si>
  <si>
    <t>912828NY2</t>
  </si>
  <si>
    <t>912828PA2</t>
  </si>
  <si>
    <t>912828NZ9</t>
  </si>
  <si>
    <t>912828NX4</t>
  </si>
  <si>
    <t>912828PB0</t>
  </si>
  <si>
    <t>912828PF1</t>
  </si>
  <si>
    <t>912828PE4</t>
  </si>
  <si>
    <t>912828PD6</t>
  </si>
  <si>
    <t>912810QL5</t>
  </si>
  <si>
    <t>912828PC8</t>
  </si>
  <si>
    <t>912828PU8</t>
  </si>
  <si>
    <t>912828PV6</t>
  </si>
  <si>
    <t>912828PK0</t>
  </si>
  <si>
    <t>912828PJ3</t>
  </si>
  <si>
    <t>912828PL8</t>
  </si>
  <si>
    <t>912828PM6</t>
  </si>
  <si>
    <t>912828PN4</t>
  </si>
  <si>
    <t>912828PW4</t>
  </si>
  <si>
    <t>912828PQ7</t>
  </si>
  <si>
    <t>912828PS3</t>
  </si>
  <si>
    <t>912828PR5</t>
  </si>
  <si>
    <t>912828PT1</t>
  </si>
  <si>
    <t>912810QN1</t>
  </si>
  <si>
    <t>912828PX2</t>
  </si>
  <si>
    <t>912828QH6</t>
  </si>
  <si>
    <t>912828QK9</t>
  </si>
  <si>
    <t>912828PY0</t>
  </si>
  <si>
    <t>912828QJ2</t>
  </si>
  <si>
    <t>912828PZ7</t>
  </si>
  <si>
    <t>912828QB9</t>
  </si>
  <si>
    <t>912828QA1</t>
  </si>
  <si>
    <t>912828QL7</t>
  </si>
  <si>
    <t>912828QC7</t>
  </si>
  <si>
    <t>912828QG8</t>
  </si>
  <si>
    <t>912828QF0</t>
  </si>
  <si>
    <t>912828QE3</t>
  </si>
  <si>
    <t>912828QN3</t>
  </si>
  <si>
    <t>912828QM5</t>
  </si>
  <si>
    <t>912810QQ4</t>
  </si>
  <si>
    <t>912828QQ6</t>
  </si>
  <si>
    <t>912828QP8</t>
  </si>
  <si>
    <t>912828QZ6</t>
  </si>
  <si>
    <t>912828QS2</t>
  </si>
  <si>
    <t>912828QR4</t>
  </si>
  <si>
    <t>912828RA0</t>
  </si>
  <si>
    <t>912828QT0</t>
  </si>
  <si>
    <t>912828QU7</t>
  </si>
  <si>
    <t>912828QW3</t>
  </si>
  <si>
    <t>912828QY9</t>
  </si>
  <si>
    <t>912828QX1</t>
  </si>
  <si>
    <t>912810QS0</t>
  </si>
  <si>
    <t>912828RC6</t>
  </si>
  <si>
    <t>912828RB8</t>
  </si>
  <si>
    <t>912828RD4</t>
  </si>
  <si>
    <t>912828RE2</t>
  </si>
  <si>
    <t>912828RF9</t>
  </si>
  <si>
    <t>912828RG7</t>
  </si>
  <si>
    <t>912828RH5</t>
  </si>
  <si>
    <t>912828RJ1</t>
  </si>
  <si>
    <t>912828RK8</t>
  </si>
  <si>
    <t>912828RL6</t>
  </si>
  <si>
    <t>912828RN2</t>
  </si>
  <si>
    <t>912828RP7</t>
  </si>
  <si>
    <t>912828RM4</t>
  </si>
  <si>
    <t>912810QT8</t>
  </si>
  <si>
    <t>912828RR3</t>
  </si>
  <si>
    <t>912828RQ5</t>
  </si>
  <si>
    <t>912828RT9</t>
  </si>
  <si>
    <t>912828RU6</t>
  </si>
  <si>
    <t>912828RS1</t>
  </si>
  <si>
    <t>912828RV4</t>
  </si>
  <si>
    <t>912828RY8</t>
  </si>
  <si>
    <t>912828RX0</t>
  </si>
  <si>
    <t>912828RW2</t>
  </si>
  <si>
    <t>912828RZ5</t>
  </si>
  <si>
    <t>912828SD3</t>
  </si>
  <si>
    <t>912828SC5</t>
  </si>
  <si>
    <t>912828SB7</t>
  </si>
  <si>
    <t>912810QU5</t>
  </si>
  <si>
    <t>912828SF8</t>
  </si>
  <si>
    <t>912828SE1</t>
  </si>
  <si>
    <t>912828SH4</t>
  </si>
  <si>
    <t>912828SG6</t>
  </si>
  <si>
    <t>912828SJ0</t>
  </si>
  <si>
    <t>912828SK7</t>
  </si>
  <si>
    <t>912828SN1</t>
  </si>
  <si>
    <t>912828SM3</t>
  </si>
  <si>
    <t>912828SL5</t>
  </si>
  <si>
    <t>912828SP6</t>
  </si>
  <si>
    <t>912828ST8</t>
  </si>
  <si>
    <t>912828SS0</t>
  </si>
  <si>
    <t>912828SR2</t>
  </si>
  <si>
    <t>912828SV3</t>
  </si>
  <si>
    <t>912828SU5</t>
  </si>
  <si>
    <t>912810QW1</t>
  </si>
  <si>
    <t>912828SX9</t>
  </si>
  <si>
    <t>912828SY7</t>
  </si>
  <si>
    <t>912828SW1</t>
  </si>
  <si>
    <t>912828SZ4</t>
  </si>
  <si>
    <t>912828TC4</t>
  </si>
  <si>
    <t>912828TB6</t>
  </si>
  <si>
    <t>912828TA8</t>
  </si>
  <si>
    <t>912828TD2</t>
  </si>
  <si>
    <t>912828TH3</t>
  </si>
  <si>
    <t>912828TG5</t>
  </si>
  <si>
    <t>912828TF7</t>
  </si>
  <si>
    <t>912810QX9</t>
  </si>
  <si>
    <t>912828TJ9</t>
  </si>
  <si>
    <t>912828TK6</t>
  </si>
  <si>
    <t>912828TN0</t>
  </si>
  <si>
    <t>912828TM2</t>
  </si>
  <si>
    <t>912828TL4</t>
  </si>
  <si>
    <t>912828TP5</t>
  </si>
  <si>
    <t>912828TR1</t>
  </si>
  <si>
    <t>912828TS9</t>
  </si>
  <si>
    <t>912828TQ3</t>
  </si>
  <si>
    <t>912828TT7</t>
  </si>
  <si>
    <t>912828TV2</t>
  </si>
  <si>
    <t>912828TW0</t>
  </si>
  <si>
    <t>912828TU4</t>
  </si>
  <si>
    <t>912828TY6</t>
  </si>
  <si>
    <t>912828TX8</t>
  </si>
  <si>
    <t>912810QY7</t>
  </si>
  <si>
    <t>912828TZ3</t>
  </si>
  <si>
    <t>912828UB4</t>
  </si>
  <si>
    <t>912828UA6</t>
  </si>
  <si>
    <t>912828UC2</t>
  </si>
  <si>
    <t>912828UF5</t>
  </si>
  <si>
    <t>912828UE8</t>
  </si>
  <si>
    <t>912828UD0</t>
  </si>
  <si>
    <t>912828UG3</t>
  </si>
  <si>
    <t>912828UL2</t>
  </si>
  <si>
    <t>912828UJ7</t>
  </si>
  <si>
    <t>912828UK4</t>
  </si>
  <si>
    <t>912810QZ4</t>
  </si>
  <si>
    <t>912828UN8</t>
  </si>
  <si>
    <t>912828UM0</t>
  </si>
  <si>
    <t>912828UQ1</t>
  </si>
  <si>
    <t>912828UR9</t>
  </si>
  <si>
    <t>912828UP3</t>
  </si>
  <si>
    <t>912828US7</t>
  </si>
  <si>
    <t>912828UV0</t>
  </si>
  <si>
    <t>912828UU2</t>
  </si>
  <si>
    <t>912828UT5</t>
  </si>
  <si>
    <t>912828UW8</t>
  </si>
  <si>
    <t>912828VA5</t>
  </si>
  <si>
    <t>912828UZ1</t>
  </si>
  <si>
    <t>912828UY4</t>
  </si>
  <si>
    <t>912810RB6</t>
  </si>
  <si>
    <t>912828VB3</t>
  </si>
  <si>
    <t>912828VC1</t>
  </si>
  <si>
    <t>912828VE7</t>
  </si>
  <si>
    <t>912828VD9</t>
  </si>
  <si>
    <t>912828VF4</t>
  </si>
  <si>
    <t>912828VG2</t>
  </si>
  <si>
    <t>912828VJ6</t>
  </si>
  <si>
    <t>912828VK3</t>
  </si>
  <si>
    <t>912828VH0</t>
  </si>
  <si>
    <t>912828VL1</t>
  </si>
  <si>
    <t>912828VP2</t>
  </si>
  <si>
    <t>912828VQ0</t>
  </si>
  <si>
    <t>912828VN7</t>
  </si>
  <si>
    <t>912810RC4</t>
  </si>
  <si>
    <t>912828VS6</t>
  </si>
  <si>
    <t>912828VR8</t>
  </si>
  <si>
    <t>912828VV9</t>
  </si>
  <si>
    <t>912828VU1</t>
  </si>
  <si>
    <t>912828VW7</t>
  </si>
  <si>
    <t>912828VZ0</t>
  </si>
  <si>
    <t>912828VY3</t>
  </si>
  <si>
    <t>912828WA4</t>
  </si>
  <si>
    <t>912828WD8</t>
  </si>
  <si>
    <t>912828WB2</t>
  </si>
  <si>
    <t>912828WC0</t>
  </si>
  <si>
    <t>912828WF3</t>
  </si>
  <si>
    <t>912810RD2</t>
  </si>
  <si>
    <t>912828WE6</t>
  </si>
  <si>
    <t>912828A34</t>
  </si>
  <si>
    <t>912828A26</t>
  </si>
  <si>
    <t>912828A42</t>
  </si>
  <si>
    <t>912828A59</t>
  </si>
  <si>
    <t>912828A75</t>
  </si>
  <si>
    <t>912828A67</t>
  </si>
  <si>
    <t>912828A83</t>
  </si>
  <si>
    <t>912828A91</t>
  </si>
  <si>
    <t>912828B33</t>
  </si>
  <si>
    <t>912828B58</t>
  </si>
  <si>
    <t>912828B41</t>
  </si>
  <si>
    <t>912810RE0</t>
  </si>
  <si>
    <t>912828B66</t>
  </si>
  <si>
    <t>912828B74</t>
  </si>
  <si>
    <t>912828B90</t>
  </si>
  <si>
    <t>912828B82</t>
  </si>
  <si>
    <t>912828C24</t>
  </si>
  <si>
    <t>912828C32</t>
  </si>
  <si>
    <t>912828C57</t>
  </si>
  <si>
    <t>912828C65</t>
  </si>
  <si>
    <t>912828C40</t>
  </si>
  <si>
    <t>912828C73</t>
  </si>
  <si>
    <t>912828WG1</t>
  </si>
  <si>
    <t>912828D23</t>
  </si>
  <si>
    <t>912828C81</t>
  </si>
  <si>
    <t>912828WH9</t>
  </si>
  <si>
    <t>912810RG5</t>
  </si>
  <si>
    <t>912828WJ5</t>
  </si>
  <si>
    <t>912828WL0</t>
  </si>
  <si>
    <t>912828WM8</t>
  </si>
  <si>
    <t>912828WN6</t>
  </si>
  <si>
    <t>912828WP1</t>
  </si>
  <si>
    <t>912828WS5</t>
  </si>
  <si>
    <t>912828WQ9</t>
  </si>
  <si>
    <t>912828WR7</t>
  </si>
  <si>
    <t>912828WT3</t>
  </si>
  <si>
    <t>912828WW6</t>
  </si>
  <si>
    <t>912828WX4</t>
  </si>
  <si>
    <t>912828WY2</t>
  </si>
  <si>
    <t>912810RH3</t>
  </si>
  <si>
    <t>912828D56</t>
  </si>
  <si>
    <t>912828D49</t>
  </si>
  <si>
    <t>912828D72</t>
  </si>
  <si>
    <t>912828D80</t>
  </si>
  <si>
    <t>912828D64</t>
  </si>
  <si>
    <t>912828D98</t>
  </si>
  <si>
    <t>912828F21</t>
  </si>
  <si>
    <t>912828F39</t>
  </si>
  <si>
    <t>912828F47</t>
  </si>
  <si>
    <t>912828F54</t>
  </si>
  <si>
    <t>912828F96</t>
  </si>
  <si>
    <t>912828F62</t>
  </si>
  <si>
    <t>912828F88</t>
  </si>
  <si>
    <t>912828G38</t>
  </si>
  <si>
    <t>912828G20</t>
  </si>
  <si>
    <t>912810RJ9</t>
  </si>
  <si>
    <t>912828G53</t>
  </si>
  <si>
    <t>912828G61</t>
  </si>
  <si>
    <t>912828G46</t>
  </si>
  <si>
    <t>912828G79</t>
  </si>
  <si>
    <t>912828G95</t>
  </si>
  <si>
    <t>912828H29</t>
  </si>
  <si>
    <t>912828G87</t>
  </si>
  <si>
    <t>912828H37</t>
  </si>
  <si>
    <t>912828H52</t>
  </si>
  <si>
    <t>912828H86</t>
  </si>
  <si>
    <t>912828H78</t>
  </si>
  <si>
    <t>912810RK6</t>
  </si>
  <si>
    <t>912828J27</t>
  </si>
  <si>
    <t>912828H94</t>
  </si>
  <si>
    <t>912828J35</t>
  </si>
  <si>
    <t>912828J50</t>
  </si>
  <si>
    <t>912828J43</t>
  </si>
  <si>
    <t>912828J68</t>
  </si>
  <si>
    <t>912828J76</t>
  </si>
  <si>
    <t>912828J84</t>
  </si>
  <si>
    <t>912828J92</t>
  </si>
  <si>
    <t>912828K25</t>
  </si>
  <si>
    <t>912828WZ9</t>
  </si>
  <si>
    <t>912828K58</t>
  </si>
  <si>
    <t>912828K66</t>
  </si>
  <si>
    <t>912828XB1</t>
  </si>
  <si>
    <t>912828XA3</t>
  </si>
  <si>
    <t>912810RM2</t>
  </si>
  <si>
    <t>912828XD7</t>
  </si>
  <si>
    <t>912828XE5</t>
  </si>
  <si>
    <t>912828XF2</t>
  </si>
  <si>
    <t>912828XG0</t>
  </si>
  <si>
    <t>912828XH8</t>
  </si>
  <si>
    <t>912828XJ4</t>
  </si>
  <si>
    <t>912828XK1</t>
  </si>
  <si>
    <t>912828XQ8</t>
  </si>
  <si>
    <t>912828XM7</t>
  </si>
  <si>
    <t>912828XP0</t>
  </si>
  <si>
    <t>912810RN0</t>
  </si>
  <si>
    <t>912828K74</t>
  </si>
  <si>
    <t>912828K82</t>
  </si>
  <si>
    <t>912828L24</t>
  </si>
  <si>
    <t>912828L32</t>
  </si>
  <si>
    <t>912828L40</t>
  </si>
  <si>
    <t>912828L57</t>
  </si>
  <si>
    <t>912828L65</t>
  </si>
  <si>
    <t>912828L81</t>
  </si>
  <si>
    <t>912828L99</t>
  </si>
  <si>
    <t>912828M49</t>
  </si>
  <si>
    <t>912810RP5</t>
  </si>
  <si>
    <t>912828M56</t>
  </si>
  <si>
    <t>912828M64</t>
  </si>
  <si>
    <t>912828M80</t>
  </si>
  <si>
    <t>912828M98</t>
  </si>
  <si>
    <t>912828M72</t>
  </si>
  <si>
    <t>912828N22</t>
  </si>
  <si>
    <t>912828N55</t>
  </si>
  <si>
    <t>912828N30</t>
  </si>
  <si>
    <t>912828N48</t>
  </si>
  <si>
    <t>912828N63</t>
  </si>
  <si>
    <t>912828P38</t>
  </si>
  <si>
    <t>912828N89</t>
  </si>
  <si>
    <t>912828P20</t>
  </si>
  <si>
    <t>912810RQ3</t>
  </si>
  <si>
    <t>912828P46</t>
  </si>
  <si>
    <t>912828P53</t>
  </si>
  <si>
    <t>912828P79</t>
  </si>
  <si>
    <t>912828P87</t>
  </si>
  <si>
    <t>912828P95</t>
  </si>
  <si>
    <t>912828Q29</t>
  </si>
  <si>
    <t>912828Q37</t>
  </si>
  <si>
    <t>912828Q45</t>
  </si>
  <si>
    <t>912828Q52</t>
  </si>
  <si>
    <t>912828Q78</t>
  </si>
  <si>
    <t>912828Q94</t>
  </si>
  <si>
    <t>912828R28</t>
  </si>
  <si>
    <t>912810RS9</t>
  </si>
  <si>
    <t>912828R36</t>
  </si>
  <si>
    <t>912828R44</t>
  </si>
  <si>
    <t>912828R69</t>
  </si>
  <si>
    <t>912828R77</t>
  </si>
  <si>
    <t>912828R51</t>
  </si>
  <si>
    <t>912828R85</t>
  </si>
  <si>
    <t>912828S35</t>
  </si>
  <si>
    <t>912828S27</t>
  </si>
  <si>
    <t>912828R93</t>
  </si>
  <si>
    <t>912828S43</t>
  </si>
  <si>
    <t>912828S92</t>
  </si>
  <si>
    <t>912828S76</t>
  </si>
  <si>
    <t>912828S68</t>
  </si>
  <si>
    <t>912810RT7</t>
  </si>
  <si>
    <t>9128282B5</t>
  </si>
  <si>
    <t>9128282A7</t>
  </si>
  <si>
    <t>9128282D1</t>
  </si>
  <si>
    <t>9128282F6</t>
  </si>
  <si>
    <t>9128282C3</t>
  </si>
  <si>
    <t>9128282G4</t>
  </si>
  <si>
    <t>912828T26</t>
  </si>
  <si>
    <t>912828T42</t>
  </si>
  <si>
    <t>912828T34</t>
  </si>
  <si>
    <t>912828T59</t>
  </si>
  <si>
    <t>912828T91</t>
  </si>
  <si>
    <t>912828T83</t>
  </si>
  <si>
    <t>912828T67</t>
  </si>
  <si>
    <t>912810RU4</t>
  </si>
  <si>
    <t>912828U24</t>
  </si>
  <si>
    <t>912828U32</t>
  </si>
  <si>
    <t>912828U57</t>
  </si>
  <si>
    <t>912828U65</t>
  </si>
  <si>
    <t>912828U40</t>
  </si>
  <si>
    <t>912828U73</t>
  </si>
  <si>
    <t>912828V23</t>
  </si>
  <si>
    <t>912828U81</t>
  </si>
  <si>
    <t>912828U99</t>
  </si>
  <si>
    <t>912828V31</t>
  </si>
  <si>
    <t>912828V72</t>
  </si>
  <si>
    <t>912828V80</t>
  </si>
  <si>
    <t>912828V56</t>
  </si>
  <si>
    <t>912810RV2</t>
  </si>
  <si>
    <t>912828V98</t>
  </si>
  <si>
    <t>912828W22</t>
  </si>
  <si>
    <t>912828W48</t>
  </si>
  <si>
    <t>912828W55</t>
  </si>
  <si>
    <t>912828W30</t>
  </si>
  <si>
    <t>912828W63</t>
  </si>
  <si>
    <t>912828W89</t>
  </si>
  <si>
    <t>912828W97</t>
  </si>
  <si>
    <t>912828W71</t>
  </si>
  <si>
    <t>912828X21</t>
  </si>
  <si>
    <t>912828X70</t>
  </si>
  <si>
    <t>912828X47</t>
  </si>
  <si>
    <t>912828X96</t>
  </si>
  <si>
    <t>912810RX8</t>
  </si>
  <si>
    <t>912828X88</t>
  </si>
  <si>
    <t>912828XT2</t>
  </si>
  <si>
    <t>912828XR6</t>
  </si>
  <si>
    <t>912828XS4</t>
  </si>
  <si>
    <t>912828XU9</t>
  </si>
  <si>
    <t>912828XX3</t>
  </si>
  <si>
    <t>912828XW5</t>
  </si>
  <si>
    <t>912828XV7</t>
  </si>
  <si>
    <t>9128282J8</t>
  </si>
  <si>
    <t>9128282N9</t>
  </si>
  <si>
    <t>9128282P4</t>
  </si>
  <si>
    <t>9128282K5</t>
  </si>
  <si>
    <t>912810RY6</t>
  </si>
  <si>
    <t>9128282R0</t>
  </si>
  <si>
    <t>9128282Q2</t>
  </si>
  <si>
    <t>9128282U3</t>
  </si>
  <si>
    <t>9128282T6</t>
  </si>
  <si>
    <t>9128282S8</t>
  </si>
  <si>
    <t>9128282V1</t>
  </si>
  <si>
    <t>9128282Y5</t>
  </si>
  <si>
    <t>9128282W9</t>
  </si>
  <si>
    <t>9128282X7</t>
  </si>
  <si>
    <t>9128282Z2</t>
  </si>
  <si>
    <t>9128283D0</t>
  </si>
  <si>
    <t>9128283C2</t>
  </si>
  <si>
    <t>912810RZ3</t>
  </si>
  <si>
    <t>9128283F5</t>
  </si>
  <si>
    <t>9128283G3</t>
  </si>
  <si>
    <t>9128283J7</t>
  </si>
  <si>
    <t>9128283H1</t>
  </si>
  <si>
    <t>9128283L2</t>
  </si>
  <si>
    <t>9128283P3</t>
  </si>
  <si>
    <t>9128283N8</t>
  </si>
  <si>
    <t>9128283Q1</t>
  </si>
  <si>
    <t>9128283V0</t>
  </si>
  <si>
    <t>9128283U2</t>
  </si>
  <si>
    <t>9128283S7</t>
  </si>
  <si>
    <t>9128283W8</t>
  </si>
  <si>
    <t>9128283X6</t>
  </si>
  <si>
    <t>912810SA7</t>
  </si>
  <si>
    <t>9128283Z1</t>
  </si>
  <si>
    <t>9128284A5</t>
  </si>
  <si>
    <t>9128283Y4</t>
  </si>
  <si>
    <t>9128284B3</t>
  </si>
  <si>
    <t>9128284F4</t>
  </si>
  <si>
    <t>9128284D9</t>
  </si>
  <si>
    <t>9128284C1</t>
  </si>
  <si>
    <t>9128284G2</t>
  </si>
  <si>
    <t>9128284M9</t>
  </si>
  <si>
    <t>9128284L1</t>
  </si>
  <si>
    <t>9128284J6</t>
  </si>
  <si>
    <t>912810SC3</t>
  </si>
  <si>
    <t>9128284N7</t>
  </si>
  <si>
    <t>9128284P2</t>
  </si>
  <si>
    <t>9128284S6</t>
  </si>
  <si>
    <t>9128284Q0</t>
  </si>
  <si>
    <t>9128284R8</t>
  </si>
  <si>
    <t>9128284T4</t>
  </si>
  <si>
    <t>9128284U1</t>
  </si>
  <si>
    <t>912828XY1</t>
  </si>
  <si>
    <t>912828XZ8</t>
  </si>
  <si>
    <t>912828Y20</t>
  </si>
  <si>
    <t>912828Y46</t>
  </si>
  <si>
    <t>912828Y79</t>
  </si>
  <si>
    <t>912828Y61</t>
  </si>
  <si>
    <t>912810SD1</t>
  </si>
  <si>
    <t>9128284V9</t>
  </si>
  <si>
    <t>9128284W7</t>
  </si>
  <si>
    <t>9128284Z0</t>
  </si>
  <si>
    <t>9128284Y3</t>
  </si>
  <si>
    <t>9128284X5</t>
  </si>
  <si>
    <t>9128285A4</t>
  </si>
  <si>
    <t>9128285C0</t>
  </si>
  <si>
    <t>9128285D8</t>
  </si>
  <si>
    <t>9128285B2</t>
  </si>
  <si>
    <t>9128285F3</t>
  </si>
  <si>
    <t>9128285J5</t>
  </si>
  <si>
    <t>9128285K2</t>
  </si>
  <si>
    <t>9128285G1</t>
  </si>
  <si>
    <t>912810SE9</t>
  </si>
  <si>
    <t>9128285M8</t>
  </si>
  <si>
    <t>9128285L0</t>
  </si>
  <si>
    <t>9128285Q9</t>
  </si>
  <si>
    <t>9128285N6</t>
  </si>
  <si>
    <t>9128285P1</t>
  </si>
  <si>
    <t>9128285R7</t>
  </si>
  <si>
    <t>9128285U0</t>
  </si>
  <si>
    <t>9128285S5</t>
  </si>
  <si>
    <t>9128285T3</t>
  </si>
  <si>
    <t>9128285V8</t>
  </si>
  <si>
    <t>9128286A3</t>
  </si>
  <si>
    <t>9128285X4</t>
  </si>
  <si>
    <t>9128285Z9</t>
  </si>
  <si>
    <t>9128286B1</t>
  </si>
  <si>
    <t>9128286C9</t>
  </si>
  <si>
    <t>912810SF6</t>
  </si>
  <si>
    <t>9128286F2</t>
  </si>
  <si>
    <t>9128286D7</t>
  </si>
  <si>
    <t>9128286G0</t>
  </si>
  <si>
    <t>9128286H8</t>
  </si>
  <si>
    <t>9128286L9</t>
  </si>
  <si>
    <t>9128286M7</t>
  </si>
  <si>
    <t>9128286S4</t>
  </si>
  <si>
    <t>9128286R6</t>
  </si>
  <si>
    <t>9128286U9</t>
  </si>
  <si>
    <t>912810SH2</t>
  </si>
  <si>
    <t>9128286T2</t>
  </si>
  <si>
    <t>9128286V7</t>
  </si>
  <si>
    <t>9128286X3</t>
  </si>
  <si>
    <t>9128286Y1</t>
  </si>
  <si>
    <t>9128287B0</t>
  </si>
  <si>
    <t>9128286Z8</t>
  </si>
  <si>
    <t>9128287A2</t>
  </si>
  <si>
    <t>9128287C8</t>
  </si>
  <si>
    <t>912828Y87</t>
  </si>
  <si>
    <t>9128287F1</t>
  </si>
  <si>
    <t>912828Y95</t>
  </si>
  <si>
    <t>912828YB0</t>
  </si>
  <si>
    <t>912828YA2</t>
  </si>
  <si>
    <t>912810SJ8</t>
  </si>
  <si>
    <t>912828YD6</t>
  </si>
  <si>
    <t>912828YE4</t>
  </si>
  <si>
    <t>912828YC8</t>
  </si>
  <si>
    <t>912828YF1</t>
  </si>
  <si>
    <t>912828YG9</t>
  </si>
  <si>
    <t>912828YH7</t>
  </si>
  <si>
    <t>912828YJ3</t>
  </si>
  <si>
    <t>912828YK0</t>
  </si>
  <si>
    <t>912828YQ7</t>
  </si>
  <si>
    <t>912828YM6</t>
  </si>
  <si>
    <t>912828YP9</t>
  </si>
  <si>
    <t>912810SK5</t>
  </si>
  <si>
    <t>912828YS3</t>
  </si>
  <si>
    <t>912828YU8</t>
  </si>
  <si>
    <t>912828YT1</t>
  </si>
  <si>
    <t>912828YV6</t>
  </si>
  <si>
    <t>912828YW4</t>
  </si>
  <si>
    <t>912828YZ7</t>
  </si>
  <si>
    <t>912828YX2</t>
  </si>
  <si>
    <t>912828YY0</t>
  </si>
  <si>
    <t>912828Z29</t>
  </si>
  <si>
    <t>912828Z78</t>
  </si>
  <si>
    <t>912828Z60</t>
  </si>
  <si>
    <t>912828Z52</t>
  </si>
  <si>
    <t>912810SL3</t>
  </si>
  <si>
    <t>912828Z94</t>
  </si>
  <si>
    <t>912828Z86</t>
  </si>
  <si>
    <t>912828ZA1</t>
  </si>
  <si>
    <t>912828ZB9</t>
  </si>
  <si>
    <t>912828ZC7</t>
  </si>
  <si>
    <t>912828ZD5</t>
  </si>
  <si>
    <t>912828ZE3</t>
  </si>
  <si>
    <t>912828ZF0</t>
  </si>
  <si>
    <t>912828ZG8</t>
  </si>
  <si>
    <t>912828ZH6</t>
  </si>
  <si>
    <t>912828ZN3</t>
  </si>
  <si>
    <t>912828ZM5</t>
  </si>
  <si>
    <t>912828ZL7</t>
  </si>
  <si>
    <t>912810SN9</t>
  </si>
  <si>
    <t>912828ZQ6</t>
  </si>
  <si>
    <t>912828ZP8</t>
  </si>
  <si>
    <t>912828ZS2</t>
  </si>
  <si>
    <t>912828ZT0</t>
  </si>
  <si>
    <t>912828ZR4</t>
  </si>
  <si>
    <t>912810SR0</t>
  </si>
  <si>
    <t>20-Year</t>
  </si>
  <si>
    <t>912828ZU7</t>
  </si>
  <si>
    <t>912828ZV5</t>
  </si>
  <si>
    <t>912828ZW3</t>
  </si>
  <si>
    <t>912828ZX1</t>
  </si>
  <si>
    <t>19-Year 11-Month</t>
  </si>
  <si>
    <t>912828ZY9</t>
  </si>
  <si>
    <t>91282CAD3</t>
  </si>
  <si>
    <t>91282CAC5</t>
  </si>
  <si>
    <t>91282CAB7</t>
  </si>
  <si>
    <t>19-Year 10-Month</t>
  </si>
  <si>
    <t>912810SP4</t>
  </si>
  <si>
    <t>91282CAE1</t>
  </si>
  <si>
    <t>91282CAF8</t>
  </si>
  <si>
    <t>91282CAJ0</t>
  </si>
  <si>
    <t>91282CAG6</t>
  </si>
  <si>
    <t>912810SQ2</t>
  </si>
  <si>
    <t>91282CAH4</t>
  </si>
  <si>
    <t>91282CAK7</t>
  </si>
  <si>
    <t>91282CAL5</t>
  </si>
  <si>
    <t>91282CAM3</t>
  </si>
  <si>
    <t>91282CAN1</t>
  </si>
  <si>
    <t>91282CAP6</t>
  </si>
  <si>
    <t>91282CAT8</t>
  </si>
  <si>
    <t>91282CAR2</t>
  </si>
  <si>
    <t>91282CAU5</t>
  </si>
  <si>
    <t>91282CAV3</t>
  </si>
  <si>
    <t>91282CAW1</t>
  </si>
  <si>
    <t>912810SS8</t>
  </si>
  <si>
    <t>91282CAY7</t>
  </si>
  <si>
    <t>91282CAX9</t>
  </si>
  <si>
    <t>91282CAZ4</t>
  </si>
  <si>
    <t>912810ST6</t>
  </si>
  <si>
    <t>91282CBA8</t>
  </si>
  <si>
    <t>91282CBB6</t>
  </si>
  <si>
    <t>91282CBD2</t>
  </si>
  <si>
    <t>91282CBC4</t>
  </si>
  <si>
    <t>91282CBE0</t>
  </si>
  <si>
    <t>91282CBJ9</t>
  </si>
  <si>
    <t>91282CBH3</t>
  </si>
  <si>
    <t>91282CBG5</t>
  </si>
  <si>
    <t>912810SU3</t>
  </si>
  <si>
    <t>91282CBL4</t>
  </si>
  <si>
    <t>91282CBM2</t>
  </si>
  <si>
    <t>91282CBQ3</t>
  </si>
  <si>
    <t>91282CBN0</t>
  </si>
  <si>
    <t>912810SW9</t>
  </si>
  <si>
    <t>91282CBP5</t>
  </si>
  <si>
    <t>91282CBR1</t>
  </si>
  <si>
    <t>91282CBS9</t>
  </si>
  <si>
    <t>91282CBT7</t>
  </si>
  <si>
    <t>91282CBU4</t>
  </si>
  <si>
    <t>91282CBV2</t>
  </si>
  <si>
    <t>91282CBZ3</t>
  </si>
  <si>
    <t>91282CBX8</t>
  </si>
  <si>
    <t>91282CBW0</t>
  </si>
  <si>
    <t>912810SX7</t>
  </si>
  <si>
    <t>91282CCB5</t>
  </si>
  <si>
    <t>91282CCC3</t>
  </si>
  <si>
    <t>91282CCF6</t>
  </si>
  <si>
    <t>91282CCD1</t>
  </si>
  <si>
    <t>912810SY5</t>
  </si>
  <si>
    <t>91282CCE9</t>
  </si>
  <si>
    <t>91282CCG4</t>
  </si>
  <si>
    <t>91282CCH2</t>
  </si>
  <si>
    <t>91282CCJ8</t>
  </si>
  <si>
    <t>91282CCK5</t>
  </si>
  <si>
    <t>91282CCL3</t>
  </si>
  <si>
    <t>91282CCR0</t>
  </si>
  <si>
    <t>91282CCP4</t>
  </si>
  <si>
    <t>91282CCN9</t>
  </si>
  <si>
    <t>912810SZ2</t>
  </si>
  <si>
    <t>91282CCS8</t>
  </si>
  <si>
    <t>91282CCT6</t>
  </si>
  <si>
    <t>91282CCV1</t>
  </si>
  <si>
    <t>91282CCW9</t>
  </si>
  <si>
    <t>91282CCU3</t>
  </si>
  <si>
    <t>912810TA6</t>
  </si>
  <si>
    <t>91282CCX7</t>
  </si>
  <si>
    <t>91282CCY5</t>
  </si>
  <si>
    <t>91282CDA6</t>
  </si>
  <si>
    <t>91282CCZ2</t>
  </si>
  <si>
    <t>91282CDB4</t>
  </si>
  <si>
    <t>91282CDF5</t>
  </si>
  <si>
    <t>91282CDG3</t>
  </si>
  <si>
    <t>91282CDD0</t>
  </si>
  <si>
    <t>912810TB4</t>
  </si>
  <si>
    <t>91282CDJ7</t>
  </si>
  <si>
    <t>91282CDH1</t>
  </si>
  <si>
    <t>91282CDL2</t>
  </si>
  <si>
    <t>91282CDM0</t>
  </si>
  <si>
    <t>91282CDK4</t>
  </si>
  <si>
    <t>912810TC2</t>
  </si>
  <si>
    <t>91282CDN8</t>
  </si>
  <si>
    <t>91282CDQ1</t>
  </si>
  <si>
    <t>91282CDR9</t>
  </si>
  <si>
    <t>91282CDP3</t>
  </si>
  <si>
    <t>91282CDS7</t>
  </si>
  <si>
    <t>91282CDW8</t>
  </si>
  <si>
    <t>91282CDV0</t>
  </si>
  <si>
    <t>912810TD0</t>
  </si>
  <si>
    <t>91282CDY4</t>
  </si>
  <si>
    <t>91282CDZ1</t>
  </si>
  <si>
    <t>91282CEB3</t>
  </si>
  <si>
    <t>912810TF5</t>
  </si>
  <si>
    <t>91282CEC1</t>
  </si>
  <si>
    <t>91282CEA5</t>
  </si>
  <si>
    <t>91282CED9</t>
  </si>
  <si>
    <t>91282CEF4</t>
  </si>
  <si>
    <t>91282CEE7</t>
  </si>
  <si>
    <t>91282CEG2</t>
  </si>
  <si>
    <t>91282CEH0</t>
  </si>
  <si>
    <t>91282CEM9</t>
  </si>
  <si>
    <t>91282CEN7</t>
  </si>
  <si>
    <t>91282CEK3</t>
  </si>
  <si>
    <t>912810TG3</t>
  </si>
  <si>
    <t>91282CEQ0</t>
  </si>
  <si>
    <t>91282CEP2</t>
  </si>
  <si>
    <t>91282CES6</t>
  </si>
  <si>
    <t>91282CET4</t>
  </si>
  <si>
    <t>91282CER8</t>
  </si>
  <si>
    <t>912810TH1</t>
  </si>
  <si>
    <t>91282CEU1</t>
  </si>
  <si>
    <t>91282CEV9</t>
  </si>
  <si>
    <t>91282CEX5</t>
  </si>
  <si>
    <t>91282CEW7</t>
  </si>
  <si>
    <t>91282CEY3</t>
  </si>
  <si>
    <t>91282CFB2</t>
  </si>
  <si>
    <t>91282CFA4</t>
  </si>
  <si>
    <t>91282CFC0</t>
  </si>
  <si>
    <t>912810TJ7</t>
  </si>
  <si>
    <t>91282CFF3</t>
  </si>
  <si>
    <t>91282CFE6</t>
  </si>
  <si>
    <t>91282CFJ5</t>
  </si>
  <si>
    <t>91282CFH9</t>
  </si>
  <si>
    <t>91282CFG1</t>
  </si>
  <si>
    <t>912810TK4</t>
  </si>
  <si>
    <t>91282CFK2</t>
  </si>
  <si>
    <t>91282CFN6</t>
  </si>
  <si>
    <t>91282CFL0</t>
  </si>
  <si>
    <t>91282CFM8</t>
  </si>
  <si>
    <t>91282CFP1</t>
  </si>
  <si>
    <t>91282CFT3</t>
  </si>
  <si>
    <t>91282CFU0</t>
  </si>
  <si>
    <t>91282CFQ9</t>
  </si>
  <si>
    <t>912810TL2</t>
  </si>
  <si>
    <t>91282CFV8</t>
  </si>
  <si>
    <t>91282CFW6</t>
  </si>
  <si>
    <t>91282CFY2</t>
  </si>
  <si>
    <t>91282CFX4</t>
  </si>
  <si>
    <t>91282CFZ9</t>
  </si>
  <si>
    <t>912810TM0</t>
  </si>
  <si>
    <t>91282CGA3</t>
  </si>
  <si>
    <t>91282CGB1</t>
  </si>
  <si>
    <t>91282CGC9</t>
  </si>
  <si>
    <t>91282CGD7</t>
  </si>
  <si>
    <t>91282CGE5</t>
  </si>
  <si>
    <t>91282CGG0</t>
  </si>
  <si>
    <t>91282CGJ4</t>
  </si>
  <si>
    <t>91282CGH8</t>
  </si>
  <si>
    <t>912810TN8</t>
  </si>
  <si>
    <t>91282CGM7</t>
  </si>
  <si>
    <t>91282CGL9</t>
  </si>
  <si>
    <t>91282CGP0</t>
  </si>
  <si>
    <t>91282CGN5</t>
  </si>
  <si>
    <t>91282CGQ8</t>
  </si>
  <si>
    <t>912810TQ1</t>
  </si>
  <si>
    <t>91282CGR6</t>
  </si>
  <si>
    <t>91282CGS4</t>
  </si>
  <si>
    <t>91282CGT2</t>
  </si>
  <si>
    <t>91282CGU9</t>
  </si>
  <si>
    <t>91282CGV7</t>
  </si>
  <si>
    <t>91282CGZ8</t>
  </si>
  <si>
    <t>91282CHA2</t>
  </si>
  <si>
    <t>91282CGX3</t>
  </si>
  <si>
    <t>91282CHC8</t>
  </si>
  <si>
    <t>912810TR9</t>
  </si>
  <si>
    <t>91282CHB0</t>
  </si>
  <si>
    <t>91282CHF1</t>
  </si>
  <si>
    <t>91282CHE4</t>
  </si>
  <si>
    <t>91282CHD6</t>
  </si>
  <si>
    <t>912810TS7</t>
  </si>
  <si>
    <t>91282CHH7</t>
  </si>
  <si>
    <t>91282CHK0</t>
  </si>
  <si>
    <t>91282CHL8</t>
  </si>
  <si>
    <t>91282CHJ3</t>
  </si>
  <si>
    <t>91282CHM6</t>
  </si>
  <si>
    <t>91282CHQ7</t>
  </si>
  <si>
    <t>91282CHN4</t>
  </si>
  <si>
    <t>91282CHR5</t>
  </si>
  <si>
    <t>912810TT5</t>
  </si>
  <si>
    <t>91282CHT1</t>
  </si>
  <si>
    <t>91282CHU8</t>
  </si>
  <si>
    <t>91282CHW4</t>
  </si>
  <si>
    <t>912810TU2</t>
  </si>
  <si>
    <t>91282CHV6</t>
  </si>
  <si>
    <t>91282CHX2</t>
  </si>
  <si>
    <t>91282CHY0</t>
  </si>
  <si>
    <t>91282CHZ7</t>
  </si>
  <si>
    <t>91282CJB8</t>
  </si>
  <si>
    <t>91282CJA0</t>
  </si>
  <si>
    <t>91282CJC6</t>
  </si>
  <si>
    <t>91282CJG7</t>
  </si>
  <si>
    <t>91282CJE2</t>
  </si>
  <si>
    <t>91282CJF9</t>
  </si>
  <si>
    <t>91282CJJ1</t>
  </si>
  <si>
    <t>912810TV0</t>
  </si>
  <si>
    <t>91282CJK8</t>
  </si>
  <si>
    <t>91282CJL6</t>
  </si>
  <si>
    <t>912810TW8</t>
  </si>
  <si>
    <t>91282CJM4</t>
  </si>
  <si>
    <t>91282CJN2</t>
  </si>
  <si>
    <t>91282CJP7</t>
  </si>
  <si>
    <t>91282CJQ5</t>
  </si>
  <si>
    <t>91282CJR3</t>
  </si>
  <si>
    <t>91282CJS1</t>
  </si>
  <si>
    <t>91282CJT9</t>
  </si>
  <si>
    <t>91282CJX0</t>
  </si>
  <si>
    <t>91282CJW2</t>
  </si>
  <si>
    <t>91282CJV4</t>
  </si>
  <si>
    <t>912810TX6</t>
  </si>
  <si>
    <t>91282CJZ5</t>
  </si>
  <si>
    <t>91282CKA8</t>
  </si>
  <si>
    <t>91282CKC4</t>
  </si>
  <si>
    <t>91282CKB6</t>
  </si>
  <si>
    <t>91282CKD2</t>
  </si>
  <si>
    <t>912810TZ1</t>
  </si>
  <si>
    <t>91282CKE0</t>
  </si>
  <si>
    <t>91282CKF7</t>
  </si>
  <si>
    <t>91282CKG5</t>
  </si>
  <si>
    <t>91282CKH3</t>
  </si>
  <si>
    <t>91282CKJ9</t>
  </si>
  <si>
    <t>91282CKK6</t>
  </si>
  <si>
    <t>91282CKN0</t>
  </si>
  <si>
    <t>91282CKP5</t>
  </si>
  <si>
    <t>912810UA4</t>
  </si>
  <si>
    <t>91282CKQ3</t>
  </si>
  <si>
    <t>91282CKR1</t>
  </si>
  <si>
    <t>91282CKU4</t>
  </si>
  <si>
    <t>91282CKS9</t>
  </si>
  <si>
    <t>91282CKT7</t>
  </si>
  <si>
    <t>912810UB2</t>
  </si>
  <si>
    <t>91282CKV2</t>
  </si>
  <si>
    <t>91282CKY6</t>
  </si>
  <si>
    <t>91282CKW0</t>
  </si>
  <si>
    <t>91282CKX8</t>
  </si>
  <si>
    <t>91282CKZ3</t>
  </si>
  <si>
    <t>91282CLC3</t>
  </si>
  <si>
    <t>91282CLD1</t>
  </si>
  <si>
    <t>91282CLB5</t>
  </si>
  <si>
    <t>912810UC0</t>
  </si>
  <si>
    <t>91282CLG4</t>
  </si>
  <si>
    <t>91282CLF6</t>
  </si>
  <si>
    <t>91282CLJ8</t>
  </si>
  <si>
    <t>91282CLK5</t>
  </si>
  <si>
    <t>91282CLH2</t>
  </si>
  <si>
    <t>912810UD8</t>
  </si>
  <si>
    <t>91282CLL3</t>
  </si>
  <si>
    <t>91282CLM1</t>
  </si>
  <si>
    <t>91282CLN9</t>
  </si>
  <si>
    <t>91282CLP4</t>
  </si>
  <si>
    <t>91282CLQ2</t>
  </si>
  <si>
    <t>91282CLR0</t>
  </si>
  <si>
    <t>91282CLU3</t>
  </si>
  <si>
    <t>91282CLS8</t>
  </si>
  <si>
    <t>912810UE6</t>
  </si>
  <si>
    <t>91282CLW9</t>
  </si>
  <si>
    <t>91282CLX7</t>
  </si>
  <si>
    <t>91282CLZ2</t>
  </si>
  <si>
    <t>91282CMA6</t>
  </si>
  <si>
    <t>91282CLY5</t>
  </si>
  <si>
    <t>912810UF3</t>
  </si>
  <si>
    <t>91282CMB4</t>
  </si>
  <si>
    <t>91282CMC2</t>
  </si>
  <si>
    <t>91282CMD0</t>
  </si>
  <si>
    <t>91282CME8</t>
  </si>
  <si>
    <t>91282CMF5</t>
  </si>
  <si>
    <t>91282CMG3</t>
  </si>
  <si>
    <t>91282CMK4</t>
  </si>
  <si>
    <t>91282CMH1</t>
  </si>
  <si>
    <t>912810UG1</t>
  </si>
  <si>
    <t>91282CMN8</t>
  </si>
  <si>
    <t>91282CMM0</t>
  </si>
  <si>
    <t>91282CMR9</t>
  </si>
  <si>
    <t>91282CMP3</t>
  </si>
  <si>
    <t>912810UJ5</t>
  </si>
  <si>
    <t>91282CMS7</t>
  </si>
  <si>
    <t>91282CMU2</t>
  </si>
  <si>
    <t>91282CMV0</t>
  </si>
  <si>
    <t>91282CMT5</t>
  </si>
  <si>
    <t>91282CMW8</t>
  </si>
  <si>
    <t>91282CMZ1</t>
  </si>
  <si>
    <t>91282CMY4</t>
  </si>
  <si>
    <t>91282CNA5</t>
  </si>
  <si>
    <t>912810UK2</t>
  </si>
  <si>
    <t>91282CND9</t>
  </si>
  <si>
    <t>91282CNC1</t>
  </si>
  <si>
    <t>91282CNE7</t>
  </si>
  <si>
    <t>91282CNF4</t>
  </si>
  <si>
    <t>912810UL0</t>
  </si>
  <si>
    <t>91282CNG2</t>
  </si>
  <si>
    <t>91282CNH0</t>
  </si>
  <si>
    <t>91282CNJ6</t>
  </si>
  <si>
    <t>91282CNK3</t>
  </si>
  <si>
    <t>91282CNL1</t>
  </si>
  <si>
    <t>91282CNM9</t>
  </si>
  <si>
    <t>91282CNN7</t>
  </si>
  <si>
    <t>91282CNP2</t>
  </si>
  <si>
    <t>91282CNR8</t>
  </si>
  <si>
    <t>91282CNU1</t>
  </si>
  <si>
    <t>912810UM8</t>
  </si>
  <si>
    <t>91282CNT4</t>
  </si>
  <si>
    <t>91282CNX5</t>
  </si>
  <si>
    <t>912810UN6</t>
  </si>
  <si>
    <t>91282CNV9</t>
  </si>
  <si>
    <t>91282CNW7</t>
  </si>
  <si>
    <t>91282CNY3</t>
  </si>
  <si>
    <t>91282CNZ0</t>
  </si>
  <si>
    <t>91282CPA3</t>
  </si>
  <si>
    <t>91282CPB1</t>
  </si>
  <si>
    <t>91282CPC9</t>
  </si>
  <si>
    <t>91282CPE5</t>
  </si>
  <si>
    <t>91282CPD7</t>
  </si>
  <si>
    <t>91282CPF2</t>
  </si>
  <si>
    <t>91282CPJ4</t>
  </si>
  <si>
    <t>912810UP1</t>
  </si>
  <si>
    <t>91282CPK1</t>
  </si>
  <si>
    <t>912810UQ9</t>
  </si>
  <si>
    <t>91282CPL9</t>
  </si>
  <si>
    <t>91282CPM7</t>
  </si>
  <si>
    <t>91282CPN5</t>
  </si>
  <si>
    <t>91282CPP0</t>
  </si>
  <si>
    <t>yield spread</t>
  </si>
  <si>
    <t>med_yield</t>
  </si>
  <si>
    <t>issued</t>
  </si>
  <si>
    <t>Grand Total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</si>
  <si>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</si>
  <si>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</si>
  <si>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</si>
  <si>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</si>
  <si>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</si>
  <si>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</si>
  <si>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</si>
  <si>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</si>
  <si>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</si>
  <si>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</si>
  <si>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</si>
  <si>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</si>
  <si>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</si>
  <si>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</si>
  <si>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</si>
  <si>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</si>
  <si>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</si>
  <si>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</si>
  <si>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Average of SOMA Proportion</t>
  </si>
  <si>
    <t>Qtr1</t>
  </si>
  <si>
    <t>Qtr2</t>
  </si>
  <si>
    <t>Qtr3</t>
  </si>
  <si>
    <t>Qtr4</t>
  </si>
  <si>
    <t>Apr</t>
  </si>
  <si>
    <t>May</t>
  </si>
  <si>
    <t>Jun</t>
  </si>
  <si>
    <t>Jul</t>
  </si>
  <si>
    <t>Aug</t>
  </si>
  <si>
    <t>Sep</t>
  </si>
  <si>
    <t>Oct</t>
  </si>
  <si>
    <t>Nov</t>
  </si>
  <si>
    <t>Jan</t>
  </si>
  <si>
    <t>Feb</t>
  </si>
  <si>
    <t>Mar</t>
  </si>
  <si>
    <t>Date</t>
  </si>
  <si>
    <t>Sum of soma_accepted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</si>
</sst>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42" applyNumberFormat="1" applyFont="1"/>
    <xf numFmtId="0" fontId="0" fillId="0" borderId="0" xfId="0" applyAlignment="1">
      <alignment horizontal="left"/>
    </xf>
    <xf numFmtId="10" fontId="0" fillId="0" borderId="0" xfId="0" applyNumberFormat="1"/>
    <xf numFmtId="0" fontId="0" fillId="0" borderId="0" xfId="0" applyAlignment="1">
      <alignment horizontal="left" inden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13"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9" formatCode="m/d/yyyy"/>
    </dxf>
  </dxfs>
  <tableStyles count="0" defaultTableStyle="TableStyleMedium2" defaultPivotStyle="PivotStyleLight16"/>
  <colors>
    <mruColors>
      <color rgb="FFFFE69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[notesbonds_auction_data.xlsx]pvt_soma_share!SOMABids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Quarterly</a:t>
            </a:r>
            <a:r>
              <a:rPr lang="en-US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Average </a:t>
            </a: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SOMA Proportion of Auction Purchases (notes and</a:t>
            </a:r>
            <a:r>
              <a:rPr lang="en-US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bonds)</a:t>
            </a:r>
            <a:endParaRPr lang="en-US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pvt_soma_share!$B$3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pvt_soma_share!$A$4:$A$93</c:f>
              <c:multiLvlStrCache>
                <c:ptCount val="71"/>
                <c:lvl>
                  <c:pt idx="0">
                    <c:v>Qtr2</c:v>
                  </c:pt>
                  <c:pt idx="1">
                    <c:v>Qtr3</c:v>
                  </c:pt>
                  <c:pt idx="2">
                    <c:v>Qtr4</c:v>
                  </c:pt>
                  <c:pt idx="3">
                    <c:v>Qtr1</c:v>
                  </c:pt>
                  <c:pt idx="4">
                    <c:v>Qtr2</c:v>
                  </c:pt>
                  <c:pt idx="5">
                    <c:v>Qtr3</c:v>
                  </c:pt>
                  <c:pt idx="6">
                    <c:v>Qtr4</c:v>
                  </c:pt>
                  <c:pt idx="7">
                    <c:v>Qtr1</c:v>
                  </c:pt>
                  <c:pt idx="8">
                    <c:v>Qtr2</c:v>
                  </c:pt>
                  <c:pt idx="9">
                    <c:v>Qtr3</c:v>
                  </c:pt>
                  <c:pt idx="10">
                    <c:v>Qtr4</c:v>
                  </c:pt>
                  <c:pt idx="11">
                    <c:v>Qtr1</c:v>
                  </c:pt>
                  <c:pt idx="12">
                    <c:v>Qtr2</c:v>
                  </c:pt>
                  <c:pt idx="13">
                    <c:v>Qtr3</c:v>
                  </c:pt>
                  <c:pt idx="14">
                    <c:v>Qtr4</c:v>
                  </c:pt>
                  <c:pt idx="15">
                    <c:v>Qtr1</c:v>
                  </c:pt>
                  <c:pt idx="16">
                    <c:v>Qtr2</c:v>
                  </c:pt>
                  <c:pt idx="17">
                    <c:v>Qtr3</c:v>
                  </c:pt>
                  <c:pt idx="18">
                    <c:v>Qtr4</c:v>
                  </c:pt>
                  <c:pt idx="19">
                    <c:v>Qtr1</c:v>
                  </c:pt>
                  <c:pt idx="20">
                    <c:v>Qtr2</c:v>
                  </c:pt>
                  <c:pt idx="21">
                    <c:v>Qtr3</c:v>
                  </c:pt>
                  <c:pt idx="22">
                    <c:v>Qtr4</c:v>
                  </c:pt>
                  <c:pt idx="23">
                    <c:v>Qtr1</c:v>
                  </c:pt>
                  <c:pt idx="24">
                    <c:v>Qtr2</c:v>
                  </c:pt>
                  <c:pt idx="25">
                    <c:v>Qtr3</c:v>
                  </c:pt>
                  <c:pt idx="26">
                    <c:v>Qtr4</c:v>
                  </c:pt>
                  <c:pt idx="27">
                    <c:v>Qtr1</c:v>
                  </c:pt>
                  <c:pt idx="28">
                    <c:v>Qtr2</c:v>
                  </c:pt>
                  <c:pt idx="29">
                    <c:v>Qtr3</c:v>
                  </c:pt>
                  <c:pt idx="30">
                    <c:v>Qtr4</c:v>
                  </c:pt>
                  <c:pt idx="31">
                    <c:v>Qtr1</c:v>
                  </c:pt>
                  <c:pt idx="32">
                    <c:v>Qtr2</c:v>
                  </c:pt>
                  <c:pt idx="33">
                    <c:v>Qtr3</c:v>
                  </c:pt>
                  <c:pt idx="34">
                    <c:v>Qtr4</c:v>
                  </c:pt>
                  <c:pt idx="35">
                    <c:v>Qtr1</c:v>
                  </c:pt>
                  <c:pt idx="36">
                    <c:v>Qtr2</c:v>
                  </c:pt>
                  <c:pt idx="37">
                    <c:v>Qtr3</c:v>
                  </c:pt>
                  <c:pt idx="38">
                    <c:v>Qtr4</c:v>
                  </c:pt>
                  <c:pt idx="39">
                    <c:v>Qtr1</c:v>
                  </c:pt>
                  <c:pt idx="40">
                    <c:v>Qtr2</c:v>
                  </c:pt>
                  <c:pt idx="41">
                    <c:v>Qtr3</c:v>
                  </c:pt>
                  <c:pt idx="42">
                    <c:v>Qtr4</c:v>
                  </c:pt>
                  <c:pt idx="43">
                    <c:v>Qtr1</c:v>
                  </c:pt>
                  <c:pt idx="44">
                    <c:v>Qtr2</c:v>
                  </c:pt>
                  <c:pt idx="45">
                    <c:v>Qtr3</c:v>
                  </c:pt>
                  <c:pt idx="46">
                    <c:v>Qtr4</c:v>
                  </c:pt>
                  <c:pt idx="47">
                    <c:v>Qtr1</c:v>
                  </c:pt>
                  <c:pt idx="48">
                    <c:v>Qtr2</c:v>
                  </c:pt>
                  <c:pt idx="49">
                    <c:v>Qtr3</c:v>
                  </c:pt>
                  <c:pt idx="50">
                    <c:v>Qtr4</c:v>
                  </c:pt>
                  <c:pt idx="51">
                    <c:v>Qtr1</c:v>
                  </c:pt>
                  <c:pt idx="52">
                    <c:v>Qtr2</c:v>
                  </c:pt>
                  <c:pt idx="53">
                    <c:v>Qtr3</c:v>
                  </c:pt>
                  <c:pt idx="54">
                    <c:v>Qtr4</c:v>
                  </c:pt>
                  <c:pt idx="55">
                    <c:v>Qtr1</c:v>
                  </c:pt>
                  <c:pt idx="56">
                    <c:v>Qtr2</c:v>
                  </c:pt>
                  <c:pt idx="57">
                    <c:v>Qtr3</c:v>
                  </c:pt>
                  <c:pt idx="58">
                    <c:v>Qtr4</c:v>
                  </c:pt>
                  <c:pt idx="59">
                    <c:v>Qtr1</c:v>
                  </c:pt>
                  <c:pt idx="60">
                    <c:v>Qtr2</c:v>
                  </c:pt>
                  <c:pt idx="61">
                    <c:v>Qtr3</c:v>
                  </c:pt>
                  <c:pt idx="62">
                    <c:v>Qtr4</c:v>
                  </c:pt>
                  <c:pt idx="63">
                    <c:v>Qtr1</c:v>
                  </c:pt>
                  <c:pt idx="64">
                    <c:v>Qtr2</c:v>
                  </c:pt>
                  <c:pt idx="65">
                    <c:v>Qtr3</c:v>
                  </c:pt>
                  <c:pt idx="66">
                    <c:v>Qtr4</c:v>
                  </c:pt>
                  <c:pt idx="67">
                    <c:v>Qtr1</c:v>
                  </c:pt>
                  <c:pt idx="68">
                    <c:v>Qtr2</c:v>
                  </c:pt>
                  <c:pt idx="69">
                    <c:v>Qtr3</c:v>
                  </c:pt>
                  <c:pt idx="70">
                    <c:v>Qtr4</c:v>
                  </c:pt>
                </c:lvl>
                <c:lvl>
                  <c:pt idx="0">
                    <c:v>2008</c:v>
                  </c:pt>
                  <c:pt idx="3">
                    <c:v>2009</c:v>
                  </c:pt>
                  <c:pt idx="7">
                    <c:v>2010</c:v>
                  </c:pt>
                  <c:pt idx="11">
                    <c:v>2011</c:v>
                  </c:pt>
                  <c:pt idx="15">
                    <c:v>2012</c:v>
                  </c:pt>
                  <c:pt idx="19">
                    <c:v>2013</c:v>
                  </c:pt>
                  <c:pt idx="23">
                    <c:v>2014</c:v>
                  </c:pt>
                  <c:pt idx="27">
                    <c:v>2015</c:v>
                  </c:pt>
                  <c:pt idx="31">
                    <c:v>2016</c:v>
                  </c:pt>
                  <c:pt idx="35">
                    <c:v>2017</c:v>
                  </c:pt>
                  <c:pt idx="39">
                    <c:v>2018</c:v>
                  </c:pt>
                  <c:pt idx="43">
                    <c:v>2019</c:v>
                  </c:pt>
                  <c:pt idx="47">
                    <c:v>2020</c:v>
                  </c:pt>
                  <c:pt idx="51">
                    <c:v>2021</c:v>
                  </c:pt>
                  <c:pt idx="55">
                    <c:v>2022</c:v>
                  </c:pt>
                  <c:pt idx="59">
                    <c:v>2023</c:v>
                  </c:pt>
                  <c:pt idx="63">
                    <c:v>2024</c:v>
                  </c:pt>
                  <c:pt idx="67">
                    <c:v>2025</c:v>
                  </c:pt>
                </c:lvl>
              </c:multiLvlStrCache>
            </c:multiLvlStrRef>
          </c:cat>
          <c:val>
            <c:numRef>
              <c:f>pvt_soma_share!$B$4:$B$93</c:f>
              <c:numCache>
                <c:formatCode>0.00%</c:formatCode>
                <c:ptCount val="71"/>
                <c:pt idx="0">
                  <c:v>0.12251080952922576</c:v>
                </c:pt>
                <c:pt idx="1">
                  <c:v>0.11801339892350002</c:v>
                </c:pt>
                <c:pt idx="2">
                  <c:v>6.5662640520507035E-2</c:v>
                </c:pt>
                <c:pt idx="3">
                  <c:v>4.5764606231473097E-2</c:v>
                </c:pt>
                <c:pt idx="4">
                  <c:v>4.6435931121294086E-2</c:v>
                </c:pt>
                <c:pt idx="5">
                  <c:v>3.7176985965937541E-2</c:v>
                </c:pt>
                <c:pt idx="6">
                  <c:v>3.4980597929607775E-2</c:v>
                </c:pt>
                <c:pt idx="7">
                  <c:v>3.586073013565947E-2</c:v>
                </c:pt>
                <c:pt idx="8">
                  <c:v>3.5615485626914613E-2</c:v>
                </c:pt>
                <c:pt idx="9">
                  <c:v>2.6867558735624051E-2</c:v>
                </c:pt>
                <c:pt idx="10">
                  <c:v>2.7881071396772834E-2</c:v>
                </c:pt>
                <c:pt idx="11">
                  <c:v>2.8978795925673175E-2</c:v>
                </c:pt>
                <c:pt idx="12">
                  <c:v>4.0260375951600133E-2</c:v>
                </c:pt>
                <c:pt idx="13">
                  <c:v>2.199588460554169E-2</c:v>
                </c:pt>
                <c:pt idx="14">
                  <c:v>3.7242421458829653E-2</c:v>
                </c:pt>
                <c:pt idx="15">
                  <c:v>4.511061045946077E-2</c:v>
                </c:pt>
                <c:pt idx="16">
                  <c:v>4.7268732720444885E-2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5.5542409188686455E-4</c:v>
                </c:pt>
                <c:pt idx="24">
                  <c:v>7.6233381663313584E-5</c:v>
                </c:pt>
                <c:pt idx="25">
                  <c:v>7.4690857248255486E-5</c:v>
                </c:pt>
                <c:pt idx="26">
                  <c:v>1.9086505274105571E-4</c:v>
                </c:pt>
                <c:pt idx="27">
                  <c:v>5.3737089502083459E-6</c:v>
                </c:pt>
                <c:pt idx="28">
                  <c:v>3.9415861945315545E-3</c:v>
                </c:pt>
                <c:pt idx="29">
                  <c:v>2.8540518407043588E-3</c:v>
                </c:pt>
                <c:pt idx="30">
                  <c:v>7.2411005697961789E-4</c:v>
                </c:pt>
                <c:pt idx="31">
                  <c:v>0.11416801077292651</c:v>
                </c:pt>
                <c:pt idx="32">
                  <c:v>0.14301989668373341</c:v>
                </c:pt>
                <c:pt idx="33">
                  <c:v>5.9128392646220405E-2</c:v>
                </c:pt>
                <c:pt idx="34">
                  <c:v>8.3606794456036596E-2</c:v>
                </c:pt>
                <c:pt idx="35">
                  <c:v>8.1218884932151861E-2</c:v>
                </c:pt>
                <c:pt idx="36">
                  <c:v>0.11032056306412755</c:v>
                </c:pt>
                <c:pt idx="37">
                  <c:v>8.8722800783820513E-2</c:v>
                </c:pt>
                <c:pt idx="38">
                  <c:v>5.614610823450393E-2</c:v>
                </c:pt>
                <c:pt idx="39">
                  <c:v>0.12660993585541117</c:v>
                </c:pt>
                <c:pt idx="40">
                  <c:v>0.1066777428509141</c:v>
                </c:pt>
                <c:pt idx="41">
                  <c:v>4.2545426236404928E-2</c:v>
                </c:pt>
                <c:pt idx="42">
                  <c:v>4.5005632506149244E-2</c:v>
                </c:pt>
                <c:pt idx="43">
                  <c:v>4.2503821315321828E-2</c:v>
                </c:pt>
                <c:pt idx="44">
                  <c:v>7.7243006813607323E-2</c:v>
                </c:pt>
                <c:pt idx="45">
                  <c:v>0.12987284933207324</c:v>
                </c:pt>
                <c:pt idx="46">
                  <c:v>0.10954812566676994</c:v>
                </c:pt>
                <c:pt idx="47">
                  <c:v>0.12656342404708834</c:v>
                </c:pt>
                <c:pt idx="48">
                  <c:v>0.12569600444366516</c:v>
                </c:pt>
                <c:pt idx="49">
                  <c:v>0.14247219182230925</c:v>
                </c:pt>
                <c:pt idx="50">
                  <c:v>0.11319831118971435</c:v>
                </c:pt>
                <c:pt idx="51">
                  <c:v>0.15093027811808066</c:v>
                </c:pt>
                <c:pt idx="52">
                  <c:v>0.17375288232134845</c:v>
                </c:pt>
                <c:pt idx="53">
                  <c:v>0.13907631441402957</c:v>
                </c:pt>
                <c:pt idx="54">
                  <c:v>0.14314937818327286</c:v>
                </c:pt>
                <c:pt idx="55">
                  <c:v>0.18329543253643846</c:v>
                </c:pt>
                <c:pt idx="56">
                  <c:v>0.17263269026309341</c:v>
                </c:pt>
                <c:pt idx="57">
                  <c:v>0.12991343707441647</c:v>
                </c:pt>
                <c:pt idx="58">
                  <c:v>6.6895446835991829E-2</c:v>
                </c:pt>
                <c:pt idx="59">
                  <c:v>9.1776920737729223E-2</c:v>
                </c:pt>
                <c:pt idx="60">
                  <c:v>9.4137685916252101E-2</c:v>
                </c:pt>
                <c:pt idx="61">
                  <c:v>6.964451867136344E-2</c:v>
                </c:pt>
                <c:pt idx="62">
                  <c:v>4.9605217721459807E-3</c:v>
                </c:pt>
                <c:pt idx="63">
                  <c:v>1.8554643336028027E-2</c:v>
                </c:pt>
                <c:pt idx="64">
                  <c:v>4.132225661564487E-2</c:v>
                </c:pt>
                <c:pt idx="65">
                  <c:v>7.2918441341699142E-2</c:v>
                </c:pt>
                <c:pt idx="66">
                  <c:v>5.1364792624339253E-2</c:v>
                </c:pt>
                <c:pt idx="67">
                  <c:v>9.4272074569721309E-2</c:v>
                </c:pt>
                <c:pt idx="68">
                  <c:v>0.11696021923266119</c:v>
                </c:pt>
                <c:pt idx="69">
                  <c:v>9.8936541756273089E-2</c:v>
                </c:pt>
                <c:pt idx="70">
                  <c:v>7.0389028279842378E-2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B8-492D-B4DA-1FF997850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2020287"/>
        <c:axId val="1932019807"/>
      </c:lineChart>
      <c:catAx>
        <c:axId val="1932020287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2019807"/>
        <c:crosses val="autoZero"/>
        <c:auto val="1"/>
        <c:lblAlgn val="ctr"/>
        <c:lblOffset val="100"/>
        <c:noMultiLvlLbl val="0"/>
      </c:catAx>
      <c:valAx>
        <c:axId val="1932019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2020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E697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[notesbonds_auction_data.xlsx]pvt_soma_gross!PivotTable2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Total SOMA Purchases at Auction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pvt_soma_gross!$B$3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pvt_soma_gross!$A$4:$A$16</c:f>
              <c:multiLvlStrCache>
                <c:ptCount val="11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pvt_soma_gross!$B$4:$B$16</c:f>
              <c:numCache>
                <c:formatCode>"$"#,##0.00</c:formatCode>
                <c:ptCount val="11"/>
                <c:pt idx="0">
                  <c:v>37032622700</c:v>
                </c:pt>
                <c:pt idx="1">
                  <c:v>54396428000</c:v>
                </c:pt>
                <c:pt idx="2">
                  <c:v>7806121500</c:v>
                </c:pt>
                <c:pt idx="3">
                  <c:v>33284193500</c:v>
                </c:pt>
                <c:pt idx="4">
                  <c:v>71367523500</c:v>
                </c:pt>
                <c:pt idx="5">
                  <c:v>21644717100</c:v>
                </c:pt>
                <c:pt idx="6">
                  <c:v>27427299600</c:v>
                </c:pt>
                <c:pt idx="7">
                  <c:v>66439022000</c:v>
                </c:pt>
                <c:pt idx="8">
                  <c:v>10822803200</c:v>
                </c:pt>
                <c:pt idx="9">
                  <c:v>13463754200</c:v>
                </c:pt>
                <c:pt idx="10">
                  <c:v>42224998200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1D-41BC-9892-6EBE27C9AE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6037647"/>
        <c:axId val="2076035247"/>
      </c:barChart>
      <c:catAx>
        <c:axId val="2076037647"/>
        <c:scaling>
          <c:orientation val="minMax"/>
        </c:scaling>
        <c:delete val="0"/>
        <c:axPos val="b"/>
        <c:numFmt formatCode="General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6035247"/>
        <c:crosses val="autoZero"/>
        <c:auto val="1"/>
        <c:lblAlgn val="ctr"/>
        <c:lblOffset val="100"/>
        <c:noMultiLvlLbl val="0"/>
      </c:catAx>
      <c:valAx>
        <c:axId val="2076035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cross"/>
        <c:minorTickMark val="in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6037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E697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419100</xdr:colOff>
      <xdr:row>3</xdr:row>
      <xdr:rowOff>49530</xdr:rowOff>
    </xdr:from>
    <xdr:to>
      <xdr:col>14</xdr:col>
      <xdr:colOff>563880</xdr:colOff>
      <xdr:row>26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02BBA9-AABE-CECD-7E30-891FA12954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1</xdr:row>
      <xdr:rowOff>179070</xdr:rowOff>
    </xdr:from>
    <xdr:to>
      <xdr:col>16</xdr:col>
      <xdr:colOff>601980</xdr:colOff>
      <xdr:row>26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C30880-3337-017B-236A-1C51604A2C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eve" refreshedDate="46001.966474768516" createdVersion="8" refreshedVersion="8" minRefreshableVersion="3" recordCount="1319" xr:uid="{9E2AA7B0-A643-43F3-90DA-33D8401ADB6D}">
  <cacheSource type="worksheet">
    <worksheetSource name="AuctionData"/>
  </cacheSource>
  <cacheFields count="24">
    <cacheField name="auction_date" numFmtId="14">
      <sharedItems containsSemiMixedTypes="0" containsNonDate="0" containsDate="1" containsString="0" minDate="2008-04-23T00:00:00" maxDate="2025-12-10T00:00:00" count="1275">
        <d v="2008-04-23T00:00:00"/>
        <d v="2008-04-24T00:00:00"/>
        <d v="2008-05-07T00:00:00"/>
        <d v="2008-05-08T00:00:00"/>
        <d v="2008-05-28T00:00:00"/>
        <d v="2008-05-29T00:00:00"/>
        <d v="2008-06-12T00:00:00"/>
        <d v="2008-06-24T00:00:00"/>
        <d v="2008-06-26T00:00:00"/>
        <d v="2008-07-23T00:00:00"/>
        <d v="2008-07-24T00:00:00"/>
        <d v="2008-08-06T00:00:00"/>
        <d v="2008-08-07T00:00:00"/>
        <d v="2008-08-27T00:00:00"/>
        <d v="2008-08-28T00:00:00"/>
        <d v="2008-09-11T00:00:00"/>
        <d v="2008-09-24T00:00:00"/>
        <d v="2008-09-25T00:00:00"/>
        <d v="2008-10-08T00:00:00"/>
        <d v="2008-10-09T00:00:00"/>
        <d v="2008-10-28T00:00:00"/>
        <d v="2008-10-30T00:00:00"/>
        <d v="2008-11-10T00:00:00"/>
        <d v="2008-11-12T00:00:00"/>
        <d v="2008-11-13T00:00:00"/>
        <d v="2008-11-24T00:00:00"/>
        <d v="2008-11-25T00:00:00"/>
        <d v="2008-12-10T00:00:00"/>
        <d v="2008-12-11T00:00:00"/>
        <d v="2008-12-22T00:00:00"/>
        <d v="2008-12-23T00:00:00"/>
        <d v="2009-01-07T00:00:00"/>
        <d v="2009-01-08T00:00:00"/>
        <d v="2009-01-27T00:00:00"/>
        <d v="2009-01-29T00:00:00"/>
        <d v="2009-02-10T00:00:00"/>
        <d v="2009-02-11T00:00:00"/>
        <d v="2009-02-12T00:00:00"/>
        <d v="2009-02-24T00:00:00"/>
        <d v="2009-02-25T00:00:00"/>
        <d v="2009-02-26T00:00:00"/>
        <d v="2009-03-10T00:00:00"/>
        <d v="2009-03-11T00:00:00"/>
        <d v="2009-03-12T00:00:00"/>
        <d v="2009-03-24T00:00:00"/>
        <d v="2009-03-25T00:00:00"/>
        <d v="2009-03-26T00:00:00"/>
        <d v="2009-04-08T00:00:00"/>
        <d v="2009-04-09T00:00:00"/>
        <d v="2009-04-27T00:00:00"/>
        <d v="2009-04-28T00:00:00"/>
        <d v="2009-04-29T00:00:00"/>
        <d v="2009-05-05T00:00:00"/>
        <d v="2009-05-06T00:00:00"/>
        <d v="2009-05-07T00:00:00"/>
        <d v="2009-05-26T00:00:00"/>
        <d v="2009-05-27T00:00:00"/>
        <d v="2009-05-28T00:00:00"/>
        <d v="2009-06-09T00:00:00"/>
        <d v="2009-06-10T00:00:00"/>
        <d v="2009-06-11T00:00:00"/>
        <d v="2009-06-23T00:00:00"/>
        <d v="2009-06-24T00:00:00"/>
        <d v="2009-06-25T00:00:00"/>
        <d v="2009-07-07T00:00:00"/>
        <d v="2009-07-08T00:00:00"/>
        <d v="2009-07-09T00:00:00"/>
        <d v="2009-07-28T00:00:00"/>
        <d v="2009-07-29T00:00:00"/>
        <d v="2009-07-30T00:00:00"/>
        <d v="2009-08-11T00:00:00"/>
        <d v="2009-08-12T00:00:00"/>
        <d v="2009-08-13T00:00:00"/>
        <d v="2009-08-25T00:00:00"/>
        <d v="2009-08-26T00:00:00"/>
        <d v="2009-08-27T00:00:00"/>
        <d v="2009-09-08T00:00:00"/>
        <d v="2009-09-09T00:00:00"/>
        <d v="2009-09-10T00:00:00"/>
        <d v="2009-09-22T00:00:00"/>
        <d v="2009-09-23T00:00:00"/>
        <d v="2009-09-24T00:00:00"/>
        <d v="2009-10-06T00:00:00"/>
        <d v="2009-10-07T00:00:00"/>
        <d v="2009-10-08T00:00:00"/>
        <d v="2009-10-27T00:00:00"/>
        <d v="2009-10-28T00:00:00"/>
        <d v="2009-10-29T00:00:00"/>
        <d v="2009-11-09T00:00:00"/>
        <d v="2009-11-10T00:00:00"/>
        <d v="2009-11-12T00:00:00"/>
        <d v="2009-11-23T00:00:00"/>
        <d v="2009-11-24T00:00:00"/>
        <d v="2009-11-25T00:00:00"/>
        <d v="2009-12-08T00:00:00"/>
        <d v="2009-12-09T00:00:00"/>
        <d v="2009-12-10T00:00:00"/>
        <d v="2009-12-28T00:00:00"/>
        <d v="2009-12-29T00:00:00"/>
        <d v="2009-12-30T00:00:00"/>
        <d v="2010-01-12T00:00:00"/>
        <d v="2010-01-13T00:00:00"/>
        <d v="2010-01-14T00:00:00"/>
        <d v="2010-01-26T00:00:00"/>
        <d v="2010-01-27T00:00:00"/>
        <d v="2010-01-28T00:00:00"/>
        <d v="2010-02-09T00:00:00"/>
        <d v="2010-02-10T00:00:00"/>
        <d v="2010-02-11T00:00:00"/>
        <d v="2010-02-23T00:00:00"/>
        <d v="2010-02-24T00:00:00"/>
        <d v="2010-02-25T00:00:00"/>
        <d v="2010-03-09T00:00:00"/>
        <d v="2010-03-10T00:00:00"/>
        <d v="2010-03-11T00:00:00"/>
        <d v="2010-03-23T00:00:00"/>
        <d v="2010-03-24T00:00:00"/>
        <d v="2010-03-25T00:00:00"/>
        <d v="2010-04-06T00:00:00"/>
        <d v="2010-04-07T00:00:00"/>
        <d v="2010-04-08T00:00:00"/>
        <d v="2010-04-27T00:00:00"/>
        <d v="2010-04-28T00:00:00"/>
        <d v="2010-04-29T00:00:00"/>
        <d v="2010-05-11T00:00:00"/>
        <d v="2010-05-12T00:00:00"/>
        <d v="2010-05-13T00:00:00"/>
        <d v="2010-05-25T00:00:00"/>
        <d v="2010-05-26T00:00:00"/>
        <d v="2010-05-27T00:00:00"/>
        <d v="2010-06-08T00:00:00"/>
        <d v="2010-06-09T00:00:00"/>
        <d v="2010-06-10T00:00:00"/>
        <d v="2010-06-22T00:00:00"/>
        <d v="2010-06-23T00:00:00"/>
        <d v="2010-06-24T00:00:00"/>
        <d v="2010-07-12T00:00:00"/>
        <d v="2010-07-13T00:00:00"/>
        <d v="2010-07-14T00:00:00"/>
        <d v="2010-07-27T00:00:00"/>
        <d v="2010-07-28T00:00:00"/>
        <d v="2010-07-29T00:00:00"/>
        <d v="2010-08-10T00:00:00"/>
        <d v="2010-08-11T00:00:00"/>
        <d v="2010-08-12T00:00:00"/>
        <d v="2010-08-24T00:00:00"/>
        <d v="2010-08-25T00:00:00"/>
        <d v="2010-08-26T00:00:00"/>
        <d v="2010-09-07T00:00:00"/>
        <d v="2010-09-08T00:00:00"/>
        <d v="2010-09-09T00:00:00"/>
        <d v="2010-09-27T00:00:00"/>
        <d v="2010-09-28T00:00:00"/>
        <d v="2010-09-29T00:00:00"/>
        <d v="2010-10-12T00:00:00"/>
        <d v="2010-10-13T00:00:00"/>
        <d v="2010-10-14T00:00:00"/>
        <d v="2010-10-26T00:00:00"/>
        <d v="2010-10-27T00:00:00"/>
        <d v="2010-10-28T00:00:00"/>
        <d v="2010-11-08T00:00:00"/>
        <d v="2010-11-09T00:00:00"/>
        <d v="2010-11-10T00:00:00"/>
        <d v="2010-11-22T00:00:00"/>
        <d v="2010-11-23T00:00:00"/>
        <d v="2010-11-24T00:00:00"/>
        <d v="2010-12-07T00:00:00"/>
        <d v="2010-12-08T00:00:00"/>
        <d v="2010-12-09T00:00:00"/>
        <d v="2010-12-27T00:00:00"/>
        <d v="2010-12-28T00:00:00"/>
        <d v="2010-12-29T00:00:00"/>
        <d v="2011-01-11T00:00:00"/>
        <d v="2011-01-12T00:00:00"/>
        <d v="2011-01-13T00:00:00"/>
        <d v="2011-01-25T00:00:00"/>
        <d v="2011-01-26T00:00:00"/>
        <d v="2011-01-27T00:00:00"/>
        <d v="2011-02-08T00:00:00"/>
        <d v="2011-02-09T00:00:00"/>
        <d v="2011-02-10T00:00:00"/>
        <d v="2011-02-22T00:00:00"/>
        <d v="2011-02-23T00:00:00"/>
        <d v="2011-02-24T00:00:00"/>
        <d v="2011-03-08T00:00:00"/>
        <d v="2011-03-09T00:00:00"/>
        <d v="2011-03-10T00:00:00"/>
        <d v="2011-03-28T00:00:00"/>
        <d v="2011-03-29T00:00:00"/>
        <d v="2011-03-30T00:00:00"/>
        <d v="2011-04-12T00:00:00"/>
        <d v="2011-04-13T00:00:00"/>
        <d v="2011-04-14T00:00:00"/>
        <d v="2011-04-26T00:00:00"/>
        <d v="2011-04-27T00:00:00"/>
        <d v="2011-04-28T00:00:00"/>
        <d v="2011-05-10T00:00:00"/>
        <d v="2011-05-11T00:00:00"/>
        <d v="2011-05-12T00:00:00"/>
        <d v="2011-05-24T00:00:00"/>
        <d v="2011-05-25T00:00:00"/>
        <d v="2011-05-26T00:00:00"/>
        <d v="2011-06-07T00:00:00"/>
        <d v="2011-06-08T00:00:00"/>
        <d v="2011-06-09T00:00:00"/>
        <d v="2011-06-27T00:00:00"/>
        <d v="2011-06-28T00:00:00"/>
        <d v="2011-06-29T00:00:00"/>
        <d v="2011-07-12T00:00:00"/>
        <d v="2011-07-13T00:00:00"/>
        <d v="2011-07-14T00:00:00"/>
        <d v="2011-07-26T00:00:00"/>
        <d v="2011-07-27T00:00:00"/>
        <d v="2011-07-28T00:00:00"/>
        <d v="2011-08-09T00:00:00"/>
        <d v="2011-08-10T00:00:00"/>
        <d v="2011-08-11T00:00:00"/>
        <d v="2011-08-23T00:00:00"/>
        <d v="2011-08-24T00:00:00"/>
        <d v="2011-08-25T00:00:00"/>
        <d v="2011-09-12T00:00:00"/>
        <d v="2011-09-13T00:00:00"/>
        <d v="2011-09-14T00:00:00"/>
        <d v="2011-09-27T00:00:00"/>
        <d v="2011-09-28T00:00:00"/>
        <d v="2011-09-29T00:00:00"/>
        <d v="2011-10-11T00:00:00"/>
        <d v="2011-10-12T00:00:00"/>
        <d v="2011-10-13T00:00:00"/>
        <d v="2011-10-25T00:00:00"/>
        <d v="2011-10-26T00:00:00"/>
        <d v="2011-10-27T00:00:00"/>
        <d v="2011-11-08T00:00:00"/>
        <d v="2011-11-09T00:00:00"/>
        <d v="2011-11-10T00:00:00"/>
        <d v="2011-11-21T00:00:00"/>
        <d v="2011-11-22T00:00:00"/>
        <d v="2011-11-23T00:00:00"/>
        <d v="2011-12-12T00:00:00"/>
        <d v="2011-12-13T00:00:00"/>
        <d v="2011-12-14T00:00:00"/>
        <d v="2011-12-19T00:00:00"/>
        <d v="2011-12-20T00:00:00"/>
        <d v="2011-12-21T00:00:00"/>
        <d v="2012-01-10T00:00:00"/>
        <d v="2012-01-11T00:00:00"/>
        <d v="2012-01-12T00:00:00"/>
        <d v="2012-01-24T00:00:00"/>
        <d v="2012-01-25T00:00:00"/>
        <d v="2012-01-26T00:00:00"/>
        <d v="2012-02-07T00:00:00"/>
        <d v="2012-02-08T00:00:00"/>
        <d v="2012-02-09T00:00:00"/>
        <d v="2012-02-21T00:00:00"/>
        <d v="2012-02-22T00:00:00"/>
        <d v="2012-02-23T00:00:00"/>
        <d v="2012-03-12T00:00:00"/>
        <d v="2012-03-13T00:00:00"/>
        <d v="2012-03-14T00:00:00"/>
        <d v="2012-03-27T00:00:00"/>
        <d v="2012-03-28T00:00:00"/>
        <d v="2012-03-29T00:00:00"/>
        <d v="2012-04-10T00:00:00"/>
        <d v="2012-04-11T00:00:00"/>
        <d v="2012-04-12T00:00:00"/>
        <d v="2012-04-24T00:00:00"/>
        <d v="2012-04-25T00:00:00"/>
        <d v="2012-04-26T00:00:00"/>
        <d v="2012-05-08T00:00:00"/>
        <d v="2012-05-09T00:00:00"/>
        <d v="2012-05-10T00:00:00"/>
        <d v="2012-05-22T00:00:00"/>
        <d v="2012-05-23T00:00:00"/>
        <d v="2012-05-24T00:00:00"/>
        <d v="2012-06-12T00:00:00"/>
        <d v="2012-06-13T00:00:00"/>
        <d v="2012-06-14T00:00:00"/>
        <d v="2012-06-26T00:00:00"/>
        <d v="2012-06-27T00:00:00"/>
        <d v="2012-06-28T00:00:00"/>
        <d v="2012-07-10T00:00:00"/>
        <d v="2012-07-11T00:00:00"/>
        <d v="2012-07-12T00:00:00"/>
        <d v="2012-07-24T00:00:00"/>
        <d v="2012-07-25T00:00:00"/>
        <d v="2012-07-26T00:00:00"/>
        <d v="2012-08-07T00:00:00"/>
        <d v="2012-08-08T00:00:00"/>
        <d v="2012-08-09T00:00:00"/>
        <d v="2012-08-28T00:00:00"/>
        <d v="2012-08-29T00:00:00"/>
        <d v="2012-08-30T00:00:00"/>
        <d v="2012-09-11T00:00:00"/>
        <d v="2012-09-12T00:00:00"/>
        <d v="2012-09-13T00:00:00"/>
        <d v="2012-09-25T00:00:00"/>
        <d v="2012-09-26T00:00:00"/>
        <d v="2012-09-27T00:00:00"/>
        <d v="2012-10-09T00:00:00"/>
        <d v="2012-10-10T00:00:00"/>
        <d v="2012-10-11T00:00:00"/>
        <d v="2012-10-23T00:00:00"/>
        <d v="2012-10-24T00:00:00"/>
        <d v="2012-10-25T00:00:00"/>
        <d v="2012-11-06T00:00:00"/>
        <d v="2012-11-07T00:00:00"/>
        <d v="2012-11-08T00:00:00"/>
        <d v="2012-11-27T00:00:00"/>
        <d v="2012-11-28T00:00:00"/>
        <d v="2012-11-29T00:00:00"/>
        <d v="2012-12-11T00:00:00"/>
        <d v="2012-12-12T00:00:00"/>
        <d v="2012-12-13T00:00:00"/>
        <d v="2012-12-17T00:00:00"/>
        <d v="2012-12-18T00:00:00"/>
        <d v="2012-12-19T00:00:00"/>
        <d v="2013-01-08T00:00:00"/>
        <d v="2013-01-09T00:00:00"/>
        <d v="2013-01-10T00:00:00"/>
        <d v="2013-01-28T00:00:00"/>
        <d v="2013-01-29T00:00:00"/>
        <d v="2013-01-30T00:00:00"/>
        <d v="2013-02-12T00:00:00"/>
        <d v="2013-02-13T00:00:00"/>
        <d v="2013-02-14T00:00:00"/>
        <d v="2013-02-25T00:00:00"/>
        <d v="2013-02-26T00:00:00"/>
        <d v="2013-02-27T00:00:00"/>
        <d v="2013-03-12T00:00:00"/>
        <d v="2013-03-13T00:00:00"/>
        <d v="2013-03-14T00:00:00"/>
        <d v="2013-03-26T00:00:00"/>
        <d v="2013-03-27T00:00:00"/>
        <d v="2013-03-28T00:00:00"/>
        <d v="2013-04-09T00:00:00"/>
        <d v="2013-04-10T00:00:00"/>
        <d v="2013-04-11T00:00:00"/>
        <d v="2013-04-23T00:00:00"/>
        <d v="2013-04-24T00:00:00"/>
        <d v="2013-04-25T00:00:00"/>
        <d v="2013-05-07T00:00:00"/>
        <d v="2013-05-08T00:00:00"/>
        <d v="2013-05-09T00:00:00"/>
        <d v="2013-05-28T00:00:00"/>
        <d v="2013-05-29T00:00:00"/>
        <d v="2013-05-30T00:00:00"/>
        <d v="2013-06-11T00:00:00"/>
        <d v="2013-06-12T00:00:00"/>
        <d v="2013-06-13T00:00:00"/>
        <d v="2013-06-25T00:00:00"/>
        <d v="2013-06-26T00:00:00"/>
        <d v="2013-06-27T00:00:00"/>
        <d v="2013-07-09T00:00:00"/>
        <d v="2013-07-10T00:00:00"/>
        <d v="2013-07-11T00:00:00"/>
        <d v="2013-07-23T00:00:00"/>
        <d v="2013-07-24T00:00:00"/>
        <d v="2013-07-25T00:00:00"/>
        <d v="2013-08-06T00:00:00"/>
        <d v="2013-08-07T00:00:00"/>
        <d v="2013-08-08T00:00:00"/>
        <d v="2013-08-27T00:00:00"/>
        <d v="2013-08-28T00:00:00"/>
        <d v="2013-08-29T00:00:00"/>
        <d v="2013-09-10T00:00:00"/>
        <d v="2013-09-11T00:00:00"/>
        <d v="2013-09-12T00:00:00"/>
        <d v="2013-09-24T00:00:00"/>
        <d v="2013-09-25T00:00:00"/>
        <d v="2013-09-26T00:00:00"/>
        <d v="2013-10-08T00:00:00"/>
        <d v="2013-10-09T00:00:00"/>
        <d v="2013-10-10T00:00:00"/>
        <d v="2013-10-28T00:00:00"/>
        <d v="2013-10-29T00:00:00"/>
        <d v="2013-10-30T00:00:00"/>
        <d v="2013-11-12T00:00:00"/>
        <d v="2013-11-13T00:00:00"/>
        <d v="2013-11-14T00:00:00"/>
        <d v="2013-11-25T00:00:00"/>
        <d v="2013-11-26T00:00:00"/>
        <d v="2013-11-27T00:00:00"/>
        <d v="2013-12-10T00:00:00"/>
        <d v="2013-12-11T00:00:00"/>
        <d v="2013-12-12T00:00:00"/>
        <d v="2013-12-17T00:00:00"/>
        <d v="2013-12-18T00:00:00"/>
        <d v="2013-12-19T00:00:00"/>
        <d v="2014-01-07T00:00:00"/>
        <d v="2014-01-08T00:00:00"/>
        <d v="2014-01-09T00:00:00"/>
        <d v="2014-01-28T00:00:00"/>
        <d v="2014-01-30T00:00:00"/>
        <d v="2014-02-11T00:00:00"/>
        <d v="2014-02-12T00:00:00"/>
        <d v="2014-02-13T00:00:00"/>
        <d v="2014-02-25T00:00:00"/>
        <d v="2014-02-26T00:00:00"/>
        <d v="2014-02-27T00:00:00"/>
        <d v="2014-03-11T00:00:00"/>
        <d v="2014-03-12T00:00:00"/>
        <d v="2014-03-13T00:00:00"/>
        <d v="2014-03-25T00:00:00"/>
        <d v="2014-03-26T00:00:00"/>
        <d v="2014-03-27T00:00:00"/>
        <d v="2014-04-08T00:00:00"/>
        <d v="2014-04-09T00:00:00"/>
        <d v="2014-04-10T00:00:00"/>
        <d v="2014-04-22T00:00:00"/>
        <d v="2014-04-23T00:00:00"/>
        <d v="2014-04-24T00:00:00"/>
        <d v="2014-05-06T00:00:00"/>
        <d v="2014-05-07T00:00:00"/>
        <d v="2014-05-08T00:00:00"/>
        <d v="2014-05-27T00:00:00"/>
        <d v="2014-05-28T00:00:00"/>
        <d v="2014-05-29T00:00:00"/>
        <d v="2014-06-10T00:00:00"/>
        <d v="2014-06-11T00:00:00"/>
        <d v="2014-06-12T00:00:00"/>
        <d v="2014-06-24T00:00:00"/>
        <d v="2014-06-25T00:00:00"/>
        <d v="2014-06-26T00:00:00"/>
        <d v="2014-07-08T00:00:00"/>
        <d v="2014-07-09T00:00:00"/>
        <d v="2014-07-10T00:00:00"/>
        <d v="2014-07-28T00:00:00"/>
        <d v="2014-07-29T00:00:00"/>
        <d v="2014-07-30T00:00:00"/>
        <d v="2014-08-12T00:00:00"/>
        <d v="2014-08-13T00:00:00"/>
        <d v="2014-08-14T00:00:00"/>
        <d v="2014-08-26T00:00:00"/>
        <d v="2014-08-27T00:00:00"/>
        <d v="2014-08-28T00:00:00"/>
        <d v="2014-09-09T00:00:00"/>
        <d v="2014-09-10T00:00:00"/>
        <d v="2014-09-11T00:00:00"/>
        <d v="2014-09-23T00:00:00"/>
        <d v="2014-09-24T00:00:00"/>
        <d v="2014-09-25T00:00:00"/>
        <d v="2014-10-07T00:00:00"/>
        <d v="2014-10-08T00:00:00"/>
        <d v="2014-10-09T00:00:00"/>
        <d v="2014-10-28T00:00:00"/>
        <d v="2014-10-29T00:00:00"/>
        <d v="2014-10-30T00:00:00"/>
        <d v="2014-11-10T00:00:00"/>
        <d v="2014-11-12T00:00:00"/>
        <d v="2014-11-13T00:00:00"/>
        <d v="2014-11-24T00:00:00"/>
        <d v="2014-11-25T00:00:00"/>
        <d v="2014-11-26T00:00:00"/>
        <d v="2014-12-09T00:00:00"/>
        <d v="2014-12-10T00:00:00"/>
        <d v="2014-12-11T00:00:00"/>
        <d v="2014-12-22T00:00:00"/>
        <d v="2014-12-23T00:00:00"/>
        <d v="2014-12-24T00:00:00"/>
        <d v="2015-01-12T00:00:00"/>
        <d v="2015-01-13T00:00:00"/>
        <d v="2015-01-14T00:00:00"/>
        <d v="2015-01-28T00:00:00"/>
        <d v="2015-01-29T00:00:00"/>
        <d v="2015-02-10T00:00:00"/>
        <d v="2015-02-11T00:00:00"/>
        <d v="2015-02-12T00:00:00"/>
        <d v="2015-02-24T00:00:00"/>
        <d v="2015-02-25T00:00:00"/>
        <d v="2015-02-26T00:00:00"/>
        <d v="2015-03-10T00:00:00"/>
        <d v="2015-03-11T00:00:00"/>
        <d v="2015-03-12T00:00:00"/>
        <d v="2015-03-24T00:00:00"/>
        <d v="2015-03-25T00:00:00"/>
        <d v="2015-03-26T00:00:00"/>
        <d v="2015-04-07T00:00:00"/>
        <d v="2015-04-08T00:00:00"/>
        <d v="2015-04-09T00:00:00"/>
        <d v="2015-04-27T00:00:00"/>
        <d v="2015-04-28T00:00:00"/>
        <d v="2015-04-29T00:00:00"/>
        <d v="2015-05-12T00:00:00"/>
        <d v="2015-05-13T00:00:00"/>
        <d v="2015-05-14T00:00:00"/>
        <d v="2015-05-26T00:00:00"/>
        <d v="2015-05-27T00:00:00"/>
        <d v="2015-05-28T00:00:00"/>
        <d v="2015-06-09T00:00:00"/>
        <d v="2015-06-10T00:00:00"/>
        <d v="2015-06-11T00:00:00"/>
        <d v="2015-06-23T00:00:00"/>
        <d v="2015-06-24T00:00:00"/>
        <d v="2015-06-25T00:00:00"/>
        <d v="2015-07-07T00:00:00"/>
        <d v="2015-07-08T00:00:00"/>
        <d v="2015-07-09T00:00:00"/>
        <d v="2015-07-28T00:00:00"/>
        <d v="2015-07-29T00:00:00"/>
        <d v="2015-07-30T00:00:00"/>
        <d v="2015-08-11T00:00:00"/>
        <d v="2015-08-12T00:00:00"/>
        <d v="2015-08-13T00:00:00"/>
        <d v="2015-08-25T00:00:00"/>
        <d v="2015-08-26T00:00:00"/>
        <d v="2015-08-27T00:00:00"/>
        <d v="2015-09-08T00:00:00"/>
        <d v="2015-09-09T00:00:00"/>
        <d v="2015-09-10T00:00:00"/>
        <d v="2015-09-22T00:00:00"/>
        <d v="2015-09-23T00:00:00"/>
        <d v="2015-09-24T00:00:00"/>
        <d v="2015-10-06T00:00:00"/>
        <d v="2015-10-07T00:00:00"/>
        <d v="2015-10-08T00:00:00"/>
        <d v="2015-10-28T00:00:00"/>
        <d v="2015-10-29T00:00:00"/>
        <d v="2015-11-04T00:00:00"/>
        <d v="2015-11-09T00:00:00"/>
        <d v="2015-11-10T00:00:00"/>
        <d v="2015-11-12T00:00:00"/>
        <d v="2015-11-23T00:00:00"/>
        <d v="2015-11-24T00:00:00"/>
        <d v="2015-11-25T00:00:00"/>
        <d v="2015-12-08T00:00:00"/>
        <d v="2015-12-09T00:00:00"/>
        <d v="2015-12-10T00:00:00"/>
        <d v="2015-12-28T00:00:00"/>
        <d v="2015-12-29T00:00:00"/>
        <d v="2015-12-30T00:00:00"/>
        <d v="2016-01-12T00:00:00"/>
        <d v="2016-01-13T00:00:00"/>
        <d v="2016-01-14T00:00:00"/>
        <d v="2016-01-26T00:00:00"/>
        <d v="2016-01-27T00:00:00"/>
        <d v="2016-01-28T00:00:00"/>
        <d v="2016-02-09T00:00:00"/>
        <d v="2016-02-10T00:00:00"/>
        <d v="2016-02-11T00:00:00"/>
        <d v="2016-02-23T00:00:00"/>
        <d v="2016-02-24T00:00:00"/>
        <d v="2016-02-26T00:00:00"/>
        <d v="2016-03-08T00:00:00"/>
        <d v="2016-03-09T00:00:00"/>
        <d v="2016-03-10T00:00:00"/>
        <d v="2016-03-28T00:00:00"/>
        <d v="2016-03-29T00:00:00"/>
        <d v="2016-03-30T00:00:00"/>
        <d v="2016-04-12T00:00:00"/>
        <d v="2016-04-13T00:00:00"/>
        <d v="2016-04-14T00:00:00"/>
        <d v="2016-04-25T00:00:00"/>
        <d v="2016-04-26T00:00:00"/>
        <d v="2016-04-28T00:00:00"/>
        <d v="2016-05-10T00:00:00"/>
        <d v="2016-05-11T00:00:00"/>
        <d v="2016-05-12T00:00:00"/>
        <d v="2016-05-24T00:00:00"/>
        <d v="2016-05-25T00:00:00"/>
        <d v="2016-05-26T00:00:00"/>
        <d v="2016-06-07T00:00:00"/>
        <d v="2016-06-08T00:00:00"/>
        <d v="2016-06-09T00:00:00"/>
        <d v="2016-06-20T00:00:00"/>
        <d v="2016-06-21T00:00:00"/>
        <d v="2016-06-22T00:00:00"/>
        <d v="2016-07-11T00:00:00"/>
        <d v="2016-07-12T00:00:00"/>
        <d v="2016-07-13T00:00:00"/>
        <d v="2016-07-25T00:00:00"/>
        <d v="2016-07-26T00:00:00"/>
        <d v="2016-07-28T00:00:00"/>
        <d v="2016-08-09T00:00:00"/>
        <d v="2016-08-10T00:00:00"/>
        <d v="2016-08-11T00:00:00"/>
        <d v="2016-08-23T00:00:00"/>
        <d v="2016-08-24T00:00:00"/>
        <d v="2016-08-25T00:00:00"/>
        <d v="2016-09-12T00:00:00"/>
        <d v="2016-09-13T00:00:00"/>
        <d v="2016-09-26T00:00:00"/>
        <d v="2016-09-27T00:00:00"/>
        <d v="2016-09-28T00:00:00"/>
        <d v="2016-10-12T00:00:00"/>
        <d v="2016-10-13T00:00:00"/>
        <d v="2016-10-25T00:00:00"/>
        <d v="2016-10-26T00:00:00"/>
        <d v="2016-10-27T00:00:00"/>
        <d v="2016-11-08T00:00:00"/>
        <d v="2016-11-09T00:00:00"/>
        <d v="2016-11-10T00:00:00"/>
        <d v="2016-11-21T00:00:00"/>
        <d v="2016-11-22T00:00:00"/>
        <d v="2016-11-23T00:00:00"/>
        <d v="2016-12-12T00:00:00"/>
        <d v="2016-12-13T00:00:00"/>
        <d v="2016-12-27T00:00:00"/>
        <d v="2016-12-28T00:00:00"/>
        <d v="2016-12-29T00:00:00"/>
        <d v="2017-01-10T00:00:00"/>
        <d v="2017-01-11T00:00:00"/>
        <d v="2017-01-12T00:00:00"/>
        <d v="2017-01-24T00:00:00"/>
        <d v="2017-01-25T00:00:00"/>
        <d v="2017-01-26T00:00:00"/>
        <d v="2017-02-07T00:00:00"/>
        <d v="2017-02-08T00:00:00"/>
        <d v="2017-02-09T00:00:00"/>
        <d v="2017-02-21T00:00:00"/>
        <d v="2017-02-22T00:00:00"/>
        <d v="2017-02-23T00:00:00"/>
        <d v="2017-03-07T00:00:00"/>
        <d v="2017-03-08T00:00:00"/>
        <d v="2017-03-09T00:00:00"/>
        <d v="2017-03-27T00:00:00"/>
        <d v="2017-03-28T00:00:00"/>
        <d v="2017-03-29T00:00:00"/>
        <d v="2017-04-10T00:00:00"/>
        <d v="2017-04-11T00:00:00"/>
        <d v="2017-04-12T00:00:00"/>
        <d v="2017-04-25T00:00:00"/>
        <d v="2017-04-26T00:00:00"/>
        <d v="2017-04-27T00:00:00"/>
        <d v="2017-05-09T00:00:00"/>
        <d v="2017-05-10T00:00:00"/>
        <d v="2017-05-11T00:00:00"/>
        <d v="2017-05-23T00:00:00"/>
        <d v="2017-05-24T00:00:00"/>
        <d v="2017-05-25T00:00:00"/>
        <d v="2017-06-12T00:00:00"/>
        <d v="2017-06-13T00:00:00"/>
        <d v="2017-06-26T00:00:00"/>
        <d v="2017-06-27T00:00:00"/>
        <d v="2017-06-28T00:00:00"/>
        <d v="2017-07-11T00:00:00"/>
        <d v="2017-07-12T00:00:00"/>
        <d v="2017-07-13T00:00:00"/>
        <d v="2017-07-25T00:00:00"/>
        <d v="2017-07-26T00:00:00"/>
        <d v="2017-07-27T00:00:00"/>
        <d v="2017-08-08T00:00:00"/>
        <d v="2017-08-09T00:00:00"/>
        <d v="2017-08-10T00:00:00"/>
        <d v="2017-08-28T00:00:00"/>
        <d v="2017-08-29T00:00:00"/>
        <d v="2017-09-11T00:00:00"/>
        <d v="2017-09-12T00:00:00"/>
        <d v="2017-09-13T00:00:00"/>
        <d v="2017-09-26T00:00:00"/>
        <d v="2017-09-27T00:00:00"/>
        <d v="2017-09-28T00:00:00"/>
        <d v="2017-10-11T00:00:00"/>
        <d v="2017-10-12T00:00:00"/>
        <d v="2017-10-24T00:00:00"/>
        <d v="2017-10-25T00:00:00"/>
        <d v="2017-10-26T00:00:00"/>
        <d v="2017-11-07T00:00:00"/>
        <d v="2017-11-08T00:00:00"/>
        <d v="2017-11-09T00:00:00"/>
        <d v="2017-11-27T00:00:00"/>
        <d v="2017-11-28T00:00:00"/>
        <d v="2017-12-11T00:00:00"/>
        <d v="2017-12-12T00:00:00"/>
        <d v="2017-12-26T00:00:00"/>
        <d v="2017-12-27T00:00:00"/>
        <d v="2017-12-28T00:00:00"/>
        <d v="2018-01-09T00:00:00"/>
        <d v="2018-01-10T00:00:00"/>
        <d v="2018-01-11T00:00:00"/>
        <d v="2018-01-23T00:00:00"/>
        <d v="2018-01-24T00:00:00"/>
        <d v="2018-01-25T00:00:00"/>
        <d v="2018-02-06T00:00:00"/>
        <d v="2018-02-07T00:00:00"/>
        <d v="2018-02-08T00:00:00"/>
        <d v="2018-02-20T00:00:00"/>
        <d v="2018-02-21T00:00:00"/>
        <d v="2018-02-22T00:00:00"/>
        <d v="2018-03-12T00:00:00"/>
        <d v="2018-03-13T00:00:00"/>
        <d v="2018-03-26T00:00:00"/>
        <d v="2018-03-27T00:00:00"/>
        <d v="2018-03-28T00:00:00"/>
        <d v="2018-04-10T00:00:00"/>
        <d v="2018-04-11T00:00:00"/>
        <d v="2018-04-12T00:00:00"/>
        <d v="2018-04-24T00:00:00"/>
        <d v="2018-04-25T00:00:00"/>
        <d v="2018-04-26T00:00:00"/>
        <d v="2018-05-08T00:00:00"/>
        <d v="2018-05-09T00:00:00"/>
        <d v="2018-05-10T00:00:00"/>
        <d v="2018-05-22T00:00:00"/>
        <d v="2018-05-23T00:00:00"/>
        <d v="2018-05-24T00:00:00"/>
        <d v="2018-06-11T00:00:00"/>
        <d v="2018-06-12T00:00:00"/>
        <d v="2018-06-26T00:00:00"/>
        <d v="2018-06-27T00:00:00"/>
        <d v="2018-06-28T00:00:00"/>
        <d v="2018-07-10T00:00:00"/>
        <d v="2018-07-11T00:00:00"/>
        <d v="2018-07-12T00:00:00"/>
        <d v="2018-07-24T00:00:00"/>
        <d v="2018-07-25T00:00:00"/>
        <d v="2018-07-26T00:00:00"/>
        <d v="2018-08-07T00:00:00"/>
        <d v="2018-08-08T00:00:00"/>
        <d v="2018-08-09T00:00:00"/>
        <d v="2018-08-27T00:00:00"/>
        <d v="2018-08-28T00:00:00"/>
        <d v="2018-08-29T00:00:00"/>
        <d v="2018-09-11T00:00:00"/>
        <d v="2018-09-12T00:00:00"/>
        <d v="2018-09-13T00:00:00"/>
        <d v="2018-09-24T00:00:00"/>
        <d v="2018-09-25T00:00:00"/>
        <d v="2018-09-27T00:00:00"/>
        <d v="2018-10-10T00:00:00"/>
        <d v="2018-10-11T00:00:00"/>
        <d v="2018-10-23T00:00:00"/>
        <d v="2018-10-24T00:00:00"/>
        <d v="2018-10-25T00:00:00"/>
        <d v="2018-11-05T00:00:00"/>
        <d v="2018-11-06T00:00:00"/>
        <d v="2018-11-07T00:00:00"/>
        <d v="2018-11-26T00:00:00"/>
        <d v="2018-11-27T00:00:00"/>
        <d v="2018-11-28T00:00:00"/>
        <d v="2018-12-11T00:00:00"/>
        <d v="2018-12-12T00:00:00"/>
        <d v="2018-12-13T00:00:00"/>
        <d v="2018-12-24T00:00:00"/>
        <d v="2018-12-26T00:00:00"/>
        <d v="2018-12-27T00:00:00"/>
        <d v="2019-01-08T00:00:00"/>
        <d v="2019-01-09T00:00:00"/>
        <d v="2019-01-10T00:00:00"/>
        <d v="2019-01-28T00:00:00"/>
        <d v="2019-01-29T00:00:00"/>
        <d v="2019-02-05T00:00:00"/>
        <d v="2019-02-06T00:00:00"/>
        <d v="2019-02-07T00:00:00"/>
        <d v="2019-02-25T00:00:00"/>
        <d v="2019-02-26T00:00:00"/>
        <d v="2019-03-11T00:00:00"/>
        <d v="2019-03-12T00:00:00"/>
        <d v="2019-03-13T00:00:00"/>
        <d v="2019-03-26T00:00:00"/>
        <d v="2019-03-27T00:00:00"/>
        <d v="2019-03-28T00:00:00"/>
        <d v="2019-04-09T00:00:00"/>
        <d v="2019-04-10T00:00:00"/>
        <d v="2019-04-11T00:00:00"/>
        <d v="2019-04-23T00:00:00"/>
        <d v="2019-04-24T00:00:00"/>
        <d v="2019-04-25T00:00:00"/>
        <d v="2019-05-07T00:00:00"/>
        <d v="2019-05-08T00:00:00"/>
        <d v="2019-05-09T00:00:00"/>
        <d v="2019-05-28T00:00:00"/>
        <d v="2019-05-29T00:00:00"/>
        <d v="2019-06-11T00:00:00"/>
        <d v="2019-06-12T00:00:00"/>
        <d v="2019-06-13T00:00:00"/>
        <d v="2019-06-21T00:00:00"/>
        <d v="2019-06-25T00:00:00"/>
        <d v="2019-06-26T00:00:00"/>
        <d v="2019-06-27T00:00:00"/>
        <d v="2019-07-09T00:00:00"/>
        <d v="2019-07-10T00:00:00"/>
        <d v="2019-07-11T00:00:00"/>
        <d v="2019-07-23T00:00:00"/>
        <d v="2019-07-24T00:00:00"/>
        <d v="2019-07-25T00:00:00"/>
        <d v="2019-08-06T00:00:00"/>
        <d v="2019-08-07T00:00:00"/>
        <d v="2019-08-08T00:00:00"/>
        <d v="2019-08-27T00:00:00"/>
        <d v="2019-08-28T00:00:00"/>
        <d v="2019-08-29T00:00:00"/>
        <d v="2019-09-10T00:00:00"/>
        <d v="2019-09-11T00:00:00"/>
        <d v="2019-09-12T00:00:00"/>
        <d v="2019-09-24T00:00:00"/>
        <d v="2019-09-25T00:00:00"/>
        <d v="2019-09-26T00:00:00"/>
        <d v="2019-10-08T00:00:00"/>
        <d v="2019-10-09T00:00:00"/>
        <d v="2019-10-10T00:00:00"/>
        <d v="2019-10-22T00:00:00"/>
        <d v="2019-10-23T00:00:00"/>
        <d v="2019-10-24T00:00:00"/>
        <d v="2019-11-05T00:00:00"/>
        <d v="2019-11-06T00:00:00"/>
        <d v="2019-11-07T00:00:00"/>
        <d v="2019-11-25T00:00:00"/>
        <d v="2019-11-26T00:00:00"/>
        <d v="2019-11-27T00:00:00"/>
        <d v="2019-12-09T00:00:00"/>
        <d v="2019-12-10T00:00:00"/>
        <d v="2019-12-12T00:00:00"/>
        <d v="2019-12-23T00:00:00"/>
        <d v="2019-12-24T00:00:00"/>
        <d v="2019-12-26T00:00:00"/>
        <d v="2020-01-07T00:00:00"/>
        <d v="2020-01-08T00:00:00"/>
        <d v="2020-01-09T00:00:00"/>
        <d v="2020-01-27T00:00:00"/>
        <d v="2020-01-28T00:00:00"/>
        <d v="2020-02-11T00:00:00"/>
        <d v="2020-02-12T00:00:00"/>
        <d v="2020-02-13T00:00:00"/>
        <d v="2020-02-25T00:00:00"/>
        <d v="2020-02-26T00:00:00"/>
        <d v="2020-02-27T00:00:00"/>
        <d v="2020-03-10T00:00:00"/>
        <d v="2020-03-11T00:00:00"/>
        <d v="2020-03-12T00:00:00"/>
        <d v="2020-03-24T00:00:00"/>
        <d v="2020-03-25T00:00:00"/>
        <d v="2020-03-26T00:00:00"/>
        <d v="2020-04-06T00:00:00"/>
        <d v="2020-04-07T00:00:00"/>
        <d v="2020-04-08T00:00:00"/>
        <d v="2020-04-27T00:00:00"/>
        <d v="2020-04-28T00:00:00"/>
        <d v="2020-05-11T00:00:00"/>
        <d v="2020-05-12T00:00:00"/>
        <d v="2020-05-13T00:00:00"/>
        <d v="2020-05-20T00:00:00"/>
        <d v="2020-05-26T00:00:00"/>
        <d v="2020-05-27T00:00:00"/>
        <d v="2020-05-28T00:00:00"/>
        <d v="2020-06-08T00:00:00"/>
        <d v="2020-06-09T00:00:00"/>
        <d v="2020-06-11T00:00:00"/>
        <d v="2020-06-17T00:00:00"/>
        <d v="2020-06-23T00:00:00"/>
        <d v="2020-06-24T00:00:00"/>
        <d v="2020-06-25T00:00:00"/>
        <d v="2020-07-07T00:00:00"/>
        <d v="2020-07-08T00:00:00"/>
        <d v="2020-07-09T00:00:00"/>
        <d v="2020-07-22T00:00:00"/>
        <d v="2020-07-27T00:00:00"/>
        <d v="2020-07-28T00:00:00"/>
        <d v="2020-08-11T00:00:00"/>
        <d v="2020-08-12T00:00:00"/>
        <d v="2020-08-13T00:00:00"/>
        <d v="2020-08-19T00:00:00"/>
        <d v="2020-08-25T00:00:00"/>
        <d v="2020-08-26T00:00:00"/>
        <d v="2020-08-27T00:00:00"/>
        <d v="2020-09-08T00:00:00"/>
        <d v="2020-09-09T00:00:00"/>
        <d v="2020-09-10T00:00:00"/>
        <d v="2020-09-15T00:00:00"/>
        <d v="2020-09-22T00:00:00"/>
        <d v="2020-09-23T00:00:00"/>
        <d v="2020-09-24T00:00:00"/>
        <d v="2020-10-06T00:00:00"/>
        <d v="2020-10-07T00:00:00"/>
        <d v="2020-10-08T00:00:00"/>
        <d v="2020-10-21T00:00:00"/>
        <d v="2020-10-27T00:00:00"/>
        <d v="2020-10-28T00:00:00"/>
        <d v="2020-10-29T00:00:00"/>
        <d v="2020-11-09T00:00:00"/>
        <d v="2020-11-10T00:00:00"/>
        <d v="2020-11-12T00:00:00"/>
        <d v="2020-11-18T00:00:00"/>
        <d v="2020-11-23T00:00:00"/>
        <d v="2020-11-24T00:00:00"/>
        <d v="2020-12-08T00:00:00"/>
        <d v="2020-12-09T00:00:00"/>
        <d v="2020-12-10T00:00:00"/>
        <d v="2020-12-21T00:00:00"/>
        <d v="2020-12-28T00:00:00"/>
        <d v="2020-12-29T00:00:00"/>
        <d v="2021-01-11T00:00:00"/>
        <d v="2021-01-12T00:00:00"/>
        <d v="2021-01-13T00:00:00"/>
        <d v="2021-01-20T00:00:00"/>
        <d v="2021-01-25T00:00:00"/>
        <d v="2021-01-26T00:00:00"/>
        <d v="2021-01-28T00:00:00"/>
        <d v="2021-02-09T00:00:00"/>
        <d v="2021-02-10T00:00:00"/>
        <d v="2021-02-11T00:00:00"/>
        <d v="2021-02-17T00:00:00"/>
        <d v="2021-02-23T00:00:00"/>
        <d v="2021-02-24T00:00:00"/>
        <d v="2021-02-25T00:00:00"/>
        <d v="2021-03-09T00:00:00"/>
        <d v="2021-03-10T00:00:00"/>
        <d v="2021-03-11T00:00:00"/>
        <d v="2021-03-16T00:00:00"/>
        <d v="2021-03-23T00:00:00"/>
        <d v="2021-03-24T00:00:00"/>
        <d v="2021-03-25T00:00:00"/>
        <d v="2021-04-12T00:00:00"/>
        <d v="2021-04-13T00:00:00"/>
        <d v="2021-04-21T00:00:00"/>
        <d v="2021-04-26T00:00:00"/>
        <d v="2021-04-27T00:00:00"/>
        <d v="2021-05-11T00:00:00"/>
        <d v="2021-05-12T00:00:00"/>
        <d v="2021-05-13T00:00:00"/>
        <d v="2021-05-19T00:00:00"/>
        <d v="2021-05-25T00:00:00"/>
        <d v="2021-05-26T00:00:00"/>
        <d v="2021-05-27T00:00:00"/>
        <d v="2021-06-08T00:00:00"/>
        <d v="2021-06-09T00:00:00"/>
        <d v="2021-06-10T00:00:00"/>
        <d v="2021-06-15T00:00:00"/>
        <d v="2021-06-22T00:00:00"/>
        <d v="2021-06-23T00:00:00"/>
        <d v="2021-06-24T00:00:00"/>
        <d v="2021-07-12T00:00:00"/>
        <d v="2021-07-13T00:00:00"/>
        <d v="2021-07-21T00:00:00"/>
        <d v="2021-07-26T00:00:00"/>
        <d v="2021-07-27T00:00:00"/>
        <d v="2021-07-29T00:00:00"/>
        <d v="2021-08-10T00:00:00"/>
        <d v="2021-08-11T00:00:00"/>
        <d v="2021-08-12T00:00:00"/>
        <d v="2021-08-18T00:00:00"/>
        <d v="2021-08-24T00:00:00"/>
        <d v="2021-08-25T00:00:00"/>
        <d v="2021-08-26T00:00:00"/>
        <d v="2021-09-07T00:00:00"/>
        <d v="2021-09-08T00:00:00"/>
        <d v="2021-09-09T00:00:00"/>
        <d v="2021-09-21T00:00:00"/>
        <d v="2021-09-27T00:00:00"/>
        <d v="2021-09-28T00:00:00"/>
        <d v="2021-10-12T00:00:00"/>
        <d v="2021-10-13T00:00:00"/>
        <d v="2021-10-20T00:00:00"/>
        <d v="2021-10-26T00:00:00"/>
        <d v="2021-10-27T00:00:00"/>
        <d v="2021-10-28T00:00:00"/>
        <d v="2021-11-08T00:00:00"/>
        <d v="2021-11-09T00:00:00"/>
        <d v="2021-11-10T00:00:00"/>
        <d v="2021-11-17T00:00:00"/>
        <d v="2021-11-22T00:00:00"/>
        <d v="2021-11-23T00:00:00"/>
        <d v="2021-12-02T00:00:00"/>
        <d v="2021-12-07T00:00:00"/>
        <d v="2021-12-08T00:00:00"/>
        <d v="2021-12-09T00:00:00"/>
        <d v="2021-12-21T00:00:00"/>
        <d v="2021-12-27T00:00:00"/>
        <d v="2021-12-28T00:00:00"/>
        <d v="2021-12-29T00:00:00"/>
        <d v="2022-01-11T00:00:00"/>
        <d v="2022-01-12T00:00:00"/>
        <d v="2022-01-13T00:00:00"/>
        <d v="2022-01-19T00:00:00"/>
        <d v="2022-01-24T00:00:00"/>
        <d v="2022-01-25T00:00:00"/>
        <d v="2022-01-27T00:00:00"/>
        <d v="2022-02-08T00:00:00"/>
        <d v="2022-02-09T00:00:00"/>
        <d v="2022-02-10T00:00:00"/>
        <d v="2022-02-16T00:00:00"/>
        <d v="2022-02-22T00:00:00"/>
        <d v="2022-02-23T00:00:00"/>
        <d v="2022-02-24T00:00:00"/>
        <d v="2022-03-08T00:00:00"/>
        <d v="2022-03-09T00:00:00"/>
        <d v="2022-03-10T00:00:00"/>
        <d v="2022-03-23T00:00:00"/>
        <d v="2022-03-28T00:00:00"/>
        <d v="2022-03-29T00:00:00"/>
        <d v="2022-04-11T00:00:00"/>
        <d v="2022-04-12T00:00:00"/>
        <d v="2022-04-13T00:00:00"/>
        <d v="2022-04-20T00:00:00"/>
        <d v="2022-04-26T00:00:00"/>
        <d v="2022-04-27T00:00:00"/>
        <d v="2022-04-28T00:00:00"/>
        <d v="2022-05-10T00:00:00"/>
        <d v="2022-05-11T00:00:00"/>
        <d v="2022-05-12T00:00:00"/>
        <d v="2022-05-18T00:00:00"/>
        <d v="2022-05-24T00:00:00"/>
        <d v="2022-05-25T00:00:00"/>
        <d v="2022-05-26T00:00:00"/>
        <d v="2022-06-07T00:00:00"/>
        <d v="2022-06-08T00:00:00"/>
        <d v="2022-06-09T00:00:00"/>
        <d v="2022-06-22T00:00:00"/>
        <d v="2022-06-27T00:00:00"/>
        <d v="2022-06-28T00:00:00"/>
        <d v="2022-07-11T00:00:00"/>
        <d v="2022-07-12T00:00:00"/>
        <d v="2022-07-13T00:00:00"/>
        <d v="2022-07-20T00:00:00"/>
        <d v="2022-07-25T00:00:00"/>
        <d v="2022-07-26T00:00:00"/>
        <d v="2022-07-28T00:00:00"/>
        <d v="2022-08-09T00:00:00"/>
        <d v="2022-08-10T00:00:00"/>
        <d v="2022-08-11T00:00:00"/>
        <d v="2022-08-17T00:00:00"/>
        <d v="2022-08-23T00:00:00"/>
        <d v="2022-08-24T00:00:00"/>
        <d v="2022-08-25T00:00:00"/>
        <d v="2022-09-12T00:00:00"/>
        <d v="2022-09-13T00:00:00"/>
        <d v="2022-09-20T00:00:00"/>
        <d v="2022-09-26T00:00:00"/>
        <d v="2022-09-27T00:00:00"/>
        <d v="2022-09-28T00:00:00"/>
        <d v="2022-10-11T00:00:00"/>
        <d v="2022-10-12T00:00:00"/>
        <d v="2022-10-13T00:00:00"/>
        <d v="2022-10-19T00:00:00"/>
        <d v="2022-10-25T00:00:00"/>
        <d v="2022-10-26T00:00:00"/>
        <d v="2022-10-27T00:00:00"/>
        <d v="2022-11-08T00:00:00"/>
        <d v="2022-11-09T00:00:00"/>
        <d v="2022-11-10T00:00:00"/>
        <d v="2022-11-16T00:00:00"/>
        <d v="2022-11-21T00:00:00"/>
        <d v="2022-11-22T00:00:00"/>
        <d v="2022-12-12T00:00:00"/>
        <d v="2022-12-13T00:00:00"/>
        <d v="2022-12-21T00:00:00"/>
        <d v="2022-12-27T00:00:00"/>
        <d v="2022-12-28T00:00:00"/>
        <d v="2022-12-29T00:00:00"/>
        <d v="2023-01-10T00:00:00"/>
        <d v="2023-01-11T00:00:00"/>
        <d v="2023-01-12T00:00:00"/>
        <d v="2023-01-18T00:00:00"/>
        <d v="2023-01-24T00:00:00"/>
        <d v="2023-01-25T00:00:00"/>
        <d v="2023-01-26T00:00:00"/>
        <d v="2023-02-07T00:00:00"/>
        <d v="2023-02-08T00:00:00"/>
        <d v="2023-02-09T00:00:00"/>
        <d v="2023-02-15T00:00:00"/>
        <d v="2023-02-21T00:00:00"/>
        <d v="2023-02-22T00:00:00"/>
        <d v="2023-02-23T00:00:00"/>
        <d v="2023-03-07T00:00:00"/>
        <d v="2023-03-08T00:00:00"/>
        <d v="2023-03-09T00:00:00"/>
        <d v="2023-03-21T00:00:00"/>
        <d v="2023-03-27T00:00:00"/>
        <d v="2023-03-28T00:00:00"/>
        <d v="2023-03-29T00:00:00"/>
        <d v="2023-04-11T00:00:00"/>
        <d v="2023-04-12T00:00:00"/>
        <d v="2023-04-13T00:00:00"/>
        <d v="2023-04-19T00:00:00"/>
        <d v="2023-04-25T00:00:00"/>
        <d v="2023-04-26T00:00:00"/>
        <d v="2023-04-27T00:00:00"/>
        <d v="2023-05-09T00:00:00"/>
        <d v="2023-05-10T00:00:00"/>
        <d v="2023-05-11T00:00:00"/>
        <d v="2023-05-17T00:00:00"/>
        <d v="2023-05-23T00:00:00"/>
        <d v="2023-05-24T00:00:00"/>
        <d v="2023-05-25T00:00:00"/>
        <d v="2023-06-12T00:00:00"/>
        <d v="2023-06-13T00:00:00"/>
        <d v="2023-06-21T00:00:00"/>
        <d v="2023-06-26T00:00:00"/>
        <d v="2023-06-27T00:00:00"/>
        <d v="2023-06-28T00:00:00"/>
        <d v="2023-07-11T00:00:00"/>
        <d v="2023-07-12T00:00:00"/>
        <d v="2023-07-13T00:00:00"/>
        <d v="2023-07-19T00:00:00"/>
        <d v="2023-07-24T00:00:00"/>
        <d v="2023-07-25T00:00:00"/>
        <d v="2023-07-27T00:00:00"/>
        <d v="2023-08-08T00:00:00"/>
        <d v="2023-08-09T00:00:00"/>
        <d v="2023-08-10T00:00:00"/>
        <d v="2023-08-23T00:00:00"/>
        <d v="2023-08-28T00:00:00"/>
        <d v="2023-08-29T00:00:00"/>
        <d v="2023-09-11T00:00:00"/>
        <d v="2023-09-12T00:00:00"/>
        <d v="2023-09-13T00:00:00"/>
        <d v="2023-09-19T00:00:00"/>
        <d v="2023-09-26T00:00:00"/>
        <d v="2023-09-27T00:00:00"/>
        <d v="2023-09-28T00:00:00"/>
        <d v="2023-10-10T00:00:00"/>
        <d v="2023-10-11T00:00:00"/>
        <d v="2023-10-12T00:00:00"/>
        <d v="2023-10-18T00:00:00"/>
        <d v="2023-10-24T00:00:00"/>
        <d v="2023-10-25T00:00:00"/>
        <d v="2023-10-26T00:00:00"/>
        <d v="2023-11-07T00:00:00"/>
        <d v="2023-11-08T00:00:00"/>
        <d v="2023-11-09T00:00:00"/>
        <d v="2023-11-20T00:00:00"/>
        <d v="2023-11-27T00:00:00"/>
        <d v="2023-11-28T00:00:00"/>
        <d v="2023-12-11T00:00:00"/>
        <d v="2023-12-12T00:00:00"/>
        <d v="2023-12-20T00:00:00"/>
        <d v="2023-12-26T00:00:00"/>
        <d v="2023-12-27T00:00:00"/>
        <d v="2023-12-28T00:00:00"/>
        <d v="2024-01-09T00:00:00"/>
        <d v="2024-01-10T00:00:00"/>
        <d v="2024-01-11T00:00:00"/>
        <d v="2024-01-17T00:00:00"/>
        <d v="2024-01-23T00:00:00"/>
        <d v="2024-01-24T00:00:00"/>
        <d v="2024-01-25T00:00:00"/>
        <d v="2024-02-06T00:00:00"/>
        <d v="2024-02-07T00:00:00"/>
        <d v="2024-02-08T00:00:00"/>
        <d v="2024-02-21T00:00:00"/>
        <d v="2024-02-26T00:00:00"/>
        <d v="2024-02-27T00:00:00"/>
        <d v="2024-03-11T00:00:00"/>
        <d v="2024-03-12T00:00:00"/>
        <d v="2024-03-13T00:00:00"/>
        <d v="2024-03-19T00:00:00"/>
        <d v="2024-03-25T00:00:00"/>
        <d v="2024-03-26T00:00:00"/>
        <d v="2024-03-27T00:00:00"/>
        <d v="2024-04-09T00:00:00"/>
        <d v="2024-04-10T00:00:00"/>
        <d v="2024-04-11T00:00:00"/>
        <d v="2024-04-17T00:00:00"/>
        <d v="2024-04-23T00:00:00"/>
        <d v="2024-04-24T00:00:00"/>
        <d v="2024-04-25T00:00:00"/>
        <d v="2024-05-07T00:00:00"/>
        <d v="2024-05-08T00:00:00"/>
        <d v="2024-05-09T00:00:00"/>
        <d v="2024-05-22T00:00:00"/>
        <d v="2024-05-28T00:00:00"/>
        <d v="2024-05-29T00:00:00"/>
        <d v="2024-06-10T00:00:00"/>
        <d v="2024-06-11T00:00:00"/>
        <d v="2024-06-13T00:00:00"/>
        <d v="2024-06-18T00:00:00"/>
        <d v="2024-06-25T00:00:00"/>
        <d v="2024-06-26T00:00:00"/>
        <d v="2024-06-27T00:00:00"/>
        <d v="2024-07-09T00:00:00"/>
        <d v="2024-07-10T00:00:00"/>
        <d v="2024-07-11T00:00:00"/>
        <d v="2024-07-17T00:00:00"/>
        <d v="2024-07-23T00:00:00"/>
        <d v="2024-07-24T00:00:00"/>
        <d v="2024-07-25T00:00:00"/>
        <d v="2024-08-06T00:00:00"/>
        <d v="2024-08-07T00:00:00"/>
        <d v="2024-08-08T00:00:00"/>
        <d v="2024-08-21T00:00:00"/>
        <d v="2024-08-27T00:00:00"/>
        <d v="2024-08-28T00:00:00"/>
        <d v="2024-08-29T00:00:00"/>
        <d v="2024-09-10T00:00:00"/>
        <d v="2024-09-11T00:00:00"/>
        <d v="2024-09-12T00:00:00"/>
        <d v="2024-09-17T00:00:00"/>
        <d v="2024-09-24T00:00:00"/>
        <d v="2024-09-25T00:00:00"/>
        <d v="2024-09-26T00:00:00"/>
        <d v="2024-10-08T00:00:00"/>
        <d v="2024-10-09T00:00:00"/>
        <d v="2024-10-10T00:00:00"/>
        <d v="2024-10-23T00:00:00"/>
        <d v="2024-10-28T00:00:00"/>
        <d v="2024-10-29T00:00:00"/>
        <d v="2024-11-04T00:00:00"/>
        <d v="2024-11-05T00:00:00"/>
        <d v="2024-11-06T00:00:00"/>
        <d v="2024-11-20T00:00:00"/>
        <d v="2024-11-25T00:00:00"/>
        <d v="2024-11-26T00:00:00"/>
        <d v="2024-11-27T00:00:00"/>
        <d v="2024-12-10T00:00:00"/>
        <d v="2024-12-11T00:00:00"/>
        <d v="2024-12-12T00:00:00"/>
        <d v="2024-12-17T00:00:00"/>
        <d v="2024-12-23T00:00:00"/>
        <d v="2024-12-24T00:00:00"/>
        <d v="2024-12-26T00:00:00"/>
        <d v="2025-01-06T00:00:00"/>
        <d v="2025-01-07T00:00:00"/>
        <d v="2025-01-08T00:00:00"/>
        <d v="2025-01-22T00:00:00"/>
        <d v="2025-01-27T00:00:00"/>
        <d v="2025-01-28T00:00:00"/>
        <d v="2025-02-11T00:00:00"/>
        <d v="2025-02-12T00:00:00"/>
        <d v="2025-02-13T00:00:00"/>
        <d v="2025-02-19T00:00:00"/>
        <d v="2025-02-24T00:00:00"/>
        <d v="2025-02-25T00:00:00"/>
        <d v="2025-02-26T00:00:00"/>
        <d v="2025-03-11T00:00:00"/>
        <d v="2025-03-12T00:00:00"/>
        <d v="2025-03-13T00:00:00"/>
        <d v="2025-03-18T00:00:00"/>
        <d v="2025-03-25T00:00:00"/>
        <d v="2025-03-26T00:00:00"/>
        <d v="2025-03-27T00:00:00"/>
        <d v="2025-04-08T00:00:00"/>
        <d v="2025-04-09T00:00:00"/>
        <d v="2025-04-10T00:00:00"/>
        <d v="2025-04-16T00:00:00"/>
        <d v="2025-04-22T00:00:00"/>
        <d v="2025-04-23T00:00:00"/>
        <d v="2025-04-24T00:00:00"/>
        <d v="2025-05-05T00:00:00"/>
        <d v="2025-05-06T00:00:00"/>
        <d v="2025-05-08T00:00:00"/>
        <d v="2025-05-21T00:00:00"/>
        <d v="2025-05-27T00:00:00"/>
        <d v="2025-05-28T00:00:00"/>
        <d v="2025-05-29T00:00:00"/>
        <d v="2025-06-10T00:00:00"/>
        <d v="2025-06-11T00:00:00"/>
        <d v="2025-06-12T00:00:00"/>
        <d v="2025-06-16T00:00:00"/>
        <d v="2025-06-24T00:00:00"/>
        <d v="2025-06-25T00:00:00"/>
        <d v="2025-06-26T00:00:00"/>
        <d v="2025-07-08T00:00:00"/>
        <d v="2025-07-09T00:00:00"/>
        <d v="2025-07-10T00:00:00"/>
        <d v="2025-07-23T00:00:00"/>
        <d v="2025-07-28T00:00:00"/>
        <d v="2025-07-29T00:00:00"/>
        <d v="2025-08-05T00:00:00"/>
        <d v="2025-08-06T00:00:00"/>
        <d v="2025-08-07T00:00:00"/>
        <d v="2025-08-20T00:00:00"/>
        <d v="2025-08-26T00:00:00"/>
        <d v="2025-08-27T00:00:00"/>
        <d v="2025-08-28T00:00:00"/>
        <d v="2025-09-09T00:00:00"/>
        <d v="2025-09-10T00:00:00"/>
        <d v="2025-09-11T00:00:00"/>
        <d v="2025-09-16T00:00:00"/>
        <d v="2025-09-23T00:00:00"/>
        <d v="2025-09-24T00:00:00"/>
        <d v="2025-09-25T00:00:00"/>
        <d v="2025-10-07T00:00:00"/>
        <d v="2025-10-08T00:00:00"/>
        <d v="2025-10-09T00:00:00"/>
        <d v="2025-10-22T00:00:00"/>
        <d v="2025-10-27T00:00:00"/>
        <d v="2025-10-28T00:00:00"/>
        <d v="2025-11-10T00:00:00"/>
        <d v="2025-11-12T00:00:00"/>
        <d v="2025-11-13T00:00:00"/>
        <d v="2025-11-19T00:00:00"/>
        <d v="2025-11-24T00:00:00"/>
        <d v="2025-11-25T00:00:00"/>
        <d v="2025-11-26T00:00:00"/>
        <d v="2025-12-08T00:00:00"/>
        <d v="2025-12-09T00:00:00"/>
      </sharedItems>
      <fieldGroup par="22"/>
    </cacheField>
    <cacheField name="cusip" numFmtId="0">
      <sharedItems/>
    </cacheField>
    <cacheField name="security_type" numFmtId="0">
      <sharedItems/>
    </cacheField>
    <cacheField name="security_term" numFmtId="0">
      <sharedItems/>
    </cacheField>
    <cacheField name="med_yield" numFmtId="0">
      <sharedItems containsSemiMixedTypes="0" containsString="0" containsNumber="1" minValue="9.8000000000000004E-2" maxValue="5.1859999999999999"/>
    </cacheField>
    <cacheField name="high_yield" numFmtId="0">
      <sharedItems containsSemiMixedTypes="0" containsString="0" containsNumber="1" minValue="0.11899999999999999" maxValue="5.2450000000000001"/>
    </cacheField>
    <cacheField name="low_yield" numFmtId="0">
      <sharedItems containsSemiMixedTypes="0" containsString="0" containsNumber="1" minValue="1.7999999999999999E-2" maxValue="5.0999999999999996"/>
    </cacheField>
    <cacheField name="bid_to_cover_ratio" numFmtId="0">
      <sharedItems containsSemiMixedTypes="0" containsString="0" containsNumber="1" minValue="1.22" maxValue="4.07"/>
    </cacheField>
    <cacheField name="soma_accepted" numFmtId="164">
      <sharedItems containsSemiMixedTypes="0" containsString="0" containsNumber="1" containsInteger="1" minValue="0" maxValue="32393526800"/>
    </cacheField>
    <cacheField name="comp_tendered" numFmtId="164">
      <sharedItems containsSemiMixedTypes="0" containsString="0" containsNumber="1" containsInteger="1" minValue="72950000" maxValue="193383375000"/>
    </cacheField>
    <cacheField name="comp_accepted" numFmtId="164">
      <sharedItems containsSemiMixedTypes="0" containsString="0" containsNumber="1" containsInteger="1" minValue="25000100" maxValue="69902036000"/>
    </cacheField>
    <cacheField name="noncomp_accepted" numFmtId="164">
      <sharedItems containsSemiMixedTypes="0" containsString="0" containsNumber="1" containsInteger="1" minValue="0" maxValue="1644083200"/>
    </cacheField>
    <cacheField name="direct_bidder_accepted" numFmtId="164">
      <sharedItems containsSemiMixedTypes="0" containsString="0" containsNumber="1" containsInteger="1" minValue="0" maxValue="23809000000"/>
    </cacheField>
    <cacheField name="direct_bidder_tendered" numFmtId="164">
      <sharedItems containsSemiMixedTypes="0" containsString="0" containsNumber="1" containsInteger="1" minValue="0" maxValue="32884000000"/>
    </cacheField>
    <cacheField name="primary_dealer_accepted" numFmtId="164">
      <sharedItems containsSemiMixedTypes="0" containsString="0" containsNumber="1" containsInteger="1" minValue="25000100" maxValue="27141991000"/>
    </cacheField>
    <cacheField name="primary_dealer_tendered" numFmtId="164">
      <sharedItems containsSemiMixedTypes="0" containsString="0" containsNumber="1" containsInteger="1" minValue="72950000" maxValue="108030000000"/>
    </cacheField>
    <cacheField name="indirect_bidder_accepted" numFmtId="164">
      <sharedItems containsSemiMixedTypes="0" containsString="0" containsNumber="1" containsInteger="1" minValue="0" maxValue="58509165000"/>
    </cacheField>
    <cacheField name="indirect_bidder_tendered" numFmtId="164">
      <sharedItems containsSemiMixedTypes="0" containsString="0" containsNumber="1" containsInteger="1" minValue="0" maxValue="79309830000"/>
    </cacheField>
    <cacheField name="yield spread" numFmtId="164">
      <sharedItems containsSemiMixedTypes="0" containsString="0" containsNumber="1" minValue="3.5000000000000142E-2" maxValue="2.0640000000000001"/>
    </cacheField>
    <cacheField name="issued" numFmtId="164">
      <sharedItems containsSemiMixedTypes="0" containsString="0" containsNumber="1" containsInteger="1" minValue="25000100" maxValue="88664313900"/>
    </cacheField>
    <cacheField name="Months (auction_date)" numFmtId="0" databaseField="0">
      <fieldGroup base="0">
        <rangePr groupBy="months" startDate="2008-04-23T00:00:00" endDate="2025-12-10T00:00:00"/>
        <groupItems count="14">
          <s v="&lt;4/23/2008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10/2025"/>
        </groupItems>
      </fieldGroup>
    </cacheField>
    <cacheField name="Quarters (auction_date)" numFmtId="0" databaseField="0">
      <fieldGroup base="0">
        <rangePr groupBy="quarters" startDate="2008-04-23T00:00:00" endDate="2025-12-10T00:00:00"/>
        <groupItems count="6">
          <s v="&lt;4/23/2008"/>
          <s v="Qtr1"/>
          <s v="Qtr2"/>
          <s v="Qtr3"/>
          <s v="Qtr4"/>
          <s v="&gt;12/10/2025"/>
        </groupItems>
      </fieldGroup>
    </cacheField>
    <cacheField name="Years (auction_date)" numFmtId="0" databaseField="0">
      <fieldGroup base="0">
        <rangePr groupBy="years" startDate="2008-04-23T00:00:00" endDate="2025-12-10T00:00:00"/>
        <groupItems count="20">
          <s v="&lt;4/23/2008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&gt;12/10/2025"/>
        </groupItems>
      </fieldGroup>
    </cacheField>
    <cacheField name="SOMA Proportion" numFmtId="0" formula="soma_accepted/ (soma_accepted+comp_accepted+noncomp_accepted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19">
  <r>
    <x v="0"/>
    <s v="912828HX1"/>
    <s v="Note"/>
    <s v="2-Year"/>
    <n v="2.19"/>
    <n v="2.2250000000000001"/>
    <n v="2.1469999999999998"/>
    <n v="2.21"/>
    <n v="2751815900"/>
    <n v="65661000000"/>
    <n v="29428870000"/>
    <n v="546207900"/>
    <n v="161000000"/>
    <n v="286000000"/>
    <n v="19370870000"/>
    <n v="52638000000"/>
    <n v="9897000000"/>
    <n v="12737000000"/>
    <n v="7.8000000000000291E-2"/>
    <n v="32726893800"/>
  </r>
  <r>
    <x v="1"/>
    <s v="912828HY9"/>
    <s v="Note"/>
    <s v="5-Year"/>
    <n v="3.09"/>
    <n v="3.1589999999999998"/>
    <n v="3.02"/>
    <n v="1.65"/>
    <n v="1742816600"/>
    <n v="31306500000"/>
    <n v="18925850000"/>
    <n v="49155700"/>
    <n v="34000000"/>
    <n v="34000000"/>
    <n v="13429350000"/>
    <n v="25810000000"/>
    <n v="5462500000"/>
    <n v="5462500000"/>
    <n v="0.13899999999999979"/>
    <n v="20717822300"/>
  </r>
  <r>
    <x v="2"/>
    <s v="912828HZ6"/>
    <s v="Note"/>
    <s v="10-Year"/>
    <n v="3.883"/>
    <n v="3.9369999999999998"/>
    <n v="3.82"/>
    <n v="2.21"/>
    <n v="8076923000"/>
    <n v="32810110000"/>
    <n v="14726166500"/>
    <n v="148836300"/>
    <n v="127110000"/>
    <n v="132110000"/>
    <n v="10423056500"/>
    <n v="28302000000"/>
    <n v="4176000000"/>
    <n v="4376000000"/>
    <n v="0.11699999999999999"/>
    <n v="22951925800"/>
  </r>
  <r>
    <x v="3"/>
    <s v="912810PW2"/>
    <s v="Bond"/>
    <s v="29-Year 9-Month"/>
    <n v="4.5640000000000001"/>
    <n v="4.5990000000000002"/>
    <n v="4.5"/>
    <n v="2.69"/>
    <n v="3230769200"/>
    <n v="16139600000"/>
    <n v="5972882500"/>
    <n v="27118000"/>
    <n v="64000000"/>
    <n v="69000000"/>
    <n v="5153282500"/>
    <n v="14476000000"/>
    <n v="755600000"/>
    <n v="1594600000"/>
    <n v="9.9000000000000199E-2"/>
    <n v="9230769700"/>
  </r>
  <r>
    <x v="4"/>
    <s v="912828JA9"/>
    <s v="Note"/>
    <s v="2-Year"/>
    <n v="2.59"/>
    <n v="2.64"/>
    <n v="2.5499999999999998"/>
    <n v="2.2799999999999998"/>
    <n v="2405496800"/>
    <n v="67530000000"/>
    <n v="29207840000"/>
    <n v="767183300"/>
    <n v="270000000"/>
    <n v="395000000"/>
    <n v="22386840000"/>
    <n v="60369000000"/>
    <n v="6551000000"/>
    <n v="6766000000"/>
    <n v="9.0000000000000302E-2"/>
    <n v="32380520100"/>
  </r>
  <r>
    <x v="5"/>
    <s v="912828JB7"/>
    <s v="Note"/>
    <s v="5-Year"/>
    <n v="3.4649999999999999"/>
    <n v="3.52"/>
    <n v="3.39"/>
    <n v="1.84"/>
    <n v="1523481200"/>
    <n v="34772010000"/>
    <n v="18856982000"/>
    <n v="118078600"/>
    <n v="148010000"/>
    <n v="173010000"/>
    <n v="15604972000"/>
    <n v="31495000000"/>
    <n v="3104000000"/>
    <n v="3104000000"/>
    <n v="0.12999999999999989"/>
    <n v="20498541800"/>
  </r>
  <r>
    <x v="6"/>
    <s v="912828HZ6"/>
    <s v="Note"/>
    <s v="9-Year 11-Month"/>
    <n v="4.1790000000000003"/>
    <n v="4.2249999999999996"/>
    <n v="4.149"/>
    <n v="2.33"/>
    <n v="0"/>
    <n v="25582500000"/>
    <n v="10970043500"/>
    <n v="29973400"/>
    <n v="50000000"/>
    <n v="190000000"/>
    <n v="9397222500"/>
    <n v="23715000000"/>
    <n v="1522821000"/>
    <n v="1677500000"/>
    <n v="7.5999999999999623E-2"/>
    <n v="11000016900"/>
  </r>
  <r>
    <x v="7"/>
    <s v="912828JC5"/>
    <s v="Note"/>
    <s v="2-Year"/>
    <n v="2.899"/>
    <n v="2.9220000000000002"/>
    <n v="2.85"/>
    <n v="2.64"/>
    <n v="3216480000"/>
    <n v="78563350000"/>
    <n v="29276775000"/>
    <n v="696276200"/>
    <n v="125000000"/>
    <n v="765000000"/>
    <n v="20821025000"/>
    <n v="64325000000"/>
    <n v="8330750000"/>
    <n v="13473350000"/>
    <n v="7.2000000000000064E-2"/>
    <n v="33189531200"/>
  </r>
  <r>
    <x v="8"/>
    <s v="912828JD3"/>
    <s v="Note"/>
    <s v="5-Year"/>
    <n v="3.4089999999999998"/>
    <n v="3.44"/>
    <n v="3.35"/>
    <n v="2.48"/>
    <n v="2144320000"/>
    <n v="49474000000"/>
    <n v="19884070700"/>
    <n v="91006000"/>
    <n v="58347000"/>
    <n v="230000000"/>
    <n v="15608313700"/>
    <n v="41973000000"/>
    <n v="4217410000"/>
    <n v="7271000000"/>
    <n v="8.9999999999999858E-2"/>
    <n v="22119396700"/>
  </r>
  <r>
    <x v="9"/>
    <s v="912828JF8"/>
    <s v="Note"/>
    <s v="2-Year"/>
    <n v="2.77"/>
    <n v="2.82"/>
    <n v="2.74"/>
    <n v="2.42"/>
    <n v="3414989000"/>
    <n v="74264583000"/>
    <n v="30151708000"/>
    <n v="823328600"/>
    <n v="309714000"/>
    <n v="443499000"/>
    <n v="18728964000"/>
    <n v="61496484000"/>
    <n v="11113030000"/>
    <n v="12324600000"/>
    <n v="7.9999999999999627E-2"/>
    <n v="34390025600"/>
  </r>
  <r>
    <x v="10"/>
    <s v="912828JG6"/>
    <s v="Note"/>
    <s v="5-Year"/>
    <n v="3.39"/>
    <n v="3.44"/>
    <n v="3.35"/>
    <n v="2.46"/>
    <n v="2313379500"/>
    <n v="51493947000"/>
    <n v="20875472000"/>
    <n v="99611400"/>
    <n v="187525000"/>
    <n v="237525000"/>
    <n v="13787525000"/>
    <n v="44121000000"/>
    <n v="6900422000"/>
    <n v="7135422000"/>
    <n v="8.9999999999999858E-2"/>
    <n v="23288462900"/>
  </r>
  <r>
    <x v="11"/>
    <s v="912828JH4"/>
    <s v="Note"/>
    <s v="10-Year"/>
    <n v="4.05"/>
    <n v="4.0750000000000002"/>
    <n v="3.95"/>
    <n v="2.61"/>
    <n v="6337630900"/>
    <n v="44223250000"/>
    <n v="16856805000"/>
    <n v="118204900"/>
    <n v="98005000"/>
    <n v="152000000"/>
    <n v="11019800000"/>
    <n v="35795250000"/>
    <n v="5739000000"/>
    <n v="8276000000"/>
    <n v="0.125"/>
    <n v="23312640800"/>
  </r>
  <r>
    <x v="12"/>
    <s v="912810PX0"/>
    <s v="Bond"/>
    <s v="29-Year 9-Month"/>
    <n v="4.585"/>
    <n v="4.609"/>
    <n v="4.55"/>
    <n v="2.4"/>
    <n v="3728018100"/>
    <n v="23958500000"/>
    <n v="9960769000"/>
    <n v="39274000"/>
    <n v="0"/>
    <n v="61000000"/>
    <n v="5688969000"/>
    <n v="17381600000"/>
    <n v="4271800000"/>
    <n v="6515900000"/>
    <n v="5.9000000000000163E-2"/>
    <n v="13728061100"/>
  </r>
  <r>
    <x v="13"/>
    <s v="912828JJ0"/>
    <s v="Note"/>
    <s v="2-Year"/>
    <n v="2.33"/>
    <n v="2.38"/>
    <n v="2.2679999999999998"/>
    <n v="2.1800000000000002"/>
    <n v="2668760300"/>
    <n v="69000950000"/>
    <n v="31222735000"/>
    <n v="752320500"/>
    <n v="339722500"/>
    <n v="511000000"/>
    <n v="21662462500"/>
    <n v="58414400000"/>
    <n v="9220550000"/>
    <n v="10075550000"/>
    <n v="0.1120000000000001"/>
    <n v="34643815800"/>
  </r>
  <r>
    <x v="14"/>
    <s v="912828JK7"/>
    <s v="Note"/>
    <s v="5-Year"/>
    <n v="3.07"/>
    <n v="3.129"/>
    <n v="3"/>
    <n v="2.14"/>
    <n v="1834772700"/>
    <n v="46925000000"/>
    <n v="21850760000"/>
    <n v="124263600"/>
    <n v="145000000"/>
    <n v="175000000"/>
    <n v="15184760000"/>
    <n v="40106000000"/>
    <n v="6521000000"/>
    <n v="6644000000"/>
    <n v="0.129"/>
    <n v="23809796300"/>
  </r>
  <r>
    <x v="15"/>
    <s v="912828JH4"/>
    <s v="Note"/>
    <s v="9-Year 11-Month"/>
    <n v="3.5920000000000001"/>
    <n v="3.6280000000000001"/>
    <n v="3.55"/>
    <n v="2.5099999999999998"/>
    <n v="1467000000"/>
    <n v="30097000000"/>
    <n v="11961320000"/>
    <n v="38689300"/>
    <n v="64500000"/>
    <n v="119500000"/>
    <n v="8740320000"/>
    <n v="25741000000"/>
    <n v="3156500000"/>
    <n v="4236500000"/>
    <n v="7.8000000000000291E-2"/>
    <n v="13467009300"/>
  </r>
  <r>
    <x v="16"/>
    <s v="912828JL5"/>
    <s v="Note"/>
    <s v="2-Year"/>
    <n v="2.0499999999999998"/>
    <n v="2.1150000000000002"/>
    <n v="1.99"/>
    <n v="2.21"/>
    <n v="3150451800"/>
    <n v="74572625000"/>
    <n v="33329705000"/>
    <n v="645328300"/>
    <n v="2955000000"/>
    <n v="3100000000"/>
    <n v="21068080000"/>
    <n v="59447000000"/>
    <n v="9306625000"/>
    <n v="12025625000"/>
    <n v="0.12500000000000022"/>
    <n v="37125485100"/>
  </r>
  <r>
    <x v="17"/>
    <s v="912828JM3"/>
    <s v="Note"/>
    <s v="5-Year"/>
    <n v="3"/>
    <n v="3.129"/>
    <n v="2.85"/>
    <n v="1.91"/>
    <n v="2223848200"/>
    <n v="45672150000"/>
    <n v="23869830000"/>
    <n v="105170900"/>
    <n v="113100000"/>
    <n v="148100000"/>
    <n v="17364680000"/>
    <n v="39132000000"/>
    <n v="6392050000"/>
    <n v="6392050000"/>
    <n v="0.27899999999999991"/>
    <n v="26198849100"/>
  </r>
  <r>
    <x v="18"/>
    <s v="912828DV9"/>
    <s v="Note"/>
    <s v="6-Year 7-Month"/>
    <n v="2.899"/>
    <n v="3.31"/>
    <n v="2.78"/>
    <n v="1.22"/>
    <n v="0"/>
    <n v="12154900000"/>
    <n v="10000000000"/>
    <n v="0"/>
    <n v="10000000"/>
    <n v="10000000"/>
    <n v="8080100000"/>
    <n v="10235000000"/>
    <n v="1909900000"/>
    <n v="1909900000"/>
    <n v="0.53000000000000025"/>
    <n v="10000000000"/>
  </r>
  <r>
    <x v="18"/>
    <s v="912828EE6"/>
    <s v="Note"/>
    <s v="6-Year 10-Month"/>
    <n v="3.29"/>
    <n v="3.44"/>
    <n v="3.145"/>
    <n v="2.11"/>
    <n v="0"/>
    <n v="21142302000"/>
    <n v="10000012000"/>
    <n v="2000"/>
    <n v="10000000"/>
    <n v="40000000"/>
    <n v="6469255000"/>
    <n v="15272255000"/>
    <n v="3520757000"/>
    <n v="5830047000"/>
    <n v="0.29499999999999993"/>
    <n v="10000014000"/>
  </r>
  <r>
    <x v="19"/>
    <s v="912828HR4"/>
    <s v="Note"/>
    <s v="9-Year 4-Month"/>
    <n v="3.7189999999999999"/>
    <n v="3.79"/>
    <n v="3.64"/>
    <n v="2.31"/>
    <n v="0"/>
    <n v="23084950000"/>
    <n v="9998736000"/>
    <n v="1439000"/>
    <n v="66000000"/>
    <n v="81000000"/>
    <n v="6108974000"/>
    <n v="16665000000"/>
    <n v="3823762000"/>
    <n v="6338950000"/>
    <n v="0.14999999999999991"/>
    <n v="10000175000"/>
  </r>
  <r>
    <x v="19"/>
    <s v="912828DM9"/>
    <s v="Note"/>
    <s v="6-Year 4-Month"/>
    <n v="3.15"/>
    <n v="3.2280000000000002"/>
    <n v="2.4"/>
    <n v="2.37"/>
    <n v="0"/>
    <n v="23731100000"/>
    <n v="9997768000"/>
    <n v="2233000"/>
    <n v="30000000"/>
    <n v="68500000"/>
    <n v="7655000000"/>
    <n v="18142000000"/>
    <n v="2312768000"/>
    <n v="5520600000"/>
    <n v="0.82800000000000029"/>
    <n v="10000001000"/>
  </r>
  <r>
    <x v="20"/>
    <s v="912828JP6"/>
    <s v="Note"/>
    <s v="2-Year"/>
    <n v="1.575"/>
    <n v="1.6"/>
    <n v="1.4"/>
    <n v="2.4900000000000002"/>
    <n v="1506428000"/>
    <n v="84055060000"/>
    <n v="33446785500"/>
    <n v="528747800"/>
    <n v="50000000"/>
    <n v="590000000"/>
    <n v="19355480000"/>
    <n v="59925000000"/>
    <n v="14041305500"/>
    <n v="23540060000"/>
    <n v="0.20000000000000018"/>
    <n v="35481961300"/>
  </r>
  <r>
    <x v="21"/>
    <s v="912828JQ4"/>
    <s v="Note"/>
    <s v="5-Year"/>
    <n v="2.7589999999999999"/>
    <n v="2.8250000000000002"/>
    <n v="2.57"/>
    <n v="2.2799999999999998"/>
    <n v="1063360800"/>
    <n v="54442715000"/>
    <n v="23792725000"/>
    <n v="82283800"/>
    <n v="3401000000"/>
    <n v="4636000000"/>
    <n v="13657720000"/>
    <n v="41230215000"/>
    <n v="6734005000"/>
    <n v="8576500000"/>
    <n v="0.25500000000000034"/>
    <n v="24938369600"/>
  </r>
  <r>
    <x v="22"/>
    <s v="912828JU5"/>
    <s v="Note"/>
    <s v="3-Year"/>
    <n v="1.7430000000000001"/>
    <n v="1.8"/>
    <n v="1.6"/>
    <n v="3.07"/>
    <n v="4443096500"/>
    <n v="76785000000"/>
    <n v="24954841500"/>
    <n v="20200000"/>
    <n v="317159000"/>
    <n v="4735000000"/>
    <n v="15639695000"/>
    <n v="48788000000"/>
    <n v="8997987500"/>
    <n v="23262000000"/>
    <n v="0.19999999999999996"/>
    <n v="29418138000"/>
  </r>
  <r>
    <x v="23"/>
    <s v="912828JR2"/>
    <s v="Note"/>
    <s v="10-Year"/>
    <n v="3.71"/>
    <n v="3.7829999999999999"/>
    <n v="3.55"/>
    <n v="2.2000000000000002"/>
    <n v="3554477000"/>
    <n v="43763121600"/>
    <n v="19756461600"/>
    <n v="198538600"/>
    <n v="928340000"/>
    <n v="1247000000"/>
    <n v="11722000000"/>
    <n v="32822000000"/>
    <n v="7106121600"/>
    <n v="9694121600"/>
    <n v="0.2330000000000001"/>
    <n v="23509477200"/>
  </r>
  <r>
    <x v="24"/>
    <s v="912810PX0"/>
    <s v="Bond"/>
    <s v="29-Year 6-Month"/>
    <n v="4.2039999999999997"/>
    <n v="4.3099999999999996"/>
    <n v="4.0949999999999998"/>
    <n v="2.0699999999999998"/>
    <n v="1777238500"/>
    <n v="20693250000"/>
    <n v="9978306000"/>
    <n v="21737800"/>
    <n v="453000000"/>
    <n v="688000000"/>
    <n v="7709200000"/>
    <n v="15706000000"/>
    <n v="1816106000"/>
    <n v="4299250000"/>
    <n v="0.21499999999999986"/>
    <n v="11777282300"/>
  </r>
  <r>
    <x v="25"/>
    <s v="912828JS0"/>
    <s v="Note"/>
    <s v="2-Year"/>
    <n v="1.1850000000000001"/>
    <n v="1.2689999999999999"/>
    <n v="1.034"/>
    <n v="2.08"/>
    <n v="2518952600"/>
    <n v="74403000000"/>
    <n v="35568565000"/>
    <n v="431446700"/>
    <n v="507000000"/>
    <n v="602000000"/>
    <n v="22657565000"/>
    <n v="59122000000"/>
    <n v="12404000000"/>
    <n v="14679000000"/>
    <n v="0.23499999999999988"/>
    <n v="38518964300"/>
  </r>
  <r>
    <x v="26"/>
    <s v="912828JT8"/>
    <s v="Note"/>
    <s v="5-Year"/>
    <n v="2.0960000000000001"/>
    <n v="2.11"/>
    <n v="1.98"/>
    <n v="2.44"/>
    <n v="1819243400"/>
    <n v="63335690000"/>
    <n v="25898772000"/>
    <n v="101401200"/>
    <n v="475000000"/>
    <n v="762000000"/>
    <n v="15777434000"/>
    <n v="49535000000"/>
    <n v="9646338000"/>
    <n v="13038690000"/>
    <n v="0.12999999999999989"/>
    <n v="27819416600"/>
  </r>
  <r>
    <x v="27"/>
    <s v="912828KA7"/>
    <s v="Note"/>
    <s v="3-Year"/>
    <n v="1.149"/>
    <n v="1.2450000000000001"/>
    <n v="0.96"/>
    <n v="2.15"/>
    <n v="841463700"/>
    <n v="60219000000"/>
    <n v="27943565000"/>
    <n v="56487800"/>
    <n v="71500000"/>
    <n v="166500000"/>
    <n v="18020085000"/>
    <n v="48897000000"/>
    <n v="9851980000"/>
    <n v="11155500000"/>
    <n v="0.28500000000000014"/>
    <n v="28841516500"/>
  </r>
  <r>
    <x v="28"/>
    <s v="912828JR2"/>
    <s v="Note"/>
    <s v="9-Year 11-Month"/>
    <n v="2.59"/>
    <n v="2.67"/>
    <n v="2"/>
    <n v="2.44"/>
    <n v="480836300"/>
    <n v="38980650000"/>
    <n v="15926599600"/>
    <n v="33421000"/>
    <n v="29000000"/>
    <n v="125000000"/>
    <n v="13868908000"/>
    <n v="34341000000"/>
    <n v="2028691600"/>
    <n v="4514650000"/>
    <n v="0.66999999999999993"/>
    <n v="16440856900"/>
  </r>
  <r>
    <x v="29"/>
    <s v="912828JV3"/>
    <s v="Note"/>
    <s v="2-Year"/>
    <n v="0.83399999999999996"/>
    <n v="0.92200000000000004"/>
    <n v="0.75"/>
    <n v="2.13"/>
    <n v="2773313700"/>
    <n v="80581525000"/>
    <n v="37656575000"/>
    <n v="343445600"/>
    <n v="519000000"/>
    <n v="529000000"/>
    <n v="25685050000"/>
    <n v="65446000000"/>
    <n v="11452525000"/>
    <n v="14606525000"/>
    <n v="0.17200000000000004"/>
    <n v="40773334300"/>
  </r>
  <r>
    <x v="30"/>
    <s v="912828JW1"/>
    <s v="Note"/>
    <s v="5-Year"/>
    <n v="1.4590000000000001"/>
    <n v="1.5389999999999999"/>
    <n v="1.3"/>
    <n v="2.06"/>
    <n v="2043494300"/>
    <n v="57779921000"/>
    <n v="27963357900"/>
    <n v="36648000"/>
    <n v="2102000000"/>
    <n v="2232000000"/>
    <n v="19002266000"/>
    <n v="42503821000"/>
    <n v="6859091900"/>
    <n v="13044100000"/>
    <n v="0.23899999999999988"/>
    <n v="30043500200"/>
  </r>
  <r>
    <x v="31"/>
    <s v="912828KB5"/>
    <s v="Note"/>
    <s v="3-Year"/>
    <n v="1.1200000000000001"/>
    <n v="1.2"/>
    <n v="1"/>
    <n v="2.21"/>
    <n v="2483518900"/>
    <n v="66244800000"/>
    <n v="29965038000"/>
    <n v="35015500"/>
    <n v="312000000"/>
    <n v="507000000"/>
    <n v="21259128000"/>
    <n v="55359000000"/>
    <n v="8393910000"/>
    <n v="10378800000"/>
    <n v="0.19999999999999996"/>
    <n v="32483572400"/>
  </r>
  <r>
    <x v="32"/>
    <s v="912828JR2"/>
    <s v="Note"/>
    <s v="9-Year 10-Month"/>
    <n v="2.3490000000000002"/>
    <n v="2.419"/>
    <n v="1.99"/>
    <n v="2.59"/>
    <n v="1324543300"/>
    <n v="41393300000"/>
    <n v="15993300000"/>
    <n v="6736000"/>
    <n v="16000000"/>
    <n v="226000000"/>
    <n v="13141000000"/>
    <n v="34352000000"/>
    <n v="2836300000"/>
    <n v="6815300000"/>
    <n v="0.42900000000000005"/>
    <n v="17324579300"/>
  </r>
  <r>
    <x v="33"/>
    <s v="912828JY7"/>
    <s v="Note"/>
    <s v="2-Year"/>
    <n v="0.871"/>
    <n v="0.92500000000000004"/>
    <n v="0.78300000000000003"/>
    <n v="2.69"/>
    <n v="1697793800"/>
    <n v="107216450000"/>
    <n v="39578255000"/>
    <n v="421822600"/>
    <n v="1118000000"/>
    <n v="1555000000"/>
    <n v="24753395000"/>
    <n v="85279000000"/>
    <n v="13706860000"/>
    <n v="20382450000"/>
    <n v="0.14200000000000002"/>
    <n v="41697871400"/>
  </r>
  <r>
    <x v="34"/>
    <s v="912828JZ4"/>
    <s v="Note"/>
    <s v="5-Year"/>
    <n v="1.74"/>
    <n v="1.82"/>
    <n v="1.59"/>
    <n v="1.98"/>
    <n v="1273345200"/>
    <n v="59226000000"/>
    <n v="29965005000"/>
    <n v="35041800"/>
    <n v="368000000"/>
    <n v="373000000"/>
    <n v="19147959000"/>
    <n v="47261000000"/>
    <n v="10449046000"/>
    <n v="11592000000"/>
    <n v="0.22999999999999998"/>
    <n v="31273392000"/>
  </r>
  <r>
    <x v="35"/>
    <s v="912828KC3"/>
    <s v="Note"/>
    <s v="3-Year"/>
    <n v="1.373"/>
    <n v="1.419"/>
    <n v="1.3"/>
    <n v="2.67"/>
    <n v="1629450200"/>
    <n v="85457986000"/>
    <n v="31902414500"/>
    <n v="97592500"/>
    <n v="360486000"/>
    <n v="705486000"/>
    <n v="17259410000"/>
    <n v="58323000000"/>
    <n v="14282518500"/>
    <n v="26429500000"/>
    <n v="0.11899999999999999"/>
    <n v="33629457200"/>
  </r>
  <r>
    <x v="36"/>
    <s v="912828KD1"/>
    <s v="Note"/>
    <s v="10-Year"/>
    <n v="2.71"/>
    <n v="2.8180000000000001"/>
    <n v="2.5"/>
    <n v="2.21"/>
    <n v="1069326500"/>
    <n v="46457062000"/>
    <n v="20946467000"/>
    <n v="53535900"/>
    <n v="380800000"/>
    <n v="610800000"/>
    <n v="12651550000"/>
    <n v="34788000000"/>
    <n v="7914117000"/>
    <n v="11058262000"/>
    <n v="0.31800000000000006"/>
    <n v="22069329400"/>
  </r>
  <r>
    <x v="37"/>
    <s v="912810QA9"/>
    <s v="Bond"/>
    <s v="30-Year"/>
    <n v="3.415"/>
    <n v="3.54"/>
    <n v="3.3"/>
    <n v="2.02"/>
    <n v="712884300"/>
    <n v="28247025000"/>
    <n v="13967376000"/>
    <n v="32642800"/>
    <n v="2297000000"/>
    <n v="2618000000"/>
    <n v="6932003500"/>
    <n v="20134000000"/>
    <n v="4738372500"/>
    <n v="5495025000"/>
    <n v="0.24000000000000021"/>
    <n v="14712903100"/>
  </r>
  <r>
    <x v="38"/>
    <s v="912828KE9"/>
    <s v="Note"/>
    <s v="2-Year"/>
    <n v="0.9"/>
    <n v="0.96099999999999997"/>
    <n v="0.79"/>
    <n v="2.63"/>
    <n v="2142704300"/>
    <n v="104885450000"/>
    <n v="39593441000"/>
    <n v="406599000"/>
    <n v="1313000000"/>
    <n v="2308000000"/>
    <n v="27141991000"/>
    <n v="82084000000"/>
    <n v="11138450000"/>
    <n v="20493450000"/>
    <n v="0.17099999999999993"/>
    <n v="42142744300"/>
  </r>
  <r>
    <x v="39"/>
    <s v="912828KF6"/>
    <s v="Note"/>
    <s v="5-Year"/>
    <n v="1.9370000000000001"/>
    <n v="1.9850000000000001"/>
    <n v="1.8"/>
    <n v="2.21"/>
    <n v="1714163400"/>
    <n v="70661100000"/>
    <n v="31948853000"/>
    <n v="51194700"/>
    <n v="505000000"/>
    <n v="985000000"/>
    <n v="15820743000"/>
    <n v="50976000000"/>
    <n v="15623110000"/>
    <n v="18700100000"/>
    <n v="0.18500000000000005"/>
    <n v="33714211100"/>
  </r>
  <r>
    <x v="40"/>
    <s v="912828KS8"/>
    <s v="Note"/>
    <s v="7-Year"/>
    <n v="2.67"/>
    <n v="2.7480000000000002"/>
    <n v="2.5"/>
    <n v="2.11"/>
    <n v="1178487300"/>
    <n v="46206825000"/>
    <n v="21893019000"/>
    <n v="6988300"/>
    <n v="804494000"/>
    <n v="1096000000"/>
    <n v="12616000000"/>
    <n v="35031000000"/>
    <n v="8472525000"/>
    <n v="10079825000"/>
    <n v="0.24800000000000022"/>
    <n v="23078494600"/>
  </r>
  <r>
    <x v="41"/>
    <s v="912828KG4"/>
    <s v="Note"/>
    <s v="3-Year"/>
    <n v="1.419"/>
    <n v="1.4890000000000001"/>
    <n v="1.33"/>
    <n v="2.2599999999999998"/>
    <n v="604714400"/>
    <n v="76855400000"/>
    <n v="33900571000"/>
    <n v="99457500"/>
    <n v="617000000"/>
    <n v="1017000000"/>
    <n v="19636050000"/>
    <n v="58047000000"/>
    <n v="13647521000"/>
    <n v="17791400000"/>
    <n v="0.15900000000000003"/>
    <n v="34604742900"/>
  </r>
  <r>
    <x v="42"/>
    <s v="912828KD1"/>
    <s v="Note"/>
    <s v="9-Year 11-Month"/>
    <n v="2.98"/>
    <n v="3.0430000000000001"/>
    <n v="2.75"/>
    <n v="2.14"/>
    <n v="320142800"/>
    <n v="38327300000"/>
    <n v="17875180000"/>
    <n v="24828700"/>
    <n v="559000000"/>
    <n v="722000000"/>
    <n v="13052880000"/>
    <n v="31773000000"/>
    <n v="4263300000"/>
    <n v="5832300000"/>
    <n v="0.29300000000000015"/>
    <n v="18220151500"/>
  </r>
  <r>
    <x v="43"/>
    <s v="912810QA9"/>
    <s v="Bond"/>
    <s v="29-Year 11-Month"/>
    <n v="3.597"/>
    <n v="3.64"/>
    <n v="3.49"/>
    <n v="2.4"/>
    <n v="195642800"/>
    <n v="26416450000"/>
    <n v="10997479600"/>
    <n v="2543800"/>
    <n v="1076174800"/>
    <n v="1280000000"/>
    <n v="4841875600"/>
    <n v="17917000000"/>
    <n v="5079429200"/>
    <n v="7219450000"/>
    <n v="0.14999999999999991"/>
    <n v="11195666200"/>
  </r>
  <r>
    <x v="44"/>
    <s v="912828KH2"/>
    <s v="Note"/>
    <s v="2-Year"/>
    <n v="0.9"/>
    <n v="0.94899999999999995"/>
    <n v="0.84199999999999997"/>
    <n v="2.71"/>
    <n v="1895984600"/>
    <n v="107823100000"/>
    <n v="39545860000"/>
    <n v="454231200"/>
    <n v="875500000"/>
    <n v="1960500000"/>
    <n v="17659800000"/>
    <n v="76813000000"/>
    <n v="21010560000"/>
    <n v="29049600000"/>
    <n v="0.10699999999999998"/>
    <n v="41896075800"/>
  </r>
  <r>
    <x v="45"/>
    <s v="912828KJ8"/>
    <s v="Note"/>
    <s v="5-Year"/>
    <n v="1.75"/>
    <n v="1.849"/>
    <n v="1.49"/>
    <n v="2.02"/>
    <n v="1611586800"/>
    <n v="68757500000"/>
    <n v="33954814000"/>
    <n v="45246000"/>
    <n v="512000000"/>
    <n v="867000000"/>
    <n v="23268020000"/>
    <n v="56395000000"/>
    <n v="10174794000"/>
    <n v="11495500000"/>
    <n v="0.35899999999999999"/>
    <n v="35611646800"/>
  </r>
  <r>
    <x v="46"/>
    <s v="912828KT6"/>
    <s v="Note"/>
    <s v="7-Year"/>
    <n v="2.3119999999999998"/>
    <n v="2.3839999999999999"/>
    <n v="2"/>
    <n v="2.52"/>
    <n v="1137590600"/>
    <n v="60410200000"/>
    <n v="23889315000"/>
    <n v="10703000"/>
    <n v="1825000000"/>
    <n v="2144000000"/>
    <n v="15366115000"/>
    <n v="48824000000"/>
    <n v="6698200000"/>
    <n v="9442200000"/>
    <n v="0.3839999999999999"/>
    <n v="25037608600"/>
  </r>
  <r>
    <x v="47"/>
    <s v="912828KK5"/>
    <s v="Note"/>
    <s v="3-Year"/>
    <n v="1.33"/>
    <n v="1.385"/>
    <n v="1.19"/>
    <n v="2.42"/>
    <n v="557034000"/>
    <n v="84498500000"/>
    <n v="34961475000"/>
    <n v="38525600"/>
    <n v="1046000000"/>
    <n v="1876000000"/>
    <n v="20464100000"/>
    <n v="65890000000"/>
    <n v="13451375000"/>
    <n v="16732500000"/>
    <n v="0.19500000000000006"/>
    <n v="35557034600"/>
  </r>
  <r>
    <x v="48"/>
    <s v="912828KD1"/>
    <s v="Note"/>
    <s v="9-Year 10-Month"/>
    <n v="2.879"/>
    <n v="2.95"/>
    <n v="2.5499999999999998"/>
    <n v="2.4900000000000002"/>
    <n v="286474500"/>
    <n v="44771400000"/>
    <n v="17879604800"/>
    <n v="20452900"/>
    <n v="770000000"/>
    <n v="2050000000"/>
    <n v="12873024000"/>
    <n v="35036000000"/>
    <n v="4236580800"/>
    <n v="7685400000"/>
    <n v="0.40000000000000036"/>
    <n v="18186532200"/>
  </r>
  <r>
    <x v="49"/>
    <s v="912828KL3"/>
    <s v="Note"/>
    <s v="2-Year"/>
    <n v="0.89"/>
    <n v="0.94899999999999995"/>
    <n v="0.78"/>
    <n v="2.72"/>
    <n v="1386100700"/>
    <n v="108466000000"/>
    <n v="39588797900"/>
    <n v="411322000"/>
    <n v="2183300000"/>
    <n v="5870000000"/>
    <n v="26041143000"/>
    <n v="85362000000"/>
    <n v="11364354900"/>
    <n v="17234000000"/>
    <n v="0.16899999999999993"/>
    <n v="41386220600"/>
  </r>
  <r>
    <x v="50"/>
    <s v="912828KN9"/>
    <s v="Note"/>
    <s v="5-Year"/>
    <n v="1.869"/>
    <n v="1.94"/>
    <n v="1.74"/>
    <n v="2.2200000000000002"/>
    <n v="1212837900"/>
    <n v="77510800000"/>
    <n v="34962557000"/>
    <n v="37565500"/>
    <n v="800000000"/>
    <n v="2435000000"/>
    <n v="23402400000"/>
    <n v="60863000000"/>
    <n v="10760157000"/>
    <n v="14212800000"/>
    <n v="0.19999999999999996"/>
    <n v="36212960400"/>
  </r>
  <r>
    <x v="51"/>
    <s v="912828KR0"/>
    <s v="Note"/>
    <s v="7-Year"/>
    <n v="2.5499999999999998"/>
    <n v="2.63"/>
    <n v="2.4"/>
    <n v="2.2799999999999998"/>
    <n v="900965300"/>
    <n v="59314900000"/>
    <n v="25992912000"/>
    <n v="7168800"/>
    <n v="865876500"/>
    <n v="2231000000"/>
    <n v="16552566500"/>
    <n v="46605900000"/>
    <n v="8574469000"/>
    <n v="10478000000"/>
    <n v="0.22999999999999998"/>
    <n v="26901046100"/>
  </r>
  <r>
    <x v="52"/>
    <s v="912828KP4"/>
    <s v="Note"/>
    <s v="3-Year"/>
    <n v="1.42"/>
    <n v="1.4730000000000001"/>
    <n v="1.26"/>
    <n v="2.66"/>
    <n v="6191338900"/>
    <n v="92840010000"/>
    <n v="34795260000"/>
    <n v="204770300"/>
    <n v="2118000000"/>
    <n v="4393000000"/>
    <n v="19708750000"/>
    <n v="72414000000"/>
    <n v="12968510000"/>
    <n v="16033010000"/>
    <n v="0.21300000000000008"/>
    <n v="41191369200"/>
  </r>
  <r>
    <x v="53"/>
    <s v="912828KQ2"/>
    <s v="Note"/>
    <s v="10-Year"/>
    <n v="3.1389999999999998"/>
    <n v="3.19"/>
    <n v="2.9"/>
    <n v="2.4700000000000002"/>
    <n v="3891698600"/>
    <n v="54268500000"/>
    <n v="21826802000"/>
    <n v="73306700"/>
    <n v="943500000"/>
    <n v="2168500000"/>
    <n v="13915275000"/>
    <n v="41974000000"/>
    <n v="6968027000"/>
    <n v="10126000000"/>
    <n v="0.29000000000000004"/>
    <n v="25791807300"/>
  </r>
  <r>
    <x v="54"/>
    <s v="912810QB7"/>
    <s v="Bond"/>
    <s v="30-Year"/>
    <n v="4.1849999999999996"/>
    <n v="4.2880000000000003"/>
    <n v="4.0860000000000003"/>
    <n v="2.14"/>
    <n v="2476535500"/>
    <n v="29886400000"/>
    <n v="13980550000"/>
    <n v="19452200"/>
    <n v="574000000"/>
    <n v="844000000"/>
    <n v="8798150000"/>
    <n v="23791000000"/>
    <n v="4608400000"/>
    <n v="5251400000"/>
    <n v="0.20199999999999996"/>
    <n v="16476537700"/>
  </r>
  <r>
    <x v="55"/>
    <s v="912828KU3"/>
    <s v="Note"/>
    <s v="2-Year"/>
    <n v="0.91"/>
    <n v="0.94"/>
    <n v="0.79"/>
    <n v="2.94"/>
    <n v="1378373900"/>
    <n v="116979295000"/>
    <n v="39476822600"/>
    <n v="523288700"/>
    <n v="894489600"/>
    <n v="3518420000"/>
    <n v="17106963000"/>
    <n v="78549000000"/>
    <n v="21475370000"/>
    <n v="34911875000"/>
    <n v="0.14999999999999991"/>
    <n v="41378485200"/>
  </r>
  <r>
    <x v="56"/>
    <s v="912828KV1"/>
    <s v="Note"/>
    <s v="5-Year"/>
    <n v="2.2490000000000001"/>
    <n v="2.31"/>
    <n v="2"/>
    <n v="2.3199999999999998"/>
    <n v="1206077100"/>
    <n v="81182250000"/>
    <n v="34889037200"/>
    <n v="111003400"/>
    <n v="977497000"/>
    <n v="2718000000"/>
    <n v="18474882500"/>
    <n v="56669000000"/>
    <n v="15436657700"/>
    <n v="21795250000"/>
    <n v="0.31000000000000005"/>
    <n v="36206117700"/>
  </r>
  <r>
    <x v="57"/>
    <s v="912828KW9"/>
    <s v="Note"/>
    <s v="7-Year"/>
    <n v="3.2"/>
    <n v="3.3"/>
    <n v="2.69"/>
    <n v="2.2599999999999998"/>
    <n v="895943000"/>
    <n v="58711200000"/>
    <n v="25982373600"/>
    <n v="17678900"/>
    <n v="905349600"/>
    <n v="3219000000"/>
    <n v="16507104000"/>
    <n v="44645000000"/>
    <n v="8569920000"/>
    <n v="10847200000"/>
    <n v="0.60999999999999988"/>
    <n v="26895995500"/>
  </r>
  <r>
    <x v="58"/>
    <s v="912828KX7"/>
    <s v="Note"/>
    <s v="3-Year"/>
    <n v="1.9039999999999999"/>
    <n v="1.96"/>
    <n v="1.8"/>
    <n v="2.82"/>
    <n v="369923200"/>
    <n v="98600700000"/>
    <n v="34908089900"/>
    <n v="92042400"/>
    <n v="5507039900"/>
    <n v="13551700000"/>
    <n v="14126160000"/>
    <n v="65740000000"/>
    <n v="15274890000"/>
    <n v="19309000000"/>
    <n v="0.15999999999999992"/>
    <n v="35370055500"/>
  </r>
  <r>
    <x v="59"/>
    <s v="912828KQ2"/>
    <s v="Note"/>
    <s v="9-Year 11-Month"/>
    <n v="3.915"/>
    <n v="3.99"/>
    <n v="3.85"/>
    <n v="2.62"/>
    <n v="200815300"/>
    <n v="49688500000"/>
    <n v="18826264500"/>
    <n v="73776100"/>
    <n v="1737550000"/>
    <n v="6296000000"/>
    <n v="10640935000"/>
    <n v="35897000000"/>
    <n v="6447779500"/>
    <n v="7495500000"/>
    <n v="0.14000000000000012"/>
    <n v="19100855900"/>
  </r>
  <r>
    <x v="60"/>
    <s v="912810QB7"/>
    <s v="Bond"/>
    <s v="29-Year 11-Month"/>
    <n v="4.6840000000000002"/>
    <n v="4.72"/>
    <n v="4.5990000000000002"/>
    <n v="2.68"/>
    <n v="116261500"/>
    <n v="29430275000"/>
    <n v="10980344000"/>
    <n v="19664200"/>
    <n v="643000000"/>
    <n v="2967000000"/>
    <n v="4953403000"/>
    <n v="17631500000"/>
    <n v="5383941000"/>
    <n v="8831775000"/>
    <n v="0.12099999999999955"/>
    <n v="11116269700"/>
  </r>
  <r>
    <x v="61"/>
    <s v="912828LF5"/>
    <s v="Note"/>
    <s v="2-Year"/>
    <n v="1.119"/>
    <n v="1.151"/>
    <n v="1.03"/>
    <n v="3.19"/>
    <n v="1161613200"/>
    <n v="127100970000"/>
    <n v="39544341000"/>
    <n v="455682500"/>
    <n v="1389841000"/>
    <n v="8769841000"/>
    <n v="10970000000"/>
    <n v="81171000000"/>
    <n v="27184500000"/>
    <n v="37160129000"/>
    <n v="0.121"/>
    <n v="41161636700"/>
  </r>
  <r>
    <x v="62"/>
    <s v="912828KY5"/>
    <s v="Note"/>
    <s v="5-Year"/>
    <n v="2.6190000000000002"/>
    <n v="2.7"/>
    <n v="2.59"/>
    <n v="2.58"/>
    <n v="1074492000"/>
    <n v="95237500000"/>
    <n v="36893034700"/>
    <n v="107079600"/>
    <n v="1080000000"/>
    <n v="6284000000"/>
    <n v="12646590000"/>
    <n v="59737000000"/>
    <n v="23166444700"/>
    <n v="29216500000"/>
    <n v="0.11000000000000032"/>
    <n v="38074606300"/>
  </r>
  <r>
    <x v="63"/>
    <s v="912828KZ2"/>
    <s v="Note"/>
    <s v="7-Year"/>
    <n v="3.3"/>
    <n v="3.3290000000000002"/>
    <n v="3.2490000000000001"/>
    <n v="2.82"/>
    <n v="784088800"/>
    <n v="75995084000"/>
    <n v="26984837500"/>
    <n v="15194700"/>
    <n v="590009000"/>
    <n v="4932084000"/>
    <n v="8269877500"/>
    <n v="46061000000"/>
    <n v="18124951000"/>
    <n v="25002000000"/>
    <n v="8.0000000000000071E-2"/>
    <n v="27784121000"/>
  </r>
  <r>
    <x v="64"/>
    <s v="912828LB4"/>
    <s v="Note"/>
    <s v="3-Year"/>
    <n v="1.43"/>
    <n v="1.5189999999999999"/>
    <n v="1.37"/>
    <n v="2.62"/>
    <n v="591644000"/>
    <n v="91499465000"/>
    <n v="34927421000"/>
    <n v="72642800"/>
    <n v="2604370000"/>
    <n v="6764665000"/>
    <n v="13444941000"/>
    <n v="61366000000"/>
    <n v="18878110000"/>
    <n v="23368800000"/>
    <n v="0.1489999999999998"/>
    <n v="35591707800"/>
  </r>
  <r>
    <x v="65"/>
    <s v="912828KQ2"/>
    <s v="Note"/>
    <s v="9-Year 10-Month"/>
    <n v="3.34"/>
    <n v="3.3650000000000002"/>
    <n v="3.282"/>
    <n v="3.28"/>
    <n v="321178000"/>
    <n v="62302729000"/>
    <n v="18907580000"/>
    <n v="42780400"/>
    <n v="2463374400"/>
    <n v="4499629000"/>
    <n v="8134800000"/>
    <n v="40548000000"/>
    <n v="8309405600"/>
    <n v="17255100000"/>
    <n v="8.3000000000000185E-2"/>
    <n v="19271538400"/>
  </r>
  <r>
    <x v="66"/>
    <s v="912810QB7"/>
    <s v="Bond"/>
    <s v="29-Year 10-Month"/>
    <n v="4.2300000000000004"/>
    <n v="4.3029999999999999"/>
    <n v="4.1500000000000004"/>
    <n v="2.36"/>
    <n v="185945200"/>
    <n v="25927500000"/>
    <n v="10993568000"/>
    <n v="6441600"/>
    <n v="271000000"/>
    <n v="1104000000"/>
    <n v="5202788000"/>
    <n v="17006000000"/>
    <n v="5519780000"/>
    <n v="7817500000"/>
    <n v="0.15299999999999958"/>
    <n v="11185954800"/>
  </r>
  <r>
    <x v="67"/>
    <s v="912828LG3"/>
    <s v="Note"/>
    <s v="2-Year"/>
    <n v="1.0389999999999999"/>
    <n v="1.08"/>
    <n v="0.95"/>
    <n v="2.75"/>
    <n v="1052108900"/>
    <n v="115146000000"/>
    <n v="41534490500"/>
    <n v="440705700"/>
    <n v="1708134000"/>
    <n v="3067000000"/>
    <n v="26131402500"/>
    <n v="91537000000"/>
    <n v="13694954000"/>
    <n v="20542000000"/>
    <n v="0.13000000000000012"/>
    <n v="43027305100"/>
  </r>
  <r>
    <x v="68"/>
    <s v="912828LC2"/>
    <s v="Note"/>
    <s v="5-Year"/>
    <n v="2.59"/>
    <n v="2.6890000000000001"/>
    <n v="2"/>
    <n v="1.92"/>
    <n v="976958100"/>
    <n v="74860000000"/>
    <n v="38844750000"/>
    <n v="130296700"/>
    <n v="658000000"/>
    <n v="1068000000"/>
    <n v="23923750000"/>
    <n v="57014000000"/>
    <n v="14263000000"/>
    <n v="16778000000"/>
    <n v="0.68900000000000006"/>
    <n v="39952004800"/>
  </r>
  <r>
    <x v="69"/>
    <s v="912828LD0"/>
    <s v="Note"/>
    <s v="7-Year"/>
    <n v="3.2869999999999999"/>
    <n v="3.3690000000000002"/>
    <n v="3.21"/>
    <n v="2.63"/>
    <n v="701405800"/>
    <n v="73521500000"/>
    <n v="27935407500"/>
    <n v="49593600"/>
    <n v="432000000"/>
    <n v="723000000"/>
    <n v="10047907500"/>
    <n v="47960000000"/>
    <n v="17455500000"/>
    <n v="24838500000"/>
    <n v="0.15900000000000025"/>
    <n v="28686406900"/>
  </r>
  <r>
    <x v="70"/>
    <s v="912828LH1"/>
    <s v="Note"/>
    <s v="3-Year"/>
    <n v="1.7270000000000001"/>
    <n v="1.78"/>
    <n v="1.6"/>
    <n v="2.89"/>
    <n v="5714620000"/>
    <n v="106737000000"/>
    <n v="36745210000"/>
    <n v="204836100"/>
    <n v="750270000"/>
    <n v="1282000000"/>
    <n v="13038640000"/>
    <n v="73320000000"/>
    <n v="22956300000"/>
    <n v="32135000000"/>
    <n v="0.17999999999999994"/>
    <n v="42664666100"/>
  </r>
  <r>
    <x v="71"/>
    <s v="912828LJ7"/>
    <s v="Note"/>
    <s v="10-Year"/>
    <n v="3.6360000000000001"/>
    <n v="3.734"/>
    <n v="3.55"/>
    <n v="2.4900000000000002"/>
    <n v="3552331200"/>
    <n v="57024710000"/>
    <n v="22761570000"/>
    <n v="138447700"/>
    <n v="478000000"/>
    <n v="988000000"/>
    <n v="11873000000"/>
    <n v="41563000000"/>
    <n v="10410570000"/>
    <n v="14473710000"/>
    <n v="0.18400000000000016"/>
    <n v="26452348900"/>
  </r>
  <r>
    <x v="72"/>
    <s v="912810QC5"/>
    <s v="Bond"/>
    <s v="30-Year"/>
    <n v="4.4800000000000004"/>
    <n v="4.5410000000000004"/>
    <n v="4.3920000000000003"/>
    <n v="2.54"/>
    <n v="2316737800"/>
    <n v="38010500000"/>
    <n v="14978455000"/>
    <n v="21546500"/>
    <n v="1323000000"/>
    <n v="1497000000"/>
    <n v="6457770000"/>
    <n v="24169000000"/>
    <n v="7197685000"/>
    <n v="12344500000"/>
    <n v="0.14900000000000002"/>
    <n v="17316739300"/>
  </r>
  <r>
    <x v="73"/>
    <s v="912828LV0"/>
    <s v="Note"/>
    <s v="2-Year"/>
    <n v="1.06"/>
    <n v="1.119"/>
    <n v="0.95"/>
    <n v="2.68"/>
    <n v="1263977800"/>
    <n v="112074310000"/>
    <n v="41419804000"/>
    <n v="530202500"/>
    <n v="1440000000"/>
    <n v="2492000000"/>
    <n v="19527960000"/>
    <n v="81556000000"/>
    <n v="20451844000"/>
    <n v="28026310000"/>
    <n v="0.16900000000000004"/>
    <n v="43213984300"/>
  </r>
  <r>
    <x v="74"/>
    <s v="912828LK4"/>
    <s v="Note"/>
    <s v="5-Year"/>
    <n v="2.419"/>
    <n v="2.4940000000000002"/>
    <n v="2.31"/>
    <n v="2.5099999999999998"/>
    <n v="1173693500"/>
    <n v="97560200000"/>
    <n v="38864475000"/>
    <n v="135527900"/>
    <n v="1142000000"/>
    <n v="1857000000"/>
    <n v="15790275000"/>
    <n v="67077000000"/>
    <n v="21932200000"/>
    <n v="28626200000"/>
    <n v="0.18400000000000016"/>
    <n v="40173696400"/>
  </r>
  <r>
    <x v="75"/>
    <s v="912828LL2"/>
    <s v="Note"/>
    <s v="7-Year"/>
    <n v="3.0139999999999998"/>
    <n v="3.0920000000000001"/>
    <n v="2.97"/>
    <n v="2.74"/>
    <n v="842651700"/>
    <n v="76669550000"/>
    <n v="27947089000"/>
    <n v="52942500"/>
    <n v="575000000"/>
    <n v="1305000000"/>
    <n v="10270000000"/>
    <n v="51360000000"/>
    <n v="17102089000"/>
    <n v="24004550000"/>
    <n v="0.12199999999999989"/>
    <n v="28842683200"/>
  </r>
  <r>
    <x v="76"/>
    <s v="912828LM0"/>
    <s v="Note"/>
    <s v="3-Year"/>
    <n v="1.43"/>
    <n v="1.4870000000000001"/>
    <n v="1.35"/>
    <n v="3.02"/>
    <n v="80342900"/>
    <n v="114756400000"/>
    <n v="37819000000"/>
    <n v="81006300"/>
    <n v="1236800000"/>
    <n v="2366800000"/>
    <n v="16073600000"/>
    <n v="81049000000"/>
    <n v="20508600000"/>
    <n v="31340600000"/>
    <n v="0.13700000000000001"/>
    <n v="37980349200"/>
  </r>
  <r>
    <x v="77"/>
    <s v="912828LJ7"/>
    <s v="Note"/>
    <s v="9-Year 11-Month"/>
    <n v="3.45"/>
    <n v="3.51"/>
    <n v="3.34"/>
    <n v="2.77"/>
    <n v="42285700"/>
    <n v="55270500000"/>
    <n v="19854240000"/>
    <n v="45776500"/>
    <n v="545760000"/>
    <n v="1319000000"/>
    <n v="8319200000"/>
    <n v="38592000000"/>
    <n v="10989280000"/>
    <n v="15359500000"/>
    <n v="0.16999999999999993"/>
    <n v="19942302200"/>
  </r>
  <r>
    <x v="78"/>
    <s v="912810QC5"/>
    <s v="Bond"/>
    <s v="29-Year 11-Month"/>
    <n v="4.21"/>
    <n v="4.2380000000000004"/>
    <n v="4.0999999999999996"/>
    <n v="2.92"/>
    <n v="25371400"/>
    <n v="34971900000"/>
    <n v="11980450000"/>
    <n v="19613600"/>
    <n v="239000000"/>
    <n v="728000000"/>
    <n v="6174000000"/>
    <n v="22547000000"/>
    <n v="5567450000"/>
    <n v="11696900000"/>
    <n v="0.13800000000000079"/>
    <n v="12025435000"/>
  </r>
  <r>
    <x v="79"/>
    <s v="912828LW8"/>
    <s v="Note"/>
    <s v="2-Year"/>
    <n v="0.99"/>
    <n v="1.034"/>
    <n v="0.92"/>
    <n v="3.23"/>
    <n v="761655200"/>
    <n v="138305650000"/>
    <n v="42466030000"/>
    <n v="433978000"/>
    <n v="5025000000"/>
    <n v="8880000000"/>
    <n v="18261380000"/>
    <n v="95562000000"/>
    <n v="19179650000"/>
    <n v="33863650000"/>
    <n v="0.11399999999999999"/>
    <n v="43661663200"/>
  </r>
  <r>
    <x v="80"/>
    <s v="912828LQ1"/>
    <s v="Note"/>
    <s v="5-Year"/>
    <n v="2.39"/>
    <n v="2.4700000000000002"/>
    <n v="2.2949999999999999"/>
    <n v="2.4"/>
    <n v="708516400"/>
    <n v="95814600000"/>
    <n v="39832906800"/>
    <n v="117122600"/>
    <n v="4333000000"/>
    <n v="5198000000"/>
    <n v="17650206800"/>
    <n v="68081000000"/>
    <n v="17849700000"/>
    <n v="22535600000"/>
    <n v="0.17500000000000027"/>
    <n v="40658545800"/>
  </r>
  <r>
    <x v="81"/>
    <s v="912828LP3"/>
    <s v="Note"/>
    <s v="7-Year"/>
    <n v="2.9369999999999998"/>
    <n v="3.0049999999999999"/>
    <n v="2.85"/>
    <n v="2.79"/>
    <n v="513674400"/>
    <n v="80779700000"/>
    <n v="28960497000"/>
    <n v="39507000"/>
    <n v="1823022000"/>
    <n v="4018000000"/>
    <n v="9270220000"/>
    <n v="53660000000"/>
    <n v="17867255000"/>
    <n v="23101700000"/>
    <n v="0.1549999999999998"/>
    <n v="29513678400"/>
  </r>
  <r>
    <x v="82"/>
    <s v="912828LR9"/>
    <s v="Note"/>
    <s v="3-Year"/>
    <n v="1.387"/>
    <n v="1.4450000000000001"/>
    <n v="1.32"/>
    <n v="2.76"/>
    <n v="305000200"/>
    <n v="107453600000"/>
    <n v="38828362000"/>
    <n v="71644800"/>
    <n v="4242196000"/>
    <n v="6442000000"/>
    <n v="15537960000"/>
    <n v="75454000000"/>
    <n v="19048206000"/>
    <n v="25557600000"/>
    <n v="0.125"/>
    <n v="39205007000"/>
  </r>
  <r>
    <x v="83"/>
    <s v="912828LJ7"/>
    <s v="Note"/>
    <s v="9-Year 10-Month"/>
    <n v="3.1669999999999998"/>
    <n v="3.21"/>
    <n v="3.09"/>
    <n v="3.01"/>
    <n v="156410200"/>
    <n v="60122600000"/>
    <n v="19858112000"/>
    <n v="41921000"/>
    <n v="1008038500"/>
    <n v="2892400000"/>
    <n v="9430311500"/>
    <n v="42932100000"/>
    <n v="9419762000"/>
    <n v="14298100000"/>
    <n v="0.12000000000000011"/>
    <n v="20056443200"/>
  </r>
  <r>
    <x v="84"/>
    <s v="912810QC5"/>
    <s v="Bond"/>
    <s v="29-Year 10-Month"/>
    <n v="3.93"/>
    <n v="4.0090000000000003"/>
    <n v="3.8250000000000002"/>
    <n v="2.37"/>
    <n v="93846100"/>
    <n v="28422100000"/>
    <n v="11981124000"/>
    <n v="18882700"/>
    <n v="1022000000"/>
    <n v="1510000000"/>
    <n v="6825259000"/>
    <n v="20657000000"/>
    <n v="4133865000"/>
    <n v="6255100000"/>
    <n v="0.18400000000000016"/>
    <n v="12093852800"/>
  </r>
  <r>
    <x v="85"/>
    <s v="912828LT5"/>
    <s v="Note"/>
    <s v="2-Year"/>
    <n v="0.98"/>
    <n v="1.02"/>
    <n v="0.8"/>
    <n v="3.63"/>
    <n v="1084753400"/>
    <n v="159338050000"/>
    <n v="43463337100"/>
    <n v="437129800"/>
    <n v="11360316100"/>
    <n v="14854000000"/>
    <n v="12783446000"/>
    <n v="103942000000"/>
    <n v="19319575000"/>
    <n v="40542050000"/>
    <n v="0.21999999999999997"/>
    <n v="44985220300"/>
  </r>
  <r>
    <x v="86"/>
    <s v="912828LS7"/>
    <s v="Note"/>
    <s v="5-Year"/>
    <n v="2.2999999999999998"/>
    <n v="2.3879999999999999"/>
    <n v="2.14"/>
    <n v="2.63"/>
    <n v="1010792700"/>
    <n v="107783600000"/>
    <n v="40878005000"/>
    <n v="121996500"/>
    <n v="1218000000"/>
    <n v="2928000000"/>
    <n v="17278405000"/>
    <n v="76066000000"/>
    <n v="22381600000"/>
    <n v="28789600000"/>
    <n v="0.24799999999999978"/>
    <n v="42010794200"/>
  </r>
  <r>
    <x v="87"/>
    <s v="912828LU2"/>
    <s v="Note"/>
    <s v="7-Year"/>
    <n v="3.02"/>
    <n v="3.141"/>
    <n v="2.85"/>
    <n v="2.65"/>
    <n v="764257900"/>
    <n v="82172200000"/>
    <n v="30966150000"/>
    <n v="33855000"/>
    <n v="1119000000"/>
    <n v="1894000000"/>
    <n v="11476950000"/>
    <n v="58143000000"/>
    <n v="18370200000"/>
    <n v="22135200000"/>
    <n v="0.29099999999999993"/>
    <n v="31764262900"/>
  </r>
  <r>
    <x v="88"/>
    <s v="912828LX6"/>
    <s v="Note"/>
    <s v="3-Year"/>
    <n v="1.37"/>
    <n v="1.4039999999999999"/>
    <n v="1.25"/>
    <n v="3.33"/>
    <n v="4973253400"/>
    <n v="132947600000"/>
    <n v="39724600000"/>
    <n v="175856200"/>
    <n v="2993000000"/>
    <n v="9115000000"/>
    <n v="9501700000"/>
    <n v="85851700000"/>
    <n v="27229900000"/>
    <n v="37980900000"/>
    <n v="0.15399999999999991"/>
    <n v="44873709600"/>
  </r>
  <r>
    <x v="89"/>
    <s v="912828LY4"/>
    <s v="Note"/>
    <s v="10-Year"/>
    <n v="3.42"/>
    <n v="3.47"/>
    <n v="3.25"/>
    <n v="2.81"/>
    <n v="3108283300"/>
    <n v="69928600000"/>
    <n v="24794093800"/>
    <n v="106016800"/>
    <n v="1120124500"/>
    <n v="2731000000"/>
    <n v="11942474000"/>
    <n v="49503000000"/>
    <n v="11731495300"/>
    <n v="17694600000"/>
    <n v="0.2200000000000002"/>
    <n v="28008393900"/>
  </r>
  <r>
    <x v="90"/>
    <s v="912810QD3"/>
    <s v="Bond"/>
    <s v="30-Year"/>
    <n v="4.3879999999999999"/>
    <n v="4.4690000000000003"/>
    <n v="4.2839999999999998"/>
    <n v="2.2599999999999998"/>
    <n v="1989301300"/>
    <n v="36122450000"/>
    <n v="15972237100"/>
    <n v="27765700"/>
    <n v="1932180100"/>
    <n v="2475000000"/>
    <n v="7009957000"/>
    <n v="24912350000"/>
    <n v="7030100000"/>
    <n v="8735100000"/>
    <n v="0.1850000000000005"/>
    <n v="17989304100"/>
  </r>
  <r>
    <x v="91"/>
    <s v="912828MM9"/>
    <s v="Note"/>
    <s v="2-Year"/>
    <n v="0.77"/>
    <n v="0.80200000000000005"/>
    <n v="0.65500000000000003"/>
    <n v="3.16"/>
    <n v="1321280900"/>
    <n v="138468070000"/>
    <n v="43483420000"/>
    <n v="416622200"/>
    <n v="2037000000"/>
    <n v="5337000000"/>
    <n v="22082350000"/>
    <n v="99237000000"/>
    <n v="19364070000"/>
    <n v="33894070000"/>
    <n v="0.14700000000000002"/>
    <n v="45221323100"/>
  </r>
  <r>
    <x v="92"/>
    <s v="912828LZ1"/>
    <s v="Note"/>
    <s v="5-Year"/>
    <n v="2.1"/>
    <n v="2.1749999999999998"/>
    <n v="1.94"/>
    <n v="2.81"/>
    <n v="1261222600"/>
    <n v="117872100000"/>
    <n v="41831884000"/>
    <n v="118188500"/>
    <n v="1198000000"/>
    <n v="5160000000"/>
    <n v="15146360000"/>
    <n v="77754000000"/>
    <n v="25487524000"/>
    <n v="34958100000"/>
    <n v="0.23499999999999988"/>
    <n v="43211295100"/>
  </r>
  <r>
    <x v="93"/>
    <s v="912828MA5"/>
    <s v="Note"/>
    <s v="7-Year"/>
    <n v="2.75"/>
    <n v="2.835"/>
    <n v="2.65"/>
    <n v="2.76"/>
    <n v="960931500"/>
    <n v="88241700000"/>
    <n v="31976388000"/>
    <n v="23657800"/>
    <n v="3073000000"/>
    <n v="4730000000"/>
    <n v="8922950000"/>
    <n v="57753000000"/>
    <n v="19980438000"/>
    <n v="25758700000"/>
    <n v="0.18500000000000005"/>
    <n v="32960977300"/>
  </r>
  <r>
    <x v="94"/>
    <s v="912828MB3"/>
    <s v="Note"/>
    <s v="3-Year"/>
    <n v="1.167"/>
    <n v="1.2230000000000001"/>
    <n v="1.03"/>
    <n v="2.98"/>
    <n v="215135200"/>
    <n v="119155500000"/>
    <n v="39825400000"/>
    <n v="74604000"/>
    <n v="1173000000"/>
    <n v="4021000000"/>
    <n v="14407200000"/>
    <n v="83102000000"/>
    <n v="24245200000"/>
    <n v="32032500000"/>
    <n v="0.19300000000000006"/>
    <n v="40115139200"/>
  </r>
  <r>
    <x v="95"/>
    <s v="912828LY4"/>
    <s v="Note"/>
    <s v="9-Year 11-Month"/>
    <n v="3.36"/>
    <n v="3.448"/>
    <n v="3.3"/>
    <n v="2.62"/>
    <n v="112945900"/>
    <n v="55017600000"/>
    <n v="20954820000"/>
    <n v="45201400"/>
    <n v="1875000000"/>
    <n v="2755000000"/>
    <n v="11766020000"/>
    <n v="39146000000"/>
    <n v="7313800000"/>
    <n v="13116600000"/>
    <n v="0.14800000000000013"/>
    <n v="21112967300"/>
  </r>
  <r>
    <x v="96"/>
    <s v="912810QD3"/>
    <s v="Bond"/>
    <s v="29-Year 11-Month"/>
    <n v="4.42"/>
    <n v="4.5199999999999996"/>
    <n v="4.3099999999999996"/>
    <n v="2.4500000000000002"/>
    <n v="69918900"/>
    <n v="31812260000"/>
    <n v="12981895000"/>
    <n v="18139500"/>
    <n v="902062000"/>
    <n v="1993000000"/>
    <n v="6866426000"/>
    <n v="22818000000"/>
    <n v="5213407000"/>
    <n v="7001260000"/>
    <n v="0.20999999999999996"/>
    <n v="13069953400"/>
  </r>
  <r>
    <x v="97"/>
    <s v="912828ML1"/>
    <s v="Note"/>
    <s v="2-Year"/>
    <n v="1.04"/>
    <n v="1.089"/>
    <n v="0.96299999999999997"/>
    <n v="2.91"/>
    <n v="1304048200"/>
    <n v="127656700000"/>
    <n v="43627860000"/>
    <n v="372184500"/>
    <n v="8494000000"/>
    <n v="12039000000"/>
    <n v="19954360000"/>
    <n v="92180000000"/>
    <n v="15179500000"/>
    <n v="23437700000"/>
    <n v="0.126"/>
    <n v="45304092700"/>
  </r>
  <r>
    <x v="98"/>
    <s v="912828ME7"/>
    <s v="Note"/>
    <s v="5-Year"/>
    <n v="2.6"/>
    <n v="2.665"/>
    <n v="2.5379999999999998"/>
    <n v="2.59"/>
    <n v="1244773200"/>
    <n v="108574100000"/>
    <n v="41890770000"/>
    <n v="109266500"/>
    <n v="5457370000"/>
    <n v="7101000000"/>
    <n v="17995580000"/>
    <n v="75720000000"/>
    <n v="18437820000"/>
    <n v="25753100000"/>
    <n v="0.12700000000000022"/>
    <n v="43244809700"/>
  </r>
  <r>
    <x v="99"/>
    <s v="912828MD9"/>
    <s v="Note"/>
    <s v="7-Year"/>
    <n v="3.29"/>
    <n v="3.3450000000000002"/>
    <n v="3.2"/>
    <n v="2.72"/>
    <n v="948398600"/>
    <n v="86860452000"/>
    <n v="31947974000"/>
    <n v="52063100"/>
    <n v="2113784500"/>
    <n v="3901000000"/>
    <n v="15563767500"/>
    <n v="63093000000"/>
    <n v="14270422000"/>
    <n v="19866452000"/>
    <n v="0.14500000000000002"/>
    <n v="32948435700"/>
  </r>
  <r>
    <x v="100"/>
    <s v="912828MG2"/>
    <s v="Note"/>
    <s v="3-Year"/>
    <n v="1.452"/>
    <n v="1.49"/>
    <n v="1.3879999999999999"/>
    <n v="2.98"/>
    <n v="1553093000"/>
    <n v="118934400000"/>
    <n v="39918320000"/>
    <n v="81871000"/>
    <n v="9342000000"/>
    <n v="15229000000"/>
    <n v="15406200000"/>
    <n v="82866000000"/>
    <n v="15170120000"/>
    <n v="20839400000"/>
    <n v="0.10200000000000009"/>
    <n v="41553284000"/>
  </r>
  <r>
    <x v="101"/>
    <s v="912828LY4"/>
    <s v="Note"/>
    <s v="9-Year 10-Month"/>
    <n v="3.7"/>
    <n v="3.754"/>
    <n v="3.6179999999999999"/>
    <n v="3"/>
    <n v="815373700"/>
    <n v="62752620000"/>
    <n v="20833507500"/>
    <n v="66506500"/>
    <n v="3606000000"/>
    <n v="7165000000"/>
    <n v="11182387500"/>
    <n v="44168000000"/>
    <n v="6045120000"/>
    <n v="11419620000"/>
    <n v="0.13600000000000012"/>
    <n v="21715387700"/>
  </r>
  <r>
    <x v="102"/>
    <s v="912810QD3"/>
    <s v="Bond"/>
    <s v="29-Year 10-Month"/>
    <n v="4.6070000000000002"/>
    <n v="4.6399999999999997"/>
    <n v="4.5"/>
    <n v="2.68"/>
    <n v="504755100"/>
    <n v="34876450000"/>
    <n v="12982574200"/>
    <n v="17459900"/>
    <n v="636337600"/>
    <n v="2404100000"/>
    <n v="7058196500"/>
    <n v="23876300000"/>
    <n v="5288040100"/>
    <n v="8596050000"/>
    <n v="0.13999999999999968"/>
    <n v="13504789200"/>
  </r>
  <r>
    <x v="103"/>
    <s v="912828MJ6"/>
    <s v="Note"/>
    <s v="2-Year"/>
    <n v="0.83799999999999997"/>
    <n v="0.88"/>
    <n v="0.73799999999999999"/>
    <n v="3.13"/>
    <n v="716982800"/>
    <n v="137039000000"/>
    <n v="43494455000"/>
    <n v="455599800"/>
    <n v="4685395000"/>
    <n v="10496000000"/>
    <n v="20057085000"/>
    <n v="94501000000"/>
    <n v="18751975000"/>
    <n v="32042000000"/>
    <n v="0.14200000000000002"/>
    <n v="44667037600"/>
  </r>
  <r>
    <x v="104"/>
    <s v="912828MH0"/>
    <s v="Note"/>
    <s v="5-Year"/>
    <n v="2.3199999999999998"/>
    <n v="2.37"/>
    <n v="2.25"/>
    <n v="2.8"/>
    <n v="684392400"/>
    <n v="117652900000"/>
    <n v="41895838000"/>
    <n v="104171400"/>
    <n v="3119790500"/>
    <n v="8471500000"/>
    <n v="16585545000"/>
    <n v="80610000000"/>
    <n v="22190502500"/>
    <n v="28571400000"/>
    <n v="0.12000000000000011"/>
    <n v="42684401800"/>
  </r>
  <r>
    <x v="105"/>
    <s v="912828MK3"/>
    <s v="Note"/>
    <s v="7-Year"/>
    <n v="3.09"/>
    <n v="3.1269999999999998"/>
    <n v="2.97"/>
    <n v="2.85"/>
    <n v="521441800"/>
    <n v="91316375000"/>
    <n v="31976347000"/>
    <n v="23676900"/>
    <n v="3775300000"/>
    <n v="8400300000"/>
    <n v="11874660000"/>
    <n v="61448000000"/>
    <n v="16326387000"/>
    <n v="21468075000"/>
    <n v="0.15699999999999958"/>
    <n v="32521465700"/>
  </r>
  <r>
    <x v="106"/>
    <s v="912828MN7"/>
    <s v="Note"/>
    <s v="3-Year"/>
    <n v="1.3069999999999999"/>
    <n v="1.377"/>
    <n v="1.2"/>
    <n v="2.83"/>
    <n v="4491922600"/>
    <n v="113008800000"/>
    <n v="39793300000"/>
    <n v="156714800"/>
    <n v="4009000000"/>
    <n v="12393000000"/>
    <n v="15416500000"/>
    <n v="76918000000"/>
    <n v="20367800000"/>
    <n v="23697800000"/>
    <n v="0.17700000000000005"/>
    <n v="44441937400"/>
  </r>
  <r>
    <x v="107"/>
    <s v="912828MP2"/>
    <s v="Note"/>
    <s v="10-Year"/>
    <n v="3.64"/>
    <n v="3.6920000000000002"/>
    <n v="3.5369999999999999"/>
    <n v="2.67"/>
    <n v="2807451500"/>
    <n v="66593200000"/>
    <n v="24755125000"/>
    <n v="119881500"/>
    <n v="3219000000"/>
    <n v="7289000000"/>
    <n v="13320000000"/>
    <n v="46900000000"/>
    <n v="8216125000"/>
    <n v="12404200000"/>
    <n v="0.15500000000000025"/>
    <n v="27682458000"/>
  </r>
  <r>
    <x v="108"/>
    <s v="912810QE1"/>
    <s v="Bond"/>
    <s v="30-Year"/>
    <n v="4.6399999999999997"/>
    <n v="4.72"/>
    <n v="4.5359999999999996"/>
    <n v="2.36"/>
    <n v="1796768900"/>
    <n v="37738200000"/>
    <n v="15980095700"/>
    <n v="19911300"/>
    <n v="3847481400"/>
    <n v="5918250000"/>
    <n v="7573590500"/>
    <n v="25232000000"/>
    <n v="4559023800"/>
    <n v="6587950000"/>
    <n v="0.18400000000000016"/>
    <n v="17796775900"/>
  </r>
  <r>
    <x v="109"/>
    <s v="912828MQ0"/>
    <s v="Note"/>
    <s v="2-Year"/>
    <n v="0.86499999999999999"/>
    <n v="0.89500000000000002"/>
    <n v="0.8"/>
    <n v="3.33"/>
    <n v="1081378100"/>
    <n v="146130000000"/>
    <n v="43558832500"/>
    <n v="391172800"/>
    <n v="3572000000"/>
    <n v="14289000000"/>
    <n v="16654832500"/>
    <n v="96000000000"/>
    <n v="23332000000"/>
    <n v="35841000000"/>
    <n v="9.4999999999999973E-2"/>
    <n v="45031383400"/>
  </r>
  <r>
    <x v="110"/>
    <s v="912828MR8"/>
    <s v="Note"/>
    <s v="5-Year"/>
    <n v="2.3479999999999999"/>
    <n v="2.395"/>
    <n v="2.2799999999999998"/>
    <n v="2.75"/>
    <n v="1032224300"/>
    <n v="115212780000"/>
    <n v="41822967500"/>
    <n v="127068100"/>
    <n v="5373195000"/>
    <n v="13141780000"/>
    <n v="19580565000"/>
    <n v="80105000000"/>
    <n v="16869207500"/>
    <n v="21966000000"/>
    <n v="0.11500000000000021"/>
    <n v="42982259900"/>
  </r>
  <r>
    <x v="111"/>
    <s v="912828MS6"/>
    <s v="Note"/>
    <s v="7-Year"/>
    <n v="3.05"/>
    <n v="3.0779999999999998"/>
    <n v="2.9"/>
    <n v="2.98"/>
    <n v="786456600"/>
    <n v="95384980000"/>
    <n v="31964824000"/>
    <n v="35188700"/>
    <n v="5505680000"/>
    <n v="12482680000"/>
    <n v="13569000000"/>
    <n v="65176000000"/>
    <n v="12890144000"/>
    <n v="17726300000"/>
    <n v="0.17799999999999994"/>
    <n v="32786469300"/>
  </r>
  <r>
    <x v="112"/>
    <s v="912828MT4"/>
    <s v="Note"/>
    <s v="3-Year"/>
    <n v="1.403"/>
    <n v="1.4370000000000001"/>
    <n v="1.34"/>
    <n v="3.13"/>
    <n v="473243300"/>
    <n v="124898700000"/>
    <n v="39829538000"/>
    <n v="70478000"/>
    <n v="4119000000"/>
    <n v="13571000000"/>
    <n v="15060338000"/>
    <n v="84038000000"/>
    <n v="20650200000"/>
    <n v="27289700000"/>
    <n v="9.6999999999999975E-2"/>
    <n v="40373259300"/>
  </r>
  <r>
    <x v="113"/>
    <s v="912828MP2"/>
    <s v="Note"/>
    <s v="9-Year 11-Month"/>
    <n v="3.7"/>
    <n v="3.7349999999999999"/>
    <n v="3.6360000000000001"/>
    <n v="3.45"/>
    <n v="248452700"/>
    <n v="72295990000"/>
    <n v="20829510800"/>
    <n v="70503000"/>
    <n v="3653110800"/>
    <n v="8401000000"/>
    <n v="9857410000"/>
    <n v="49661000000"/>
    <n v="7318990000"/>
    <n v="14233990000"/>
    <n v="9.8999999999999755E-2"/>
    <n v="21148466500"/>
  </r>
  <r>
    <x v="114"/>
    <s v="912810QE1"/>
    <s v="Bond"/>
    <s v="29-Year 11-Month"/>
    <n v="4.6449999999999996"/>
    <n v="4.6790000000000003"/>
    <n v="4.58"/>
    <n v="2.89"/>
    <n v="153804000"/>
    <n v="37595800000"/>
    <n v="12978916000"/>
    <n v="21087100"/>
    <n v="3848000000"/>
    <n v="6576000000"/>
    <n v="6026600000"/>
    <n v="24033200000"/>
    <n v="3104316000"/>
    <n v="6986600000"/>
    <n v="9.9000000000000199E-2"/>
    <n v="13153807100"/>
  </r>
  <r>
    <x v="115"/>
    <s v="912828MU1"/>
    <s v="Note"/>
    <s v="2-Year"/>
    <n v="0.96"/>
    <n v="1"/>
    <n v="0.89100000000000001"/>
    <n v="3"/>
    <n v="1488393700"/>
    <n v="131644400000"/>
    <n v="43517432000"/>
    <n v="457708900"/>
    <n v="6007064000"/>
    <n v="16129000000"/>
    <n v="22374000000"/>
    <n v="92660000000"/>
    <n v="15136368000"/>
    <n v="22855400000"/>
    <n v="0.10899999999999999"/>
    <n v="45463534600"/>
  </r>
  <r>
    <x v="116"/>
    <s v="912828MW7"/>
    <s v="Note"/>
    <s v="5-Year"/>
    <n v="2.5390000000000001"/>
    <n v="2.605"/>
    <n v="2.4500000000000002"/>
    <n v="2.5499999999999998"/>
    <n v="1420739300"/>
    <n v="107078830000"/>
    <n v="41854341000"/>
    <n v="120693600"/>
    <n v="4502000000"/>
    <n v="10927000000"/>
    <n v="20754661000"/>
    <n v="77256000000"/>
    <n v="16597680000"/>
    <n v="18895830000"/>
    <n v="0.1549999999999998"/>
    <n v="43395773900"/>
  </r>
  <r>
    <x v="117"/>
    <s v="912828MV9"/>
    <s v="Note"/>
    <s v="7-Year"/>
    <n v="3.2890000000000001"/>
    <n v="3.3740000000000001"/>
    <n v="3.2290000000000001"/>
    <n v="2.61"/>
    <n v="1082468000"/>
    <n v="83323100000"/>
    <n v="31954140000"/>
    <n v="45864700"/>
    <n v="2593000000"/>
    <n v="7968000000"/>
    <n v="15982000000"/>
    <n v="59057000000"/>
    <n v="13379140000"/>
    <n v="16298100000"/>
    <n v="0.14500000000000002"/>
    <n v="33082472700"/>
  </r>
  <r>
    <x v="118"/>
    <s v="912828MX5"/>
    <s v="Note"/>
    <s v="3-Year"/>
    <n v="1.72"/>
    <n v="1.776"/>
    <n v="1.67"/>
    <n v="3.1"/>
    <n v="2928158500"/>
    <n v="123957400100"/>
    <n v="39941588000"/>
    <n v="58414700"/>
    <n v="4293188000"/>
    <n v="13848000000"/>
    <n v="14780000000"/>
    <n v="80000000100"/>
    <n v="20868400000"/>
    <n v="30109400000"/>
    <n v="0.10600000000000009"/>
    <n v="42928161200"/>
  </r>
  <r>
    <x v="119"/>
    <s v="912828MP2"/>
    <s v="Note"/>
    <s v="9-Year 10-Month"/>
    <n v="3.8740000000000001"/>
    <n v="3.9"/>
    <n v="3.82"/>
    <n v="3.72"/>
    <n v="1537283200"/>
    <n v="77973340100"/>
    <n v="20897524100"/>
    <n v="102734600"/>
    <n v="3410825200"/>
    <n v="10336000000"/>
    <n v="8477492000"/>
    <n v="48756000100"/>
    <n v="9009206900"/>
    <n v="18881340000"/>
    <n v="8.0000000000000071E-2"/>
    <n v="22537541900"/>
  </r>
  <r>
    <x v="120"/>
    <s v="912810QE1"/>
    <s v="Bond"/>
    <s v="29-Year 10-Month"/>
    <n v="4.7279999999999998"/>
    <n v="4.7699999999999996"/>
    <n v="4.6500000000000004"/>
    <n v="2.73"/>
    <n v="951651500"/>
    <n v="35459400100"/>
    <n v="12986601600"/>
    <n v="13408700"/>
    <n v="3308597600"/>
    <n v="5791000000"/>
    <n v="4893032000"/>
    <n v="21535400100"/>
    <n v="4784972000"/>
    <n v="8133000000"/>
    <n v="0.11999999999999922"/>
    <n v="13951661800"/>
  </r>
  <r>
    <x v="121"/>
    <s v="912828NB2"/>
    <s v="Note"/>
    <s v="2-Year"/>
    <n v="0.98"/>
    <n v="1.024"/>
    <n v="0.91"/>
    <n v="3.03"/>
    <n v="938604100"/>
    <n v="132661500000"/>
    <n v="43531285000"/>
    <n v="468743700"/>
    <n v="9315000000"/>
    <n v="19247000000"/>
    <n v="20704660000"/>
    <n v="93473000000"/>
    <n v="13511625000"/>
    <n v="19941500000"/>
    <n v="0.11399999999999999"/>
    <n v="44938632800"/>
  </r>
  <r>
    <x v="122"/>
    <s v="912828MZ0"/>
    <s v="Note"/>
    <s v="5-Year"/>
    <n v="2.488"/>
    <n v="2.54"/>
    <n v="2.42"/>
    <n v="2.75"/>
    <n v="895940000"/>
    <n v="115289600000"/>
    <n v="41872392000"/>
    <n v="127631300"/>
    <n v="6001056000"/>
    <n v="14077000000"/>
    <n v="15385280000"/>
    <n v="75944000000"/>
    <n v="20486056000"/>
    <n v="25268600000"/>
    <n v="0.12000000000000011"/>
    <n v="42895963300"/>
  </r>
  <r>
    <x v="123"/>
    <s v="912828NA4"/>
    <s v="Note"/>
    <s v="7-Year"/>
    <n v="3.14"/>
    <n v="3.21"/>
    <n v="3.0960000000000001"/>
    <n v="2.82"/>
    <n v="682620900"/>
    <n v="90290500000"/>
    <n v="31964144200"/>
    <n v="35896800"/>
    <n v="3902316200"/>
    <n v="10124000000"/>
    <n v="9041842500"/>
    <n v="56654000000"/>
    <n v="19019985500"/>
    <n v="23512500000"/>
    <n v="0.11399999999999988"/>
    <n v="32682661900"/>
  </r>
  <r>
    <x v="124"/>
    <s v="912828NC0"/>
    <s v="Note"/>
    <s v="3-Year"/>
    <n v="1.37"/>
    <n v="1.4139999999999999"/>
    <n v="1.3069999999999999"/>
    <n v="3.27"/>
    <n v="3311833500"/>
    <n v="123890700000"/>
    <n v="37773880000"/>
    <n v="226150000"/>
    <n v="6246000000"/>
    <n v="15226000000"/>
    <n v="12361080000"/>
    <n v="82437000000"/>
    <n v="19166800000"/>
    <n v="26227700000"/>
    <n v="0.10699999999999998"/>
    <n v="41311863500"/>
  </r>
  <r>
    <x v="125"/>
    <s v="912828ND8"/>
    <s v="Note"/>
    <s v="10-Year"/>
    <n v="3.51"/>
    <n v="3.548"/>
    <n v="3.4380000000000002"/>
    <n v="2.96"/>
    <n v="2091684300"/>
    <n v="70910200000"/>
    <n v="23862765500"/>
    <n v="137237300"/>
    <n v="5955682500"/>
    <n v="11269500000"/>
    <n v="7919637500"/>
    <n v="44086000000"/>
    <n v="9987445500"/>
    <n v="15554700000"/>
    <n v="0.10999999999999988"/>
    <n v="26091687100"/>
  </r>
  <r>
    <x v="126"/>
    <s v="912810QH4"/>
    <s v="Bond"/>
    <s v="30-Year"/>
    <n v="4.4379999999999997"/>
    <n v="4.49"/>
    <n v="4.3559999999999999"/>
    <n v="2.6"/>
    <n v="1394456200"/>
    <n v="41560850000"/>
    <n v="15970444200"/>
    <n v="29612400"/>
    <n v="3486721000"/>
    <n v="5775000000"/>
    <n v="7291263000"/>
    <n v="27201000000"/>
    <n v="5192460200"/>
    <n v="8584850000"/>
    <n v="0.13400000000000034"/>
    <n v="17394512800"/>
  </r>
  <r>
    <x v="127"/>
    <s v="912828NE6"/>
    <s v="Note"/>
    <s v="2-Year"/>
    <n v="0.73"/>
    <n v="0.76900000000000002"/>
    <n v="0.66"/>
    <n v="2.93"/>
    <n v="912662600"/>
    <n v="122532000000"/>
    <n v="41515725000"/>
    <n v="484409600"/>
    <n v="6300030000"/>
    <n v="15752000000"/>
    <n v="20178610000"/>
    <n v="87502500000"/>
    <n v="15037085000"/>
    <n v="19277500000"/>
    <n v="0.10899999999999999"/>
    <n v="42912797200"/>
  </r>
  <r>
    <x v="128"/>
    <s v="912828NF3"/>
    <s v="Note"/>
    <s v="5-Year"/>
    <n v="2.0699999999999998"/>
    <n v="2.13"/>
    <n v="1.98"/>
    <n v="2.71"/>
    <n v="869202400"/>
    <n v="108222674000"/>
    <n v="39854633000"/>
    <n v="145377000"/>
    <n v="5985060000"/>
    <n v="13997000000"/>
    <n v="17702442500"/>
    <n v="72999500000"/>
    <n v="16167130500"/>
    <n v="21226174000"/>
    <n v="0.14999999999999991"/>
    <n v="40869212400"/>
  </r>
  <r>
    <x v="129"/>
    <s v="912828NG1"/>
    <s v="Note"/>
    <s v="7-Year"/>
    <n v="2.75"/>
    <n v="2.8149999999999999"/>
    <n v="2.6819999999999999"/>
    <n v="2.88"/>
    <n v="673631800"/>
    <n v="89287650000"/>
    <n v="30970053000"/>
    <n v="29954200"/>
    <n v="3520298000"/>
    <n v="10822750000"/>
    <n v="11622279000"/>
    <n v="58316000000"/>
    <n v="15827476000"/>
    <n v="20148900000"/>
    <n v="0.13300000000000001"/>
    <n v="31673639000"/>
  </r>
  <r>
    <x v="130"/>
    <s v="912828NH9"/>
    <s v="Note"/>
    <s v="3-Year"/>
    <n v="1.1890000000000001"/>
    <n v="1.22"/>
    <n v="1.0980000000000001"/>
    <n v="3.23"/>
    <n v="207771500"/>
    <n v="116224500000"/>
    <n v="35923890000"/>
    <n v="76111500"/>
    <n v="5856387500"/>
    <n v="14574000000"/>
    <n v="13286840000"/>
    <n v="75542000000"/>
    <n v="16780662500"/>
    <n v="26108500000"/>
    <n v="0.12199999999999989"/>
    <n v="36207773000"/>
  </r>
  <r>
    <x v="131"/>
    <s v="912828ND8"/>
    <s v="Note"/>
    <s v="9-Year 11-Month"/>
    <n v="3.1989999999999998"/>
    <n v="3.242"/>
    <n v="3.0960000000000001"/>
    <n v="3.24"/>
    <n v="121200000"/>
    <n v="68024700000"/>
    <n v="20953737500"/>
    <n v="46310700"/>
    <n v="2825300000"/>
    <n v="8822300000"/>
    <n v="9714750000"/>
    <n v="44799000000"/>
    <n v="8413687500"/>
    <n v="14403400000"/>
    <n v="0.14599999999999991"/>
    <n v="21121248200"/>
  </r>
  <r>
    <x v="132"/>
    <s v="912810QH4"/>
    <s v="Bond"/>
    <s v="29-Year 11-Month"/>
    <n v="4.1399999999999997"/>
    <n v="4.1820000000000004"/>
    <n v="4.08"/>
    <n v="2.87"/>
    <n v="75028500"/>
    <n v="37308400000"/>
    <n v="12974030000"/>
    <n v="25970900"/>
    <n v="2634420000"/>
    <n v="5325000000"/>
    <n v="5665010000"/>
    <n v="24463800000"/>
    <n v="4674600000"/>
    <n v="7519600000"/>
    <n v="0.10200000000000031"/>
    <n v="13075029400"/>
  </r>
  <r>
    <x v="133"/>
    <s v="912828NS5"/>
    <s v="Note"/>
    <s v="2-Year"/>
    <n v="0.72"/>
    <n v="0.73799999999999999"/>
    <n v="0.64700000000000002"/>
    <n v="3.45"/>
    <n v="1157955700"/>
    <n v="137716600000"/>
    <n v="39567560000"/>
    <n v="432579900"/>
    <n v="8427620000"/>
    <n v="20782000000"/>
    <n v="14748340000"/>
    <n v="88936000000"/>
    <n v="16391600000"/>
    <n v="27998600000"/>
    <n v="9.099999999999997E-2"/>
    <n v="41158095600"/>
  </r>
  <r>
    <x v="134"/>
    <s v="912828NL0"/>
    <s v="Note"/>
    <s v="5-Year"/>
    <n v="1.925"/>
    <n v="1.9950000000000001"/>
    <n v="1.8"/>
    <n v="2.58"/>
    <n v="1100057700"/>
    <n v="97842300000"/>
    <n v="37876066000"/>
    <n v="124038300"/>
    <n v="4044180000"/>
    <n v="10315000000"/>
    <n v="20742070000"/>
    <n v="70757000000"/>
    <n v="13089816000"/>
    <n v="16770300000"/>
    <n v="0.19500000000000006"/>
    <n v="39100162000"/>
  </r>
  <r>
    <x v="135"/>
    <s v="912828NK2"/>
    <s v="Note"/>
    <s v="7-Year"/>
    <n v="2.5299999999999998"/>
    <n v="2.5750000000000002"/>
    <n v="2.3849999999999998"/>
    <n v="3.01"/>
    <n v="868466600"/>
    <n v="90403100000"/>
    <n v="29973625600"/>
    <n v="26385900"/>
    <n v="2942845000"/>
    <n v="8835000000"/>
    <n v="11745208000"/>
    <n v="59967000000"/>
    <n v="15285572600"/>
    <n v="21601100000"/>
    <n v="0.19000000000000039"/>
    <n v="30868478100"/>
  </r>
  <r>
    <x v="136"/>
    <s v="912828NN6"/>
    <s v="Note"/>
    <s v="3-Year"/>
    <n v="1.0189999999999999"/>
    <n v="1.0549999999999999"/>
    <n v="0.94699999999999995"/>
    <n v="3.2"/>
    <n v="9938400"/>
    <n v="111770450000"/>
    <n v="34940227000"/>
    <n v="59821700"/>
    <n v="4984150000"/>
    <n v="10967000000"/>
    <n v="15760547500"/>
    <n v="79865000000"/>
    <n v="14195529500"/>
    <n v="20938450000"/>
    <n v="0.10799999999999998"/>
    <n v="35009987100"/>
  </r>
  <r>
    <x v="137"/>
    <s v="912828ND8"/>
    <s v="Note"/>
    <s v="9-Year 10-Month"/>
    <n v="3.0710000000000002"/>
    <n v="3.1190000000000002"/>
    <n v="2.97"/>
    <n v="3.09"/>
    <n v="5962900"/>
    <n v="64944450000"/>
    <n v="20951325500"/>
    <n v="48677100"/>
    <n v="2048000000"/>
    <n v="6795000000"/>
    <n v="10175802500"/>
    <n v="44941000000"/>
    <n v="8727523000"/>
    <n v="13208450000"/>
    <n v="0.14900000000000002"/>
    <n v="21005965500"/>
  </r>
  <r>
    <x v="138"/>
    <s v="912810QH4"/>
    <s v="Bond"/>
    <s v="29-Year 10-Month"/>
    <n v="4.0389999999999997"/>
    <n v="4.08"/>
    <n v="3.97"/>
    <n v="2.89"/>
    <n v="3691300"/>
    <n v="37619800000"/>
    <n v="12985141500"/>
    <n v="14874300"/>
    <n v="2093261500"/>
    <n v="4795300000"/>
    <n v="6030859900"/>
    <n v="24090300000"/>
    <n v="4861020100"/>
    <n v="8734200000"/>
    <n v="0.10999999999999988"/>
    <n v="13003707100"/>
  </r>
  <r>
    <x v="139"/>
    <s v="912828NQ9"/>
    <s v="Note"/>
    <s v="2-Year"/>
    <n v="0.63900000000000001"/>
    <n v="0.66500000000000004"/>
    <n v="0.56999999999999995"/>
    <n v="3.33"/>
    <n v="1247784500"/>
    <n v="125944600000"/>
    <n v="37477680000"/>
    <n v="522435700"/>
    <n v="5055000000"/>
    <n v="16800500000"/>
    <n v="20121012500"/>
    <n v="90565000000"/>
    <n v="12301667500"/>
    <n v="18579100000"/>
    <n v="9.5000000000000084E-2"/>
    <n v="39247900200"/>
  </r>
  <r>
    <x v="140"/>
    <s v="912828NP1"/>
    <s v="Note"/>
    <s v="5-Year"/>
    <n v="1.75"/>
    <n v="1.796"/>
    <n v="1.69"/>
    <n v="3.06"/>
    <n v="1214948000"/>
    <n v="112971400000"/>
    <n v="36896905000"/>
    <n v="103150400"/>
    <n v="4190000000"/>
    <n v="13312000000"/>
    <n v="15262955000"/>
    <n v="74608000000"/>
    <n v="17443950000"/>
    <n v="25051400000"/>
    <n v="0.10600000000000009"/>
    <n v="38215003400"/>
  </r>
  <r>
    <x v="141"/>
    <s v="912828NR7"/>
    <s v="Note"/>
    <s v="7-Year"/>
    <n v="2.33"/>
    <n v="2.3940000000000001"/>
    <n v="2.2679999999999998"/>
    <n v="2.78"/>
    <n v="952256500"/>
    <n v="80410000000"/>
    <n v="28918027500"/>
    <n v="57017500"/>
    <n v="2601000000"/>
    <n v="8336000000"/>
    <n v="14098785000"/>
    <n v="56146000000"/>
    <n v="12218242500"/>
    <n v="15928000000"/>
    <n v="0.12600000000000033"/>
    <n v="29927301500"/>
  </r>
  <r>
    <x v="142"/>
    <s v="912828NU0"/>
    <s v="Note"/>
    <s v="3-Year"/>
    <n v="0.81499999999999995"/>
    <n v="0.84399999999999997"/>
    <n v="0.73799999999999999"/>
    <n v="3.31"/>
    <n v="2036029500"/>
    <n v="112423435000"/>
    <n v="33908375000"/>
    <n v="91682100"/>
    <n v="5350555000"/>
    <n v="14743555000"/>
    <n v="14823810000"/>
    <n v="78055000000"/>
    <n v="13734010000"/>
    <n v="19624880000"/>
    <n v="0.10599999999999998"/>
    <n v="36036086600"/>
  </r>
  <r>
    <x v="143"/>
    <s v="912828NT3"/>
    <s v="Note"/>
    <s v="10-Year"/>
    <n v="2.669"/>
    <n v="2.73"/>
    <n v="2.6"/>
    <n v="3.04"/>
    <n v="1437197100"/>
    <n v="72820240000"/>
    <n v="23824219500"/>
    <n v="125810700"/>
    <n v="2532513000"/>
    <n v="7936000000"/>
    <n v="10375725500"/>
    <n v="49067000000"/>
    <n v="10915981000"/>
    <n v="15817240000"/>
    <n v="0.12999999999999989"/>
    <n v="25387227300"/>
  </r>
  <r>
    <x v="144"/>
    <s v="912810QK7"/>
    <s v="Bond"/>
    <s v="30-Year"/>
    <n v="3.89"/>
    <n v="3.9540000000000002"/>
    <n v="3.8"/>
    <n v="2.77"/>
    <n v="958131400"/>
    <n v="44220460000"/>
    <n v="15946538000"/>
    <n v="53470900"/>
    <n v="2971000000"/>
    <n v="5937500000"/>
    <n v="5633578000"/>
    <n v="25072000000"/>
    <n v="7341960000"/>
    <n v="13210960000"/>
    <n v="0.15400000000000036"/>
    <n v="16958140300"/>
  </r>
  <r>
    <x v="145"/>
    <s v="912828PH7"/>
    <s v="Note"/>
    <s v="2-Year"/>
    <n v="0.48"/>
    <n v="0.498"/>
    <n v="0.39600000000000002"/>
    <n v="3.12"/>
    <n v="905909600"/>
    <n v="115091500000"/>
    <n v="36544452500"/>
    <n v="455620700"/>
    <n v="4411847500"/>
    <n v="13410000000"/>
    <n v="21445130000"/>
    <n v="84626000000"/>
    <n v="10687475000"/>
    <n v="17055500000"/>
    <n v="0.10199999999999998"/>
    <n v="37905982800"/>
  </r>
  <r>
    <x v="146"/>
    <s v="912828NV8"/>
    <s v="Note"/>
    <s v="5-Year"/>
    <n v="1.31"/>
    <n v="1.3740000000000001"/>
    <n v="1.25"/>
    <n v="2.83"/>
    <n v="881425400"/>
    <n v="101725900000"/>
    <n v="35839576500"/>
    <n v="110449500"/>
    <n v="3111831000"/>
    <n v="12686000000"/>
    <n v="14532845500"/>
    <n v="65360000000"/>
    <n v="18194900000"/>
    <n v="23679900000"/>
    <n v="0.12400000000000011"/>
    <n v="36831451400"/>
  </r>
  <r>
    <x v="147"/>
    <s v="912828NW6"/>
    <s v="Note"/>
    <s v="7-Year"/>
    <n v="1.95"/>
    <n v="1.9890000000000001"/>
    <n v="1.9"/>
    <n v="2.98"/>
    <n v="710037100"/>
    <n v="86400400000"/>
    <n v="28864452800"/>
    <n v="35555800"/>
    <n v="2470492800"/>
    <n v="9033000000"/>
    <n v="10034000000"/>
    <n v="54684000000"/>
    <n v="16359960000"/>
    <n v="22683400000"/>
    <n v="8.900000000000019E-2"/>
    <n v="29610045700"/>
  </r>
  <r>
    <x v="148"/>
    <s v="912828NY2"/>
    <s v="Note"/>
    <s v="3-Year"/>
    <n v="0.746"/>
    <n v="0.79"/>
    <n v="0.69099999999999995"/>
    <n v="3.21"/>
    <n v="357000100"/>
    <n v="106003450000"/>
    <n v="32961212800"/>
    <n v="38912000"/>
    <n v="3860487800"/>
    <n v="12677500000"/>
    <n v="15139105000"/>
    <n v="72940000000"/>
    <n v="13961620000"/>
    <n v="20385950000"/>
    <n v="9.9000000000000088E-2"/>
    <n v="33357124900"/>
  </r>
  <r>
    <x v="149"/>
    <s v="912828NT3"/>
    <s v="Note"/>
    <s v="9-Year 11-Month"/>
    <n v="2.63"/>
    <n v="2.67"/>
    <n v="2.5379999999999998"/>
    <n v="3.21"/>
    <n v="227181800"/>
    <n v="67398107500"/>
    <n v="20959787500"/>
    <n v="40222200"/>
    <n v="1452845000"/>
    <n v="6243000000"/>
    <n v="8035370000"/>
    <n v="44282500000"/>
    <n v="11471572500"/>
    <n v="16872607500"/>
    <n v="0.13200000000000012"/>
    <n v="21227191500"/>
  </r>
  <r>
    <x v="150"/>
    <s v="912810QK7"/>
    <s v="Bond"/>
    <s v="29-Year 11-Month"/>
    <n v="3.7549999999999999"/>
    <n v="3.82"/>
    <n v="3.69"/>
    <n v="2.73"/>
    <n v="140636300"/>
    <n v="35445300000"/>
    <n v="12985762000"/>
    <n v="14295900"/>
    <n v="1077000000"/>
    <n v="3109000000"/>
    <n v="7222022000"/>
    <n v="25581200000"/>
    <n v="4686740000"/>
    <n v="6755100000"/>
    <n v="0.12999999999999989"/>
    <n v="13140694200"/>
  </r>
  <r>
    <x v="151"/>
    <s v="912828NX4"/>
    <s v="Note"/>
    <s v="2-Year"/>
    <n v="0.41799999999999998"/>
    <n v="0.441"/>
    <n v="0.35"/>
    <n v="3.78"/>
    <n v="1134162700"/>
    <n v="135817300000"/>
    <n v="35570425000"/>
    <n v="419674800"/>
    <n v="3834000000"/>
    <n v="14486300000"/>
    <n v="17851500000"/>
    <n v="96728000000"/>
    <n v="13884925000"/>
    <n v="24603000000"/>
    <n v="9.1000000000000025E-2"/>
    <n v="37124262500"/>
  </r>
  <r>
    <x v="152"/>
    <s v="912828NZ9"/>
    <s v="Note"/>
    <s v="5-Year"/>
    <n v="1.2190000000000001"/>
    <n v="1.26"/>
    <n v="1.171"/>
    <n v="2.96"/>
    <n v="1102658100"/>
    <n v="103301350000"/>
    <n v="34863410000"/>
    <n v="86628000"/>
    <n v="3022110000"/>
    <n v="11419000000"/>
    <n v="14370950000"/>
    <n v="68172000000"/>
    <n v="17470350000"/>
    <n v="23710350000"/>
    <n v="8.8999999999999968E-2"/>
    <n v="36052696100"/>
  </r>
  <r>
    <x v="153"/>
    <s v="912828PA2"/>
    <s v="Note"/>
    <s v="7-Year"/>
    <n v="1.85"/>
    <n v="1.89"/>
    <n v="1.79"/>
    <n v="3.04"/>
    <n v="913631000"/>
    <n v="88223400000"/>
    <n v="28985198000"/>
    <n v="14830100"/>
    <n v="3878000000"/>
    <n v="10678000000"/>
    <n v="10543735000"/>
    <n v="58376000000"/>
    <n v="14563463000"/>
    <n v="19169400000"/>
    <n v="9.9999999999999867E-2"/>
    <n v="29913659100"/>
  </r>
  <r>
    <x v="154"/>
    <s v="912828PB0"/>
    <s v="Note"/>
    <s v="3-Year"/>
    <n v="0.54"/>
    <n v="0.56899999999999995"/>
    <n v="0.45900000000000002"/>
    <n v="2.95"/>
    <n v="281212200"/>
    <n v="94242600000"/>
    <n v="31969744500"/>
    <n v="30308500"/>
    <n v="3808457000"/>
    <n v="11843000000"/>
    <n v="18896687500"/>
    <n v="68960000000"/>
    <n v="9264600000"/>
    <n v="13439600000"/>
    <n v="0.10999999999999993"/>
    <n v="32281265200"/>
  </r>
  <r>
    <x v="155"/>
    <s v="912828NT3"/>
    <s v="Note"/>
    <s v="9-Year 10-Month"/>
    <n v="2.42"/>
    <n v="2.4750000000000001"/>
    <n v="2.3559999999999999"/>
    <n v="2.99"/>
    <n v="184545400"/>
    <n v="62772801000"/>
    <n v="20984297000"/>
    <n v="15733200"/>
    <n v="2237864500"/>
    <n v="7569401000"/>
    <n v="10035715000"/>
    <n v="42309000000"/>
    <n v="8710717500"/>
    <n v="12894400000"/>
    <n v="0.11900000000000022"/>
    <n v="21184575600"/>
  </r>
  <r>
    <x v="156"/>
    <s v="912810QK7"/>
    <s v="Bond"/>
    <s v="29-Year 10-Month"/>
    <n v="3.782"/>
    <n v="3.8519999999999999"/>
    <n v="3.7"/>
    <n v="2.4900000000000002"/>
    <n v="114242400"/>
    <n v="32327350000"/>
    <n v="12987894000"/>
    <n v="12112300"/>
    <n v="1178000000"/>
    <n v="4083000000"/>
    <n v="7607431000"/>
    <n v="21989000000"/>
    <n v="4202463000"/>
    <n v="6255350000"/>
    <n v="0.15199999999999969"/>
    <n v="13114248700"/>
  </r>
  <r>
    <x v="157"/>
    <s v="912828PD6"/>
    <s v="Note"/>
    <s v="2-Year"/>
    <n v="0.375"/>
    <n v="0.4"/>
    <n v="0.31"/>
    <n v="3.43"/>
    <n v="717474600"/>
    <n v="119889500000"/>
    <n v="34669525000"/>
    <n v="330523400"/>
    <n v="5513300000"/>
    <n v="16739000000"/>
    <n v="15293675000"/>
    <n v="80942000000"/>
    <n v="13862550000"/>
    <n v="22208500000"/>
    <n v="9.0000000000000024E-2"/>
    <n v="35717523000"/>
  </r>
  <r>
    <x v="158"/>
    <s v="912828PE4"/>
    <s v="Note"/>
    <s v="5-Year"/>
    <n v="1.288"/>
    <n v="1.33"/>
    <n v="1.1970000000000001"/>
    <n v="2.82"/>
    <n v="717474500"/>
    <n v="98535850000"/>
    <n v="34845790600"/>
    <n v="54241400"/>
    <n v="4085362100"/>
    <n v="13832000000"/>
    <n v="17013578500"/>
    <n v="64854000000"/>
    <n v="13746850000"/>
    <n v="19849850000"/>
    <n v="0.13300000000000001"/>
    <n v="35617506500"/>
  </r>
  <r>
    <x v="159"/>
    <s v="912828PF1"/>
    <s v="Note"/>
    <s v="7-Year"/>
    <n v="1.9390000000000001"/>
    <n v="1.97"/>
    <n v="1.86"/>
    <n v="3.06"/>
    <n v="594478900"/>
    <n v="88830150000"/>
    <n v="28985484000"/>
    <n v="14541600"/>
    <n v="1587000000"/>
    <n v="9907000000"/>
    <n v="12842092000"/>
    <n v="56848000000"/>
    <n v="14556392000"/>
    <n v="22075150000"/>
    <n v="0.10999999999999988"/>
    <n v="29594504500"/>
  </r>
  <r>
    <x v="160"/>
    <s v="912828PU8"/>
    <s v="Note"/>
    <s v="3-Year"/>
    <n v="0.54800000000000004"/>
    <n v="0.57499999999999996"/>
    <n v="0.47"/>
    <n v="3.26"/>
    <n v="858061400"/>
    <n v="104276200000"/>
    <n v="31950518000"/>
    <n v="49680400"/>
    <n v="4443128000"/>
    <n v="14320000000"/>
    <n v="16320900000"/>
    <n v="71263000000"/>
    <n v="11186490000"/>
    <n v="18693200000"/>
    <n v="0.10499999999999998"/>
    <n v="32858259800"/>
  </r>
  <r>
    <x v="161"/>
    <s v="912828PC8"/>
    <s v="Note"/>
    <s v="10-Year"/>
    <n v="2.5590000000000002"/>
    <n v="2.6360000000000001"/>
    <n v="2.5"/>
    <n v="2.8"/>
    <n v="643545900"/>
    <n v="67074000000"/>
    <n v="23896675000"/>
    <n v="53325500"/>
    <n v="2238000000"/>
    <n v="9228000000"/>
    <n v="8132175000"/>
    <n v="40577500000"/>
    <n v="13526500000"/>
    <n v="17268500000"/>
    <n v="0.13600000000000012"/>
    <n v="24593546400"/>
  </r>
  <r>
    <x v="162"/>
    <s v="912810QL5"/>
    <s v="Bond"/>
    <s v="30-Year"/>
    <n v="4.22"/>
    <n v="4.32"/>
    <n v="4.0999999999999996"/>
    <n v="2.31"/>
    <n v="429030600"/>
    <n v="36887250000"/>
    <n v="15965370000"/>
    <n v="34634600"/>
    <n v="1722954000"/>
    <n v="5177750000"/>
    <n v="8111416000"/>
    <n v="23673500000"/>
    <n v="6131000000"/>
    <n v="8036000000"/>
    <n v="0.22000000000000064"/>
    <n v="16429035200"/>
  </r>
  <r>
    <x v="163"/>
    <s v="912828PV6"/>
    <s v="Note"/>
    <s v="2-Year"/>
    <n v="0.5"/>
    <n v="0.52"/>
    <n v="0.443"/>
    <n v="3.7"/>
    <n v="1379124800"/>
    <n v="129200150000"/>
    <n v="34702807000"/>
    <n v="297391000"/>
    <n v="4993535000"/>
    <n v="17903000000"/>
    <n v="16431180000"/>
    <n v="88020000000"/>
    <n v="13278092000"/>
    <n v="23277150000"/>
    <n v="7.7000000000000013E-2"/>
    <n v="36379322800"/>
  </r>
  <r>
    <x v="164"/>
    <s v="912828PJ3"/>
    <s v="Note"/>
    <s v="5-Year"/>
    <n v="1.365"/>
    <n v="1.411"/>
    <n v="1.3"/>
    <n v="2.65"/>
    <n v="1379124600"/>
    <n v="92676125000"/>
    <n v="34898865000"/>
    <n v="51145500"/>
    <n v="5442025000"/>
    <n v="14759025000"/>
    <n v="18464740000"/>
    <n v="62187000000"/>
    <n v="10992100000"/>
    <n v="15730100000"/>
    <n v="0.11099999999999999"/>
    <n v="36329135100"/>
  </r>
  <r>
    <x v="165"/>
    <s v="912828PK0"/>
    <s v="Note"/>
    <s v="7-Year"/>
    <n v="2.1859999999999999"/>
    <n v="2.2530000000000001"/>
    <n v="2.1"/>
    <n v="2.63"/>
    <n v="1142703200"/>
    <n v="76269600000"/>
    <n v="28991945000"/>
    <n v="8056300"/>
    <n v="2465000000"/>
    <n v="10777000000"/>
    <n v="14291000000"/>
    <n v="50362000000"/>
    <n v="12235945000"/>
    <n v="15130600000"/>
    <n v="0.15300000000000002"/>
    <n v="30142704500"/>
  </r>
  <r>
    <x v="166"/>
    <s v="912828PL8"/>
    <s v="Note"/>
    <s v="3-Year"/>
    <n v="0.81799999999999995"/>
    <n v="0.86199999999999999"/>
    <n v="0.72799999999999998"/>
    <n v="2.91"/>
    <n v="465454600"/>
    <n v="92975000000"/>
    <n v="31969090000"/>
    <n v="30937800"/>
    <n v="5746000000"/>
    <n v="13739000000"/>
    <n v="14505090000"/>
    <n v="62394000000"/>
    <n v="11718000000"/>
    <n v="16842000000"/>
    <n v="0.13400000000000001"/>
    <n v="32465482400"/>
  </r>
  <r>
    <x v="167"/>
    <s v="912828PC8"/>
    <s v="Note"/>
    <s v="9-Year 11-Month"/>
    <n v="3.2589999999999999"/>
    <n v="3.34"/>
    <n v="3.17"/>
    <n v="2.92"/>
    <n v="305454500"/>
    <n v="61301100000"/>
    <n v="20968746000"/>
    <n v="31271400"/>
    <n v="2395000000"/>
    <n v="8704000000"/>
    <n v="9267936000"/>
    <n v="40269000000"/>
    <n v="9305810000"/>
    <n v="12328100000"/>
    <n v="0.16999999999999993"/>
    <n v="21305471900"/>
  </r>
  <r>
    <x v="168"/>
    <s v="912810QL5"/>
    <s v="Bond"/>
    <s v="29-Year 11-Month"/>
    <n v="4.38"/>
    <n v="4.41"/>
    <n v="4.32"/>
    <n v="2.74"/>
    <n v="189090900"/>
    <n v="35635080000"/>
    <n v="12975079000"/>
    <n v="24946100"/>
    <n v="1055208500"/>
    <n v="4951000000"/>
    <n v="5502347500"/>
    <n v="21392000000"/>
    <n v="6417523000"/>
    <n v="9292080000"/>
    <n v="8.9999999999999858E-2"/>
    <n v="13189116000"/>
  </r>
  <r>
    <x v="169"/>
    <s v="912828PW4"/>
    <s v="Note"/>
    <s v="2-Year"/>
    <n v="0.72"/>
    <n v="0.74"/>
    <n v="0.65"/>
    <n v="3.71"/>
    <n v="1754353400"/>
    <n v="129597605000"/>
    <n v="34727660000"/>
    <n v="272505500"/>
    <n v="6892355000"/>
    <n v="19108000000"/>
    <n v="19995575000"/>
    <n v="85452000000"/>
    <n v="7839730000"/>
    <n v="25037605000"/>
    <n v="8.9999999999999969E-2"/>
    <n v="36754518900"/>
  </r>
  <r>
    <x v="170"/>
    <s v="912828PM6"/>
    <s v="Note"/>
    <s v="5-Year"/>
    <n v="2.0750000000000002"/>
    <n v="2.149"/>
    <n v="1.98"/>
    <n v="2.61"/>
    <n v="1754353300"/>
    <n v="91294400000"/>
    <n v="34924650000"/>
    <n v="75361200"/>
    <n v="2177000000"/>
    <n v="12192000000"/>
    <n v="20327250000"/>
    <n v="63530000000"/>
    <n v="12420400000"/>
    <n v="15572400000"/>
    <n v="0.16900000000000004"/>
    <n v="36754364500"/>
  </r>
  <r>
    <x v="171"/>
    <s v="912828PN4"/>
    <s v="Note"/>
    <s v="7-Year"/>
    <n v="2.79"/>
    <n v="2.83"/>
    <n v="2.7360000000000002"/>
    <n v="2.86"/>
    <n v="1453607000"/>
    <n v="82870475000"/>
    <n v="28968307000"/>
    <n v="31789600"/>
    <n v="1332000000"/>
    <n v="11563000000"/>
    <n v="9035352000"/>
    <n v="48003000000"/>
    <n v="18600955000"/>
    <n v="23304475000"/>
    <n v="9.3999999999999861E-2"/>
    <n v="30453703600"/>
  </r>
  <r>
    <x v="172"/>
    <s v="912828PQ7"/>
    <s v="Note"/>
    <s v="3-Year"/>
    <n v="0.98299999999999998"/>
    <n v="1.0269999999999999"/>
    <n v="0.92800000000000005"/>
    <n v="3.06"/>
    <n v="701276400"/>
    <n v="97792500000"/>
    <n v="31959450000"/>
    <n v="40582600"/>
    <n v="5173000000"/>
    <n v="15213000000"/>
    <n v="14207950000"/>
    <n v="63767000000"/>
    <n v="12578500000"/>
    <n v="18812500000"/>
    <n v="9.8999999999999866E-2"/>
    <n v="32701309000"/>
  </r>
  <r>
    <x v="173"/>
    <s v="912828PC8"/>
    <s v="Note"/>
    <s v="9-Year 10-Month"/>
    <n v="3.35"/>
    <n v="3.3879999999999999"/>
    <n v="3.2850000000000001"/>
    <n v="3.3"/>
    <n v="460212600"/>
    <n v="69330125000"/>
    <n v="20962535000"/>
    <n v="37488800"/>
    <n v="1670210000"/>
    <n v="10925000000"/>
    <n v="8064000000"/>
    <n v="42319000000"/>
    <n v="11228325000"/>
    <n v="16086125000"/>
    <n v="0.10299999999999976"/>
    <n v="21460236400"/>
  </r>
  <r>
    <x v="174"/>
    <s v="912810QL5"/>
    <s v="Bond"/>
    <s v="29-Year 10-Month"/>
    <n v="4.4290000000000003"/>
    <n v="4.5149999999999997"/>
    <n v="4.1500000000000004"/>
    <n v="2.67"/>
    <n v="284893500"/>
    <n v="34702750000"/>
    <n v="12987572500"/>
    <n v="12440000"/>
    <n v="1604000000"/>
    <n v="6042000000"/>
    <n v="6476372500"/>
    <n v="21793000000"/>
    <n v="4907200000"/>
    <n v="6867750000"/>
    <n v="0.36499999999999932"/>
    <n v="13284906000"/>
  </r>
  <r>
    <x v="175"/>
    <s v="912828PR5"/>
    <s v="Note"/>
    <s v="2-Year"/>
    <n v="0.621"/>
    <n v="0.65"/>
    <n v="0.53"/>
    <n v="3.47"/>
    <n v="697435800"/>
    <n v="121055000000"/>
    <n v="34693864000"/>
    <n v="306286200"/>
    <n v="5166900000"/>
    <n v="17094000000"/>
    <n v="20168464000"/>
    <n v="81863000000"/>
    <n v="9358500000"/>
    <n v="22098000000"/>
    <n v="0.12"/>
    <n v="35697586000"/>
  </r>
  <r>
    <x v="176"/>
    <s v="912828PS3"/>
    <s v="Note"/>
    <s v="5-Year"/>
    <n v="2"/>
    <n v="2.0409999999999999"/>
    <n v="1.95"/>
    <n v="2.97"/>
    <n v="697435500"/>
    <n v="103877275000"/>
    <n v="34938970000"/>
    <n v="61114000"/>
    <n v="3358745000"/>
    <n v="13372000000"/>
    <n v="15875000000"/>
    <n v="69995000000"/>
    <n v="15705225000"/>
    <n v="20510275000"/>
    <n v="9.099999999999997E-2"/>
    <n v="35697519500"/>
  </r>
  <r>
    <x v="177"/>
    <s v="912828PT1"/>
    <s v="Note"/>
    <s v="7-Year"/>
    <n v="2.7"/>
    <n v="2.7440000000000002"/>
    <n v="2.637"/>
    <n v="2.85"/>
    <n v="577875100"/>
    <n v="82604950000"/>
    <n v="28982822500"/>
    <n v="17202500"/>
    <n v="1639692500"/>
    <n v="10572000000"/>
    <n v="12232000000"/>
    <n v="52547000000"/>
    <n v="15111130000"/>
    <n v="19485950000"/>
    <n v="0.10700000000000021"/>
    <n v="29577900100"/>
  </r>
  <r>
    <x v="178"/>
    <s v="912828QH6"/>
    <s v="Note"/>
    <s v="3-Year"/>
    <n v="1.3080000000000001"/>
    <n v="1.349"/>
    <n v="1.2430000000000001"/>
    <n v="3.01"/>
    <n v="734226700"/>
    <n v="96356400000"/>
    <n v="31928640000"/>
    <n v="66360600"/>
    <n v="3229000000"/>
    <n v="9996000000"/>
    <n v="19890840000"/>
    <n v="70926000000"/>
    <n v="8808800000"/>
    <n v="15434400000"/>
    <n v="0.10599999999999987"/>
    <n v="32729227300"/>
  </r>
  <r>
    <x v="179"/>
    <s v="912828PX2"/>
    <s v="Note"/>
    <s v="10-Year"/>
    <n v="3.62"/>
    <n v="3.665"/>
    <n v="3.51"/>
    <n v="3.23"/>
    <n v="550670000"/>
    <n v="77481570000"/>
    <n v="23856010600"/>
    <n v="143999500"/>
    <n v="118000000"/>
    <n v="5264020000"/>
    <n v="6731960600"/>
    <n v="47803000000"/>
    <n v="17006050000"/>
    <n v="24414550000"/>
    <n v="0.15500000000000025"/>
    <n v="24550680100"/>
  </r>
  <r>
    <x v="180"/>
    <s v="912810QN1"/>
    <s v="Bond"/>
    <s v="30-Year"/>
    <n v="4.67"/>
    <n v="4.75"/>
    <n v="4.5999999999999996"/>
    <n v="2.5099999999999998"/>
    <n v="367113300"/>
    <n v="40126940000"/>
    <n v="15957319000"/>
    <n v="42709700"/>
    <n v="1274900000"/>
    <n v="4122900000"/>
    <n v="7807250000"/>
    <n v="26585000000"/>
    <n v="6875169000"/>
    <n v="9419040000"/>
    <n v="0.15000000000000036"/>
    <n v="16367142000"/>
  </r>
  <r>
    <x v="181"/>
    <s v="912828QK9"/>
    <s v="Note"/>
    <s v="2-Year"/>
    <n v="0.71399999999999997"/>
    <n v="0.745"/>
    <n v="0.65"/>
    <n v="3.03"/>
    <n v="1922635800"/>
    <n v="105851000000"/>
    <n v="34646720000"/>
    <n v="323316000"/>
    <n v="2361000000"/>
    <n v="11331000000"/>
    <n v="21427480000"/>
    <n v="75169000000"/>
    <n v="10858240000"/>
    <n v="19351000000"/>
    <n v="9.4999999999999973E-2"/>
    <n v="36892671800"/>
  </r>
  <r>
    <x v="182"/>
    <s v="912828QJ2"/>
    <s v="Note"/>
    <s v="5-Year"/>
    <n v="2.12"/>
    <n v="2.19"/>
    <n v="2.0579999999999998"/>
    <n v="2.69"/>
    <n v="1922635600"/>
    <n v="94136900000"/>
    <n v="34903750000"/>
    <n v="96263400"/>
    <n v="2677825000"/>
    <n v="9832000000"/>
    <n v="20300025000"/>
    <n v="68701000000"/>
    <n v="11925900000"/>
    <n v="15603900000"/>
    <n v="0.13200000000000012"/>
    <n v="36922649000"/>
  </r>
  <r>
    <x v="183"/>
    <s v="912828PY0"/>
    <s v="Note"/>
    <s v="7-Year"/>
    <n v="2.79"/>
    <n v="2.8540000000000001"/>
    <n v="2.7360000000000002"/>
    <n v="2.86"/>
    <n v="1593040900"/>
    <n v="82796940000"/>
    <n v="28979372000"/>
    <n v="20640400"/>
    <n v="1297364000"/>
    <n v="7631000000"/>
    <n v="13291280000"/>
    <n v="56024000000"/>
    <n v="14390728000"/>
    <n v="19141940000"/>
    <n v="0.11799999999999988"/>
    <n v="30593053300"/>
  </r>
  <r>
    <x v="184"/>
    <s v="912828PZ7"/>
    <s v="Note"/>
    <s v="3-Year"/>
    <n v="1.2669999999999999"/>
    <n v="1.298"/>
    <n v="1.1970000000000001"/>
    <n v="3.22"/>
    <n v="0"/>
    <n v="102904100000"/>
    <n v="31889962000"/>
    <n v="60047100"/>
    <n v="3933720000"/>
    <n v="13140000000"/>
    <n v="16997352000"/>
    <n v="74178000000"/>
    <n v="10958890000"/>
    <n v="15586100000"/>
    <n v="0.10099999999999998"/>
    <n v="31950009100"/>
  </r>
  <r>
    <x v="185"/>
    <s v="912828PX2"/>
    <s v="Note"/>
    <s v="9-Year 11-Month"/>
    <n v="3.4750000000000001"/>
    <n v="3.4990000000000001"/>
    <n v="3.41"/>
    <n v="3.32"/>
    <n v="0"/>
    <n v="69623700000"/>
    <n v="20931300400"/>
    <n v="68727500"/>
    <n v="1356000000"/>
    <n v="6882000000"/>
    <n v="8476765000"/>
    <n v="47859000000"/>
    <n v="11098535400"/>
    <n v="14882700000"/>
    <n v="8.8999999999999968E-2"/>
    <n v="21000027900"/>
  </r>
  <r>
    <x v="186"/>
    <s v="912810QN1"/>
    <s v="Bond"/>
    <s v="29-Year 11-Month"/>
    <n v="4.53"/>
    <n v="4.569"/>
    <n v="4.4589999999999996"/>
    <n v="3.02"/>
    <n v="0"/>
    <n v="39244300000"/>
    <n v="12981221100"/>
    <n v="18797500"/>
    <n v="824720100"/>
    <n v="3894500000"/>
    <n v="6878500000"/>
    <n v="24267500000"/>
    <n v="5278001000"/>
    <n v="11082300000"/>
    <n v="0.11000000000000032"/>
    <n v="13000018600"/>
  </r>
  <r>
    <x v="187"/>
    <s v="912828QL7"/>
    <s v="Note"/>
    <s v="2-Year"/>
    <n v="0.75"/>
    <n v="0.78900000000000003"/>
    <n v="0.68600000000000005"/>
    <n v="3.16"/>
    <n v="1569586100"/>
    <n v="110351770000"/>
    <n v="34612770000"/>
    <n v="387286900"/>
    <n v="4608250000"/>
    <n v="18129000000"/>
    <n v="18593500000"/>
    <n v="75605000000"/>
    <n v="11411020000"/>
    <n v="16617770000"/>
    <n v="0.10299999999999998"/>
    <n v="36569643000"/>
  </r>
  <r>
    <x v="188"/>
    <s v="912828QA1"/>
    <s v="Note"/>
    <s v="5-Year"/>
    <n v="2.2010000000000001"/>
    <n v="2.2599999999999998"/>
    <n v="2.1230000000000002"/>
    <n v="2.79"/>
    <n v="1569586000"/>
    <n v="97456500000"/>
    <n v="34878698000"/>
    <n v="121305300"/>
    <n v="3901000000"/>
    <n v="12679000000"/>
    <n v="16187198000"/>
    <n v="67538000000"/>
    <n v="14790500000"/>
    <n v="17239500000"/>
    <n v="0.13699999999999957"/>
    <n v="36569589300"/>
  </r>
  <r>
    <x v="189"/>
    <s v="912828QB9"/>
    <s v="Note"/>
    <s v="7-Year"/>
    <n v="2.8250000000000002"/>
    <n v="2.895"/>
    <n v="2.7690000000000001"/>
    <n v="2.79"/>
    <n v="1300514100"/>
    <n v="80915400000"/>
    <n v="28964657000"/>
    <n v="35344400"/>
    <n v="2536930000"/>
    <n v="9190000000"/>
    <n v="12115090000"/>
    <n v="54985000000"/>
    <n v="14312637000"/>
    <n v="16740400000"/>
    <n v="0.12599999999999989"/>
    <n v="30300515500"/>
  </r>
  <r>
    <x v="190"/>
    <s v="912828QC7"/>
    <s v="Note"/>
    <s v="3-Year"/>
    <n v="1.2490000000000001"/>
    <n v="1.28"/>
    <n v="1.1919999999999999"/>
    <n v="3.25"/>
    <n v="1575217400"/>
    <n v="103967900000"/>
    <n v="31954220000"/>
    <n v="45855400"/>
    <n v="2852225000"/>
    <n v="14577000000"/>
    <n v="18333695000"/>
    <n v="71175000000"/>
    <n v="10768300000"/>
    <n v="18215900000"/>
    <n v="8.8000000000000078E-2"/>
    <n v="33575292800"/>
  </r>
  <r>
    <x v="191"/>
    <s v="912828PX2"/>
    <s v="Note"/>
    <s v="9-Year 10-Month"/>
    <n v="3.4289999999999998"/>
    <n v="3.4940000000000002"/>
    <n v="3.3639999999999999"/>
    <n v="3.13"/>
    <n v="1033736200"/>
    <n v="65732250000"/>
    <n v="20941221000"/>
    <n v="58818200"/>
    <n v="1227850000"/>
    <n v="8385850000"/>
    <n v="10829730000"/>
    <n v="44514000000"/>
    <n v="8883641000"/>
    <n v="12832400000"/>
    <n v="0.13000000000000034"/>
    <n v="22033775400"/>
  </r>
  <r>
    <x v="192"/>
    <s v="912810QN1"/>
    <s v="Bond"/>
    <s v="29-Year 10-Month"/>
    <n v="4.4950000000000001"/>
    <n v="4.5309999999999997"/>
    <n v="4.4000000000000004"/>
    <n v="2.83"/>
    <n v="639931900"/>
    <n v="36796700000"/>
    <n v="12986800000"/>
    <n v="13239100"/>
    <n v="1401000000"/>
    <n v="5217000000"/>
    <n v="5456000000"/>
    <n v="23105000000"/>
    <n v="6129800000"/>
    <n v="8474700000"/>
    <n v="0.13099999999999934"/>
    <n v="13639971000"/>
  </r>
  <r>
    <x v="193"/>
    <s v="912828QE3"/>
    <s v="Note"/>
    <s v="2-Year"/>
    <n v="0.64"/>
    <n v="0.67300000000000004"/>
    <n v="0.57699999999999996"/>
    <n v="3.06"/>
    <n v="2208217500"/>
    <n v="106664350000"/>
    <n v="34689365300"/>
    <n v="310702000"/>
    <n v="4635895000"/>
    <n v="12972000000"/>
    <n v="16921432000"/>
    <n v="72855700000"/>
    <n v="13132038300"/>
    <n v="20836650000"/>
    <n v="9.6000000000000085E-2"/>
    <n v="37208284800"/>
  </r>
  <r>
    <x v="194"/>
    <s v="912828QF0"/>
    <s v="Note"/>
    <s v="5-Year"/>
    <n v="2.0699999999999998"/>
    <n v="2.1240000000000001"/>
    <n v="1.98"/>
    <n v="2.77"/>
    <n v="2208217400"/>
    <n v="96866500000"/>
    <n v="34898270000"/>
    <n v="101773100"/>
    <n v="3905000000"/>
    <n v="11875000000"/>
    <n v="17036770000"/>
    <n v="66346000000"/>
    <n v="13956500000"/>
    <n v="18645500000"/>
    <n v="0.14400000000000013"/>
    <n v="37208260500"/>
  </r>
  <r>
    <x v="195"/>
    <s v="912828QG8"/>
    <s v="Note"/>
    <s v="7-Year"/>
    <n v="2.6539999999999999"/>
    <n v="2.7120000000000002"/>
    <n v="2.5659999999999998"/>
    <n v="2.63"/>
    <n v="1829665800"/>
    <n v="76218700000"/>
    <n v="28989580000"/>
    <n v="10428000"/>
    <n v="2277000000"/>
    <n v="8732000000"/>
    <n v="15369880000"/>
    <n v="54669000000"/>
    <n v="11342700000"/>
    <n v="12817700000"/>
    <n v="0.14600000000000035"/>
    <n v="30829673800"/>
  </r>
  <r>
    <x v="196"/>
    <s v="912828QM5"/>
    <s v="Note"/>
    <s v="3-Year"/>
    <n v="0.96799999999999997"/>
    <n v="1"/>
    <n v="0.88200000000000001"/>
    <n v="3.29"/>
    <n v="0"/>
    <n v="105232000000"/>
    <n v="31974166800"/>
    <n v="25874700"/>
    <n v="4907928800"/>
    <n v="14365000000"/>
    <n v="16602718000"/>
    <n v="71933000000"/>
    <n v="10463520000"/>
    <n v="18934000000"/>
    <n v="0.11799999999999999"/>
    <n v="32000041500"/>
  </r>
  <r>
    <x v="197"/>
    <s v="912828QN3"/>
    <s v="Note"/>
    <s v="10-Year"/>
    <n v="3.1749999999999998"/>
    <n v="3.21"/>
    <n v="3.0960000000000001"/>
    <n v="3"/>
    <n v="0"/>
    <n v="71931200000"/>
    <n v="23898363000"/>
    <n v="61681200"/>
    <n v="2007000000"/>
    <n v="8681000000"/>
    <n v="10616992000"/>
    <n v="48189000000"/>
    <n v="11274371000"/>
    <n v="15061200000"/>
    <n v="0.11399999999999988"/>
    <n v="23960044200"/>
  </r>
  <r>
    <x v="198"/>
    <s v="912810QQ4"/>
    <s v="Bond"/>
    <s v="30-Year"/>
    <n v="4.3"/>
    <n v="4.38"/>
    <n v="4.2300000000000004"/>
    <n v="2.4300000000000002"/>
    <n v="0"/>
    <n v="38808900000"/>
    <n v="15975790000"/>
    <n v="24213500"/>
    <n v="1395120000"/>
    <n v="5088000000"/>
    <n v="9303346000"/>
    <n v="27221000000"/>
    <n v="5277324000"/>
    <n v="6499900000"/>
    <n v="0.14999999999999947"/>
    <n v="16000003500"/>
  </r>
  <r>
    <x v="199"/>
    <s v="912828QZ6"/>
    <s v="Note"/>
    <s v="2-Year"/>
    <n v="0.54"/>
    <n v="0.56000000000000005"/>
    <n v="0.47"/>
    <n v="3.46"/>
    <n v="2945904300"/>
    <n v="121053610000"/>
    <n v="34851311000"/>
    <n v="148731300"/>
    <n v="6672700000"/>
    <n v="20709000000"/>
    <n v="17274550000"/>
    <n v="83438000000"/>
    <n v="10904061000"/>
    <n v="16906610000"/>
    <n v="9.000000000000008E-2"/>
    <n v="37945946600"/>
  </r>
  <r>
    <x v="200"/>
    <s v="912828QP8"/>
    <s v="Note"/>
    <s v="5-Year"/>
    <n v="1.78"/>
    <n v="1.8129999999999999"/>
    <n v="1.72"/>
    <n v="3.2"/>
    <n v="2945904100"/>
    <n v="112092900000"/>
    <n v="34945232000"/>
    <n v="54807000"/>
    <n v="3126460000"/>
    <n v="13489000000"/>
    <n v="15369000000"/>
    <n v="74239000000"/>
    <n v="16449772000"/>
    <n v="24364900000"/>
    <n v="9.2999999999999972E-2"/>
    <n v="37945943100"/>
  </r>
  <r>
    <x v="201"/>
    <s v="912828QQ6"/>
    <s v="Note"/>
    <s v="7-Year"/>
    <n v="2.4"/>
    <n v="2.4289999999999998"/>
    <n v="2.33"/>
    <n v="3.24"/>
    <n v="2440892000"/>
    <n v="93886775000"/>
    <n v="28980960500"/>
    <n v="19056100"/>
    <n v="3768160500"/>
    <n v="12376000000"/>
    <n v="11405025000"/>
    <n v="62285000000"/>
    <n v="13807775000"/>
    <n v="19225775000"/>
    <n v="9.8999999999999755E-2"/>
    <n v="31440908600"/>
  </r>
  <r>
    <x v="202"/>
    <s v="912828QS2"/>
    <s v="Note"/>
    <s v="3-Year"/>
    <n v="0.73899999999999999"/>
    <n v="0.76500000000000001"/>
    <n v="0.65700000000000003"/>
    <n v="3.28"/>
    <n v="0"/>
    <n v="104905800000"/>
    <n v="31979934400"/>
    <n v="20073800"/>
    <n v="2928590000"/>
    <n v="12125000000"/>
    <n v="17657900000"/>
    <n v="74962000000"/>
    <n v="11393444400"/>
    <n v="17818800000"/>
    <n v="0.10799999999999998"/>
    <n v="32000008200"/>
  </r>
  <r>
    <x v="203"/>
    <s v="912828QN3"/>
    <s v="Note"/>
    <s v="9-Year 11-Month"/>
    <n v="2.92"/>
    <n v="2.9670000000000001"/>
    <n v="2.8079999999999998"/>
    <n v="3.23"/>
    <n v="0"/>
    <n v="67760500000"/>
    <n v="20978419200"/>
    <n v="21587300"/>
    <n v="1747000000"/>
    <n v="9302000000"/>
    <n v="8608528000"/>
    <n v="44083000000"/>
    <n v="10622891200"/>
    <n v="14375500000"/>
    <n v="0.15900000000000025"/>
    <n v="21000006500"/>
  </r>
  <r>
    <x v="204"/>
    <s v="912810QQ4"/>
    <s v="Bond"/>
    <s v="29-Year 11-Month"/>
    <n v="4.17"/>
    <n v="4.2380000000000004"/>
    <n v="4.0999999999999996"/>
    <n v="2.63"/>
    <n v="0"/>
    <n v="34154800000"/>
    <n v="12979895500"/>
    <n v="20138200"/>
    <n v="1208210000"/>
    <n v="4747000000"/>
    <n v="6788512500"/>
    <n v="22967000000"/>
    <n v="4983173000"/>
    <n v="6440800000"/>
    <n v="0.13800000000000079"/>
    <n v="13000033700"/>
  </r>
  <r>
    <x v="205"/>
    <s v="912828RA0"/>
    <s v="Note"/>
    <s v="2-Year"/>
    <n v="0.35899999999999999"/>
    <n v="0.39500000000000002"/>
    <n v="0.28999999999999998"/>
    <n v="3.08"/>
    <n v="1126806400"/>
    <n v="107681610000"/>
    <n v="34851312500"/>
    <n v="148851100"/>
    <n v="4714467500"/>
    <n v="16526000000"/>
    <n v="22468375000"/>
    <n v="80138000000"/>
    <n v="7668470000"/>
    <n v="11017610000"/>
    <n v="0.10500000000000004"/>
    <n v="36126970000"/>
  </r>
  <r>
    <x v="206"/>
    <s v="912828QR4"/>
    <s v="Note"/>
    <s v="5-Year"/>
    <n v="1.55"/>
    <n v="1.615"/>
    <n v="1.47"/>
    <n v="2.59"/>
    <n v="1126806200"/>
    <n v="90563271000"/>
    <n v="34962151000"/>
    <n v="37884800"/>
    <n v="3580000000"/>
    <n v="11900000000"/>
    <n v="18228925000"/>
    <n v="64009000000"/>
    <n v="13153226000"/>
    <n v="14654271000"/>
    <n v="0.14500000000000002"/>
    <n v="36126842000"/>
  </r>
  <r>
    <x v="207"/>
    <s v="912828QT0"/>
    <s v="Note"/>
    <s v="7-Year"/>
    <n v="2.36"/>
    <n v="2.4300000000000002"/>
    <n v="2.2850000000000001"/>
    <n v="2.62"/>
    <n v="933639400"/>
    <n v="75927900000"/>
    <n v="28983461000"/>
    <n v="16610300"/>
    <n v="3407000000"/>
    <n v="10087000000"/>
    <n v="16251561000"/>
    <n v="54994000000"/>
    <n v="9324900000"/>
    <n v="10846900000"/>
    <n v="0.14500000000000002"/>
    <n v="29933710700"/>
  </r>
  <r>
    <x v="208"/>
    <s v="912828QU7"/>
    <s v="Note"/>
    <s v="3-Year"/>
    <n v="0.64"/>
    <n v="0.67"/>
    <n v="0.57799999999999996"/>
    <n v="3.22"/>
    <n v="0"/>
    <n v="102943750000"/>
    <n v="31935822500"/>
    <n v="39200200"/>
    <n v="5266797500"/>
    <n v="12913000000"/>
    <n v="15644152500"/>
    <n v="70762000000"/>
    <n v="11024872500"/>
    <n v="19268750000"/>
    <n v="9.2000000000000082E-2"/>
    <n v="31975022700"/>
  </r>
  <r>
    <x v="209"/>
    <s v="912828QN3"/>
    <s v="Note"/>
    <s v="9-Year 10-Month"/>
    <n v="2.891"/>
    <n v="2.9180000000000001"/>
    <n v="2.8079999999999998"/>
    <n v="3.17"/>
    <n v="0"/>
    <n v="66594600000"/>
    <n v="20969246000"/>
    <n v="30771100"/>
    <n v="2914000000"/>
    <n v="10003000000"/>
    <n v="9249646000"/>
    <n v="44057000000"/>
    <n v="8805600000"/>
    <n v="12534600000"/>
    <n v="0.11000000000000032"/>
    <n v="21000017100"/>
  </r>
  <r>
    <x v="210"/>
    <s v="912810QQ4"/>
    <s v="Bond"/>
    <s v="29-Year 10-Month"/>
    <n v="4.17"/>
    <n v="4.1980000000000004"/>
    <n v="4.0999999999999996"/>
    <n v="2.8"/>
    <n v="0"/>
    <n v="36360800000"/>
    <n v="12990828600"/>
    <n v="9175100"/>
    <n v="2848528600"/>
    <n v="6273500000"/>
    <n v="5233000000"/>
    <n v="22653000000"/>
    <n v="4909300000"/>
    <n v="7434300000"/>
    <n v="9.8000000000000753E-2"/>
    <n v="13000003700"/>
  </r>
  <r>
    <x v="211"/>
    <s v="912828QW3"/>
    <s v="Note"/>
    <s v="2-Year"/>
    <n v="0.39500000000000002"/>
    <n v="0.41699999999999998"/>
    <n v="0.32600000000000001"/>
    <n v="3.14"/>
    <n v="1042194000"/>
    <n v="109776400000"/>
    <n v="34870410000"/>
    <n v="129633500"/>
    <n v="6984890000"/>
    <n v="16092000000"/>
    <n v="18237120000"/>
    <n v="77139000000"/>
    <n v="9648400000"/>
    <n v="16545400000"/>
    <n v="9.099999999999997E-2"/>
    <n v="36042237500"/>
  </r>
  <r>
    <x v="212"/>
    <s v="912828QX1"/>
    <s v="Note"/>
    <s v="5-Year"/>
    <n v="1.516"/>
    <n v="1.58"/>
    <n v="1.4"/>
    <n v="2.62"/>
    <n v="1042193900"/>
    <n v="91762950000"/>
    <n v="34918613500"/>
    <n v="31408700"/>
    <n v="5108000000"/>
    <n v="13818000000"/>
    <n v="17033466000"/>
    <n v="62745000000"/>
    <n v="12777147500"/>
    <n v="15199950000"/>
    <n v="0.18000000000000016"/>
    <n v="35992216100"/>
  </r>
  <r>
    <x v="213"/>
    <s v="912828QY9"/>
    <s v="Note"/>
    <s v="7-Year"/>
    <n v="2.222"/>
    <n v="2.2799999999999998"/>
    <n v="2.097"/>
    <n v="2.63"/>
    <n v="863532000"/>
    <n v="76252960000"/>
    <n v="28986960000"/>
    <n v="13059800"/>
    <n v="2685000000"/>
    <n v="10951000000"/>
    <n v="14837000000"/>
    <n v="52218000000"/>
    <n v="11464960000"/>
    <n v="13083960000"/>
    <n v="0.18299999999999983"/>
    <n v="29863551800"/>
  </r>
  <r>
    <x v="214"/>
    <s v="912828RB8"/>
    <s v="Note"/>
    <s v="3-Year"/>
    <n v="0.48"/>
    <n v="0.5"/>
    <n v="0.39600000000000002"/>
    <n v="3.29"/>
    <n v="979857000"/>
    <n v="105245900000"/>
    <n v="31984970000"/>
    <n v="15218100"/>
    <n v="3547000000"/>
    <n v="15337000000"/>
    <n v="13110125000"/>
    <n v="69686000000"/>
    <n v="15327845000"/>
    <n v="20222900000"/>
    <n v="0.10399999999999998"/>
    <n v="32980045100"/>
  </r>
  <r>
    <x v="215"/>
    <s v="912828RC6"/>
    <s v="Note"/>
    <s v="10-Year"/>
    <n v="2.101"/>
    <n v="2.14"/>
    <n v="2"/>
    <n v="3.22"/>
    <n v="734892600"/>
    <n v="77291100000"/>
    <n v="23909666600"/>
    <n v="40387100"/>
    <n v="7570275600"/>
    <n v="14716000000"/>
    <n v="7885826000"/>
    <n v="46409000000"/>
    <n v="8453565000"/>
    <n v="16166100000"/>
    <n v="0.14000000000000012"/>
    <n v="24684946300"/>
  </r>
  <r>
    <x v="216"/>
    <s v="912810QS0"/>
    <s v="Bond"/>
    <s v="30-Year"/>
    <n v="3.629"/>
    <n v="3.75"/>
    <n v="3.5369999999999999"/>
    <n v="2.08"/>
    <n v="489928400"/>
    <n v="33305800000"/>
    <n v="15985160000"/>
    <n v="14855600"/>
    <n v="3119654000"/>
    <n v="6567000000"/>
    <n v="10921532000"/>
    <n v="23734000000"/>
    <n v="1943974000"/>
    <n v="3004800000"/>
    <n v="0.21300000000000008"/>
    <n v="16489944000"/>
  </r>
  <r>
    <x v="217"/>
    <s v="912828RD4"/>
    <s v="Note"/>
    <s v="2-Year"/>
    <n v="0.20899999999999999"/>
    <n v="0.222"/>
    <n v="0.14699999999999999"/>
    <n v="3.44"/>
    <n v="1070488700"/>
    <n v="120327500000"/>
    <n v="34852330000"/>
    <n v="147747900"/>
    <n v="5535935000"/>
    <n v="16386000000"/>
    <n v="18287395000"/>
    <n v="87379500000"/>
    <n v="11029000000"/>
    <n v="16562000000"/>
    <n v="7.5000000000000011E-2"/>
    <n v="36070566600"/>
  </r>
  <r>
    <x v="218"/>
    <s v="912828RF9"/>
    <s v="Note"/>
    <s v="5-Year"/>
    <n v="0.97899999999999998"/>
    <n v="1.0289999999999999"/>
    <n v="0.88200000000000001"/>
    <n v="2.71"/>
    <n v="1070488400"/>
    <n v="94830150000"/>
    <n v="34893515000"/>
    <n v="56511400"/>
    <n v="4833000000"/>
    <n v="14093000000"/>
    <n v="15355365000"/>
    <n v="63282000000"/>
    <n v="14705150000"/>
    <n v="17455150000"/>
    <n v="0.14699999999999991"/>
    <n v="36020514800"/>
  </r>
  <r>
    <x v="219"/>
    <s v="912828RE2"/>
    <s v="Note"/>
    <s v="7-Year"/>
    <n v="1.5289999999999999"/>
    <n v="1.58"/>
    <n v="1.4490000000000001"/>
    <n v="2.76"/>
    <n v="886976100"/>
    <n v="79921500000"/>
    <n v="28921095200"/>
    <n v="28913600"/>
    <n v="2281440000"/>
    <n v="10536500000"/>
    <n v="11681694000"/>
    <n v="50903000000"/>
    <n v="14957961200"/>
    <n v="18482000000"/>
    <n v="0.13100000000000001"/>
    <n v="29836984900"/>
  </r>
  <r>
    <x v="220"/>
    <s v="912828RG7"/>
    <s v="Note"/>
    <s v="3-Year"/>
    <n v="0.31"/>
    <n v="0.33400000000000002"/>
    <n v="0.249"/>
    <n v="3.15"/>
    <n v="0"/>
    <n v="100723000000"/>
    <n v="31973660000"/>
    <n v="26394400"/>
    <n v="3381220000"/>
    <n v="11934000000"/>
    <n v="17169885000"/>
    <n v="71036000000"/>
    <n v="11422555000"/>
    <n v="17753000000"/>
    <n v="8.500000000000002E-2"/>
    <n v="32000054400"/>
  </r>
  <r>
    <x v="221"/>
    <s v="912828RC6"/>
    <s v="Note"/>
    <s v="9-Year 11-Month"/>
    <n v="1.9470000000000001"/>
    <n v="2"/>
    <n v="1.86"/>
    <n v="3.03"/>
    <n v="0"/>
    <n v="63663700000"/>
    <n v="20986620000"/>
    <n v="13406900"/>
    <n v="2320140000"/>
    <n v="7812000000"/>
    <n v="8483520000"/>
    <n v="43404000000"/>
    <n v="10182960000"/>
    <n v="12447700000"/>
    <n v="0.1399999999999999"/>
    <n v="21000026900"/>
  </r>
  <r>
    <x v="222"/>
    <s v="912810QS0"/>
    <s v="Bond"/>
    <s v="29-Year 11-Month"/>
    <n v="3.2850000000000001"/>
    <n v="3.31"/>
    <n v="3.24"/>
    <n v="2.85"/>
    <n v="0"/>
    <n v="37057217000"/>
    <n v="12985241000"/>
    <n v="14793200"/>
    <n v="2251854400"/>
    <n v="5981000000"/>
    <n v="5621444000"/>
    <n v="21572000000"/>
    <n v="5111942600"/>
    <n v="9504217000"/>
    <n v="6.999999999999984E-2"/>
    <n v="13000034200"/>
  </r>
  <r>
    <x v="223"/>
    <s v="912828RK8"/>
    <s v="Note"/>
    <s v="2-Year"/>
    <n v="0.22500000000000001"/>
    <n v="0.249"/>
    <n v="0.17100000000000001"/>
    <n v="3.76"/>
    <n v="1089663100"/>
    <n v="131535300000"/>
    <n v="34795600000"/>
    <n v="204508200"/>
    <n v="4231587500"/>
    <n v="16653000000"/>
    <n v="17776950000"/>
    <n v="95724000000"/>
    <n v="12787062500"/>
    <n v="19158300000"/>
    <n v="7.7999999999999986E-2"/>
    <n v="36089771300"/>
  </r>
  <r>
    <x v="224"/>
    <s v="912828RJ1"/>
    <s v="Note"/>
    <s v="5-Year"/>
    <n v="0.98"/>
    <n v="1.0149999999999999"/>
    <n v="0.87"/>
    <n v="3.04"/>
    <n v="1089663000"/>
    <n v="106377050000"/>
    <n v="34959982800"/>
    <n v="40097700"/>
    <n v="4807140000"/>
    <n v="14383000000"/>
    <n v="14102910000"/>
    <n v="71309000000"/>
    <n v="16049932800"/>
    <n v="20685050000"/>
    <n v="0.14499999999999991"/>
    <n v="36089743500"/>
  </r>
  <r>
    <x v="225"/>
    <s v="912828RH5"/>
    <s v="Note"/>
    <s v="7-Year"/>
    <n v="1.4390000000000001"/>
    <n v="1.496"/>
    <n v="1.33"/>
    <n v="3.02"/>
    <n v="902863600"/>
    <n v="87504400000"/>
    <n v="28986202000"/>
    <n v="13800800"/>
    <n v="3954500000"/>
    <n v="12514500000"/>
    <n v="12967802000"/>
    <n v="58486000000"/>
    <n v="12063900000"/>
    <n v="16503900000"/>
    <n v="0.16599999999999993"/>
    <n v="29902866400"/>
  </r>
  <r>
    <x v="226"/>
    <s v="912828RL6"/>
    <s v="Note"/>
    <s v="3-Year"/>
    <n v="0.5"/>
    <n v="0.54400000000000004"/>
    <n v="0.41"/>
    <n v="3.3"/>
    <n v="0"/>
    <n v="105601100000"/>
    <n v="31971694200"/>
    <n v="28316000"/>
    <n v="2509000000"/>
    <n v="10796000000"/>
    <n v="17371900000"/>
    <n v="77921000000"/>
    <n v="12090794200"/>
    <n v="16884100000"/>
    <n v="0.13400000000000006"/>
    <n v="32000010200"/>
  </r>
  <r>
    <x v="227"/>
    <s v="912828RC6"/>
    <s v="Note"/>
    <s v="9-Year 10-Month"/>
    <n v="2.19"/>
    <n v="2.2709999999999999"/>
    <n v="2.097"/>
    <n v="2.86"/>
    <n v="0"/>
    <n v="60073505000"/>
    <n v="20988665000"/>
    <n v="11352200"/>
    <n v="1350005000"/>
    <n v="4325005000"/>
    <n v="12285160000"/>
    <n v="46645000000"/>
    <n v="7353500000"/>
    <n v="9103500000"/>
    <n v="0.17399999999999993"/>
    <n v="21000017200"/>
  </r>
  <r>
    <x v="228"/>
    <s v="912810QS0"/>
    <s v="Bond"/>
    <s v="29-Year 10-Month"/>
    <n v="3.0950000000000002"/>
    <n v="3.12"/>
    <n v="3"/>
    <n v="2.94"/>
    <n v="0"/>
    <n v="38254900000"/>
    <n v="12986795500"/>
    <n v="13211700"/>
    <n v="3827057500"/>
    <n v="5719000000"/>
    <n v="5436363500"/>
    <n v="23614500000"/>
    <n v="3723374500"/>
    <n v="8921400000"/>
    <n v="0.12000000000000011"/>
    <n v="13000007200"/>
  </r>
  <r>
    <x v="229"/>
    <s v="912828RN2"/>
    <s v="Note"/>
    <s v="2-Year"/>
    <n v="0.26500000000000001"/>
    <n v="0.28100000000000003"/>
    <n v="0.21"/>
    <n v="3.64"/>
    <n v="1330744800"/>
    <n v="127222000000"/>
    <n v="34801560000"/>
    <n v="198445900"/>
    <n v="2855480000"/>
    <n v="13798000000"/>
    <n v="18295080000"/>
    <n v="92065000000"/>
    <n v="13651000000"/>
    <n v="21359000000"/>
    <n v="7.1000000000000035E-2"/>
    <n v="36330750700"/>
  </r>
  <r>
    <x v="230"/>
    <s v="912828RM4"/>
    <s v="Note"/>
    <s v="5-Year"/>
    <n v="1.0289999999999999"/>
    <n v="1.0549999999999999"/>
    <n v="0.97499999999999998"/>
    <n v="2.9"/>
    <n v="1330744700"/>
    <n v="101429200000"/>
    <n v="34971405600"/>
    <n v="28646600"/>
    <n v="3635000000"/>
    <n v="9204000000"/>
    <n v="14110900000"/>
    <n v="70363000000"/>
    <n v="17225505600"/>
    <n v="21862200000"/>
    <n v="7.999999999999996E-2"/>
    <n v="36330796900"/>
  </r>
  <r>
    <x v="231"/>
    <s v="912828RP7"/>
    <s v="Note"/>
    <s v="7-Year"/>
    <n v="1.708"/>
    <n v="1.7909999999999999"/>
    <n v="1.6"/>
    <n v="2.59"/>
    <n v="1102617000"/>
    <n v="75047900000"/>
    <n v="28986450000"/>
    <n v="13563900"/>
    <n v="3463000000"/>
    <n v="8143000000"/>
    <n v="15697550000"/>
    <n v="55604000000"/>
    <n v="9825900000"/>
    <n v="11300900000"/>
    <n v="0.19099999999999984"/>
    <n v="30102630900"/>
  </r>
  <r>
    <x v="232"/>
    <s v="912828RQ5"/>
    <s v="Note"/>
    <s v="3-Year"/>
    <n v="0.35799999999999998"/>
    <n v="0.379"/>
    <n v="0.28899999999999998"/>
    <n v="3.41"/>
    <n v="2448487400"/>
    <n v="109010700000"/>
    <n v="31957440800"/>
    <n v="42647500"/>
    <n v="6350148800"/>
    <n v="15368500000"/>
    <n v="13253092000"/>
    <n v="74487000000"/>
    <n v="12354200000"/>
    <n v="19155200000"/>
    <n v="9.0000000000000024E-2"/>
    <n v="34448575700"/>
  </r>
  <r>
    <x v="233"/>
    <s v="912828RR3"/>
    <s v="Note"/>
    <s v="10-Year"/>
    <n v="1.9690000000000001"/>
    <n v="2.0299999999999998"/>
    <n v="1.865"/>
    <n v="2.64"/>
    <n v="1836365500"/>
    <n v="63238500000"/>
    <n v="23970837500"/>
    <n v="29204100"/>
    <n v="1975175000"/>
    <n v="5274000000"/>
    <n v="12034162500"/>
    <n v="46018000000"/>
    <n v="9961500000"/>
    <n v="11946500000"/>
    <n v="0.16499999999999981"/>
    <n v="25836407100"/>
  </r>
  <r>
    <x v="234"/>
    <s v="912810QT8"/>
    <s v="Bond"/>
    <s v="30-Year"/>
    <n v="3.1"/>
    <n v="3.1989999999999998"/>
    <n v="2.97"/>
    <n v="2.4"/>
    <n v="1224243600"/>
    <n v="38372600000"/>
    <n v="15988527000"/>
    <n v="11498800"/>
    <n v="2531300000"/>
    <n v="5985300000"/>
    <n v="8911427000"/>
    <n v="26021500000"/>
    <n v="4545800000"/>
    <n v="6365800000"/>
    <n v="0.22899999999999965"/>
    <n v="17224269400"/>
  </r>
  <r>
    <x v="235"/>
    <s v="912828RS1"/>
    <s v="Note"/>
    <s v="2-Year"/>
    <n v="0.25"/>
    <n v="0.28000000000000003"/>
    <n v="0.20599999999999999"/>
    <n v="4.07"/>
    <n v="1585824100"/>
    <n v="142317500000"/>
    <n v="34827060000"/>
    <n v="173183200"/>
    <n v="3913800000"/>
    <n v="22686000000"/>
    <n v="16203440000"/>
    <n v="94417000000"/>
    <n v="14709820000"/>
    <n v="25214500000"/>
    <n v="7.4000000000000038E-2"/>
    <n v="36586067300"/>
  </r>
  <r>
    <x v="236"/>
    <s v="912828RU6"/>
    <s v="Note"/>
    <s v="5-Year"/>
    <n v="0.9"/>
    <n v="0.93700000000000006"/>
    <n v="0.81899999999999995"/>
    <n v="3.15"/>
    <n v="1585823800"/>
    <n v="110182700000"/>
    <n v="34965926000"/>
    <n v="34146300"/>
    <n v="3341968500"/>
    <n v="11513000000"/>
    <n v="15768505000"/>
    <n v="75415000000"/>
    <n v="15855452500"/>
    <n v="23254700000"/>
    <n v="0.1180000000000001"/>
    <n v="36585896100"/>
  </r>
  <r>
    <x v="237"/>
    <s v="912828RT9"/>
    <s v="Note"/>
    <s v="7-Year"/>
    <n v="1.39"/>
    <n v="1.415"/>
    <n v="1.296"/>
    <n v="3.2"/>
    <n v="1313968300"/>
    <n v="92873825000"/>
    <n v="28979885000"/>
    <n v="20289500"/>
    <n v="5464000000"/>
    <n v="12856000000"/>
    <n v="11958000000"/>
    <n v="63156000000"/>
    <n v="11557885000"/>
    <n v="16861825000"/>
    <n v="0.11899999999999999"/>
    <n v="30314142800"/>
  </r>
  <r>
    <x v="238"/>
    <s v="912828RV4"/>
    <s v="Note"/>
    <s v="3-Year"/>
    <n v="0.31900000000000001"/>
    <n v="0.35199999999999998"/>
    <n v="0.25600000000000001"/>
    <n v="3.62"/>
    <n v="1171134000"/>
    <n v="115909100000"/>
    <n v="31951317500"/>
    <n v="48752100"/>
    <n v="2237000000"/>
    <n v="12081000000"/>
    <n v="17212905000"/>
    <n v="83326000000"/>
    <n v="12501412500"/>
    <n v="20502100000"/>
    <n v="9.5999999999999974E-2"/>
    <n v="33171203600"/>
  </r>
  <r>
    <x v="239"/>
    <s v="912828RR3"/>
    <s v="Note"/>
    <s v="9-Year 11-Month"/>
    <n v="1.9890000000000001"/>
    <n v="2.02"/>
    <n v="1.85"/>
    <n v="3.53"/>
    <n v="768556600"/>
    <n v="74173600000"/>
    <n v="20966790400"/>
    <n v="33267000"/>
    <n v="1762674800"/>
    <n v="7472000000"/>
    <n v="6232546000"/>
    <n v="46192000000"/>
    <n v="12971569600"/>
    <n v="20509600000"/>
    <n v="0.16999999999999993"/>
    <n v="21768614000"/>
  </r>
  <r>
    <x v="240"/>
    <s v="912810QT8"/>
    <s v="Bond"/>
    <s v="29-Year 11-Month"/>
    <n v="2.89"/>
    <n v="2.9249999999999998"/>
    <n v="2.8149999999999999"/>
    <n v="3.05"/>
    <n v="475773100"/>
    <n v="39614570000"/>
    <n v="12979616000"/>
    <n v="20395000"/>
    <n v="2750840000"/>
    <n v="5262750000"/>
    <n v="6006456000"/>
    <n v="26651500000"/>
    <n v="4222320000"/>
    <n v="7700320000"/>
    <n v="0.10999999999999988"/>
    <n v="13475784100"/>
  </r>
  <r>
    <x v="241"/>
    <s v="912828RW2"/>
    <s v="Note"/>
    <s v="2-Year"/>
    <n v="0.22900000000000001"/>
    <n v="0.24"/>
    <n v="0.16600000000000001"/>
    <n v="3.45"/>
    <n v="1133425000"/>
    <n v="120591170000"/>
    <n v="34834727600"/>
    <n v="165281400"/>
    <n v="5118137600"/>
    <n v="18435000000"/>
    <n v="22175420000"/>
    <n v="88548000000"/>
    <n v="7541170000"/>
    <n v="13608170000"/>
    <n v="7.3999999999999982E-2"/>
    <n v="36133434000"/>
  </r>
  <r>
    <x v="242"/>
    <s v="912828RX0"/>
    <s v="Note"/>
    <s v="5-Year"/>
    <n v="0.82"/>
    <n v="0.88"/>
    <n v="0.78700000000000003"/>
    <n v="2.86"/>
    <n v="1133424800"/>
    <n v="100055910000"/>
    <n v="34966762000"/>
    <n v="33250600"/>
    <n v="3182696000"/>
    <n v="9494000000"/>
    <n v="14099656000"/>
    <n v="68293000000"/>
    <n v="17684410000"/>
    <n v="22268910000"/>
    <n v="9.2999999999999972E-2"/>
    <n v="36133437400"/>
  </r>
  <r>
    <x v="243"/>
    <s v="912828RY8"/>
    <s v="Note"/>
    <s v="7-Year"/>
    <n v="1.359"/>
    <n v="1.43"/>
    <n v="1.3"/>
    <n v="2.68"/>
    <n v="939123400"/>
    <n v="77764445000"/>
    <n v="28986003000"/>
    <n v="14032500"/>
    <n v="3752469500"/>
    <n v="9889000000"/>
    <n v="13056416000"/>
    <n v="53218000000"/>
    <n v="12177117500"/>
    <n v="14657445000"/>
    <n v="0.12999999999999989"/>
    <n v="29939158900"/>
  </r>
  <r>
    <x v="244"/>
    <s v="912828RZ5"/>
    <s v="Note"/>
    <s v="3-Year"/>
    <n v="0.35499999999999998"/>
    <n v="0.37"/>
    <n v="0.27600000000000002"/>
    <n v="3.73"/>
    <n v="2271146000"/>
    <n v="119292210000"/>
    <n v="31968173400"/>
    <n v="32082800"/>
    <n v="1704290000"/>
    <n v="9547000000"/>
    <n v="17949118400"/>
    <n v="87268000000"/>
    <n v="12314765000"/>
    <n v="22477210000"/>
    <n v="9.3999999999999972E-2"/>
    <n v="34271402200"/>
  </r>
  <r>
    <x v="245"/>
    <s v="912828RR3"/>
    <s v="Note"/>
    <s v="9-Year 10-Month"/>
    <n v="1.869"/>
    <n v="1.9"/>
    <n v="1.78"/>
    <n v="3.29"/>
    <n v="1490439400"/>
    <n v="69024000000"/>
    <n v="20979746100"/>
    <n v="20331300"/>
    <n v="3651743100"/>
    <n v="11274000000"/>
    <n v="9289552500"/>
    <n v="44668000000"/>
    <n v="8038450500"/>
    <n v="13082000000"/>
    <n v="0.11999999999999988"/>
    <n v="22490516800"/>
  </r>
  <r>
    <x v="246"/>
    <s v="912810QT8"/>
    <s v="Bond"/>
    <s v="29-Year 10-Month"/>
    <n v="2.9140000000000001"/>
    <n v="2.9849999999999999"/>
    <n v="2.8"/>
    <n v="2.6"/>
    <n v="922652900"/>
    <n v="33741200000"/>
    <n v="12986800000"/>
    <n v="13202900"/>
    <n v="933600000"/>
    <n v="3071600000"/>
    <n v="7911130000"/>
    <n v="24892000000"/>
    <n v="4142070000"/>
    <n v="5777600000"/>
    <n v="0.18500000000000005"/>
    <n v="13922655800"/>
  </r>
  <r>
    <x v="247"/>
    <s v="912828SB7"/>
    <s v="Note"/>
    <s v="2-Year"/>
    <n v="0.24199999999999999"/>
    <n v="0.25"/>
    <n v="0.17899999999999999"/>
    <n v="3.75"/>
    <n v="658621200"/>
    <n v="131005800000"/>
    <n v="34803517600"/>
    <n v="196678200"/>
    <n v="2876745600"/>
    <n v="16711000000"/>
    <n v="20479120000"/>
    <n v="97710000000"/>
    <n v="11447652000"/>
    <n v="16584800000"/>
    <n v="7.1000000000000008E-2"/>
    <n v="35658817000"/>
  </r>
  <r>
    <x v="248"/>
    <s v="912828SC5"/>
    <s v="Note"/>
    <s v="5-Year"/>
    <n v="0.85799999999999998"/>
    <n v="0.89900000000000002"/>
    <n v="0.8"/>
    <n v="3.17"/>
    <n v="658621000"/>
    <n v="110876000000"/>
    <n v="34963616000"/>
    <n v="36436300"/>
    <n v="5278156000"/>
    <n v="14635000000"/>
    <n v="14514570000"/>
    <n v="75926000000"/>
    <n v="15170890000"/>
    <n v="20315000000"/>
    <n v="9.8999999999999977E-2"/>
    <n v="35658673300"/>
  </r>
  <r>
    <x v="249"/>
    <s v="912828SD3"/>
    <s v="Note"/>
    <s v="7-Year"/>
    <n v="1.29"/>
    <n v="1.359"/>
    <n v="1.1970000000000001"/>
    <n v="2.73"/>
    <n v="545714500"/>
    <n v="79281000000"/>
    <n v="28974030000"/>
    <n v="26004600"/>
    <n v="3357590000"/>
    <n v="9017000000"/>
    <n v="16411440000"/>
    <n v="57074000000"/>
    <n v="9205000000"/>
    <n v="13190000000"/>
    <n v="0.16199999999999992"/>
    <n v="29545749100"/>
  </r>
  <r>
    <x v="250"/>
    <s v="912828SE1"/>
    <s v="Note"/>
    <s v="3-Year"/>
    <n v="0.33200000000000002"/>
    <n v="0.34699999999999998"/>
    <n v="0.25"/>
    <n v="3.3"/>
    <n v="3901769900"/>
    <n v="105641000000"/>
    <n v="31962430000"/>
    <n v="37618300"/>
    <n v="2718170000"/>
    <n v="11425000000"/>
    <n v="20387260000"/>
    <n v="79330000000"/>
    <n v="8857000000"/>
    <n v="14886000000"/>
    <n v="9.6999999999999975E-2"/>
    <n v="35901818200"/>
  </r>
  <r>
    <x v="251"/>
    <s v="912828SF8"/>
    <s v="Note"/>
    <s v="10-Year"/>
    <n v="1.978"/>
    <n v="2.02"/>
    <n v="1.9"/>
    <n v="3.05"/>
    <n v="2926327400"/>
    <n v="73138000000"/>
    <n v="23872684000"/>
    <n v="47322600"/>
    <n v="4266304500"/>
    <n v="8857500000"/>
    <n v="10327060000"/>
    <n v="49360000000"/>
    <n v="9279319500"/>
    <n v="14920500000"/>
    <n v="0.12000000000000011"/>
    <n v="26846334000"/>
  </r>
  <r>
    <x v="252"/>
    <s v="912810QU5"/>
    <s v="Bond"/>
    <s v="30-Year"/>
    <n v="3.18"/>
    <n v="3.24"/>
    <n v="3"/>
    <n v="2.4700000000000002"/>
    <n v="1950884900"/>
    <n v="39462270000"/>
    <n v="15963522900"/>
    <n v="36497500"/>
    <n v="2354000000"/>
    <n v="4865000000"/>
    <n v="8952073000"/>
    <n v="27031000000"/>
    <n v="4657449900"/>
    <n v="7566270000"/>
    <n v="0.24000000000000021"/>
    <n v="17950905300"/>
  </r>
  <r>
    <x v="253"/>
    <s v="912828SG6"/>
    <s v="Note"/>
    <s v="2-Year"/>
    <n v="0.28999999999999998"/>
    <n v="0.31"/>
    <n v="0.22"/>
    <n v="3.54"/>
    <n v="496813200"/>
    <n v="123757409000"/>
    <n v="34832549000"/>
    <n v="167593800"/>
    <n v="3310857500"/>
    <n v="14135000000"/>
    <n v="19036102500"/>
    <n v="90840000000"/>
    <n v="12485589000"/>
    <n v="18782409000"/>
    <n v="0.09"/>
    <n v="35496956000"/>
  </r>
  <r>
    <x v="254"/>
    <s v="912828SJ0"/>
    <s v="Note"/>
    <s v="5-Year"/>
    <n v="0.85"/>
    <n v="0.9"/>
    <n v="0.8"/>
    <n v="2.89"/>
    <n v="496813000"/>
    <n v="101063500000"/>
    <n v="34965569800"/>
    <n v="34635400"/>
    <n v="4506533000"/>
    <n v="11028000000"/>
    <n v="15845117500"/>
    <n v="69920000000"/>
    <n v="14613919300"/>
    <n v="20115500000"/>
    <n v="9.9999999999999978E-2"/>
    <n v="35497018200"/>
  </r>
  <r>
    <x v="255"/>
    <s v="912828SH4"/>
    <s v="Note"/>
    <s v="7-Year"/>
    <n v="1.39"/>
    <n v="1.4179999999999999"/>
    <n v="1.345"/>
    <n v="3.11"/>
    <n v="411645000"/>
    <n v="90179900000"/>
    <n v="28980240000"/>
    <n v="19769800"/>
    <n v="5583540000"/>
    <n v="12687000000"/>
    <n v="11269000000"/>
    <n v="58225000000"/>
    <n v="12127700000"/>
    <n v="19267900000"/>
    <n v="7.2999999999999954E-2"/>
    <n v="29411654800"/>
  </r>
  <r>
    <x v="256"/>
    <s v="912828SK7"/>
    <s v="Note"/>
    <s v="3-Year"/>
    <n v="0.436"/>
    <n v="0.45600000000000002"/>
    <n v="0.35799999999999998"/>
    <n v="3.44"/>
    <n v="2221922200"/>
    <n v="109915300000"/>
    <n v="31966062500"/>
    <n v="33962800"/>
    <n v="2843000000"/>
    <n v="12943000000"/>
    <n v="18064662500"/>
    <n v="81481000000"/>
    <n v="11058400000"/>
    <n v="15491300000"/>
    <n v="9.8000000000000032E-2"/>
    <n v="34221947500"/>
  </r>
  <r>
    <x v="257"/>
    <s v="912828SF8"/>
    <s v="Note"/>
    <s v="9-Year 11-Month"/>
    <n v="2.0249999999999999"/>
    <n v="2.0760000000000001"/>
    <n v="1.95"/>
    <n v="3.24"/>
    <n v="1458136400"/>
    <n v="68025200000"/>
    <n v="20979800000"/>
    <n v="20387300"/>
    <n v="4063600000"/>
    <n v="9623000000"/>
    <n v="8811000000"/>
    <n v="46838000000"/>
    <n v="8105200000"/>
    <n v="11564200000"/>
    <n v="0.12600000000000011"/>
    <n v="22458323700"/>
  </r>
  <r>
    <x v="258"/>
    <s v="912810QU5"/>
    <s v="Bond"/>
    <s v="29-Year 11-Month"/>
    <n v="3.32"/>
    <n v="3.383"/>
    <n v="3.2"/>
    <n v="2.7"/>
    <n v="902655800"/>
    <n v="35077150000"/>
    <n v="12992497000"/>
    <n v="7505600"/>
    <n v="1910937000"/>
    <n v="4350500000"/>
    <n v="7317000000"/>
    <n v="24152000000"/>
    <n v="3764560000"/>
    <n v="6574650000"/>
    <n v="0.18299999999999983"/>
    <n v="13902658400"/>
  </r>
  <r>
    <x v="259"/>
    <s v="912828SL5"/>
    <s v="Note"/>
    <s v="2-Year"/>
    <n v="0.32400000000000001"/>
    <n v="0.34"/>
    <n v="0.27900000000000003"/>
    <n v="3.69"/>
    <n v="830890100"/>
    <n v="129117373000"/>
    <n v="34811973000"/>
    <n v="188225000"/>
    <n v="7455200000"/>
    <n v="18386000000"/>
    <n v="15423000000"/>
    <n v="91674000000"/>
    <n v="11933773000"/>
    <n v="19057373000"/>
    <n v="6.0999999999999999E-2"/>
    <n v="35831088100"/>
  </r>
  <r>
    <x v="260"/>
    <s v="912828SM3"/>
    <s v="Note"/>
    <s v="5-Year"/>
    <n v="0.99"/>
    <n v="1.04"/>
    <n v="0.93"/>
    <n v="2.85"/>
    <n v="830889900"/>
    <n v="99851700000"/>
    <n v="34971448400"/>
    <n v="28643500"/>
    <n v="3968025000"/>
    <n v="11888000000"/>
    <n v="16349483400"/>
    <n v="69992000000"/>
    <n v="14653940000"/>
    <n v="17971700000"/>
    <n v="0.10999999999999999"/>
    <n v="35830981800"/>
  </r>
  <r>
    <x v="261"/>
    <s v="912828SN1"/>
    <s v="Note"/>
    <s v="7-Year"/>
    <n v="1.5289999999999999"/>
    <n v="1.59"/>
    <n v="1.4670000000000001"/>
    <n v="2.72"/>
    <n v="688451700"/>
    <n v="78832895000"/>
    <n v="28987303000"/>
    <n v="12740700"/>
    <n v="3885284000"/>
    <n v="9462000000"/>
    <n v="12699589000"/>
    <n v="53259000000"/>
    <n v="12402430000"/>
    <n v="16111895000"/>
    <n v="0.123"/>
    <n v="29688495400"/>
  </r>
  <r>
    <x v="262"/>
    <s v="912828SP6"/>
    <s v="Note"/>
    <s v="3-Year"/>
    <n v="0.40300000000000002"/>
    <n v="0.42699999999999999"/>
    <n v="0.33"/>
    <n v="3.36"/>
    <n v="5822666200"/>
    <n v="107441100000"/>
    <n v="31960290000"/>
    <n v="39741800"/>
    <n v="2496040000"/>
    <n v="10789000000"/>
    <n v="16679150000"/>
    <n v="79384000000"/>
    <n v="12785100000"/>
    <n v="17268100000"/>
    <n v="9.6999999999999975E-2"/>
    <n v="37822698000"/>
  </r>
  <r>
    <x v="263"/>
    <s v="912828SF8"/>
    <s v="Note"/>
    <s v="9-Year 10-Month"/>
    <n v="1.9790000000000001"/>
    <n v="2.0430000000000001"/>
    <n v="1.8"/>
    <n v="3.08"/>
    <n v="3821124600"/>
    <n v="64699050000"/>
    <n v="20991225000"/>
    <n v="8780800"/>
    <n v="2307835000"/>
    <n v="7157000000"/>
    <n v="10603371000"/>
    <n v="45262000000"/>
    <n v="8080019000"/>
    <n v="12280050000"/>
    <n v="0.2430000000000001"/>
    <n v="24821130400"/>
  </r>
  <r>
    <x v="264"/>
    <s v="912810QU5"/>
    <s v="Bond"/>
    <s v="29-Year 10-Month"/>
    <n v="3.1709999999999998"/>
    <n v="3.23"/>
    <n v="3.1"/>
    <n v="2.76"/>
    <n v="2365458100"/>
    <n v="35879700000"/>
    <n v="12994979500"/>
    <n v="5030300"/>
    <n v="1739567000"/>
    <n v="4450250000"/>
    <n v="7269377500"/>
    <n v="24762000000"/>
    <n v="3986035000"/>
    <n v="6667450000"/>
    <n v="0.12999999999999989"/>
    <n v="15365467900"/>
  </r>
  <r>
    <x v="265"/>
    <s v="912828SR2"/>
    <s v="Note"/>
    <s v="2-Year"/>
    <n v="0.25"/>
    <n v="0.27"/>
    <n v="0.20699999999999999"/>
    <n v="3.76"/>
    <n v="940358300"/>
    <n v="131425700000"/>
    <n v="34837391300"/>
    <n v="162743700"/>
    <n v="2725000000"/>
    <n v="18468000000"/>
    <n v="20916839700"/>
    <n v="96986000000"/>
    <n v="11195551600"/>
    <n v="15971700000"/>
    <n v="6.3000000000000028E-2"/>
    <n v="35940493300"/>
  </r>
  <r>
    <x v="266"/>
    <s v="912828SS0"/>
    <s v="Note"/>
    <s v="5-Year"/>
    <n v="0.84499999999999997"/>
    <n v="0.88700000000000001"/>
    <n v="0.79200000000000004"/>
    <n v="3.09"/>
    <n v="940358100"/>
    <n v="108169270000"/>
    <n v="34977756000"/>
    <n v="22249400"/>
    <n v="3280000000"/>
    <n v="13626000000"/>
    <n v="15070486000"/>
    <n v="74775000000"/>
    <n v="16627270000"/>
    <n v="19768270000"/>
    <n v="9.4999999999999973E-2"/>
    <n v="35940363500"/>
  </r>
  <r>
    <x v="267"/>
    <s v="912828ST8"/>
    <s v="Note"/>
    <s v="7-Year"/>
    <n v="1.3069999999999999"/>
    <n v="1.347"/>
    <n v="1.25"/>
    <n v="2.83"/>
    <n v="779153800"/>
    <n v="82108400000"/>
    <n v="28963068000"/>
    <n v="11979600"/>
    <n v="5110000000"/>
    <n v="10057000000"/>
    <n v="12777548000"/>
    <n v="58451000000"/>
    <n v="11075520000"/>
    <n v="13600400000"/>
    <n v="9.6999999999999975E-2"/>
    <n v="29754201400"/>
  </r>
  <r>
    <x v="268"/>
    <s v="912828SU5"/>
    <s v="Note"/>
    <s v="3-Year"/>
    <n v="0.34"/>
    <n v="0.36199999999999999"/>
    <n v="0.27200000000000002"/>
    <n v="3.65"/>
    <n v="2001928400"/>
    <n v="116826100000"/>
    <n v="31964617500"/>
    <n v="35557600"/>
    <n v="3592935000"/>
    <n v="14913000000"/>
    <n v="16962902500"/>
    <n v="84544000000"/>
    <n v="11408780000"/>
    <n v="17369100000"/>
    <n v="8.9999999999999969E-2"/>
    <n v="34002103500"/>
  </r>
  <r>
    <x v="269"/>
    <s v="912828SV3"/>
    <s v="Note"/>
    <s v="10-Year"/>
    <n v="1.81"/>
    <n v="1.855"/>
    <n v="1.7"/>
    <n v="2.9"/>
    <n v="1501446300"/>
    <n v="69492200000"/>
    <n v="23977009000"/>
    <n v="23077600"/>
    <n v="3786000000"/>
    <n v="8947000000"/>
    <n v="10905315000"/>
    <n v="47119000000"/>
    <n v="9285694000"/>
    <n v="13426200000"/>
    <n v="0.15500000000000003"/>
    <n v="25501532900"/>
  </r>
  <r>
    <x v="270"/>
    <s v="912810QW1"/>
    <s v="Bond"/>
    <s v="30-Year"/>
    <n v="3.06"/>
    <n v="3.09"/>
    <n v="2.97"/>
    <n v="2.73"/>
    <n v="1000964200"/>
    <n v="43633200000"/>
    <n v="15980516700"/>
    <n v="19538900"/>
    <n v="2463688600"/>
    <n v="5995000000"/>
    <n v="8121952500"/>
    <n v="28742000000"/>
    <n v="5394875600"/>
    <n v="8896200000"/>
    <n v="0.11999999999999966"/>
    <n v="17001019800"/>
  </r>
  <r>
    <x v="271"/>
    <s v="912828SW1"/>
    <s v="Note"/>
    <s v="2-Year"/>
    <n v="0.28599999999999998"/>
    <n v="0.3"/>
    <n v="0.22700000000000001"/>
    <n v="3.95"/>
    <n v="469400"/>
    <n v="138094800000"/>
    <n v="34814977000"/>
    <n v="185356900"/>
    <n v="3125814500"/>
    <n v="16218000000"/>
    <n v="20022030000"/>
    <n v="104934000000"/>
    <n v="11667132500"/>
    <n v="16942800000"/>
    <n v="7.2999999999999982E-2"/>
    <n v="35000803300"/>
  </r>
  <r>
    <x v="272"/>
    <s v="912828SY7"/>
    <s v="Note"/>
    <s v="5-Year"/>
    <n v="0.7"/>
    <n v="0.748"/>
    <n v="0.65"/>
    <n v="2.99"/>
    <n v="469200"/>
    <n v="104609525000"/>
    <n v="34925512500"/>
    <n v="49500400"/>
    <n v="2281425000"/>
    <n v="12174000000"/>
    <n v="17773022500"/>
    <n v="74086000000"/>
    <n v="14871065000"/>
    <n v="18349525000"/>
    <n v="9.7999999999999976E-2"/>
    <n v="34975482100"/>
  </r>
  <r>
    <x v="273"/>
    <s v="912828SX9"/>
    <s v="Note"/>
    <s v="7-Year"/>
    <n v="1.159"/>
    <n v="1.2030000000000001"/>
    <n v="1"/>
    <n v="2.8"/>
    <n v="388800"/>
    <n v="81147470000"/>
    <n v="28965844000"/>
    <n v="9173400"/>
    <n v="4547124000"/>
    <n v="9873000000"/>
    <n v="12042250000"/>
    <n v="56937000000"/>
    <n v="12376470000"/>
    <n v="14337470000"/>
    <n v="0.20300000000000007"/>
    <n v="28975406200"/>
  </r>
  <r>
    <x v="274"/>
    <s v="912828SZ4"/>
    <s v="Note"/>
    <s v="3-Year"/>
    <n v="0.374"/>
    <n v="0.38700000000000001"/>
    <n v="0.29499999999999998"/>
    <n v="3.53"/>
    <n v="2259356800"/>
    <n v="113028200000"/>
    <n v="31972625000"/>
    <n v="27586000"/>
    <n v="3851112500"/>
    <n v="13458000000"/>
    <n v="19474312500"/>
    <n v="87320000000"/>
    <n v="8647200000"/>
    <n v="12250200000"/>
    <n v="9.2000000000000026E-2"/>
    <n v="34259567800"/>
  </r>
  <r>
    <x v="275"/>
    <s v="912828SV3"/>
    <s v="Note"/>
    <s v="9-Year 11-Month"/>
    <n v="1.5980000000000001"/>
    <n v="1.6220000000000001"/>
    <n v="1.53"/>
    <n v="3.06"/>
    <n v="1482702800"/>
    <n v="64263750000"/>
    <n v="20989206000"/>
    <n v="10809100"/>
    <n v="4369000000"/>
    <n v="7980000000"/>
    <n v="7802080000"/>
    <n v="44108000000"/>
    <n v="8818126000"/>
    <n v="12175750000"/>
    <n v="9.2000000000000082E-2"/>
    <n v="22482717900"/>
  </r>
  <r>
    <x v="276"/>
    <s v="912810QW1"/>
    <s v="Bond"/>
    <s v="29-Year 11-Month"/>
    <n v="2.6789999999999998"/>
    <n v="2.72"/>
    <n v="2.6179999999999999"/>
    <n v="2.4"/>
    <n v="917863600"/>
    <n v="31155680000"/>
    <n v="12991345000"/>
    <n v="8656600"/>
    <n v="3121500000"/>
    <n v="4978500000"/>
    <n v="5649289000"/>
    <n v="20376100000"/>
    <n v="4220556000"/>
    <n v="5801080000"/>
    <n v="0.10200000000000031"/>
    <n v="13917865200"/>
  </r>
  <r>
    <x v="277"/>
    <s v="912828TA8"/>
    <s v="Note"/>
    <s v="2-Year"/>
    <n v="0.3"/>
    <n v="0.313"/>
    <n v="0.24199999999999999"/>
    <n v="3.62"/>
    <n v="357340200"/>
    <n v="126307772800"/>
    <n v="34724032800"/>
    <n v="175978900"/>
    <n v="2745000000"/>
    <n v="14351900000"/>
    <n v="20974960000"/>
    <n v="96275000000"/>
    <n v="11004072800"/>
    <n v="15680872800"/>
    <n v="7.1000000000000008E-2"/>
    <n v="35257351900"/>
  </r>
  <r>
    <x v="278"/>
    <s v="912828TB6"/>
    <s v="Note"/>
    <s v="5-Year"/>
    <n v="0.69899999999999995"/>
    <n v="0.752"/>
    <n v="0.62"/>
    <n v="2.61"/>
    <n v="357340100"/>
    <n v="91195870000"/>
    <n v="34949760000"/>
    <n v="25241800"/>
    <n v="3744500000"/>
    <n v="10706500000"/>
    <n v="18920890000"/>
    <n v="66355000000"/>
    <n v="12284370000"/>
    <n v="14134370000"/>
    <n v="0.13200000000000001"/>
    <n v="35332341900"/>
  </r>
  <r>
    <x v="279"/>
    <s v="912828TC4"/>
    <s v="Note"/>
    <s v="7-Year"/>
    <n v="1.0189999999999999"/>
    <n v="1.075"/>
    <n v="0.95"/>
    <n v="2.64"/>
    <n v="296081700"/>
    <n v="76472500000"/>
    <n v="28967395000"/>
    <n v="7654100"/>
    <n v="1880000000"/>
    <n v="6449000000"/>
    <n v="14913192500"/>
    <n v="54887000000"/>
    <n v="12174202500"/>
    <n v="15136500000"/>
    <n v="0.125"/>
    <n v="29271130800"/>
  </r>
  <r>
    <x v="280"/>
    <s v="912828TD2"/>
    <s v="Note"/>
    <s v="3-Year"/>
    <n v="0.34899999999999998"/>
    <n v="0.36599999999999999"/>
    <n v="0.27700000000000002"/>
    <n v="3.52"/>
    <n v="0"/>
    <n v="112482200000"/>
    <n v="31874299500"/>
    <n v="25865000"/>
    <n v="3245425000"/>
    <n v="10996000000"/>
    <n v="19071222500"/>
    <n v="87281000000"/>
    <n v="9557652000"/>
    <n v="14205200000"/>
    <n v="8.8999999999999968E-2"/>
    <n v="31900164500"/>
  </r>
  <r>
    <x v="281"/>
    <s v="912828SV3"/>
    <s v="Note"/>
    <s v="9-Year 10-Month"/>
    <n v="1.44"/>
    <n v="1.4590000000000001"/>
    <n v="1.36"/>
    <n v="3.61"/>
    <n v="0"/>
    <n v="75875200000"/>
    <n v="20993024000"/>
    <n v="7516200"/>
    <n v="9532040000"/>
    <n v="16901000000"/>
    <n v="2942000000"/>
    <n v="43165000000"/>
    <n v="8518984000"/>
    <n v="15809200000"/>
    <n v="9.8999999999999977E-2"/>
    <n v="21000540200"/>
  </r>
  <r>
    <x v="282"/>
    <s v="912810QW1"/>
    <s v="Bond"/>
    <s v="29-Year 10-Month"/>
    <n v="2.5489999999999999"/>
    <n v="2.58"/>
    <n v="2.4359999999999999"/>
    <n v="2.7"/>
    <n v="0"/>
    <n v="35052700000"/>
    <n v="12990192000"/>
    <n v="9838200"/>
    <n v="2614160000"/>
    <n v="5179000000"/>
    <n v="5601672000"/>
    <n v="22282000000"/>
    <n v="4774360000"/>
    <n v="7591700000"/>
    <n v="0.14400000000000013"/>
    <n v="13000030200"/>
  </r>
  <r>
    <x v="283"/>
    <s v="912828TF7"/>
    <s v="Note"/>
    <s v="2-Year"/>
    <n v="0.21199999999999999"/>
    <n v="0.22"/>
    <n v="0.16700000000000001"/>
    <n v="4"/>
    <n v="0"/>
    <n v="139811300000"/>
    <n v="34694366000"/>
    <n v="205763500"/>
    <n v="3451240000"/>
    <n v="15567000000"/>
    <n v="20538120000"/>
    <n v="108030000000"/>
    <n v="10705006000"/>
    <n v="16214300000"/>
    <n v="5.2999999999999992E-2"/>
    <n v="34900129500"/>
  </r>
  <r>
    <x v="284"/>
    <s v="912828TG5"/>
    <s v="Note"/>
    <s v="5-Year"/>
    <n v="0.54200000000000004"/>
    <n v="0.58399999999999996"/>
    <n v="0.47"/>
    <n v="2.71"/>
    <n v="0"/>
    <n v="94737200000"/>
    <n v="34974600000"/>
    <n v="25511400"/>
    <n v="1813000000"/>
    <n v="8818000000"/>
    <n v="18259800000"/>
    <n v="67920000000"/>
    <n v="14901800000"/>
    <n v="17999200000"/>
    <n v="0.11399999999999999"/>
    <n v="35000111400"/>
  </r>
  <r>
    <x v="285"/>
    <s v="912828TH3"/>
    <s v="Note"/>
    <s v="7-Year"/>
    <n v="0.91"/>
    <n v="0.95399999999999996"/>
    <n v="0.84"/>
    <n v="2.64"/>
    <n v="0"/>
    <n v="76414600000"/>
    <n v="28991990000"/>
    <n v="8031900"/>
    <n v="2046000000"/>
    <n v="7011000000"/>
    <n v="13522390000"/>
    <n v="52755000000"/>
    <n v="13423600000"/>
    <n v="16648600000"/>
    <n v="0.11399999999999999"/>
    <n v="29000021900"/>
  </r>
  <r>
    <x v="286"/>
    <s v="912828TK6"/>
    <s v="Note"/>
    <s v="3-Year"/>
    <n v="0.35399999999999998"/>
    <n v="0.37"/>
    <n v="0.27400000000000002"/>
    <n v="3.51"/>
    <n v="0"/>
    <n v="112171200000"/>
    <n v="31854007500"/>
    <n v="46109400"/>
    <n v="2686895000"/>
    <n v="9994000000"/>
    <n v="19713812500"/>
    <n v="89133000000"/>
    <n v="9453300000"/>
    <n v="13044200000"/>
    <n v="9.5999999999999974E-2"/>
    <n v="31900116900"/>
  </r>
  <r>
    <x v="287"/>
    <s v="912828TJ9"/>
    <s v="Note"/>
    <s v="10-Year"/>
    <n v="1.63"/>
    <n v="1.68"/>
    <n v="1.55"/>
    <n v="2.4900000000000002"/>
    <n v="0"/>
    <n v="59710400000"/>
    <n v="23919409400"/>
    <n v="30636100"/>
    <n v="1247305200"/>
    <n v="5113000000"/>
    <n v="12958875000"/>
    <n v="42781000000"/>
    <n v="9713229200"/>
    <n v="11816400000"/>
    <n v="0.12999999999999989"/>
    <n v="23950045500"/>
  </r>
  <r>
    <x v="288"/>
    <s v="912810QX9"/>
    <s v="Bond"/>
    <s v="30-Year"/>
    <n v="2.7650000000000001"/>
    <n v="2.8250000000000002"/>
    <n v="2.7"/>
    <n v="2.41"/>
    <n v="0"/>
    <n v="38481700000"/>
    <n v="15980892000"/>
    <n v="19115700"/>
    <n v="1229000000"/>
    <n v="3875000000"/>
    <n v="8886824000"/>
    <n v="26655000000"/>
    <n v="5865068000"/>
    <n v="7951700000"/>
    <n v="0.125"/>
    <n v="16000007700"/>
  </r>
  <r>
    <x v="289"/>
    <s v="912828TL4"/>
    <s v="Note"/>
    <s v="2-Year"/>
    <n v="0.26500000000000001"/>
    <n v="0.27300000000000002"/>
    <n v="0.2"/>
    <n v="3.94"/>
    <n v="0"/>
    <n v="137668300000"/>
    <n v="34695548900"/>
    <n v="204542300"/>
    <n v="5579000000"/>
    <n v="17764000000"/>
    <n v="21378170000"/>
    <n v="102170000000"/>
    <n v="7738378900"/>
    <n v="17734300000"/>
    <n v="7.3000000000000009E-2"/>
    <n v="34900091200"/>
  </r>
  <r>
    <x v="290"/>
    <s v="912828TM2"/>
    <s v="Note"/>
    <s v="5-Year"/>
    <n v="0.67500000000000004"/>
    <n v="0.70799999999999996"/>
    <n v="0.61499999999999999"/>
    <n v="2.92"/>
    <n v="0"/>
    <n v="102127400000"/>
    <n v="34942925000"/>
    <n v="32077500"/>
    <n v="3837000000"/>
    <n v="12342000000"/>
    <n v="17247525000"/>
    <n v="72239000000"/>
    <n v="13858400000"/>
    <n v="17546400000"/>
    <n v="9.2999999999999972E-2"/>
    <n v="34975002500"/>
  </r>
  <r>
    <x v="291"/>
    <s v="912828TN0"/>
    <s v="Note"/>
    <s v="7-Year"/>
    <n v="1.05"/>
    <n v="1.081"/>
    <n v="0.98499999999999999"/>
    <n v="2.8"/>
    <n v="0"/>
    <n v="81330200000"/>
    <n v="28992270000"/>
    <n v="7746100"/>
    <n v="5186000000"/>
    <n v="10306000000"/>
    <n v="12685370000"/>
    <n v="57850000000"/>
    <n v="11120900000"/>
    <n v="13174200000"/>
    <n v="9.5999999999999974E-2"/>
    <n v="29000016100"/>
  </r>
  <r>
    <x v="292"/>
    <s v="912828TP5"/>
    <s v="Note"/>
    <s v="3-Year"/>
    <n v="0.32"/>
    <n v="0.33700000000000002"/>
    <n v="0.25600000000000001"/>
    <n v="3.94"/>
    <n v="0"/>
    <n v="125823200000"/>
    <n v="31869800800"/>
    <n v="30278200"/>
    <n v="4266000000"/>
    <n v="16243000000"/>
    <n v="15872092900"/>
    <n v="94044000000"/>
    <n v="11731707900"/>
    <n v="15536200000"/>
    <n v="8.1000000000000016E-2"/>
    <n v="31900079000"/>
  </r>
  <r>
    <x v="293"/>
    <s v="912828TJ9"/>
    <s v="Note"/>
    <s v="9-Year 11-Month"/>
    <n v="1.72"/>
    <n v="1.764"/>
    <n v="1.6439999999999999"/>
    <n v="2.85"/>
    <n v="0"/>
    <n v="59906600000"/>
    <n v="20984994000"/>
    <n v="15042700"/>
    <n v="2435000000"/>
    <n v="8632000000"/>
    <n v="10960394000"/>
    <n v="42758000000"/>
    <n v="7589600000"/>
    <n v="8516600000"/>
    <n v="0.12000000000000011"/>
    <n v="21000036700"/>
  </r>
  <r>
    <x v="294"/>
    <s v="912810QX9"/>
    <s v="Bond"/>
    <s v="29-Year 11-Month"/>
    <n v="2.86"/>
    <n v="2.8959999999999999"/>
    <n v="2.8"/>
    <n v="2.68"/>
    <n v="0"/>
    <n v="34874900000"/>
    <n v="12989950000"/>
    <n v="10051500"/>
    <n v="1606500000"/>
    <n v="4070500000"/>
    <n v="6357550000"/>
    <n v="23982000000"/>
    <n v="5025900000"/>
    <n v="6822400000"/>
    <n v="9.6000000000000085E-2"/>
    <n v="13000001500"/>
  </r>
  <r>
    <x v="295"/>
    <s v="912828TQ3"/>
    <s v="Note"/>
    <s v="2-Year"/>
    <n v="0.26400000000000001"/>
    <n v="0.27300000000000002"/>
    <n v="0.20699999999999999"/>
    <n v="3.6"/>
    <n v="0"/>
    <n v="125693900000"/>
    <n v="34728560000"/>
    <n v="171519200"/>
    <n v="6077420000"/>
    <n v="16368000000"/>
    <n v="19214050000"/>
    <n v="93465000000"/>
    <n v="9437090000"/>
    <n v="15860900000"/>
    <n v="6.6000000000000031E-2"/>
    <n v="34900079200"/>
  </r>
  <r>
    <x v="296"/>
    <s v="912828TS9"/>
    <s v="Note"/>
    <s v="5-Year"/>
    <n v="0.61899999999999999"/>
    <n v="0.64700000000000002"/>
    <n v="0.56799999999999995"/>
    <n v="3.06"/>
    <n v="0"/>
    <n v="107057600000"/>
    <n v="34979612000"/>
    <n v="20412600"/>
    <n v="3750000000"/>
    <n v="13795000000"/>
    <n v="16521780000"/>
    <n v="75030000000"/>
    <n v="14707832000"/>
    <n v="18232600000"/>
    <n v="7.900000000000007E-2"/>
    <n v="35000024600"/>
  </r>
  <r>
    <x v="297"/>
    <s v="912828TR1"/>
    <s v="Note"/>
    <s v="7-Year"/>
    <n v="1.0229999999999999"/>
    <n v="1.0549999999999999"/>
    <n v="0.95"/>
    <n v="2.61"/>
    <n v="0"/>
    <n v="75747200000"/>
    <n v="28993869000"/>
    <n v="6148700"/>
    <n v="4928898000"/>
    <n v="10326900000"/>
    <n v="13952850000"/>
    <n v="52710000000"/>
    <n v="10112121000"/>
    <n v="12710300000"/>
    <n v="0.10499999999999998"/>
    <n v="29000017700"/>
  </r>
  <r>
    <x v="298"/>
    <s v="912828TT7"/>
    <s v="Note"/>
    <s v="3-Year"/>
    <n v="0.33"/>
    <n v="0.34599999999999997"/>
    <n v="0.26900000000000002"/>
    <n v="3.96"/>
    <n v="0"/>
    <n v="126646200000"/>
    <n v="31874744000"/>
    <n v="25284700"/>
    <n v="7180000000"/>
    <n v="15806000000"/>
    <n v="15518544000"/>
    <n v="96811000000"/>
    <n v="9176200000"/>
    <n v="14029200000"/>
    <n v="7.6999999999999957E-2"/>
    <n v="31900028700"/>
  </r>
  <r>
    <x v="299"/>
    <s v="912828TJ9"/>
    <s v="Note"/>
    <s v="9-Year 10-Month"/>
    <n v="1.68"/>
    <n v="1.7"/>
    <n v="1.6140000000000001"/>
    <n v="3.26"/>
    <n v="0"/>
    <n v="68351600000"/>
    <n v="20987142400"/>
    <n v="12886900"/>
    <n v="4811000000"/>
    <n v="11356000000"/>
    <n v="7494522400"/>
    <n v="46029000000"/>
    <n v="8681620000"/>
    <n v="10966600000"/>
    <n v="8.5999999999999854E-2"/>
    <n v="21000029300"/>
  </r>
  <r>
    <x v="300"/>
    <s v="912810QX9"/>
    <s v="Bond"/>
    <s v="29-Year 10-Month"/>
    <n v="2.8439999999999999"/>
    <n v="2.9039999999999999"/>
    <n v="2.7970000000000002"/>
    <n v="2.4900000000000002"/>
    <n v="0"/>
    <n v="32364250000"/>
    <n v="12994701000"/>
    <n v="5313200"/>
    <n v="1840000000"/>
    <n v="4912000000"/>
    <n v="7707451000"/>
    <n v="23084000000"/>
    <n v="3447250000"/>
    <n v="4368250000"/>
    <n v="0.10699999999999976"/>
    <n v="13000014200"/>
  </r>
  <r>
    <x v="301"/>
    <s v="912828TU4"/>
    <s v="Note"/>
    <s v="2-Year"/>
    <n v="0.28299999999999997"/>
    <n v="0.29499999999999998"/>
    <n v="0.23899999999999999"/>
    <n v="4.0199999999999996"/>
    <n v="0"/>
    <n v="140295500000"/>
    <n v="34728216000"/>
    <n v="161837500"/>
    <n v="13252720000"/>
    <n v="24788000000"/>
    <n v="9835060000"/>
    <n v="97605000000"/>
    <n v="11640436000"/>
    <n v="17902500000"/>
    <n v="5.5999999999999994E-2"/>
    <n v="34890053500"/>
  </r>
  <r>
    <x v="302"/>
    <s v="912828TW0"/>
    <s v="Note"/>
    <s v="5-Year"/>
    <n v="0.73499999999999999"/>
    <n v="0.77400000000000002"/>
    <n v="0.68"/>
    <n v="2.73"/>
    <n v="0"/>
    <n v="95387250000"/>
    <n v="34964010000"/>
    <n v="36030800"/>
    <n v="5413260000"/>
    <n v="14418000000"/>
    <n v="14743500000"/>
    <n v="64365000000"/>
    <n v="14807250000"/>
    <n v="16604250000"/>
    <n v="9.3999999999999972E-2"/>
    <n v="35000040800"/>
  </r>
  <r>
    <x v="303"/>
    <s v="912828TV2"/>
    <s v="Note"/>
    <s v="7-Year"/>
    <n v="1.2270000000000001"/>
    <n v="1.2669999999999999"/>
    <n v="1.1599999999999999"/>
    <n v="2.56"/>
    <n v="0"/>
    <n v="74152200000"/>
    <n v="28942450000"/>
    <n v="7599700"/>
    <n v="5220000000"/>
    <n v="9568000000"/>
    <n v="12653250000"/>
    <n v="53105000000"/>
    <n v="11069200000"/>
    <n v="11479200000"/>
    <n v="0.10699999999999998"/>
    <n v="28950049700"/>
  </r>
  <r>
    <x v="304"/>
    <s v="912828TX8"/>
    <s v="Note"/>
    <s v="3-Year"/>
    <n v="0.377"/>
    <n v="0.39200000000000002"/>
    <n v="0.30299999999999999"/>
    <n v="3.41"/>
    <n v="0"/>
    <n v="109072300000"/>
    <n v="31855100000"/>
    <n v="44989300"/>
    <n v="7088390000"/>
    <n v="14357000000"/>
    <n v="16783850000"/>
    <n v="85363000000"/>
    <n v="7982860000"/>
    <n v="9352300000"/>
    <n v="8.9000000000000024E-2"/>
    <n v="31900089300"/>
  </r>
  <r>
    <x v="305"/>
    <s v="912828TY6"/>
    <s v="Note"/>
    <s v="10-Year"/>
    <n v="1.63"/>
    <n v="1.675"/>
    <n v="1.5589999999999999"/>
    <n v="2.59"/>
    <n v="0"/>
    <n v="62166545000"/>
    <n v="23973206500"/>
    <n v="26797300"/>
    <n v="3384000000"/>
    <n v="7672000000"/>
    <n v="11073380000"/>
    <n v="43995000000"/>
    <n v="9515826500"/>
    <n v="10499545000"/>
    <n v="0.1160000000000001"/>
    <n v="24000003800"/>
  </r>
  <r>
    <x v="306"/>
    <s v="912810QY7"/>
    <s v="Bond"/>
    <s v="30-Year"/>
    <n v="2.8"/>
    <n v="2.82"/>
    <n v="2.75"/>
    <n v="2.77"/>
    <n v="0"/>
    <n v="44287780000"/>
    <n v="15983444400"/>
    <n v="16563800"/>
    <n v="1985407400"/>
    <n v="5233000000"/>
    <n v="6736517400"/>
    <n v="28526000000"/>
    <n v="7261519600"/>
    <n v="10528780000"/>
    <n v="6.999999999999984E-2"/>
    <n v="16000008200"/>
  </r>
  <r>
    <x v="307"/>
    <s v="912828TZ3"/>
    <s v="Note"/>
    <s v="2-Year"/>
    <n v="0.26100000000000001"/>
    <n v="0.27"/>
    <n v="0.20399999999999999"/>
    <n v="4.07"/>
    <n v="0"/>
    <n v="142103400000"/>
    <n v="34749362700"/>
    <n v="150708800"/>
    <n v="8216134500"/>
    <n v="19461000000"/>
    <n v="14573155000"/>
    <n v="104626000000"/>
    <n v="11960073200"/>
    <n v="18016400000"/>
    <n v="6.6000000000000031E-2"/>
    <n v="34900071500"/>
  </r>
  <r>
    <x v="308"/>
    <s v="912828UA6"/>
    <s v="Note"/>
    <s v="5-Year"/>
    <n v="0.61799999999999999"/>
    <n v="0.64100000000000001"/>
    <n v="0.56000000000000005"/>
    <n v="2.89"/>
    <n v="0"/>
    <n v="101094050000"/>
    <n v="34974605000"/>
    <n v="25422500"/>
    <n v="5556000000"/>
    <n v="15382000000"/>
    <n v="13554555000"/>
    <n v="67658000000"/>
    <n v="15864050000"/>
    <n v="18054050000"/>
    <n v="8.0999999999999961E-2"/>
    <n v="35000027500"/>
  </r>
  <r>
    <x v="309"/>
    <s v="912828UB4"/>
    <s v="Note"/>
    <s v="7-Year"/>
    <n v="1.0089999999999999"/>
    <n v="1.0449999999999999"/>
    <n v="0.95699999999999996"/>
    <n v="2.81"/>
    <n v="0"/>
    <n v="81372900000"/>
    <n v="28989464400"/>
    <n v="10590700"/>
    <n v="5712960000"/>
    <n v="12859000000"/>
    <n v="11946780000"/>
    <n v="56231000000"/>
    <n v="11329724400"/>
    <n v="12282900000"/>
    <n v="8.7999999999999967E-2"/>
    <n v="29000055100"/>
  </r>
  <r>
    <x v="310"/>
    <s v="912828UC2"/>
    <s v="Note"/>
    <s v="3-Year"/>
    <n v="0.307"/>
    <n v="0.32700000000000001"/>
    <n v="0.249"/>
    <n v="3.36"/>
    <n v="0"/>
    <n v="107258900000"/>
    <n v="31867330000"/>
    <n v="32743700"/>
    <n v="7901045000"/>
    <n v="16025000000"/>
    <n v="16972115000"/>
    <n v="82184000000"/>
    <n v="6994170000"/>
    <n v="9049900000"/>
    <n v="7.8000000000000014E-2"/>
    <n v="31900073700"/>
  </r>
  <r>
    <x v="311"/>
    <s v="912828TY6"/>
    <s v="Note"/>
    <s v="9-Year 11-Month"/>
    <n v="1.6339999999999999"/>
    <n v="1.6519999999999999"/>
    <n v="1.599"/>
    <n v="2.95"/>
    <n v="0"/>
    <n v="61967900000"/>
    <n v="20980100000"/>
    <n v="19945500"/>
    <n v="8960200000"/>
    <n v="12904000000"/>
    <n v="6945000000"/>
    <n v="42417000000"/>
    <n v="5074900000"/>
    <n v="6646900000"/>
    <n v="5.2999999999999936E-2"/>
    <n v="21000045500"/>
  </r>
  <r>
    <x v="312"/>
    <s v="912810QY7"/>
    <s v="Bond"/>
    <s v="29-Year 11-Month"/>
    <n v="2.855"/>
    <n v="2.9169999999999998"/>
    <n v="2.8090000000000002"/>
    <n v="2.5"/>
    <n v="0"/>
    <n v="32430240000"/>
    <n v="12989562500"/>
    <n v="10441400"/>
    <n v="2633500000"/>
    <n v="5390500000"/>
    <n v="5983047500"/>
    <n v="22181000000"/>
    <n v="4373015000"/>
    <n v="4858740000"/>
    <n v="0.10799999999999965"/>
    <n v="13000003900"/>
  </r>
  <r>
    <x v="313"/>
    <s v="912828UD0"/>
    <s v="Note"/>
    <s v="2-Year"/>
    <n v="0.23400000000000001"/>
    <n v="0.245"/>
    <n v="0.186"/>
    <n v="3.59"/>
    <n v="0"/>
    <n v="125438200000"/>
    <n v="34777565000"/>
    <n v="122600000"/>
    <n v="9888513000"/>
    <n v="18293000000"/>
    <n v="18733775000"/>
    <n v="98003000000"/>
    <n v="6155277000"/>
    <n v="9142200000"/>
    <n v="5.8999999999999997E-2"/>
    <n v="34900165000"/>
  </r>
  <r>
    <x v="314"/>
    <s v="912828UE8"/>
    <s v="Note"/>
    <s v="5-Year"/>
    <n v="0.73799999999999999"/>
    <n v="0.76900000000000002"/>
    <n v="0.68799999999999994"/>
    <n v="2.72"/>
    <n v="0"/>
    <n v="95045600000"/>
    <n v="34925500000"/>
    <n v="24525600"/>
    <n v="10616580000"/>
    <n v="18238000000"/>
    <n v="12977450000"/>
    <n v="64191000000"/>
    <n v="11331470000"/>
    <n v="12616600000"/>
    <n v="8.1000000000000072E-2"/>
    <n v="34950025600"/>
  </r>
  <r>
    <x v="315"/>
    <s v="912828UF5"/>
    <s v="Note"/>
    <s v="7-Year"/>
    <n v="1.2"/>
    <n v="1.2330000000000001"/>
    <n v="1.149"/>
    <n v="2.72"/>
    <n v="0"/>
    <n v="78802900000"/>
    <n v="28971710000"/>
    <n v="28293400"/>
    <n v="6694000000"/>
    <n v="11836000000"/>
    <n v="10720000000"/>
    <n v="53616000000"/>
    <n v="11557710000"/>
    <n v="13350900000"/>
    <n v="8.4000000000000075E-2"/>
    <n v="29000003400"/>
  </r>
  <r>
    <x v="316"/>
    <s v="912828UG3"/>
    <s v="Note"/>
    <s v="3-Year"/>
    <n v="0.37"/>
    <n v="0.38500000000000001"/>
    <n v="0.3"/>
    <n v="3.62"/>
    <n v="0"/>
    <n v="115814400000"/>
    <n v="31869925000"/>
    <n v="30122100"/>
    <n v="8407000000"/>
    <n v="18664000000"/>
    <n v="14410485000"/>
    <n v="83554000000"/>
    <n v="9052440000"/>
    <n v="13596400000"/>
    <n v="8.500000000000002E-2"/>
    <n v="31900047100"/>
  </r>
  <r>
    <x v="317"/>
    <s v="912828TY6"/>
    <s v="Note"/>
    <s v="9-Year 10-Month"/>
    <n v="1.82"/>
    <n v="1.863"/>
    <n v="1.7569999999999999"/>
    <n v="2.83"/>
    <n v="0"/>
    <n v="59516700000"/>
    <n v="20991170400"/>
    <n v="8835300"/>
    <n v="3102000000"/>
    <n v="8144000000"/>
    <n v="11910480000"/>
    <n v="43624000000"/>
    <n v="5978690400"/>
    <n v="7748700000"/>
    <n v="0.10600000000000009"/>
    <n v="21000005700"/>
  </r>
  <r>
    <x v="318"/>
    <s v="912810QY7"/>
    <s v="Bond"/>
    <s v="29-Year 10-Month"/>
    <n v="3.032"/>
    <n v="3.07"/>
    <n v="2.98"/>
    <n v="2.77"/>
    <n v="0"/>
    <n v="36038417500"/>
    <n v="12989715500"/>
    <n v="10285400"/>
    <n v="2163163500"/>
    <n v="5033000000"/>
    <n v="5910162500"/>
    <n v="24069000000"/>
    <n v="4916389500"/>
    <n v="6936417500"/>
    <n v="8.9999999999999858E-2"/>
    <n v="13000000900"/>
  </r>
  <r>
    <x v="319"/>
    <s v="912828UK4"/>
    <s v="Note"/>
    <s v="2-Year"/>
    <n v="0.26900000000000002"/>
    <n v="0.28799999999999998"/>
    <n v="0.22500000000000001"/>
    <n v="3.77"/>
    <n v="0"/>
    <n v="131516100000"/>
    <n v="34732725000"/>
    <n v="167386200"/>
    <n v="10416460000"/>
    <n v="21983000000"/>
    <n v="18061165000"/>
    <n v="92001000000"/>
    <n v="6255100000"/>
    <n v="17532100000"/>
    <n v="6.2999999999999973E-2"/>
    <n v="34900111200"/>
  </r>
  <r>
    <x v="320"/>
    <s v="912828UJ7"/>
    <s v="Note"/>
    <s v="5-Year"/>
    <n v="0.85699999999999998"/>
    <n v="0.88900000000000001"/>
    <n v="0.8"/>
    <n v="2.88"/>
    <n v="0"/>
    <n v="100834100000"/>
    <n v="34970740500"/>
    <n v="29273400"/>
    <n v="5888810500"/>
    <n v="14402900000"/>
    <n v="15201535000"/>
    <n v="67652000000"/>
    <n v="13880395000"/>
    <n v="18779200000"/>
    <n v="8.8999999999999968E-2"/>
    <n v="35000013900"/>
  </r>
  <r>
    <x v="321"/>
    <s v="912828UL2"/>
    <s v="Note"/>
    <s v="7-Year"/>
    <n v="1.3680000000000001"/>
    <n v="1.4159999999999999"/>
    <n v="1.3"/>
    <n v="2.6"/>
    <n v="0"/>
    <n v="75453000000"/>
    <n v="28989474000"/>
    <n v="10545000"/>
    <n v="5724500000"/>
    <n v="10356500000"/>
    <n v="12187490000"/>
    <n v="51715000000"/>
    <n v="11077484000"/>
    <n v="13381500000"/>
    <n v="0.11599999999999988"/>
    <n v="29000019000"/>
  </r>
  <r>
    <x v="322"/>
    <s v="912828UM0"/>
    <s v="Note"/>
    <s v="3-Year"/>
    <n v="0.39500000000000002"/>
    <n v="0.41099999999999998"/>
    <n v="0.33400000000000002"/>
    <n v="3.59"/>
    <n v="0"/>
    <n v="114640100000"/>
    <n v="31855397500"/>
    <n v="44654700"/>
    <n v="8556060000"/>
    <n v="18535000000"/>
    <n v="17558237500"/>
    <n v="79390000000"/>
    <n v="5741100000"/>
    <n v="16715100000"/>
    <n v="7.6999999999999957E-2"/>
    <n v="31900052200"/>
  </r>
  <r>
    <x v="323"/>
    <s v="912828UN8"/>
    <s v="Note"/>
    <s v="10-Year"/>
    <n v="2.0099999999999998"/>
    <n v="2.0459999999999998"/>
    <n v="1.94"/>
    <n v="2.68"/>
    <n v="0"/>
    <n v="64305200000"/>
    <n v="23960836000"/>
    <n v="39174900"/>
    <n v="5810000000"/>
    <n v="9499000000"/>
    <n v="11436760000"/>
    <n v="45389000000"/>
    <n v="6714076000"/>
    <n v="9417200000"/>
    <n v="0.10599999999999987"/>
    <n v="24000010900"/>
  </r>
  <r>
    <x v="324"/>
    <s v="912810QZ4"/>
    <s v="Bond"/>
    <s v="30-Year"/>
    <n v="3.1389999999999998"/>
    <n v="3.18"/>
    <n v="3.09"/>
    <n v="2.74"/>
    <n v="0"/>
    <n v="43836161000"/>
    <n v="15980720000"/>
    <n v="19419500"/>
    <n v="2315000000"/>
    <n v="6011000000"/>
    <n v="7852860000"/>
    <n v="29700000000"/>
    <n v="5812860000"/>
    <n v="8125161000"/>
    <n v="9.0000000000000302E-2"/>
    <n v="16000139500"/>
  </r>
  <r>
    <x v="325"/>
    <s v="912828UP3"/>
    <s v="Note"/>
    <s v="2-Year"/>
    <n v="0.249"/>
    <n v="0.25700000000000001"/>
    <n v="0.19900000000000001"/>
    <n v="3.33"/>
    <n v="0"/>
    <n v="116209345000"/>
    <n v="34745648000"/>
    <n v="154473300"/>
    <n v="10974380000"/>
    <n v="22696000000"/>
    <n v="16126760000"/>
    <n v="83805000000"/>
    <n v="7644508000"/>
    <n v="9708345000"/>
    <n v="5.7999999999999996E-2"/>
    <n v="34900121300"/>
  </r>
  <r>
    <x v="326"/>
    <s v="912828UR9"/>
    <s v="Note"/>
    <s v="5-Year"/>
    <n v="0.74299999999999999"/>
    <n v="0.77700000000000002"/>
    <n v="0.69"/>
    <n v="2.85"/>
    <n v="0"/>
    <n v="99679395000"/>
    <n v="34976003000"/>
    <n v="24011500"/>
    <n v="5003000000"/>
    <n v="15270000000"/>
    <n v="15382730000"/>
    <n v="67972000000"/>
    <n v="14590273000"/>
    <n v="16437395000"/>
    <n v="8.7000000000000077E-2"/>
    <n v="35000014500"/>
  </r>
  <r>
    <x v="327"/>
    <s v="912828UQ1"/>
    <s v="Note"/>
    <s v="7-Year"/>
    <n v="1.22"/>
    <n v="1.26"/>
    <n v="1.17"/>
    <n v="2.65"/>
    <n v="0"/>
    <n v="76964300000"/>
    <n v="28993175000"/>
    <n v="6846000"/>
    <n v="5282625000"/>
    <n v="11477000000"/>
    <n v="14022250000"/>
    <n v="55313000000"/>
    <n v="9688300000"/>
    <n v="10174300000"/>
    <n v="9.000000000000008E-2"/>
    <n v="29000021000"/>
  </r>
  <r>
    <x v="328"/>
    <s v="912828US7"/>
    <s v="Note"/>
    <s v="3-Year"/>
    <n v="0.4"/>
    <n v="0.41099999999999998"/>
    <n v="0.32700000000000001"/>
    <n v="3.51"/>
    <n v="0"/>
    <n v="112085350000"/>
    <n v="31848142500"/>
    <n v="46899700"/>
    <n v="7443000000"/>
    <n v="17181000000"/>
    <n v="17848292500"/>
    <n v="83707000000"/>
    <n v="6556850000"/>
    <n v="11197350000"/>
    <n v="8.3999999999999964E-2"/>
    <n v="31895042200"/>
  </r>
  <r>
    <x v="329"/>
    <s v="912828UN8"/>
    <s v="Note"/>
    <s v="9-Year 11-Month"/>
    <n v="2.0049999999999999"/>
    <n v="2.0289999999999999"/>
    <n v="1.9339999999999999"/>
    <n v="3.19"/>
    <n v="0"/>
    <n v="66987600000"/>
    <n v="20979758500"/>
    <n v="20253900"/>
    <n v="6303000000"/>
    <n v="11314000000"/>
    <n v="4671550000"/>
    <n v="41938000000"/>
    <n v="10005208500"/>
    <n v="13735600000"/>
    <n v="9.4999999999999973E-2"/>
    <n v="21000012400"/>
  </r>
  <r>
    <x v="330"/>
    <s v="912810QZ4"/>
    <s v="Bond"/>
    <s v="29-Year 11-Month"/>
    <n v="3.1850000000000001"/>
    <n v="3.2480000000000002"/>
    <n v="3.15"/>
    <n v="2.4300000000000002"/>
    <n v="0"/>
    <n v="31577800000"/>
    <n v="12985524900"/>
    <n v="14511100"/>
    <n v="633000000"/>
    <n v="3294000000"/>
    <n v="6901237500"/>
    <n v="22213000000"/>
    <n v="5451287400"/>
    <n v="6070800000"/>
    <n v="9.8000000000000309E-2"/>
    <n v="13000036000"/>
  </r>
  <r>
    <x v="331"/>
    <s v="912828UT5"/>
    <s v="Note"/>
    <s v="2-Year"/>
    <n v="0.24399999999999999"/>
    <n v="0.255"/>
    <n v="0.19900000000000001"/>
    <n v="3.27"/>
    <n v="0"/>
    <n v="114137500000"/>
    <n v="34704098000"/>
    <n v="166205100"/>
    <n v="7570000000"/>
    <n v="17997000000"/>
    <n v="19976610000"/>
    <n v="84914000000"/>
    <n v="7157488000"/>
    <n v="11226500000"/>
    <n v="5.5999999999999994E-2"/>
    <n v="34870303100"/>
  </r>
  <r>
    <x v="332"/>
    <s v="912828UU2"/>
    <s v="Note"/>
    <s v="5-Year"/>
    <n v="0.72499999999999998"/>
    <n v="0.76"/>
    <n v="0.68400000000000005"/>
    <n v="2.73"/>
    <n v="0"/>
    <n v="95416000000"/>
    <n v="34975054500"/>
    <n v="24976100"/>
    <n v="5888422000"/>
    <n v="15411000000"/>
    <n v="12969467500"/>
    <n v="59936000000"/>
    <n v="16117165000"/>
    <n v="20069000000"/>
    <n v="7.5999999999999956E-2"/>
    <n v="35000030600"/>
  </r>
  <r>
    <x v="333"/>
    <s v="912828UV0"/>
    <s v="Note"/>
    <s v="7-Year"/>
    <n v="1.204"/>
    <n v="1.248"/>
    <n v="1.145"/>
    <n v="2.56"/>
    <n v="0"/>
    <n v="74225875000"/>
    <n v="28988580600"/>
    <n v="11492500"/>
    <n v="5655000000"/>
    <n v="10575000000"/>
    <n v="13048065600"/>
    <n v="52541000000"/>
    <n v="10285515000"/>
    <n v="11109875000"/>
    <n v="0.10299999999999998"/>
    <n v="29000073100"/>
  </r>
  <r>
    <x v="334"/>
    <s v="912828UW8"/>
    <s v="Note"/>
    <s v="3-Year"/>
    <n v="0.32400000000000001"/>
    <n v="0.34200000000000003"/>
    <n v="0.25700000000000001"/>
    <n v="3.24"/>
    <n v="0"/>
    <n v="103479100000"/>
    <n v="31875611400"/>
    <n v="24612500"/>
    <n v="5152650000"/>
    <n v="14883000000"/>
    <n v="20674813600"/>
    <n v="80658000000"/>
    <n v="6048147800"/>
    <n v="7938100000"/>
    <n v="8.500000000000002E-2"/>
    <n v="31900223900"/>
  </r>
  <r>
    <x v="335"/>
    <s v="912828UN8"/>
    <s v="Note"/>
    <s v="9-Year 10-Month"/>
    <n v="1.7589999999999999"/>
    <n v="1.7949999999999999"/>
    <n v="1.72"/>
    <n v="2.79"/>
    <n v="0"/>
    <n v="58610650000"/>
    <n v="20991399500"/>
    <n v="8609300"/>
    <n v="6104715500"/>
    <n v="8573000000"/>
    <n v="7051310000"/>
    <n v="40839000000"/>
    <n v="7835374000"/>
    <n v="9198650000"/>
    <n v="7.4999999999999956E-2"/>
    <n v="21000008800"/>
  </r>
  <r>
    <x v="336"/>
    <s v="912810QZ4"/>
    <s v="Bond"/>
    <s v="29-Year 10-Month"/>
    <n v="2.95"/>
    <n v="2.9980000000000002"/>
    <n v="2.9"/>
    <n v="2.4900000000000002"/>
    <n v="0"/>
    <n v="32395250000"/>
    <n v="12994492000"/>
    <n v="5520900"/>
    <n v="2499522000"/>
    <n v="4781500000"/>
    <n v="6409392000"/>
    <n v="22201000000"/>
    <n v="4085578000"/>
    <n v="5412750000"/>
    <n v="9.8000000000000309E-2"/>
    <n v="13000012900"/>
  </r>
  <r>
    <x v="337"/>
    <s v="912828UY4"/>
    <s v="Note"/>
    <s v="2-Year"/>
    <n v="0.22"/>
    <n v="0.23300000000000001"/>
    <n v="0.16400000000000001"/>
    <n v="3.63"/>
    <n v="0"/>
    <n v="126747600000"/>
    <n v="34758400000"/>
    <n v="141809200"/>
    <n v="9639895000"/>
    <n v="22060000000"/>
    <n v="17937985000"/>
    <n v="90575000000"/>
    <n v="7180520000"/>
    <n v="14112600000"/>
    <n v="6.9000000000000006E-2"/>
    <n v="34900209200"/>
  </r>
  <r>
    <x v="338"/>
    <s v="912828UZ1"/>
    <s v="Note"/>
    <s v="5-Year"/>
    <n v="0.67800000000000005"/>
    <n v="0.71"/>
    <n v="0.628"/>
    <n v="2.86"/>
    <n v="0"/>
    <n v="99968600000"/>
    <n v="34981280800"/>
    <n v="18732800"/>
    <n v="4884081900"/>
    <n v="14338000000"/>
    <n v="14847772500"/>
    <n v="67824000000"/>
    <n v="15249426400"/>
    <n v="17806600000"/>
    <n v="8.1999999999999962E-2"/>
    <n v="35000013600"/>
  </r>
  <r>
    <x v="339"/>
    <s v="912828VA5"/>
    <s v="Note"/>
    <s v="7-Year"/>
    <n v="1.1200000000000001"/>
    <n v="1.155"/>
    <n v="1.069"/>
    <n v="2.71"/>
    <n v="0"/>
    <n v="78602100000"/>
    <n v="28988402200"/>
    <n v="11649500"/>
    <n v="5718000000"/>
    <n v="11633000000"/>
    <n v="11886420000"/>
    <n v="53313000000"/>
    <n v="11383982200"/>
    <n v="13656100000"/>
    <n v="8.6000000000000076E-2"/>
    <n v="29000051700"/>
  </r>
  <r>
    <x v="340"/>
    <s v="912828VC1"/>
    <s v="Note"/>
    <s v="3-Year"/>
    <n v="0.34"/>
    <n v="0.35399999999999998"/>
    <n v="0.26600000000000001"/>
    <n v="3.38"/>
    <n v="0"/>
    <n v="107980975000"/>
    <n v="31859100000"/>
    <n v="40946800"/>
    <n v="4653625000"/>
    <n v="16009000000"/>
    <n v="17422500000"/>
    <n v="78995000000"/>
    <n v="9782975000"/>
    <n v="12976975000"/>
    <n v="8.7999999999999967E-2"/>
    <n v="31900046800"/>
  </r>
  <r>
    <x v="341"/>
    <s v="912828VB3"/>
    <s v="Note"/>
    <s v="10-Year"/>
    <n v="1.774"/>
    <n v="1.81"/>
    <n v="1.6990000000000001"/>
    <n v="2.7"/>
    <n v="0"/>
    <n v="64743300000"/>
    <n v="23981548400"/>
    <n v="18488800"/>
    <n v="4049060400"/>
    <n v="7988000000"/>
    <n v="11808070000"/>
    <n v="46926000000"/>
    <n v="8124418000"/>
    <n v="9829300000"/>
    <n v="0.11099999999999999"/>
    <n v="24000037200"/>
  </r>
  <r>
    <x v="342"/>
    <s v="912810RB6"/>
    <s v="Bond"/>
    <s v="30-Year"/>
    <n v="2.944"/>
    <n v="2.98"/>
    <n v="2.899"/>
    <n v="2.5299999999999998"/>
    <n v="0"/>
    <n v="40469330000"/>
    <n v="15987798500"/>
    <n v="12264800"/>
    <n v="2474401000"/>
    <n v="5163250000"/>
    <n v="7307889000"/>
    <n v="27417500000"/>
    <n v="6205508500"/>
    <n v="7888580000"/>
    <n v="8.0999999999999961E-2"/>
    <n v="16000063300"/>
  </r>
  <r>
    <x v="343"/>
    <s v="912828VD9"/>
    <s v="Note"/>
    <s v="2-Year"/>
    <n v="0.27100000000000002"/>
    <n v="0.28299999999999997"/>
    <n v="0.20499999999999999"/>
    <n v="3.04"/>
    <n v="0"/>
    <n v="106160900000"/>
    <n v="34741100000"/>
    <n v="158960600"/>
    <n v="4378000000"/>
    <n v="15168000000"/>
    <n v="22745200000"/>
    <n v="82300000000"/>
    <n v="7617900000"/>
    <n v="8692900000"/>
    <n v="7.7999999999999986E-2"/>
    <n v="34900060600"/>
  </r>
  <r>
    <x v="344"/>
    <s v="912828VE7"/>
    <s v="Note"/>
    <s v="5-Year"/>
    <n v="1.01"/>
    <n v="1.0449999999999999"/>
    <n v="0.95099999999999996"/>
    <n v="2.79"/>
    <n v="0"/>
    <n v="97713750000"/>
    <n v="34965154100"/>
    <n v="34878900"/>
    <n v="8157565000"/>
    <n v="14058000000"/>
    <n v="11406955000"/>
    <n v="65701000000"/>
    <n v="15400634100"/>
    <n v="17954750000"/>
    <n v="9.3999999999999972E-2"/>
    <n v="35000033000"/>
  </r>
  <r>
    <x v="345"/>
    <s v="912828VF4"/>
    <s v="Note"/>
    <s v="7-Year"/>
    <n v="1.47"/>
    <n v="1.496"/>
    <n v="1.4219999999999999"/>
    <n v="2.7"/>
    <n v="0"/>
    <n v="78344470000"/>
    <n v="28975279200"/>
    <n v="24759600"/>
    <n v="5991500000"/>
    <n v="11111500000"/>
    <n v="11149380000"/>
    <n v="52167500000"/>
    <n v="11834399200"/>
    <n v="15065470000"/>
    <n v="7.4000000000000066E-2"/>
    <n v="29000038800"/>
  </r>
  <r>
    <x v="346"/>
    <s v="912828VG2"/>
    <s v="Note"/>
    <s v="3-Year"/>
    <n v="0.56000000000000005"/>
    <n v="0.58099999999999996"/>
    <n v="0.48599999999999999"/>
    <n v="2.95"/>
    <n v="0"/>
    <n v="94130900000"/>
    <n v="31869780000"/>
    <n v="30317300"/>
    <n v="2687000000"/>
    <n v="12466000000"/>
    <n v="18625336000"/>
    <n v="70071000000"/>
    <n v="10557444000"/>
    <n v="11593900000"/>
    <n v="9.4999999999999973E-2"/>
    <n v="31900097300"/>
  </r>
  <r>
    <x v="347"/>
    <s v="912828VB3"/>
    <s v="Note"/>
    <s v="9-Year 11-Month"/>
    <n v="2.1680000000000001"/>
    <n v="2.2090000000000001"/>
    <n v="2.08"/>
    <n v="2.5299999999999998"/>
    <n v="0"/>
    <n v="53087800000"/>
    <n v="20983168000"/>
    <n v="16849400"/>
    <n v="2464920000"/>
    <n v="5491000000"/>
    <n v="7675500000"/>
    <n v="35854000000"/>
    <n v="10842748000"/>
    <n v="11742800000"/>
    <n v="0.129"/>
    <n v="21000017400"/>
  </r>
  <r>
    <x v="348"/>
    <s v="912810RB6"/>
    <s v="Bond"/>
    <s v="29-Year 11-Month"/>
    <n v="3.2850000000000001"/>
    <n v="3.355"/>
    <n v="3.2450000000000001"/>
    <n v="2.4700000000000002"/>
    <n v="0"/>
    <n v="32088000000"/>
    <n v="12996532000"/>
    <n v="3472600"/>
    <n v="1104600000"/>
    <n v="2889600000"/>
    <n v="6662532000"/>
    <n v="20601000000"/>
    <n v="5229400000"/>
    <n v="8597400000"/>
    <n v="0.10999999999999988"/>
    <n v="13000004600"/>
  </r>
  <r>
    <x v="349"/>
    <s v="912828VH0"/>
    <s v="Note"/>
    <s v="2-Year"/>
    <n v="0.40400000000000003"/>
    <n v="0.43"/>
    <n v="0.34799999999999998"/>
    <n v="3.05"/>
    <n v="0"/>
    <n v="106645905000"/>
    <n v="34756915000"/>
    <n v="133180900"/>
    <n v="2722197500"/>
    <n v="14041000000"/>
    <n v="19581850000"/>
    <n v="78360000000"/>
    <n v="12452867500"/>
    <n v="14244905000"/>
    <n v="8.2000000000000017E-2"/>
    <n v="34890095900"/>
  </r>
  <r>
    <x v="350"/>
    <s v="912828VK3"/>
    <s v="Note"/>
    <s v="5-Year"/>
    <n v="1.429"/>
    <n v="1.484"/>
    <n v="1.3720000000000001"/>
    <n v="2.4500000000000002"/>
    <n v="0"/>
    <n v="85621660000"/>
    <n v="34953989700"/>
    <n v="36010700"/>
    <n v="1243500000"/>
    <n v="6665500000"/>
    <n v="15188885000"/>
    <n v="58625000000"/>
    <n v="18521604700"/>
    <n v="20331160000"/>
    <n v="0.11199999999999988"/>
    <n v="34990000400"/>
  </r>
  <r>
    <x v="351"/>
    <s v="912828VJ6"/>
    <s v="Note"/>
    <s v="7-Year"/>
    <n v="1.8979999999999999"/>
    <n v="1.9319999999999999"/>
    <n v="1.835"/>
    <n v="2.61"/>
    <n v="0"/>
    <n v="75770150000"/>
    <n v="28987299300"/>
    <n v="12718200"/>
    <n v="4557000000"/>
    <n v="9401000000"/>
    <n v="10970000000"/>
    <n v="46993000000"/>
    <n v="13460299300"/>
    <n v="19376150000"/>
    <n v="9.6999999999999975E-2"/>
    <n v="29000017500"/>
  </r>
  <r>
    <x v="352"/>
    <s v="912828VL1"/>
    <s v="Note"/>
    <s v="3-Year"/>
    <n v="0.69499999999999995"/>
    <n v="0.71899999999999997"/>
    <n v="0.6"/>
    <n v="3.35"/>
    <n v="0"/>
    <n v="107070900000"/>
    <n v="31870932000"/>
    <n v="29264300"/>
    <n v="4134370000"/>
    <n v="15520000000"/>
    <n v="16398575000"/>
    <n v="75555000000"/>
    <n v="11337987000"/>
    <n v="15995900000"/>
    <n v="0.11899999999999999"/>
    <n v="31900196300"/>
  </r>
  <r>
    <x v="353"/>
    <s v="912828VB3"/>
    <s v="Note"/>
    <s v="9-Year 10-Month"/>
    <n v="2.637"/>
    <n v="2.67"/>
    <n v="2.5499999999999998"/>
    <n v="2.57"/>
    <n v="0"/>
    <n v="53885700000"/>
    <n v="20979426400"/>
    <n v="20591200"/>
    <n v="3413880000"/>
    <n v="6132000000"/>
    <n v="9474580000"/>
    <n v="36085000000"/>
    <n v="8090966400"/>
    <n v="11668700000"/>
    <n v="0.12000000000000011"/>
    <n v="21000017600"/>
  </r>
  <r>
    <x v="354"/>
    <s v="912810RB6"/>
    <s v="Bond"/>
    <s v="29-Year 10-Month"/>
    <n v="3.6190000000000002"/>
    <n v="3.66"/>
    <n v="3.5"/>
    <n v="2.2599999999999998"/>
    <n v="0"/>
    <n v="29334100000"/>
    <n v="12991278700"/>
    <n v="8723200"/>
    <n v="2122630200"/>
    <n v="3513000000"/>
    <n v="5644338200"/>
    <n v="19453500000"/>
    <n v="5224310300"/>
    <n v="6367600000"/>
    <n v="0.16000000000000014"/>
    <n v="13000001900"/>
  </r>
  <r>
    <x v="355"/>
    <s v="912828VN7"/>
    <s v="Note"/>
    <s v="2-Year"/>
    <n v="0.315"/>
    <n v="0.33600000000000002"/>
    <n v="0.28499999999999998"/>
    <n v="3.08"/>
    <n v="0"/>
    <n v="107421950000"/>
    <n v="34722869000"/>
    <n v="147186600"/>
    <n v="5683749000"/>
    <n v="16107000000"/>
    <n v="18488170000"/>
    <n v="76935000000"/>
    <n v="10550950000"/>
    <n v="14379950000"/>
    <n v="5.1000000000000045E-2"/>
    <n v="34870055600"/>
  </r>
  <r>
    <x v="356"/>
    <s v="912828VQ0"/>
    <s v="Note"/>
    <s v="5-Year"/>
    <n v="1.373"/>
    <n v="1.41"/>
    <n v="1.24"/>
    <n v="2.46"/>
    <n v="0"/>
    <n v="85939110000"/>
    <n v="34944039000"/>
    <n v="36041100"/>
    <n v="2902759000"/>
    <n v="6171000000"/>
    <n v="13205850000"/>
    <n v="58459000000"/>
    <n v="18835430000"/>
    <n v="21309110000"/>
    <n v="0.16999999999999993"/>
    <n v="34980080100"/>
  </r>
  <r>
    <x v="357"/>
    <s v="912828VP2"/>
    <s v="Note"/>
    <s v="7-Year"/>
    <n v="1.99"/>
    <n v="2.0259999999999998"/>
    <n v="1.94"/>
    <n v="2.54"/>
    <n v="0"/>
    <n v="73682225000"/>
    <n v="28987220000"/>
    <n v="12814900"/>
    <n v="4799855000"/>
    <n v="9199000000"/>
    <n v="10109240000"/>
    <n v="48222100000"/>
    <n v="14078125000"/>
    <n v="16261125000"/>
    <n v="8.5999999999999854E-2"/>
    <n v="29000034900"/>
  </r>
  <r>
    <x v="358"/>
    <s v="912828VR8"/>
    <s v="Note"/>
    <s v="3-Year"/>
    <n v="0.61399999999999999"/>
    <n v="0.63100000000000001"/>
    <n v="0.56100000000000005"/>
    <n v="3.21"/>
    <n v="0"/>
    <n v="102702200000"/>
    <n v="31850385000"/>
    <n v="39626900"/>
    <n v="4447000000"/>
    <n v="12985000000"/>
    <n v="14227185000"/>
    <n v="72480000000"/>
    <n v="13176200000"/>
    <n v="17237200000"/>
    <n v="6.9999999999999951E-2"/>
    <n v="31890011900"/>
  </r>
  <r>
    <x v="359"/>
    <s v="912828VS6"/>
    <s v="Note"/>
    <s v="10-Year"/>
    <n v="2.589"/>
    <n v="2.62"/>
    <n v="2.54"/>
    <n v="2.4500000000000002"/>
    <n v="0"/>
    <n v="58747950000"/>
    <n v="23930609000"/>
    <n v="54418900"/>
    <n v="3630654000"/>
    <n v="6387500000"/>
    <n v="9209505000"/>
    <n v="39559000000"/>
    <n v="11090450000"/>
    <n v="12801450000"/>
    <n v="8.0000000000000071E-2"/>
    <n v="23985027900"/>
  </r>
  <r>
    <x v="360"/>
    <s v="912810RC4"/>
    <s v="Bond"/>
    <s v="30-Year"/>
    <n v="3.5990000000000002"/>
    <n v="3.6520000000000001"/>
    <n v="3.55"/>
    <n v="2.11"/>
    <n v="0"/>
    <n v="33808845000"/>
    <n v="15988105000"/>
    <n v="11902000"/>
    <n v="2732300000"/>
    <n v="3970300000"/>
    <n v="6831293000"/>
    <n v="22868400000"/>
    <n v="6424512000"/>
    <n v="6970145000"/>
    <n v="0.10200000000000031"/>
    <n v="16000007000"/>
  </r>
  <r>
    <x v="361"/>
    <s v="912828VU1"/>
    <s v="Note"/>
    <s v="2-Year"/>
    <n v="0.372"/>
    <n v="0.38600000000000001"/>
    <n v="0.33"/>
    <n v="3.21"/>
    <n v="0"/>
    <n v="108774585000"/>
    <n v="33757045000"/>
    <n v="142980500"/>
    <n v="8810460000"/>
    <n v="19446000000"/>
    <n v="18430200000"/>
    <n v="79722000000"/>
    <n v="6516385000"/>
    <n v="9606585000"/>
    <n v="5.5999999999999994E-2"/>
    <n v="33900025500"/>
  </r>
  <r>
    <x v="362"/>
    <s v="912828RE2"/>
    <s v="Note"/>
    <s v="5-Year"/>
    <n v="1.587"/>
    <n v="1.6240000000000001"/>
    <n v="1.5249999999999999"/>
    <n v="2.38"/>
    <n v="0"/>
    <n v="83142500000"/>
    <n v="34954364000"/>
    <n v="45741000"/>
    <n v="4452144000"/>
    <n v="8452000000"/>
    <n v="16405120000"/>
    <n v="58764000000"/>
    <n v="14097100000"/>
    <n v="15926500000"/>
    <n v="9.9000000000000199E-2"/>
    <n v="35000105000"/>
  </r>
  <r>
    <x v="363"/>
    <s v="912828VV9"/>
    <s v="Note"/>
    <s v="7-Year"/>
    <n v="2.19"/>
    <n v="2.2210000000000001"/>
    <n v="2.13"/>
    <n v="2.4300000000000002"/>
    <n v="0"/>
    <n v="70401900000"/>
    <n v="28970354000"/>
    <n v="19649100"/>
    <n v="6488000000"/>
    <n v="9277000000"/>
    <n v="10658450000"/>
    <n v="46547000000"/>
    <n v="11823904000"/>
    <n v="14577900000"/>
    <n v="9.1000000000000192E-2"/>
    <n v="28990003100"/>
  </r>
  <r>
    <x v="364"/>
    <s v="912828VW7"/>
    <s v="Note"/>
    <s v="3-Year"/>
    <n v="0.89700000000000002"/>
    <n v="0.91300000000000003"/>
    <n v="0.82"/>
    <n v="3.29"/>
    <n v="0"/>
    <n v="101761500000"/>
    <n v="30858700000"/>
    <n v="41307200"/>
    <n v="6184040000"/>
    <n v="16727000000"/>
    <n v="14452160000"/>
    <n v="72977000000"/>
    <n v="10222500000"/>
    <n v="12057500000"/>
    <n v="9.3000000000000083E-2"/>
    <n v="30900007200"/>
  </r>
  <r>
    <x v="365"/>
    <s v="912828VS6"/>
    <s v="Note"/>
    <s v="9-Year 11-Month"/>
    <n v="2.9079999999999999"/>
    <n v="2.9460000000000002"/>
    <n v="2.86"/>
    <n v="2.86"/>
    <n v="0"/>
    <n v="59938500000"/>
    <n v="20939200000"/>
    <n v="54954900"/>
    <n v="6195000000"/>
    <n v="12131000000"/>
    <n v="7081000000"/>
    <n v="37601000000"/>
    <n v="7663200000"/>
    <n v="10206500000"/>
    <n v="8.6000000000000298E-2"/>
    <n v="20994154900"/>
  </r>
  <r>
    <x v="366"/>
    <s v="912810RC4"/>
    <s v="Bond"/>
    <s v="29-Year 11-Month"/>
    <n v="3.7789999999999999"/>
    <n v="3.82"/>
    <n v="3.72"/>
    <n v="2.4"/>
    <n v="0"/>
    <n v="31157500000"/>
    <n v="12988700000"/>
    <n v="6306800"/>
    <n v="2672590000"/>
    <n v="4963000000"/>
    <n v="5419731000"/>
    <n v="20388200000"/>
    <n v="4896379000"/>
    <n v="5806300000"/>
    <n v="9.9999999999999645E-2"/>
    <n v="12995006800"/>
  </r>
  <r>
    <x v="367"/>
    <s v="912828VY3"/>
    <s v="Note"/>
    <s v="2-Year"/>
    <n v="0.33"/>
    <n v="0.34799999999999998"/>
    <n v="0.28899999999999998"/>
    <n v="3.09"/>
    <n v="0"/>
    <n v="101710300000"/>
    <n v="32728979000"/>
    <n v="171117200"/>
    <n v="7129495000"/>
    <n v="18521000000"/>
    <n v="17741820000"/>
    <n v="72545000000"/>
    <n v="7857664000"/>
    <n v="10644300000"/>
    <n v="5.8999999999999997E-2"/>
    <n v="32900096200"/>
  </r>
  <r>
    <x v="368"/>
    <s v="912828RH5"/>
    <s v="Note"/>
    <s v="5-Year"/>
    <n v="1.3979999999999999"/>
    <n v="1.4359999999999999"/>
    <n v="1.3"/>
    <n v="2.67"/>
    <n v="0"/>
    <n v="93467200000"/>
    <n v="34967525000"/>
    <n v="32492300"/>
    <n v="4117000000"/>
    <n v="12556000000"/>
    <n v="15167325000"/>
    <n v="63118000000"/>
    <n v="15683200000"/>
    <n v="17793200000"/>
    <n v="0.1359999999999999"/>
    <n v="35000017300"/>
  </r>
  <r>
    <x v="369"/>
    <s v="912828VZ0"/>
    <s v="Note"/>
    <s v="7-Year"/>
    <n v="2.0169999999999999"/>
    <n v="2.0579999999999998"/>
    <n v="1.95"/>
    <n v="2.46"/>
    <n v="0"/>
    <n v="71354600000"/>
    <n v="28969973600"/>
    <n v="15027300"/>
    <n v="5156000000"/>
    <n v="9081000000"/>
    <n v="11648740000"/>
    <n v="48899000000"/>
    <n v="12165233600"/>
    <n v="13374600000"/>
    <n v="0.10799999999999987"/>
    <n v="28985000900"/>
  </r>
  <r>
    <x v="370"/>
    <s v="912828WA4"/>
    <s v="Note"/>
    <s v="3-Year"/>
    <n v="0.68400000000000005"/>
    <n v="0.71"/>
    <n v="0.6"/>
    <n v="3.05"/>
    <n v="0"/>
    <n v="91302500000"/>
    <n v="29866604100"/>
    <n v="23439600"/>
    <n v="5897789100"/>
    <n v="16308000000"/>
    <n v="13691547500"/>
    <n v="61623000000"/>
    <n v="10277267500"/>
    <n v="13371500000"/>
    <n v="0.10999999999999999"/>
    <n v="29890043700"/>
  </r>
  <r>
    <x v="371"/>
    <s v="912828VS6"/>
    <s v="Note"/>
    <s v="9-Year 10-Month"/>
    <n v="2.6230000000000002"/>
    <n v="2.657"/>
    <n v="2.5350000000000001"/>
    <n v="2.58"/>
    <n v="0"/>
    <n v="54173100000"/>
    <n v="20973227400"/>
    <n v="16777100"/>
    <n v="4439504900"/>
    <n v="8151000000"/>
    <n v="8438622500"/>
    <n v="36531000000"/>
    <n v="8095100000"/>
    <n v="9491100000"/>
    <n v="0.12199999999999989"/>
    <n v="20990004500"/>
  </r>
  <r>
    <x v="372"/>
    <s v="912810RC4"/>
    <s v="Bond"/>
    <s v="29-Year 10-Month"/>
    <n v="3.74"/>
    <n v="3.758"/>
    <n v="3.68"/>
    <n v="2.64"/>
    <n v="0"/>
    <n v="34324950000"/>
    <n v="12987665700"/>
    <n v="2375000"/>
    <n v="2941390000"/>
    <n v="5478000000"/>
    <n v="4608000000"/>
    <n v="20990000000"/>
    <n v="5438275700"/>
    <n v="7856950000"/>
    <n v="7.7999999999999847E-2"/>
    <n v="12990040700"/>
  </r>
  <r>
    <x v="373"/>
    <s v="912828WB2"/>
    <s v="Note"/>
    <s v="2-Year"/>
    <n v="0.30499999999999999"/>
    <n v="0.32300000000000001"/>
    <n v="0.25"/>
    <n v="3.32"/>
    <n v="0"/>
    <n v="105839300000"/>
    <n v="31749280000"/>
    <n v="140872000"/>
    <n v="9832000000"/>
    <n v="20072000000"/>
    <n v="12702980000"/>
    <n v="74400000000"/>
    <n v="9214300000"/>
    <n v="11367300000"/>
    <n v="7.3000000000000009E-2"/>
    <n v="31890152000"/>
  </r>
  <r>
    <x v="374"/>
    <s v="912828WD8"/>
    <s v="Note"/>
    <s v="5-Year"/>
    <n v="1.2669999999999999"/>
    <n v="1.3"/>
    <n v="1.2"/>
    <n v="2.65"/>
    <n v="0"/>
    <n v="92630500000"/>
    <n v="34961887500"/>
    <n v="23136100"/>
    <n v="4277700000"/>
    <n v="12988000000"/>
    <n v="14639687500"/>
    <n v="61650000000"/>
    <n v="16044500000"/>
    <n v="17992500000"/>
    <n v="0.10000000000000009"/>
    <n v="34985023600"/>
  </r>
  <r>
    <x v="375"/>
    <s v="912828WC0"/>
    <s v="Note"/>
    <s v="7-Year"/>
    <n v="1.837"/>
    <n v="1.87"/>
    <n v="1.75"/>
    <n v="2.66"/>
    <n v="0"/>
    <n v="77118600000"/>
    <n v="28985969000"/>
    <n v="10036100"/>
    <n v="6937384500"/>
    <n v="14645000000"/>
    <n v="9787229500"/>
    <n v="48577000000"/>
    <n v="12261355000"/>
    <n v="13896600000"/>
    <n v="0.12000000000000011"/>
    <n v="28996005100"/>
  </r>
  <r>
    <x v="376"/>
    <s v="912828WF3"/>
    <s v="Note"/>
    <s v="3-Year"/>
    <n v="0.621"/>
    <n v="0.64400000000000002"/>
    <n v="0.55000000000000004"/>
    <n v="3.46"/>
    <n v="0"/>
    <n v="103540000000"/>
    <n v="29867225000"/>
    <n v="32881800"/>
    <n v="5807000000"/>
    <n v="16372000000"/>
    <n v="14123225000"/>
    <n v="74428000000"/>
    <n v="9937000000"/>
    <n v="12740000000"/>
    <n v="9.3999999999999972E-2"/>
    <n v="29900106800"/>
  </r>
  <r>
    <x v="377"/>
    <s v="912828WE6"/>
    <s v="Note"/>
    <s v="10-Year"/>
    <n v="2.7189999999999999"/>
    <n v="2.75"/>
    <n v="2.65"/>
    <n v="2.7"/>
    <n v="0"/>
    <n v="64647500000"/>
    <n v="23953527800"/>
    <n v="46596500"/>
    <n v="4446084400"/>
    <n v="9437000000"/>
    <n v="8089022500"/>
    <n v="42551000000"/>
    <n v="11418420900"/>
    <n v="12659500000"/>
    <n v="0.10000000000000009"/>
    <n v="24000124300"/>
  </r>
  <r>
    <x v="378"/>
    <s v="912810RD2"/>
    <s v="Bond"/>
    <s v="30-Year"/>
    <n v="3.758"/>
    <n v="3.81"/>
    <n v="3.7"/>
    <n v="2.16"/>
    <n v="0"/>
    <n v="34612100000"/>
    <n v="15984557600"/>
    <n v="15487200"/>
    <n v="2920359000"/>
    <n v="5801000000"/>
    <n v="7429616000"/>
    <n v="22798000000"/>
    <n v="5634582600"/>
    <n v="6013100000"/>
    <n v="0.10999999999999988"/>
    <n v="16000044800"/>
  </r>
  <r>
    <x v="379"/>
    <s v="912828A26"/>
    <s v="Note"/>
    <s v="2-Year"/>
    <n v="0.28000000000000003"/>
    <n v="0.3"/>
    <n v="0.25"/>
    <n v="3.54"/>
    <n v="0"/>
    <n v="112919650000"/>
    <n v="31742730000"/>
    <n v="147326500"/>
    <n v="8660150000"/>
    <n v="20555150000"/>
    <n v="15950840000"/>
    <n v="81693000000"/>
    <n v="7131740000"/>
    <n v="10671500000"/>
    <n v="4.9999999999999989E-2"/>
    <n v="31890056500"/>
  </r>
  <r>
    <x v="380"/>
    <s v="912828A34"/>
    <s v="Note"/>
    <s v="5-Year"/>
    <n v="1.3080000000000001"/>
    <n v="1.34"/>
    <n v="1.27"/>
    <n v="2.61"/>
    <n v="0"/>
    <n v="91202700000"/>
    <n v="34951213800"/>
    <n v="43886100"/>
    <n v="3777535500"/>
    <n v="9401000000"/>
    <n v="13697575000"/>
    <n v="61989000000"/>
    <n v="17476103300"/>
    <n v="19812700000"/>
    <n v="7.0000000000000062E-2"/>
    <n v="34995099900"/>
  </r>
  <r>
    <x v="381"/>
    <s v="912828A42"/>
    <s v="Note"/>
    <s v="7-Year"/>
    <n v="2.0590000000000002"/>
    <n v="2.1059999999999999"/>
    <n v="1.9950000000000001"/>
    <n v="2.36"/>
    <n v="0"/>
    <n v="68480600000"/>
    <n v="28990096000"/>
    <n v="9979800"/>
    <n v="4679000000"/>
    <n v="9229000000"/>
    <n v="14434000000"/>
    <n v="48928000000"/>
    <n v="9877096000"/>
    <n v="10323600000"/>
    <n v="0.11099999999999977"/>
    <n v="29000075800"/>
  </r>
  <r>
    <x v="382"/>
    <s v="912828A59"/>
    <s v="Note"/>
    <s v="3-Year"/>
    <n v="0.61"/>
    <n v="0.63100000000000001"/>
    <n v="0.57899999999999996"/>
    <n v="3.55"/>
    <n v="0"/>
    <n v="106454200000"/>
    <n v="29871105000"/>
    <n v="28895600"/>
    <n v="3595000000"/>
    <n v="17403000000"/>
    <n v="14804905000"/>
    <n v="72927000000"/>
    <n v="11471200000"/>
    <n v="16124200000"/>
    <n v="5.2000000000000046E-2"/>
    <n v="29900000600"/>
  </r>
  <r>
    <x v="383"/>
    <s v="912828WE6"/>
    <s v="Note"/>
    <s v="9-Year 11-Month"/>
    <n v="2.7829999999999999"/>
    <n v="2.8239999999999998"/>
    <n v="2.7349999999999999"/>
    <n v="2.61"/>
    <n v="0"/>
    <n v="54687850000"/>
    <n v="20965762000"/>
    <n v="34240000"/>
    <n v="2216500000"/>
    <n v="5932500000"/>
    <n v="8490180000"/>
    <n v="37450000000"/>
    <n v="10259082000"/>
    <n v="11305350000"/>
    <n v="8.8999999999999968E-2"/>
    <n v="21000002000"/>
  </r>
  <r>
    <x v="384"/>
    <s v="912810RD2"/>
    <s v="Bond"/>
    <s v="29-Year 11-Month"/>
    <n v="3.859"/>
    <n v="3.9"/>
    <n v="3.8"/>
    <n v="2.35"/>
    <n v="0"/>
    <n v="30544350000"/>
    <n v="12995076400"/>
    <n v="4954500"/>
    <n v="1630000000"/>
    <n v="3842000000"/>
    <n v="5386270400"/>
    <n v="20175000000"/>
    <n v="5978806000"/>
    <n v="6527350000"/>
    <n v="0.10000000000000009"/>
    <n v="13000030900"/>
  </r>
  <r>
    <x v="385"/>
    <s v="912828A67"/>
    <s v="Note"/>
    <s v="2-Year"/>
    <n v="0.32900000000000001"/>
    <n v="0.34499999999999997"/>
    <n v="0.3"/>
    <n v="3.77"/>
    <n v="0"/>
    <n v="120344000000"/>
    <n v="31791205000"/>
    <n v="108951400"/>
    <n v="9614000000"/>
    <n v="26993000000"/>
    <n v="15326375000"/>
    <n v="82975000000"/>
    <n v="6850830000"/>
    <n v="10376000000"/>
    <n v="4.4999999999999984E-2"/>
    <n v="31900156400"/>
  </r>
  <r>
    <x v="386"/>
    <s v="912828A75"/>
    <s v="Note"/>
    <s v="5-Year"/>
    <n v="1.5549999999999999"/>
    <n v="1.6"/>
    <n v="1.4730000000000001"/>
    <n v="2.42"/>
    <n v="0"/>
    <n v="84578868000"/>
    <n v="34969118000"/>
    <n v="30999700"/>
    <n v="4125552500"/>
    <n v="10760000000"/>
    <n v="21814297500"/>
    <n v="64789600000"/>
    <n v="9029268000"/>
    <n v="9029268000"/>
    <n v="0.127"/>
    <n v="35000117700"/>
  </r>
  <r>
    <x v="387"/>
    <s v="912828A83"/>
    <s v="Note"/>
    <s v="7-Year"/>
    <n v="2.3380000000000001"/>
    <n v="2.3849999999999998"/>
    <n v="2.27"/>
    <n v="2.4500000000000002"/>
    <n v="0"/>
    <n v="71006350000"/>
    <n v="28985000800"/>
    <n v="15004900"/>
    <n v="4945000000"/>
    <n v="10415000000"/>
    <n v="11941470000"/>
    <n v="47929000000"/>
    <n v="12098530800"/>
    <n v="12662350000"/>
    <n v="0.11499999999999977"/>
    <n v="29000005700"/>
  </r>
  <r>
    <x v="388"/>
    <s v="912828A91"/>
    <s v="Note"/>
    <s v="3-Year"/>
    <n v="0.77900000000000003"/>
    <n v="0.79900000000000004"/>
    <n v="0.7"/>
    <n v="3.25"/>
    <n v="0"/>
    <n v="97512900000"/>
    <n v="29872734000"/>
    <n v="27577700"/>
    <n v="6752135000"/>
    <n v="19184000000"/>
    <n v="14770304000"/>
    <n v="67380000000"/>
    <n v="8350295000"/>
    <n v="10948900000"/>
    <n v="9.9000000000000088E-2"/>
    <n v="29900311700"/>
  </r>
  <r>
    <x v="389"/>
    <s v="912828WE6"/>
    <s v="Note"/>
    <s v="9-Year 10-Month"/>
    <n v="2.9750000000000001"/>
    <n v="3.0089999999999999"/>
    <n v="2.88"/>
    <n v="2.68"/>
    <n v="0"/>
    <n v="56196950000"/>
    <n v="20958904200"/>
    <n v="41107600"/>
    <n v="2854000000"/>
    <n v="6981000000"/>
    <n v="8333788000"/>
    <n v="37367000000"/>
    <n v="9771116200"/>
    <n v="11848950000"/>
    <n v="0.129"/>
    <n v="21000011800"/>
  </r>
  <r>
    <x v="390"/>
    <s v="912810RD2"/>
    <s v="Bond"/>
    <s v="29-Year 10-Month"/>
    <n v="3.86"/>
    <n v="3.899"/>
    <n v="3.8"/>
    <n v="2.57"/>
    <n v="0"/>
    <n v="33424300000"/>
    <n v="12994052600"/>
    <n v="5979500"/>
    <n v="2272826000"/>
    <n v="4408000000"/>
    <n v="4948695000"/>
    <n v="21579600000"/>
    <n v="5772531600"/>
    <n v="7436700000"/>
    <n v="9.9000000000000199E-2"/>
    <n v="13000032100"/>
  </r>
  <r>
    <x v="391"/>
    <s v="912828B41"/>
    <s v="Note"/>
    <s v="2-Year"/>
    <n v="0.36"/>
    <n v="0.38"/>
    <n v="0.3"/>
    <n v="3.3"/>
    <n v="0"/>
    <n v="105211400000"/>
    <n v="31709555000"/>
    <n v="175460700"/>
    <n v="7096000000"/>
    <n v="19819000000"/>
    <n v="15590150000"/>
    <n v="72665000000"/>
    <n v="9023405000"/>
    <n v="12727400000"/>
    <n v="8.0000000000000016E-2"/>
    <n v="31885015700"/>
  </r>
  <r>
    <x v="392"/>
    <s v="912828B58"/>
    <s v="Note"/>
    <s v="7-Year"/>
    <n v="2.169"/>
    <n v="2.19"/>
    <n v="2.1"/>
    <n v="2.65"/>
    <n v="0"/>
    <n v="76674000000"/>
    <n v="28963610000"/>
    <n v="26446200"/>
    <n v="5774260000"/>
    <n v="12808000000"/>
    <n v="9355350000"/>
    <n v="47329000000"/>
    <n v="13834000000"/>
    <n v="16537000000"/>
    <n v="8.9999999999999858E-2"/>
    <n v="28990056200"/>
  </r>
  <r>
    <x v="392"/>
    <s v="912828B33"/>
    <s v="Note"/>
    <s v="5-Year"/>
    <n v="1.5389999999999999"/>
    <n v="1.5720000000000001"/>
    <n v="1.47"/>
    <n v="2.59"/>
    <n v="0"/>
    <n v="90483400000"/>
    <n v="34928010500"/>
    <n v="62025300"/>
    <n v="3742000000"/>
    <n v="10532000000"/>
    <n v="15621826000"/>
    <n v="61348000000"/>
    <n v="15564184500"/>
    <n v="18603400000"/>
    <n v="0.10200000000000009"/>
    <n v="34990035800"/>
  </r>
  <r>
    <x v="393"/>
    <s v="912828B74"/>
    <s v="Note"/>
    <s v="3-Year"/>
    <n v="0.69699999999999995"/>
    <n v="0.71499999999999997"/>
    <n v="0.65"/>
    <n v="3.42"/>
    <n v="0"/>
    <n v="102326000000"/>
    <n v="29831677000"/>
    <n v="48375800"/>
    <n v="4966000000"/>
    <n v="17350000000"/>
    <n v="12322922000"/>
    <n v="69825000000"/>
    <n v="12542755000"/>
    <n v="15151000000"/>
    <n v="6.4999999999999947E-2"/>
    <n v="29880052800"/>
  </r>
  <r>
    <x v="394"/>
    <s v="912828B66"/>
    <s v="Note"/>
    <s v="10-Year"/>
    <n v="2.7629999999999999"/>
    <n v="2.7949999999999999"/>
    <n v="2.68"/>
    <n v="2.54"/>
    <n v="0"/>
    <n v="60783750000"/>
    <n v="23917803500"/>
    <n v="70201900"/>
    <n v="3885000000"/>
    <n v="6306000000"/>
    <n v="8144163500"/>
    <n v="40472000000"/>
    <n v="11888640000"/>
    <n v="14005750000"/>
    <n v="0.11499999999999977"/>
    <n v="23988005400"/>
  </r>
  <r>
    <x v="395"/>
    <s v="912810RE0"/>
    <s v="Bond"/>
    <s v="30-Year"/>
    <n v="3.66"/>
    <n v="3.69"/>
    <n v="3.6"/>
    <n v="2.27"/>
    <n v="0"/>
    <n v="36358565000"/>
    <n v="15973955600"/>
    <n v="16062700"/>
    <n v="2224873600"/>
    <n v="3131000000"/>
    <n v="6520337600"/>
    <n v="24560000000"/>
    <n v="7228744400"/>
    <n v="8667565000"/>
    <n v="8.9999999999999858E-2"/>
    <n v="15990018300"/>
  </r>
  <r>
    <x v="396"/>
    <s v="912828B82"/>
    <s v="Note"/>
    <s v="2-Year"/>
    <n v="0.32"/>
    <n v="0.34"/>
    <n v="0.28799999999999998"/>
    <n v="3.6"/>
    <n v="89897700"/>
    <n v="115095931000"/>
    <n v="31742996100"/>
    <n v="157202300"/>
    <n v="6118809000"/>
    <n v="15975000000"/>
    <n v="14734495000"/>
    <n v="82600000000"/>
    <n v="10889692100"/>
    <n v="16520931000"/>
    <n v="5.2000000000000046E-2"/>
    <n v="31990096100"/>
  </r>
  <r>
    <x v="397"/>
    <s v="912828C24"/>
    <s v="Note"/>
    <s v="5-Year"/>
    <n v="1.508"/>
    <n v="1.53"/>
    <n v="1.45"/>
    <n v="2.98"/>
    <n v="98325500"/>
    <n v="104139700000"/>
    <n v="34936216000"/>
    <n v="56830200"/>
    <n v="3213000000"/>
    <n v="10576000000"/>
    <n v="14027728000"/>
    <n v="70892000000"/>
    <n v="17695488000"/>
    <n v="22671700000"/>
    <n v="8.0000000000000071E-2"/>
    <n v="35091371700"/>
  </r>
  <r>
    <x v="398"/>
    <s v="912828B90"/>
    <s v="Note"/>
    <s v="7-Year"/>
    <n v="2.073"/>
    <n v="2.105"/>
    <n v="2"/>
    <n v="2.72"/>
    <n v="81469700"/>
    <n v="78902000000"/>
    <n v="28944655500"/>
    <n v="40358000"/>
    <n v="7121000000"/>
    <n v="10279000000"/>
    <n v="9921655500"/>
    <n v="54291000000"/>
    <n v="11902000000"/>
    <n v="14332000000"/>
    <n v="0.10499999999999998"/>
    <n v="29066483200"/>
  </r>
  <r>
    <x v="399"/>
    <s v="912828C32"/>
    <s v="Note"/>
    <s v="3-Year"/>
    <n v="0.78"/>
    <n v="0.80200000000000005"/>
    <n v="0.74"/>
    <n v="3.25"/>
    <n v="0"/>
    <n v="97444000000"/>
    <n v="29861190000"/>
    <n v="38884200"/>
    <n v="4616000000"/>
    <n v="11551000000"/>
    <n v="16303190000"/>
    <n v="74678000000"/>
    <n v="8942000000"/>
    <n v="11215000000"/>
    <n v="6.2000000000000055E-2"/>
    <n v="29900074200"/>
  </r>
  <r>
    <x v="400"/>
    <s v="912828B66"/>
    <s v="Note"/>
    <s v="9-Year 11-Month"/>
    <n v="2.7090000000000001"/>
    <n v="2.7290000000000001"/>
    <n v="2.64"/>
    <n v="2.92"/>
    <n v="0"/>
    <n v="61236150000"/>
    <n v="20964124400"/>
    <n v="35899500"/>
    <n v="5764378000"/>
    <n v="6978000000"/>
    <n v="6098816400"/>
    <n v="42057000000"/>
    <n v="9100930000"/>
    <n v="12201150000"/>
    <n v="8.8999999999999968E-2"/>
    <n v="21000023900"/>
  </r>
  <r>
    <x v="401"/>
    <s v="912810RE0"/>
    <s v="Bond"/>
    <s v="29-Year 11-Month"/>
    <n v="3.5720000000000001"/>
    <n v="3.63"/>
    <n v="3.5"/>
    <n v="2.35"/>
    <n v="0"/>
    <n v="30569450000"/>
    <n v="12983982500"/>
    <n v="16024900"/>
    <n v="1635215000"/>
    <n v="2696100000"/>
    <n v="6316369000"/>
    <n v="21959400000"/>
    <n v="5032398500"/>
    <n v="5913950000"/>
    <n v="0.12999999999999989"/>
    <n v="13000007400"/>
  </r>
  <r>
    <x v="402"/>
    <s v="912828C40"/>
    <s v="Note"/>
    <s v="2-Year"/>
    <n v="0.45"/>
    <n v="0.46899999999999997"/>
    <n v="0.41499999999999998"/>
    <n v="3.2"/>
    <n v="0"/>
    <n v="102133928000"/>
    <n v="31745103000"/>
    <n v="155010000"/>
    <n v="6836000000"/>
    <n v="15223000000"/>
    <n v="11914475000"/>
    <n v="71115000000"/>
    <n v="12994628000"/>
    <n v="15795928000"/>
    <n v="5.3999999999999992E-2"/>
    <n v="31900113000"/>
  </r>
  <r>
    <x v="403"/>
    <s v="912828C65"/>
    <s v="Note"/>
    <s v="5-Year"/>
    <n v="1.6990000000000001"/>
    <n v="1.7150000000000001"/>
    <n v="1.63"/>
    <n v="2.99"/>
    <n v="0"/>
    <n v="104507375000"/>
    <n v="34929601000"/>
    <n v="70798700"/>
    <n v="8073300000"/>
    <n v="13289000000"/>
    <n v="9063140000"/>
    <n v="67225000000"/>
    <n v="17793161000"/>
    <n v="23993375000"/>
    <n v="8.5000000000000187E-2"/>
    <n v="35000399700"/>
  </r>
  <r>
    <x v="404"/>
    <s v="912828C57"/>
    <s v="Note"/>
    <s v="7-Year"/>
    <n v="2.2290000000000001"/>
    <n v="2.258"/>
    <n v="2.15"/>
    <n v="2.59"/>
    <n v="0"/>
    <n v="75165000000"/>
    <n v="28979342500"/>
    <n v="10669300"/>
    <n v="9449000000"/>
    <n v="13104000000"/>
    <n v="7523955000"/>
    <n v="48379000000"/>
    <n v="12006387500"/>
    <n v="13682000000"/>
    <n v="0.1080000000000001"/>
    <n v="28990011800"/>
  </r>
  <r>
    <x v="405"/>
    <s v="912828C73"/>
    <s v="Note"/>
    <s v="3-Year"/>
    <n v="0.873"/>
    <n v="0.89500000000000002"/>
    <n v="0.81899999999999995"/>
    <n v="3.36"/>
    <n v="0"/>
    <n v="100686600000"/>
    <n v="29856952000"/>
    <n v="43081700"/>
    <n v="7155522000"/>
    <n v="15276000000"/>
    <n v="14562830000"/>
    <n v="74690000000"/>
    <n v="8138600000"/>
    <n v="10720600000"/>
    <n v="7.6000000000000068E-2"/>
    <n v="29900033700"/>
  </r>
  <r>
    <x v="406"/>
    <s v="912828B66"/>
    <s v="Note"/>
    <s v="9-Year 10-Month"/>
    <n v="2.6859999999999999"/>
    <n v="2.72"/>
    <n v="2.61"/>
    <n v="2.76"/>
    <n v="0"/>
    <n v="57890400000"/>
    <n v="20972618000"/>
    <n v="27453200"/>
    <n v="3190972000"/>
    <n v="5301000000"/>
    <n v="8412152000"/>
    <n v="41842000000"/>
    <n v="9369494000"/>
    <n v="10747400000"/>
    <n v="0.11000000000000032"/>
    <n v="21000071200"/>
  </r>
  <r>
    <x v="407"/>
    <s v="912810RE0"/>
    <s v="Bond"/>
    <s v="29-Year 10-Month"/>
    <n v="3.4860000000000002"/>
    <n v="3.5249999999999999"/>
    <n v="3.43"/>
    <n v="2.52"/>
    <n v="0"/>
    <n v="32728450000"/>
    <n v="12994814300"/>
    <n v="5192400"/>
    <n v="2326275700"/>
    <n v="3453000000"/>
    <n v="5037162500"/>
    <n v="21812700000"/>
    <n v="5631376100"/>
    <n v="7462750000"/>
    <n v="9.4999999999999751E-2"/>
    <n v="13000006700"/>
  </r>
  <r>
    <x v="408"/>
    <s v="912828C81"/>
    <s v="Note"/>
    <s v="2-Year"/>
    <n v="0.435"/>
    <n v="0.44700000000000001"/>
    <n v="0.379"/>
    <n v="3.35"/>
    <n v="0"/>
    <n v="106803300000"/>
    <n v="31760190000"/>
    <n v="140283700"/>
    <n v="6020442500"/>
    <n v="14183000000"/>
    <n v="18319942500"/>
    <n v="83944000000"/>
    <n v="7419805000"/>
    <n v="8676300000"/>
    <n v="6.8000000000000005E-2"/>
    <n v="31900473700"/>
  </r>
  <r>
    <x v="409"/>
    <s v="912828D23"/>
    <s v="Note"/>
    <s v="5-Year"/>
    <n v="1.7"/>
    <n v="1.732"/>
    <n v="1.63"/>
    <n v="2.79"/>
    <n v="0"/>
    <n v="97473200000"/>
    <n v="34949035600"/>
    <n v="50964800"/>
    <n v="6489000000"/>
    <n v="11119000000"/>
    <n v="12756753000"/>
    <n v="67802000000"/>
    <n v="15703282600"/>
    <n v="18552200000"/>
    <n v="0.10200000000000009"/>
    <n v="35000000400"/>
  </r>
  <r>
    <x v="410"/>
    <s v="912828WG1"/>
    <s v="Note"/>
    <s v="7-Year"/>
    <n v="2.278"/>
    <n v="2.3170000000000002"/>
    <n v="2.21"/>
    <n v="2.6"/>
    <n v="0"/>
    <n v="75348300000"/>
    <n v="28978881000"/>
    <n v="21140700"/>
    <n v="5531000000"/>
    <n v="6936000000"/>
    <n v="8985581000"/>
    <n v="52179000000"/>
    <n v="14462300000"/>
    <n v="16233300000"/>
    <n v="0.10700000000000021"/>
    <n v="29000021700"/>
  </r>
  <r>
    <x v="411"/>
    <s v="912828WH9"/>
    <s v="Note"/>
    <s v="3-Year"/>
    <n v="0.90700000000000003"/>
    <n v="0.92800000000000005"/>
    <n v="0.84499999999999997"/>
    <n v="3.4"/>
    <n v="0"/>
    <n v="98479100000"/>
    <n v="28856160000"/>
    <n v="43872600"/>
    <n v="7064040000"/>
    <n v="15526000000"/>
    <n v="13676868000"/>
    <n v="72292000000"/>
    <n v="8115252000"/>
    <n v="10661100000"/>
    <n v="8.3000000000000074E-2"/>
    <n v="28900032600"/>
  </r>
  <r>
    <x v="412"/>
    <s v="912828WJ5"/>
    <s v="Note"/>
    <s v="10-Year"/>
    <n v="2.585"/>
    <n v="2.6120000000000001"/>
    <n v="2.5099999999999998"/>
    <n v="2.63"/>
    <n v="0"/>
    <n v="63036000000"/>
    <n v="23934170000"/>
    <n v="55831500"/>
    <n v="5174000000"/>
    <n v="6354000000"/>
    <n v="6965170000"/>
    <n v="42780000000"/>
    <n v="11795000000"/>
    <n v="13902000000"/>
    <n v="0.10200000000000031"/>
    <n v="23990001500"/>
  </r>
  <r>
    <x v="413"/>
    <s v="912810RG5"/>
    <s v="Bond"/>
    <s v="30-Year"/>
    <n v="3.3660000000000001"/>
    <n v="3.44"/>
    <n v="3.3"/>
    <n v="2.09"/>
    <n v="0"/>
    <n v="33336600000"/>
    <n v="15972546000"/>
    <n v="22462800"/>
    <n v="1348000000"/>
    <n v="2122000000"/>
    <n v="8175221000"/>
    <n v="24749000000"/>
    <n v="6449325000"/>
    <n v="6465600000"/>
    <n v="0.14000000000000012"/>
    <n v="15995008800"/>
  </r>
  <r>
    <x v="414"/>
    <s v="912828WM8"/>
    <s v="Note"/>
    <s v="2-Year"/>
    <n v="0.37"/>
    <n v="0.39200000000000002"/>
    <n v="0.33300000000000002"/>
    <n v="3.52"/>
    <n v="11925700"/>
    <n v="108793300000"/>
    <n v="30708385500"/>
    <n v="191720900"/>
    <n v="7746565000"/>
    <n v="15852000000"/>
    <n v="17169610500"/>
    <n v="84205000000"/>
    <n v="5792210000"/>
    <n v="8736300000"/>
    <n v="5.8999999999999997E-2"/>
    <n v="30912032100"/>
  </r>
  <r>
    <x v="415"/>
    <s v="912828WL0"/>
    <s v="Note"/>
    <s v="5-Year"/>
    <n v="1.47"/>
    <n v="1.5129999999999999"/>
    <n v="1.4"/>
    <n v="2.73"/>
    <n v="13464500"/>
    <n v="95586650000"/>
    <n v="34926472300"/>
    <n v="73563100"/>
    <n v="3662000000"/>
    <n v="10497000000"/>
    <n v="13649705000"/>
    <n v="65233000000"/>
    <n v="17614767300"/>
    <n v="19856650000"/>
    <n v="0.11299999999999999"/>
    <n v="35013499900"/>
  </r>
  <r>
    <x v="416"/>
    <s v="912828WN6"/>
    <s v="Note"/>
    <s v="7-Year"/>
    <n v="1.97"/>
    <n v="2.0099999999999998"/>
    <n v="1.9"/>
    <n v="2.6"/>
    <n v="11156300"/>
    <n v="75228300000"/>
    <n v="28962173000"/>
    <n v="37886800"/>
    <n v="6977158000"/>
    <n v="8530000000"/>
    <n v="10296162000"/>
    <n v="54057000000"/>
    <n v="11688853000"/>
    <n v="12641300000"/>
    <n v="0.10999999999999988"/>
    <n v="29011216100"/>
  </r>
  <r>
    <x v="417"/>
    <s v="912828WP1"/>
    <s v="Note"/>
    <s v="3-Year"/>
    <n v="0.90500000000000003"/>
    <n v="0.93"/>
    <n v="0.83"/>
    <n v="3.41"/>
    <n v="0"/>
    <n v="95439400000"/>
    <n v="27842337500"/>
    <n v="47778400"/>
    <n v="5401447500"/>
    <n v="13449000000"/>
    <n v="15070850000"/>
    <n v="72026000000"/>
    <n v="7370040000"/>
    <n v="9964400000"/>
    <n v="0.10000000000000009"/>
    <n v="27890115900"/>
  </r>
  <r>
    <x v="418"/>
    <s v="912828WJ5"/>
    <s v="Note"/>
    <s v="9-Year 11-Month"/>
    <n v="2.6059999999999999"/>
    <n v="2.6480000000000001"/>
    <n v="2.5299999999999998"/>
    <n v="2.88"/>
    <n v="0"/>
    <n v="60504100000"/>
    <n v="20959604000"/>
    <n v="30462200"/>
    <n v="4069240000"/>
    <n v="5915000000"/>
    <n v="9331504000"/>
    <n v="40238000000"/>
    <n v="7558860000"/>
    <n v="14351100000"/>
    <n v="0.11800000000000033"/>
    <n v="20990066200"/>
  </r>
  <r>
    <x v="419"/>
    <s v="912810RG5"/>
    <s v="Bond"/>
    <s v="29-Year 11-Month"/>
    <n v="3.4239999999999999"/>
    <n v="3.444"/>
    <n v="3.37"/>
    <n v="2.69"/>
    <n v="0"/>
    <n v="34988575000"/>
    <n v="12992125000"/>
    <n v="7876400"/>
    <n v="2827000000"/>
    <n v="3611000000"/>
    <n v="3440310000"/>
    <n v="21626600000"/>
    <n v="6724815000"/>
    <n v="9750975000"/>
    <n v="7.3999999999999844E-2"/>
    <n v="13000001400"/>
  </r>
  <r>
    <x v="420"/>
    <s v="912828WQ9"/>
    <s v="Note"/>
    <s v="2-Year"/>
    <n v="0.49399999999999999"/>
    <n v="0.51100000000000001"/>
    <n v="0.436"/>
    <n v="3.23"/>
    <n v="0"/>
    <n v="96689000000"/>
    <n v="29754517500"/>
    <n v="145512800"/>
    <n v="6930135000"/>
    <n v="10428000000"/>
    <n v="15943032500"/>
    <n v="75161000000"/>
    <n v="6881350000"/>
    <n v="11100000000"/>
    <n v="7.5000000000000011E-2"/>
    <n v="29900030300"/>
  </r>
  <r>
    <x v="421"/>
    <s v="912828WS5"/>
    <s v="Note"/>
    <s v="5-Year"/>
    <n v="1.637"/>
    <n v="1.67"/>
    <n v="1.57"/>
    <n v="2.74"/>
    <n v="0"/>
    <n v="95822200000"/>
    <n v="34944550000"/>
    <n v="55669200"/>
    <n v="3257900000"/>
    <n v="10119000000"/>
    <n v="13338745000"/>
    <n v="64798000000"/>
    <n v="18347905000"/>
    <n v="20905200000"/>
    <n v="9.9999999999999867E-2"/>
    <n v="35000219200"/>
  </r>
  <r>
    <x v="422"/>
    <s v="912828WR7"/>
    <s v="Note"/>
    <s v="7-Year"/>
    <n v="2.11"/>
    <n v="2.1520000000000001"/>
    <n v="2.0590000000000002"/>
    <n v="2.44"/>
    <n v="0"/>
    <n v="70598900000"/>
    <n v="28983440000"/>
    <n v="16572900"/>
    <n v="4829000000"/>
    <n v="6129000000"/>
    <n v="12380540000"/>
    <n v="50038000000"/>
    <n v="11773900000"/>
    <n v="14431900000"/>
    <n v="9.2999999999999972E-2"/>
    <n v="29000012900"/>
  </r>
  <r>
    <x v="423"/>
    <s v="912828WT3"/>
    <s v="Note"/>
    <s v="3-Year"/>
    <n v="0.97399999999999998"/>
    <n v="0.99199999999999999"/>
    <n v="0.89500000000000002"/>
    <n v="3.38"/>
    <n v="0"/>
    <n v="91100200000"/>
    <n v="26825885000"/>
    <n v="74140300"/>
    <n v="3413000000"/>
    <n v="7323000000"/>
    <n v="13165685000"/>
    <n v="69210000000"/>
    <n v="10247200000"/>
    <n v="14567200000"/>
    <n v="9.6999999999999975E-2"/>
    <n v="26900025300"/>
  </r>
  <r>
    <x v="424"/>
    <s v="912828WJ5"/>
    <s v="Note"/>
    <s v="9-Year 10-Month"/>
    <n v="2.56"/>
    <n v="2.597"/>
    <n v="2.4910000000000001"/>
    <n v="2.57"/>
    <n v="0"/>
    <n v="53992400000"/>
    <n v="20983520000"/>
    <n v="16506800"/>
    <n v="2919000000"/>
    <n v="4605000000"/>
    <n v="9748120000"/>
    <n v="40231000000"/>
    <n v="8316400000"/>
    <n v="9156400000"/>
    <n v="0.10599999999999987"/>
    <n v="21000026800"/>
  </r>
  <r>
    <x v="425"/>
    <s v="912810RG5"/>
    <s v="Bond"/>
    <s v="29-Year 10-Month"/>
    <n v="3.3220000000000001"/>
    <n v="3.3690000000000002"/>
    <n v="3.25"/>
    <n v="2.4"/>
    <n v="0"/>
    <n v="31239500000"/>
    <n v="12992272000"/>
    <n v="7745100"/>
    <n v="1440577000"/>
    <n v="2518000000"/>
    <n v="4635195000"/>
    <n v="20370000000"/>
    <n v="6916500000"/>
    <n v="8351500000"/>
    <n v="0.11900000000000022"/>
    <n v="13000017100"/>
  </r>
  <r>
    <x v="426"/>
    <s v="912828WX4"/>
    <s v="Note"/>
    <s v="2-Year"/>
    <n v="0.52500000000000002"/>
    <n v="0.54400000000000004"/>
    <n v="0.48899999999999999"/>
    <n v="3.22"/>
    <n v="9421100"/>
    <n v="93115050000"/>
    <n v="28731073400"/>
    <n v="169134600"/>
    <n v="4122449000"/>
    <n v="8181000000"/>
    <n v="16858134400"/>
    <n v="75434000000"/>
    <n v="7750490000"/>
    <n v="9500050000"/>
    <n v="5.5000000000000049E-2"/>
    <n v="28909629100"/>
  </r>
  <r>
    <x v="427"/>
    <s v="912828WW6"/>
    <s v="Note"/>
    <s v="5-Year"/>
    <n v="1.696"/>
    <n v="1.72"/>
    <n v="1.609"/>
    <n v="2.81"/>
    <n v="11370100"/>
    <n v="98321750000"/>
    <n v="34949542000"/>
    <n v="50466200"/>
    <n v="9047000000"/>
    <n v="14183000000"/>
    <n v="9051248000"/>
    <n v="64906000000"/>
    <n v="16851294000"/>
    <n v="19232750000"/>
    <n v="0.11099999999999999"/>
    <n v="35011378300"/>
  </r>
  <r>
    <x v="428"/>
    <s v="912828WY2"/>
    <s v="Note"/>
    <s v="7-Year"/>
    <n v="2.2050000000000001"/>
    <n v="2.25"/>
    <n v="2.13"/>
    <n v="2.58"/>
    <n v="9421000"/>
    <n v="74829575000"/>
    <n v="28983150200"/>
    <n v="16900900"/>
    <n v="4406000000"/>
    <n v="5626000000"/>
    <n v="10839685000"/>
    <n v="53859000000"/>
    <n v="13737465200"/>
    <n v="15344575000"/>
    <n v="0.12000000000000011"/>
    <n v="29009472100"/>
  </r>
  <r>
    <x v="429"/>
    <s v="912828D49"/>
    <s v="Note"/>
    <s v="3-Year"/>
    <n v="0.9"/>
    <n v="0.92400000000000004"/>
    <n v="0.83299999999999996"/>
    <n v="3.03"/>
    <n v="0"/>
    <n v="81788300000"/>
    <n v="26846357000"/>
    <n v="53673700"/>
    <n v="5108000000"/>
    <n v="8863000000"/>
    <n v="12020485000"/>
    <n v="59851000000"/>
    <n v="9717872000"/>
    <n v="13074300000"/>
    <n v="9.1000000000000081E-2"/>
    <n v="26900030700"/>
  </r>
  <r>
    <x v="430"/>
    <s v="912828D56"/>
    <s v="Note"/>
    <s v="10-Year"/>
    <n v="2.4"/>
    <n v="2.4390000000000001"/>
    <n v="2.3370000000000002"/>
    <n v="2.83"/>
    <n v="0"/>
    <n v="67954100000"/>
    <n v="23947353000"/>
    <n v="52651500"/>
    <n v="3617000000"/>
    <n v="5639000000"/>
    <n v="9078585000"/>
    <n v="48737000000"/>
    <n v="11251768000"/>
    <n v="13578100000"/>
    <n v="0.10199999999999987"/>
    <n v="24000004500"/>
  </r>
  <r>
    <x v="431"/>
    <s v="912810RH3"/>
    <s v="Bond"/>
    <s v="30-Year"/>
    <n v="3.2090000000000001"/>
    <n v="3.2240000000000002"/>
    <n v="3.13"/>
    <n v="2.6"/>
    <n v="0"/>
    <n v="41611900000"/>
    <n v="15975753000"/>
    <n v="24248400"/>
    <n v="3891380500"/>
    <n v="5496000000"/>
    <n v="4758672500"/>
    <n v="25313000000"/>
    <n v="7325700000"/>
    <n v="10802900000"/>
    <n v="9.4000000000000306E-2"/>
    <n v="16000001400"/>
  </r>
  <r>
    <x v="432"/>
    <s v="912828D64"/>
    <s v="Note"/>
    <s v="2-Year"/>
    <n v="0.50700000000000001"/>
    <n v="0.53"/>
    <n v="0.47699999999999998"/>
    <n v="3.48"/>
    <n v="1463600"/>
    <n v="100623500000"/>
    <n v="28720680000"/>
    <n v="179427100"/>
    <n v="3486000000"/>
    <n v="6195000000"/>
    <n v="13795900000"/>
    <n v="79678000000"/>
    <n v="11438780000"/>
    <n v="14750500000"/>
    <n v="5.3000000000000047E-2"/>
    <n v="28901570700"/>
  </r>
  <r>
    <x v="433"/>
    <s v="912828D80"/>
    <s v="Note"/>
    <s v="5-Year"/>
    <n v="1.611"/>
    <n v="1.6459999999999999"/>
    <n v="1.53"/>
    <n v="2.81"/>
    <n v="1766400"/>
    <n v="98379550000"/>
    <n v="34908107500"/>
    <n v="41893900"/>
    <n v="3785000000"/>
    <n v="8492000000"/>
    <n v="12722520000"/>
    <n v="69998000000"/>
    <n v="18400587500"/>
    <n v="19889550000"/>
    <n v="0.11599999999999988"/>
    <n v="34951767800"/>
  </r>
  <r>
    <x v="434"/>
    <s v="912828D72"/>
    <s v="Note"/>
    <s v="7-Year"/>
    <n v="2"/>
    <n v="2.0449999999999999"/>
    <n v="1.95"/>
    <n v="2.57"/>
    <n v="1463500"/>
    <n v="74513200000"/>
    <n v="28973630000"/>
    <n v="26376700"/>
    <n v="5919000000"/>
    <n v="7304000000"/>
    <n v="8903430000"/>
    <n v="51511000000"/>
    <n v="14151200000"/>
    <n v="15698200000"/>
    <n v="9.4999999999999973E-2"/>
    <n v="29001470200"/>
  </r>
  <r>
    <x v="435"/>
    <s v="912828D98"/>
    <s v="Note"/>
    <s v="3-Year"/>
    <n v="1.0349999999999999"/>
    <n v="1.0660000000000001"/>
    <n v="0.95"/>
    <n v="3.17"/>
    <n v="0"/>
    <n v="85460100000"/>
    <n v="26834400000"/>
    <n v="65604100"/>
    <n v="5438000000"/>
    <n v="9293000000"/>
    <n v="12511640000"/>
    <n v="64879000000"/>
    <n v="8884760000"/>
    <n v="11288100000"/>
    <n v="0.1160000000000001"/>
    <n v="26900004100"/>
  </r>
  <r>
    <x v="436"/>
    <s v="912828D56"/>
    <s v="Note"/>
    <s v="9-Year 11-Month"/>
    <n v="2.4910000000000001"/>
    <n v="2.5350000000000001"/>
    <n v="2.4300000000000002"/>
    <n v="2.71"/>
    <n v="0"/>
    <n v="56795150000"/>
    <n v="20985427000"/>
    <n v="14595700"/>
    <n v="2826613000"/>
    <n v="4647450000"/>
    <n v="7033484000"/>
    <n v="38824000000"/>
    <n v="11125330000"/>
    <n v="13323700000"/>
    <n v="0.10499999999999998"/>
    <n v="21000022700"/>
  </r>
  <r>
    <x v="437"/>
    <s v="912810RH3"/>
    <s v="Bond"/>
    <s v="29-Year 11-Month"/>
    <n v="3.222"/>
    <n v="3.24"/>
    <n v="3.15"/>
    <n v="2.67"/>
    <n v="0"/>
    <n v="34661035000"/>
    <n v="12991801000"/>
    <n v="8260200"/>
    <n v="2825959400"/>
    <n v="4260000000"/>
    <n v="4259869000"/>
    <n v="21065000000"/>
    <n v="5905972600"/>
    <n v="9336035000"/>
    <n v="9.0000000000000302E-2"/>
    <n v="13000061200"/>
  </r>
  <r>
    <x v="438"/>
    <s v="912828F47"/>
    <s v="Note"/>
    <s v="2-Year"/>
    <n v="0.56999999999999995"/>
    <n v="0.58899999999999997"/>
    <n v="0.52"/>
    <n v="3.56"/>
    <n v="0"/>
    <n v="103108200000"/>
    <n v="28749197500"/>
    <n v="150915600"/>
    <n v="4630590000"/>
    <n v="8832000000"/>
    <n v="12356407500"/>
    <n v="77724000000"/>
    <n v="11762200000"/>
    <n v="16552200000"/>
    <n v="6.899999999999995E-2"/>
    <n v="28900113100"/>
  </r>
  <r>
    <x v="439"/>
    <s v="912828F39"/>
    <s v="Note"/>
    <s v="5-Year"/>
    <n v="1.7629999999999999"/>
    <n v="1.8"/>
    <n v="1.69"/>
    <n v="2.56"/>
    <n v="0"/>
    <n v="89457500000"/>
    <n v="34899950000"/>
    <n v="50097100"/>
    <n v="3066350000"/>
    <n v="6737000000"/>
    <n v="14295200000"/>
    <n v="63634000000"/>
    <n v="17538400000"/>
    <n v="19086500000"/>
    <n v="0.1100000000000001"/>
    <n v="34950047100"/>
  </r>
  <r>
    <x v="440"/>
    <s v="912828F21"/>
    <s v="Note"/>
    <s v="7-Year"/>
    <n v="2.1970000000000001"/>
    <n v="2.2349999999999999"/>
    <n v="2.117"/>
    <n v="2.48"/>
    <n v="0"/>
    <n v="71840400000"/>
    <n v="28981216000"/>
    <n v="18787500"/>
    <n v="2904120000"/>
    <n v="5223000000"/>
    <n v="12071360000"/>
    <n v="51745000000"/>
    <n v="14005736000"/>
    <n v="14872400000"/>
    <n v="0.11799999999999988"/>
    <n v="29000003500"/>
  </r>
  <r>
    <x v="441"/>
    <s v="912828F54"/>
    <s v="Note"/>
    <s v="3-Year"/>
    <n v="0.97499999999999998"/>
    <n v="0.99399999999999999"/>
    <n v="0.89"/>
    <n v="3.42"/>
    <n v="0"/>
    <n v="92258600000"/>
    <n v="26839681000"/>
    <n v="60352800"/>
    <n v="4676845000"/>
    <n v="9019000000"/>
    <n v="12626380000"/>
    <n v="69774000000"/>
    <n v="9536456000"/>
    <n v="13465600000"/>
    <n v="0.10399999999999998"/>
    <n v="26900033800"/>
  </r>
  <r>
    <x v="442"/>
    <s v="912828D56"/>
    <s v="Note"/>
    <s v="9-Year 10-Month"/>
    <n v="2.34"/>
    <n v="2.3809999999999998"/>
    <n v="2.25"/>
    <n v="2.52"/>
    <n v="0"/>
    <n v="52969100000"/>
    <n v="20984300000"/>
    <n v="15706600"/>
    <n v="1395000000"/>
    <n v="4155000000"/>
    <n v="10278200000"/>
    <n v="39268000000"/>
    <n v="9311100000"/>
    <n v="9546100000"/>
    <n v="0.13099999999999978"/>
    <n v="21000006600"/>
  </r>
  <r>
    <x v="443"/>
    <s v="912810RH3"/>
    <s v="Bond"/>
    <s v="29-Year 10-Month"/>
    <n v="3.04"/>
    <n v="3.0739999999999998"/>
    <n v="2.97"/>
    <n v="2.4"/>
    <n v="0"/>
    <n v="31247900000"/>
    <n v="12992973000"/>
    <n v="2027900"/>
    <n v="2799000000"/>
    <n v="4707000000"/>
    <n v="4189073000"/>
    <n v="19498000000"/>
    <n v="6004900000"/>
    <n v="7042900000"/>
    <n v="0.10399999999999965"/>
    <n v="12995000900"/>
  </r>
  <r>
    <x v="444"/>
    <s v="912828F88"/>
    <s v="Note"/>
    <s v="2-Year"/>
    <n v="0.40400000000000003"/>
    <n v="0.42499999999999999"/>
    <n v="0.36899999999999999"/>
    <n v="3.11"/>
    <n v="0"/>
    <n v="90021400000"/>
    <n v="28731490000"/>
    <n v="168669700"/>
    <n v="4651000000"/>
    <n v="8581000000"/>
    <n v="13549190000"/>
    <n v="67704000000"/>
    <n v="10531300000"/>
    <n v="13736400000"/>
    <n v="5.5999999999999994E-2"/>
    <n v="28900159700"/>
  </r>
  <r>
    <x v="445"/>
    <s v="912828F62"/>
    <s v="Note"/>
    <s v="5-Year"/>
    <n v="1.526"/>
    <n v="1.5669999999999999"/>
    <n v="1.45"/>
    <n v="2.36"/>
    <n v="0"/>
    <n v="82588955000"/>
    <n v="34941790000"/>
    <n v="58212000"/>
    <n v="3668035000"/>
    <n v="7974000000"/>
    <n v="14574800000"/>
    <n v="57056000000"/>
    <n v="16698955000"/>
    <n v="17558955000"/>
    <n v="0.11699999999999999"/>
    <n v="35000002000"/>
  </r>
  <r>
    <x v="446"/>
    <s v="912828F96"/>
    <s v="Note"/>
    <s v="7-Year"/>
    <n v="1.98"/>
    <n v="2.0179999999999998"/>
    <n v="1.919"/>
    <n v="2.42"/>
    <n v="0"/>
    <n v="70030400000"/>
    <n v="28987713000"/>
    <n v="12297100"/>
    <n v="4469253000"/>
    <n v="6840000000"/>
    <n v="11002040000"/>
    <n v="48772000000"/>
    <n v="13516420000"/>
    <n v="14418400000"/>
    <n v="9.8999999999999755E-2"/>
    <n v="29000010100"/>
  </r>
  <r>
    <x v="447"/>
    <s v="912828G20"/>
    <s v="Note"/>
    <s v="3-Year"/>
    <n v="0.96399999999999997"/>
    <n v="0.998"/>
    <n v="0.9"/>
    <n v="3.18"/>
    <n v="34696400"/>
    <n v="82609700000"/>
    <n v="25838249600"/>
    <n v="61783700"/>
    <n v="3924000000"/>
    <n v="7759000000"/>
    <n v="12162050000"/>
    <n v="63484000000"/>
    <n v="9752199600"/>
    <n v="11366700000"/>
    <n v="9.7999999999999976E-2"/>
    <n v="25934729700"/>
  </r>
  <r>
    <x v="448"/>
    <s v="912828G38"/>
    <s v="Note"/>
    <s v="10-Year"/>
    <n v="2.3279999999999998"/>
    <n v="2.3650000000000002"/>
    <n v="2.25"/>
    <n v="2.52"/>
    <n v="32027400"/>
    <n v="60456250000"/>
    <n v="23931420000"/>
    <n v="48631900"/>
    <n v="3204660000"/>
    <n v="5111200000"/>
    <n v="10039450000"/>
    <n v="42313000000"/>
    <n v="10687310000"/>
    <n v="13032050000"/>
    <n v="0.11500000000000021"/>
    <n v="24012079300"/>
  </r>
  <r>
    <x v="449"/>
    <s v="912810RJ9"/>
    <s v="Bond"/>
    <s v="30-Year"/>
    <n v="3.0449999999999999"/>
    <n v="3.0920000000000001"/>
    <n v="2.95"/>
    <n v="2.29"/>
    <n v="21351600"/>
    <n v="36653768000"/>
    <n v="15979608800"/>
    <n v="10391600"/>
    <n v="2199000000"/>
    <n v="3892000000"/>
    <n v="6783978000"/>
    <n v="24753800000"/>
    <n v="6996630800"/>
    <n v="8007968000"/>
    <n v="0.1419999999999999"/>
    <n v="16011352000"/>
  </r>
  <r>
    <x v="450"/>
    <s v="912828G46"/>
    <s v="Note"/>
    <s v="2-Year"/>
    <n v="0.52"/>
    <n v="0.54200000000000004"/>
    <n v="0.49"/>
    <n v="3.71"/>
    <n v="0"/>
    <n v="103732150000"/>
    <n v="27753076800"/>
    <n v="147040000"/>
    <n v="4496750000"/>
    <n v="10207150000"/>
    <n v="13313780000"/>
    <n v="74408000000"/>
    <n v="9942546800"/>
    <n v="19117000000"/>
    <n v="5.2000000000000046E-2"/>
    <n v="27900116800"/>
  </r>
  <r>
    <x v="451"/>
    <s v="912828G61"/>
    <s v="Note"/>
    <s v="5-Year"/>
    <n v="1.575"/>
    <n v="1.595"/>
    <n v="1.5"/>
    <n v="2.91"/>
    <n v="0"/>
    <n v="101741595000"/>
    <n v="34946474500"/>
    <n v="53643300"/>
    <n v="3449827500"/>
    <n v="7580020000"/>
    <n v="8764195000"/>
    <n v="63988000000"/>
    <n v="22732452000"/>
    <n v="30173575000"/>
    <n v="9.4999999999999973E-2"/>
    <n v="35000117800"/>
  </r>
  <r>
    <x v="452"/>
    <s v="912828G53"/>
    <s v="Note"/>
    <s v="7-Year"/>
    <n v="1.9219999999999999"/>
    <n v="1.96"/>
    <n v="1.85"/>
    <n v="2.63"/>
    <n v="0"/>
    <n v="76387300000"/>
    <n v="28978250000"/>
    <n v="21796300"/>
    <n v="3721847500"/>
    <n v="5969000000"/>
    <n v="10759695500"/>
    <n v="53565000000"/>
    <n v="14496707000"/>
    <n v="16853300000"/>
    <n v="0.10999999999999988"/>
    <n v="29000046300"/>
  </r>
  <r>
    <x v="453"/>
    <s v="912828G79"/>
    <s v="Note"/>
    <s v="3-Year"/>
    <n v="1.04"/>
    <n v="1.0660000000000001"/>
    <n v="0.96499999999999997"/>
    <n v="3.24"/>
    <n v="0"/>
    <n v="80824000000"/>
    <n v="24834056000"/>
    <n v="65945900"/>
    <n v="2502995000"/>
    <n v="7580000000"/>
    <n v="11854066000"/>
    <n v="60813000000"/>
    <n v="10476995000"/>
    <n v="12431000000"/>
    <n v="0.10100000000000009"/>
    <n v="24900001900"/>
  </r>
  <r>
    <x v="454"/>
    <s v="912828G38"/>
    <s v="Note"/>
    <s v="9-Year 11-Month"/>
    <n v="2.1789999999999998"/>
    <n v="2.214"/>
    <n v="2.1"/>
    <n v="2.97"/>
    <n v="0"/>
    <n v="62236960000"/>
    <n v="20960300700"/>
    <n v="39712700"/>
    <n v="1443000000"/>
    <n v="3405010000"/>
    <n v="8236682500"/>
    <n v="44702000000"/>
    <n v="11280618200"/>
    <n v="14129950000"/>
    <n v="0.11399999999999988"/>
    <n v="21000013400"/>
  </r>
  <r>
    <x v="455"/>
    <s v="912810RJ9"/>
    <s v="Bond"/>
    <s v="29-Year 11-Month"/>
    <n v="2.819"/>
    <n v="2.8479999999999999"/>
    <n v="2.7480000000000002"/>
    <n v="2.76"/>
    <n v="0"/>
    <n v="35904500000"/>
    <n v="12993900800"/>
    <n v="6121500"/>
    <n v="3152000000"/>
    <n v="4818000000"/>
    <n v="3366000000"/>
    <n v="20692000000"/>
    <n v="6475900800"/>
    <n v="10394500000"/>
    <n v="9.9999999999999645E-2"/>
    <n v="13000022300"/>
  </r>
  <r>
    <x v="456"/>
    <s v="912828H29"/>
    <s v="Note"/>
    <s v="2-Year"/>
    <n v="0.67700000000000005"/>
    <n v="0.70299999999999996"/>
    <n v="0.63800000000000001"/>
    <n v="3.21"/>
    <n v="0"/>
    <n v="86387050000"/>
    <n v="26757687500"/>
    <n v="142316500"/>
    <n v="3891000000"/>
    <n v="7766000000"/>
    <n v="13326975000"/>
    <n v="67105000000"/>
    <n v="9539712500"/>
    <n v="11516050000"/>
    <n v="6.4999999999999947E-2"/>
    <n v="26900004000"/>
  </r>
  <r>
    <x v="457"/>
    <s v="912828G95"/>
    <s v="Note"/>
    <s v="5-Year"/>
    <n v="1.6950000000000001"/>
    <n v="1.7390000000000001"/>
    <n v="1.63"/>
    <n v="2.39"/>
    <n v="0"/>
    <n v="83667600000"/>
    <n v="34963455500"/>
    <n v="36618300"/>
    <n v="2569542500"/>
    <n v="6759000000"/>
    <n v="11857685500"/>
    <n v="54849000000"/>
    <n v="20536227500"/>
    <n v="22059600000"/>
    <n v="0.10900000000000021"/>
    <n v="35000073800"/>
  </r>
  <r>
    <x v="458"/>
    <s v="912828G87"/>
    <s v="Note"/>
    <s v="7-Year"/>
    <n v="2.0870000000000002"/>
    <n v="2.125"/>
    <n v="2.0099999999999998"/>
    <n v="2.39"/>
    <n v="0"/>
    <n v="69235200000"/>
    <n v="28990150000"/>
    <n v="9859300"/>
    <n v="1715100000"/>
    <n v="3493100000"/>
    <n v="10895485000"/>
    <n v="48145000000"/>
    <n v="16379565000"/>
    <n v="17597100000"/>
    <n v="0.11500000000000021"/>
    <n v="29000009300"/>
  </r>
  <r>
    <x v="459"/>
    <s v="912828H37"/>
    <s v="Note"/>
    <s v="3-Year"/>
    <n v="0.9"/>
    <n v="0.92600000000000005"/>
    <n v="0.83499999999999996"/>
    <n v="3.33"/>
    <n v="0"/>
    <n v="79874500000"/>
    <n v="23948532600"/>
    <n v="51550100"/>
    <n v="3554000000"/>
    <n v="6524000000"/>
    <n v="9430532600"/>
    <n v="58628000000"/>
    <n v="10964000000"/>
    <n v="14722500000"/>
    <n v="9.1000000000000081E-2"/>
    <n v="24000082700"/>
  </r>
  <r>
    <x v="460"/>
    <s v="912828G38"/>
    <s v="Note"/>
    <s v="9-Year 10-Month"/>
    <n v="1.89"/>
    <n v="1.93"/>
    <n v="1.81"/>
    <n v="2.61"/>
    <n v="0"/>
    <n v="54793600000"/>
    <n v="20987184200"/>
    <n v="11367200"/>
    <n v="1928739700"/>
    <n v="3147000000"/>
    <n v="8561070500"/>
    <n v="40630000000"/>
    <n v="10497374000"/>
    <n v="11016600000"/>
    <n v="0.11999999999999988"/>
    <n v="20998551400"/>
  </r>
  <r>
    <x v="461"/>
    <s v="912810RJ9"/>
    <s v="Bond"/>
    <s v="29-Year 10-Month"/>
    <n v="2.3740000000000001"/>
    <n v="2.4300000000000002"/>
    <n v="2.2799999999999998"/>
    <n v="2.3199999999999998"/>
    <n v="0"/>
    <n v="30221360000"/>
    <n v="12996689000"/>
    <n v="3322900"/>
    <n v="1779454800"/>
    <n v="2585000000"/>
    <n v="4860544700"/>
    <n v="20033000000"/>
    <n v="6356689500"/>
    <n v="7603360000"/>
    <n v="0.15000000000000036"/>
    <n v="13000011900"/>
  </r>
  <r>
    <x v="462"/>
    <s v="912828H78"/>
    <s v="Note"/>
    <s v="2-Year"/>
    <n v="0.50900000000000001"/>
    <n v="0.54"/>
    <n v="0.47899999999999998"/>
    <n v="3.74"/>
    <n v="0"/>
    <n v="96951000000"/>
    <n v="25733300000"/>
    <n v="166771200"/>
    <n v="2252650000"/>
    <n v="9005000000"/>
    <n v="10962000000"/>
    <n v="71344000000"/>
    <n v="12518650000"/>
    <n v="16602000000"/>
    <n v="6.1000000000000054E-2"/>
    <n v="25900071200"/>
  </r>
  <r>
    <x v="463"/>
    <s v="912828H86"/>
    <s v="Note"/>
    <s v="7-Year"/>
    <n v="1.5549999999999999"/>
    <n v="1.59"/>
    <n v="1.4790000000000001"/>
    <n v="2.5"/>
    <n v="0"/>
    <n v="72457495000"/>
    <n v="28982457500"/>
    <n v="12556300"/>
    <n v="4315000000"/>
    <n v="6220000000"/>
    <n v="8416962500"/>
    <n v="48519000000"/>
    <n v="16250495000"/>
    <n v="17718495000"/>
    <n v="0.11099999999999999"/>
    <n v="28995013800"/>
  </r>
  <r>
    <x v="463"/>
    <s v="912828H52"/>
    <s v="Note"/>
    <s v="5-Year"/>
    <n v="1.256"/>
    <n v="1.288"/>
    <n v="1.2"/>
    <n v="2.4900000000000002"/>
    <n v="0"/>
    <n v="87134930000"/>
    <n v="34957398500"/>
    <n v="42615900"/>
    <n v="3317000000"/>
    <n v="5962000000"/>
    <n v="9594325000"/>
    <n v="56693000000"/>
    <n v="22046073500"/>
    <n v="24479930000"/>
    <n v="8.8000000000000078E-2"/>
    <n v="35000014400"/>
  </r>
  <r>
    <x v="464"/>
    <s v="912828H94"/>
    <s v="Note"/>
    <s v="3-Year"/>
    <n v="1.02"/>
    <n v="1.05"/>
    <n v="0.8"/>
    <n v="3.34"/>
    <n v="905600"/>
    <n v="80109800000"/>
    <n v="23838254000"/>
    <n v="61954000"/>
    <n v="1707000000"/>
    <n v="5092000000"/>
    <n v="10475220000"/>
    <n v="60238000000"/>
    <n v="11656034000"/>
    <n v="14779800000"/>
    <n v="0.25"/>
    <n v="23901113600"/>
  </r>
  <r>
    <x v="465"/>
    <s v="912828J27"/>
    <s v="Note"/>
    <s v="10-Year"/>
    <n v="1.97"/>
    <n v="2"/>
    <n v="1.9"/>
    <n v="2.62"/>
    <n v="905600"/>
    <n v="62920300000"/>
    <n v="23960830000"/>
    <n v="36171900"/>
    <n v="3043407500"/>
    <n v="4259000000"/>
    <n v="6658302500"/>
    <n v="41952000000"/>
    <n v="14259120000"/>
    <n v="16709300000"/>
    <n v="0.10000000000000009"/>
    <n v="23997907500"/>
  </r>
  <r>
    <x v="466"/>
    <s v="912810RK6"/>
    <s v="Bond"/>
    <s v="30-Year"/>
    <n v="2.5059999999999998"/>
    <n v="2.56"/>
    <n v="2.41"/>
    <n v="2.2599999999999998"/>
    <n v="603700"/>
    <n v="36108895000"/>
    <n v="15977833000"/>
    <n v="20168800"/>
    <n v="2469172000"/>
    <n v="3311000000"/>
    <n v="5615644000"/>
    <n v="24123000000"/>
    <n v="7893017000"/>
    <n v="8674895000"/>
    <n v="0.14999999999999991"/>
    <n v="15998605500"/>
  </r>
  <r>
    <x v="467"/>
    <s v="912828J35"/>
    <s v="Note"/>
    <s v="2-Year"/>
    <n v="0.57999999999999996"/>
    <n v="0.60299999999999998"/>
    <n v="0.53900000000000003"/>
    <n v="3.45"/>
    <n v="0"/>
    <n v="89395000000"/>
    <n v="25726956400"/>
    <n v="173122600"/>
    <n v="3415000000"/>
    <n v="8020000000"/>
    <n v="9908956400"/>
    <n v="66522000000"/>
    <n v="12403000000"/>
    <n v="14853000000"/>
    <n v="6.3999999999999946E-2"/>
    <n v="25900079000"/>
  </r>
  <r>
    <x v="468"/>
    <s v="912828J50"/>
    <s v="Note"/>
    <s v="5-Year"/>
    <n v="1.44"/>
    <n v="1.48"/>
    <n v="1.4"/>
    <n v="2.54"/>
    <n v="0"/>
    <n v="88792400000"/>
    <n v="34939683000"/>
    <n v="60350800"/>
    <n v="2617554000"/>
    <n v="4642000000"/>
    <n v="11329210000"/>
    <n v="61037000000"/>
    <n v="20992919000"/>
    <n v="23113400000"/>
    <n v="8.0000000000000071E-2"/>
    <n v="35000033800"/>
  </r>
  <r>
    <x v="469"/>
    <s v="912828J43"/>
    <s v="Note"/>
    <s v="7-Year"/>
    <n v="1.78"/>
    <n v="1.8340000000000001"/>
    <n v="1.71"/>
    <n v="2.37"/>
    <n v="0"/>
    <n v="68677965000"/>
    <n v="28990292200"/>
    <n v="9730200"/>
    <n v="3054530000"/>
    <n v="4761000000"/>
    <n v="10768791200"/>
    <n v="48003000000"/>
    <n v="15166971000"/>
    <n v="15913965000"/>
    <n v="0.12400000000000011"/>
    <n v="29000022400"/>
  </r>
  <r>
    <x v="470"/>
    <s v="912828J68"/>
    <s v="Note"/>
    <s v="3-Year"/>
    <n v="1.08"/>
    <n v="1.1040000000000001"/>
    <n v="0.9"/>
    <n v="3.33"/>
    <n v="0"/>
    <n v="79727575000"/>
    <n v="23812015000"/>
    <n v="88021900"/>
    <n v="1915000000"/>
    <n v="4440000000"/>
    <n v="9651960000"/>
    <n v="60455000000"/>
    <n v="12245055000"/>
    <n v="14832575000"/>
    <n v="0.20400000000000007"/>
    <n v="23900036900"/>
  </r>
  <r>
    <x v="471"/>
    <s v="912828J27"/>
    <s v="Note"/>
    <s v="9-Year 11-Month"/>
    <n v="2.105"/>
    <n v="2.1389999999999998"/>
    <n v="1.99"/>
    <n v="2.65"/>
    <n v="0"/>
    <n v="55554050000"/>
    <n v="20977824800"/>
    <n v="22250300"/>
    <n v="2139200000"/>
    <n v="3609700000"/>
    <n v="6542770000"/>
    <n v="36543000000"/>
    <n v="12295854800"/>
    <n v="15401350000"/>
    <n v="0.1489999999999998"/>
    <n v="21000075100"/>
  </r>
  <r>
    <x v="472"/>
    <s v="912810RK6"/>
    <s v="Bond"/>
    <s v="29-Year 11-Month"/>
    <n v="2.6219999999999999"/>
    <n v="2.681"/>
    <n v="2.5099999999999998"/>
    <n v="2.1800000000000002"/>
    <n v="0"/>
    <n v="28294515000"/>
    <n v="12988700000"/>
    <n v="11301400"/>
    <n v="1501918500"/>
    <n v="2249000000"/>
    <n v="4748500000"/>
    <n v="19059500000"/>
    <n v="6738281500"/>
    <n v="6986015000"/>
    <n v="0.17100000000000026"/>
    <n v="13000001400"/>
  </r>
  <r>
    <x v="473"/>
    <s v="912828J92"/>
    <s v="Note"/>
    <s v="2-Year"/>
    <n v="0.56000000000000005"/>
    <n v="0.59799999999999998"/>
    <n v="0.5"/>
    <n v="3.46"/>
    <n v="0"/>
    <n v="89616150000"/>
    <n v="25743302500"/>
    <n v="156705100"/>
    <n v="4712822500"/>
    <n v="8090000000"/>
    <n v="9265000000"/>
    <n v="67615000000"/>
    <n v="11765480000"/>
    <n v="13911150000"/>
    <n v="9.7999999999999976E-2"/>
    <n v="25900007600"/>
  </r>
  <r>
    <x v="474"/>
    <s v="912828J84"/>
    <s v="Note"/>
    <s v="5-Year"/>
    <n v="1.3380000000000001"/>
    <n v="1.387"/>
    <n v="1.27"/>
    <n v="2.35"/>
    <n v="0"/>
    <n v="82005900000"/>
    <n v="34864745000"/>
    <n v="35287500"/>
    <n v="1647000000"/>
    <n v="3947000000"/>
    <n v="13801845000"/>
    <n v="58083000000"/>
    <n v="19415900000"/>
    <n v="19975900000"/>
    <n v="0.11699999999999999"/>
    <n v="34900032500"/>
  </r>
  <r>
    <x v="475"/>
    <s v="912828J76"/>
    <s v="Note"/>
    <s v="7-Year"/>
    <n v="1.7350000000000001"/>
    <n v="1.792"/>
    <n v="1.65"/>
    <n v="2.3199999999999998"/>
    <n v="0"/>
    <n v="67183798000"/>
    <n v="28987122000"/>
    <n v="12880000"/>
    <n v="3564000000"/>
    <n v="5199000000"/>
    <n v="10780324000"/>
    <n v="47227000000"/>
    <n v="14642798000"/>
    <n v="14757798000"/>
    <n v="0.14200000000000013"/>
    <n v="29000002000"/>
  </r>
  <r>
    <x v="476"/>
    <s v="912828K25"/>
    <s v="Note"/>
    <s v="3-Year"/>
    <n v="0.83499999999999996"/>
    <n v="0.86499999999999999"/>
    <n v="0.7"/>
    <n v="3.25"/>
    <n v="0"/>
    <n v="77847564000"/>
    <n v="23787644000"/>
    <n v="62362600"/>
    <n v="2632000000"/>
    <n v="5647000000"/>
    <n v="9399360000"/>
    <n v="59906000000"/>
    <n v="11756284000"/>
    <n v="12294564000"/>
    <n v="0.16500000000000004"/>
    <n v="23850006600"/>
  </r>
  <r>
    <x v="477"/>
    <s v="912828J27"/>
    <s v="Note"/>
    <s v="9-Year 10-Month"/>
    <n v="1.8879999999999999"/>
    <n v="1.925"/>
    <n v="1.84"/>
    <n v="2.62"/>
    <n v="0"/>
    <n v="54907297000"/>
    <n v="20987829000"/>
    <n v="12184500"/>
    <n v="1951567000"/>
    <n v="3396567000"/>
    <n v="6767432000"/>
    <n v="38590000000"/>
    <n v="12268830000"/>
    <n v="12920730000"/>
    <n v="8.4999999999999964E-2"/>
    <n v="21000013500"/>
  </r>
  <r>
    <x v="478"/>
    <s v="912810RK6"/>
    <s v="Bond"/>
    <s v="29-Year 10-Month"/>
    <n v="2.5289999999999999"/>
    <n v="2.597"/>
    <n v="2.4500000000000002"/>
    <n v="2.1800000000000002"/>
    <n v="0"/>
    <n v="28329707000"/>
    <n v="12991787000"/>
    <n v="8225600"/>
    <n v="906000000"/>
    <n v="1477000000"/>
    <n v="5426360000"/>
    <n v="19946000000"/>
    <n v="6659427000"/>
    <n v="6906707000"/>
    <n v="0.1469999999999998"/>
    <n v="13000012600"/>
  </r>
  <r>
    <x v="479"/>
    <s v="912828K66"/>
    <s v="Note"/>
    <s v="2-Year"/>
    <n v="0.505"/>
    <n v="0.54"/>
    <n v="0.45"/>
    <n v="3.3"/>
    <n v="95109300"/>
    <n v="85536150000"/>
    <n v="25733048200"/>
    <n v="167025600"/>
    <n v="3759000000"/>
    <n v="7541000000"/>
    <n v="12171898200"/>
    <n v="67693000000"/>
    <n v="9802150000"/>
    <n v="10302150000"/>
    <n v="9.0000000000000024E-2"/>
    <n v="25995183100"/>
  </r>
  <r>
    <x v="480"/>
    <s v="912828K58"/>
    <s v="Note"/>
    <s v="5-Year"/>
    <n v="1.3480000000000001"/>
    <n v="1.38"/>
    <n v="1.29"/>
    <n v="2.56"/>
    <n v="128031700"/>
    <n v="89407200000"/>
    <n v="34964631500"/>
    <n v="35434200"/>
    <n v="1949000000"/>
    <n v="6110000000"/>
    <n v="11617699500"/>
    <n v="59912000000"/>
    <n v="21397932000"/>
    <n v="23385200000"/>
    <n v="8.9999999999999858E-2"/>
    <n v="35128097400"/>
  </r>
  <r>
    <x v="481"/>
    <s v="912828WZ9"/>
    <s v="Note"/>
    <s v="7-Year"/>
    <n v="1.78"/>
    <n v="1.82"/>
    <n v="1.7250000000000001"/>
    <n v="2.44"/>
    <n v="106083400"/>
    <n v="70601024000"/>
    <n v="28982414000"/>
    <n v="17586300"/>
    <n v="3721000000"/>
    <n v="5461000000"/>
    <n v="9578390000"/>
    <n v="48668000000"/>
    <n v="15683024000"/>
    <n v="16472024000"/>
    <n v="9.4999999999999973E-2"/>
    <n v="29106083700"/>
  </r>
  <r>
    <x v="482"/>
    <s v="912828XA3"/>
    <s v="Note"/>
    <s v="3-Year"/>
    <n v="0.96899999999999997"/>
    <n v="1"/>
    <n v="0.8"/>
    <n v="3.34"/>
    <n v="542818700"/>
    <n v="79878825000"/>
    <n v="23779044500"/>
    <n v="71096400"/>
    <n v="2759202500"/>
    <n v="5577025000"/>
    <n v="8488042000"/>
    <n v="60561000000"/>
    <n v="12531800000"/>
    <n v="13740800000"/>
    <n v="0.19999999999999996"/>
    <n v="24392959600"/>
  </r>
  <r>
    <x v="483"/>
    <s v="912828XB1"/>
    <s v="Note"/>
    <s v="10-Year"/>
    <n v="2.2200000000000002"/>
    <n v="2.2370000000000001"/>
    <n v="2.19"/>
    <n v="2.72"/>
    <n v="542818600"/>
    <n v="65248625000"/>
    <n v="23950105000"/>
    <n v="46264900"/>
    <n v="5004000000"/>
    <n v="7393000000"/>
    <n v="4535000000"/>
    <n v="39924000000"/>
    <n v="14411105000"/>
    <n v="17931625000"/>
    <n v="4.7000000000000153E-2"/>
    <n v="24539188500"/>
  </r>
  <r>
    <x v="484"/>
    <s v="912810RM2"/>
    <s v="Bond"/>
    <s v="30-Year"/>
    <n v="2.98"/>
    <n v="3.044"/>
    <n v="2.9"/>
    <n v="2.2000000000000002"/>
    <n v="361879100"/>
    <n v="35169250000"/>
    <n v="15980095000"/>
    <n v="13923700"/>
    <n v="1780000000"/>
    <n v="2735000000"/>
    <n v="6079270000"/>
    <n v="23411000000"/>
    <n v="8120825000"/>
    <n v="9023250000"/>
    <n v="0.14400000000000013"/>
    <n v="16355897800"/>
  </r>
  <r>
    <x v="485"/>
    <s v="912828SY7"/>
    <s v="Note"/>
    <s v="2-Year"/>
    <n v="0.62"/>
    <n v="0.64800000000000002"/>
    <n v="0.59"/>
    <n v="3.4"/>
    <n v="0"/>
    <n v="88061345000"/>
    <n v="25768857500"/>
    <n v="131205200"/>
    <n v="4441537500"/>
    <n v="8167000000"/>
    <n v="10434975000"/>
    <n v="63092000000"/>
    <n v="10892345000"/>
    <n v="16802345000"/>
    <n v="5.8000000000000052E-2"/>
    <n v="25900062700"/>
  </r>
  <r>
    <x v="486"/>
    <s v="912828XE5"/>
    <s v="Note"/>
    <s v="5-Year"/>
    <n v="1.52"/>
    <n v="1.56"/>
    <n v="1.4410000000000001"/>
    <n v="2.46"/>
    <n v="0"/>
    <n v="85886000000"/>
    <n v="34846340000"/>
    <n v="53686300"/>
    <n v="3471000000"/>
    <n v="6814000000"/>
    <n v="10996920000"/>
    <n v="57523000000"/>
    <n v="20378420000"/>
    <n v="21549000000"/>
    <n v="0.11899999999999999"/>
    <n v="34900026300"/>
  </r>
  <r>
    <x v="487"/>
    <s v="912828XD7"/>
    <s v="Note"/>
    <s v="7-Year"/>
    <n v="1.8580000000000001"/>
    <n v="1.8879999999999999"/>
    <n v="1.79"/>
    <n v="2.4900000000000002"/>
    <n v="0"/>
    <n v="72278850000"/>
    <n v="28985144500"/>
    <n v="14876600"/>
    <n v="3475374500"/>
    <n v="6349000000"/>
    <n v="9908455000"/>
    <n v="48734900000"/>
    <n v="15601315000"/>
    <n v="17194950000"/>
    <n v="9.7999999999999865E-2"/>
    <n v="29000021100"/>
  </r>
  <r>
    <x v="488"/>
    <s v="912828XF2"/>
    <s v="Note"/>
    <s v="3-Year"/>
    <n v="1.0900000000000001"/>
    <n v="1.125"/>
    <n v="0.9"/>
    <n v="3.33"/>
    <n v="0"/>
    <n v="79518900000"/>
    <n v="23707395000"/>
    <n v="92785400"/>
    <n v="2291535000"/>
    <n v="7065000000"/>
    <n v="9395900000"/>
    <n v="59720000000"/>
    <n v="12019960000"/>
    <n v="12733900000"/>
    <n v="0.22499999999999998"/>
    <n v="23800180400"/>
  </r>
  <r>
    <x v="489"/>
    <s v="912828XB1"/>
    <s v="Note"/>
    <s v="9-Year 11-Month"/>
    <n v="2.4340000000000002"/>
    <n v="2.4609999999999999"/>
    <n v="2.3959999999999999"/>
    <n v="2.74"/>
    <n v="0"/>
    <n v="57467670000"/>
    <n v="20976310000"/>
    <n v="23703200"/>
    <n v="2548000000"/>
    <n v="4643000000"/>
    <n v="6285790000"/>
    <n v="36936000000"/>
    <n v="12142520000"/>
    <n v="15888670000"/>
    <n v="6.4999999999999947E-2"/>
    <n v="21000013200"/>
  </r>
  <r>
    <x v="490"/>
    <s v="912810RM2"/>
    <s v="Bond"/>
    <s v="29-Year 11-Month"/>
    <n v="3.1"/>
    <n v="3.1379999999999999"/>
    <n v="3"/>
    <n v="2.54"/>
    <n v="0"/>
    <n v="32950910000"/>
    <n v="12990127000"/>
    <n v="9933100"/>
    <n v="1870280000"/>
    <n v="3044280000"/>
    <n v="4364485000"/>
    <n v="20728000000"/>
    <n v="6755362000"/>
    <n v="9178630000"/>
    <n v="0.1379999999999999"/>
    <n v="13000060100"/>
  </r>
  <r>
    <x v="491"/>
    <s v="912828XJ4"/>
    <s v="Note"/>
    <s v="2-Year"/>
    <n v="0.66"/>
    <n v="0.69199999999999995"/>
    <n v="0.6"/>
    <n v="3.28"/>
    <n v="0"/>
    <n v="84930580000"/>
    <n v="25758660000"/>
    <n v="141346500"/>
    <n v="2613510000"/>
    <n v="7219000000"/>
    <n v="9593530000"/>
    <n v="60690000000"/>
    <n v="13551620000"/>
    <n v="17021580000"/>
    <n v="9.1999999999999971E-2"/>
    <n v="25900006500"/>
  </r>
  <r>
    <x v="492"/>
    <s v="912828XH8"/>
    <s v="Note"/>
    <s v="5-Year"/>
    <n v="1.6679999999999999"/>
    <n v="1.71"/>
    <n v="1.6"/>
    <n v="2.39"/>
    <n v="0"/>
    <n v="83539140000"/>
    <n v="34846722000"/>
    <n v="53419000"/>
    <n v="1937310000"/>
    <n v="6716000000"/>
    <n v="13195585000"/>
    <n v="56061000000"/>
    <n v="19713827000"/>
    <n v="20762140000"/>
    <n v="0.10999999999999988"/>
    <n v="34900141000"/>
  </r>
  <r>
    <x v="493"/>
    <s v="912828XG0"/>
    <s v="Note"/>
    <s v="7-Year"/>
    <n v="2.12"/>
    <n v="2.153"/>
    <n v="2.0499999999999998"/>
    <n v="2.38"/>
    <n v="0"/>
    <n v="69107600000"/>
    <n v="28985640000"/>
    <n v="14374000"/>
    <n v="3447000000"/>
    <n v="5851000000"/>
    <n v="9120434000"/>
    <n v="45530000000"/>
    <n v="16418206000"/>
    <n v="17726600000"/>
    <n v="0.1030000000000002"/>
    <n v="29000014000"/>
  </r>
  <r>
    <x v="494"/>
    <s v="912828XK1"/>
    <s v="Note"/>
    <s v="3-Year"/>
    <n v="0.89"/>
    <n v="0.93200000000000005"/>
    <n v="0.7"/>
    <n v="3.16"/>
    <n v="0"/>
    <n v="75610300000"/>
    <n v="23860550000"/>
    <n v="39476200"/>
    <n v="3313000000"/>
    <n v="6598000000"/>
    <n v="9157030000"/>
    <n v="56649000000"/>
    <n v="11390520000"/>
    <n v="12363300000"/>
    <n v="0.2320000000000001"/>
    <n v="23900026200"/>
  </r>
  <r>
    <x v="495"/>
    <s v="912828XB1"/>
    <s v="Note"/>
    <s v="9-Year 10-Month"/>
    <n v="2.19"/>
    <n v="2.2250000000000001"/>
    <n v="2.12"/>
    <n v="2.72"/>
    <n v="0"/>
    <n v="57103450000"/>
    <n v="20962212500"/>
    <n v="37794500"/>
    <n v="2533000000"/>
    <n v="4495000000"/>
    <n v="6245625000"/>
    <n v="38728000000"/>
    <n v="12183587500"/>
    <n v="13880450000"/>
    <n v="0.10499999999999998"/>
    <n v="21000007000"/>
  </r>
  <r>
    <x v="496"/>
    <s v="912810RM2"/>
    <s v="Bond"/>
    <s v="29-Year 10-Month"/>
    <n v="3.0230000000000001"/>
    <n v="3.0840000000000001"/>
    <n v="2.9340000000000002"/>
    <n v="2.23"/>
    <n v="0"/>
    <n v="28993300000"/>
    <n v="12990135000"/>
    <n v="9866200"/>
    <n v="1055000000"/>
    <n v="2209000000"/>
    <n v="5300000000"/>
    <n v="19630000000"/>
    <n v="6635135000"/>
    <n v="7154300000"/>
    <n v="0.14999999999999991"/>
    <n v="13000001200"/>
  </r>
  <r>
    <x v="497"/>
    <s v="912828XP0"/>
    <s v="Note"/>
    <s v="2-Year"/>
    <n v="0.65100000000000002"/>
    <n v="0.69"/>
    <n v="0.59299999999999997"/>
    <n v="3.42"/>
    <n v="0"/>
    <n v="88607000000"/>
    <n v="25731815000"/>
    <n v="168249100"/>
    <n v="4600955000"/>
    <n v="9397000000"/>
    <n v="7141355000"/>
    <n v="62325000000"/>
    <n v="13989505000"/>
    <n v="16885000000"/>
    <n v="9.6999999999999975E-2"/>
    <n v="25900064100"/>
  </r>
  <r>
    <x v="498"/>
    <s v="912828XM7"/>
    <s v="Note"/>
    <s v="5-Year"/>
    <n v="1.59"/>
    <n v="1.625"/>
    <n v="1.5"/>
    <n v="2.58"/>
    <n v="0"/>
    <n v="90059270000"/>
    <n v="34855273000"/>
    <n v="44743700"/>
    <n v="1847980000"/>
    <n v="6556000000"/>
    <n v="9484980000"/>
    <n v="58162000000"/>
    <n v="23522313000"/>
    <n v="25341270000"/>
    <n v="0.125"/>
    <n v="34900016700"/>
  </r>
  <r>
    <x v="499"/>
    <s v="912828XQ8"/>
    <s v="Note"/>
    <s v="7-Year"/>
    <n v="1.9750000000000001"/>
    <n v="2.0209999999999999"/>
    <n v="1.9"/>
    <n v="2.4700000000000002"/>
    <n v="0"/>
    <n v="71554200000"/>
    <n v="28986811300"/>
    <n v="13197300"/>
    <n v="3480000000"/>
    <n v="5993000000"/>
    <n v="11259837500"/>
    <n v="50874000000"/>
    <n v="14246973800"/>
    <n v="14687200000"/>
    <n v="0.121"/>
    <n v="29000008600"/>
  </r>
  <r>
    <x v="500"/>
    <s v="912828K82"/>
    <s v="Note"/>
    <s v="3-Year"/>
    <n v="0.96499999999999997"/>
    <n v="1.0129999999999999"/>
    <n v="0.8"/>
    <n v="3.34"/>
    <n v="482460400"/>
    <n v="79938900000"/>
    <n v="23834489000"/>
    <n v="65514300"/>
    <n v="1944823000"/>
    <n v="5356000000"/>
    <n v="9303565000"/>
    <n v="59170000000"/>
    <n v="12586101000"/>
    <n v="15412900000"/>
    <n v="0.21299999999999986"/>
    <n v="24382463700"/>
  </r>
  <r>
    <x v="501"/>
    <s v="912828K74"/>
    <s v="Note"/>
    <s v="10-Year"/>
    <n v="2.0499999999999998"/>
    <n v="2.1150000000000002"/>
    <n v="1.95"/>
    <n v="2.4"/>
    <n v="482460400"/>
    <n v="57472200000"/>
    <n v="23964984000"/>
    <n v="35032600"/>
    <n v="1394000000"/>
    <n v="4006000000"/>
    <n v="8159184000"/>
    <n v="38191000000"/>
    <n v="14411800000"/>
    <n v="15275200000"/>
    <n v="0.16500000000000026"/>
    <n v="24482477000"/>
  </r>
  <r>
    <x v="502"/>
    <s v="912810RN0"/>
    <s v="Bond"/>
    <s v="30-Year"/>
    <n v="2.81"/>
    <n v="2.88"/>
    <n v="2.7080000000000002"/>
    <n v="2.2599999999999998"/>
    <n v="321640200"/>
    <n v="36192760000"/>
    <n v="15991233000"/>
    <n v="5774600"/>
    <n v="1587000000"/>
    <n v="3041000000"/>
    <n v="6107735000"/>
    <n v="24577000000"/>
    <n v="8296498000"/>
    <n v="8574760000"/>
    <n v="0.17199999999999971"/>
    <n v="16318647800"/>
  </r>
  <r>
    <x v="503"/>
    <s v="912828TM2"/>
    <s v="Note"/>
    <s v="2-Year"/>
    <n v="0.64"/>
    <n v="0.66300000000000003"/>
    <n v="0.53"/>
    <n v="3.16"/>
    <n v="0"/>
    <n v="82034585000"/>
    <n v="25762078400"/>
    <n v="138040400"/>
    <n v="2646765000"/>
    <n v="7076000000"/>
    <n v="10983958000"/>
    <n v="61977000000"/>
    <n v="12131355400"/>
    <n v="12981585000"/>
    <n v="0.13300000000000001"/>
    <n v="25900118800"/>
  </r>
  <r>
    <x v="504"/>
    <s v="912828L32"/>
    <s v="Note"/>
    <s v="5-Year"/>
    <n v="1.417"/>
    <n v="1.4630000000000001"/>
    <n v="1.2"/>
    <n v="2.34"/>
    <n v="0"/>
    <n v="82037280000"/>
    <n v="34963820000"/>
    <n v="36193600"/>
    <n v="2606000000"/>
    <n v="6356000000"/>
    <n v="14853540000"/>
    <n v="56862000000"/>
    <n v="17504280000"/>
    <n v="18819280000"/>
    <n v="0.26300000000000012"/>
    <n v="35000013600"/>
  </r>
  <r>
    <x v="505"/>
    <s v="912828L24"/>
    <s v="Note"/>
    <s v="7-Year"/>
    <n v="1.89"/>
    <n v="1.93"/>
    <n v="1.8080000000000001"/>
    <n v="2.5299999999999998"/>
    <n v="0"/>
    <n v="73250835000"/>
    <n v="28985391800"/>
    <n v="14610400"/>
    <n v="4102455000"/>
    <n v="6732455000"/>
    <n v="10146100000"/>
    <n v="50490000000"/>
    <n v="14736836800"/>
    <n v="16028380000"/>
    <n v="0.12199999999999989"/>
    <n v="29000002200"/>
  </r>
  <r>
    <x v="506"/>
    <s v="912828L40"/>
    <s v="Note"/>
    <s v="3-Year"/>
    <n v="1.0149999999999999"/>
    <n v="1.056"/>
    <n v="0.8"/>
    <n v="3.23"/>
    <n v="0"/>
    <n v="77561200000"/>
    <n v="23960270000"/>
    <n v="39783300"/>
    <n v="1906000000"/>
    <n v="5881000000"/>
    <n v="9828385000"/>
    <n v="58292000000"/>
    <n v="12225885000"/>
    <n v="13388200000"/>
    <n v="0.25600000000000001"/>
    <n v="24000053300"/>
  </r>
  <r>
    <x v="507"/>
    <s v="912828K74"/>
    <s v="Note"/>
    <s v="9-Year 11-Month"/>
    <n v="2.19"/>
    <n v="2.2349999999999999"/>
    <n v="2.1"/>
    <n v="2.7"/>
    <n v="0"/>
    <n v="56752220000"/>
    <n v="20991158000"/>
    <n v="8874900"/>
    <n v="2896998000"/>
    <n v="5092000000"/>
    <n v="6014440000"/>
    <n v="37637500000"/>
    <n v="12079720000"/>
    <n v="14022720000"/>
    <n v="0.13499999999999979"/>
    <n v="21000032900"/>
  </r>
  <r>
    <x v="508"/>
    <s v="912810RN0"/>
    <s v="Bond"/>
    <s v="29-Year 11-Month"/>
    <n v="2.95"/>
    <n v="2.98"/>
    <n v="2.8879999999999999"/>
    <n v="2.54"/>
    <n v="0"/>
    <n v="32948395000"/>
    <n v="12986627000"/>
    <n v="13422000"/>
    <n v="961000000"/>
    <n v="2100000000"/>
    <n v="3450632000"/>
    <n v="20764000000"/>
    <n v="8574995000"/>
    <n v="10084395000"/>
    <n v="9.2000000000000082E-2"/>
    <n v="13000049000"/>
  </r>
  <r>
    <x v="509"/>
    <s v="912828TS9"/>
    <s v="Note"/>
    <s v="2-Year"/>
    <n v="0.66800000000000004"/>
    <n v="0.69899999999999995"/>
    <n v="0.53"/>
    <n v="3.27"/>
    <n v="0"/>
    <n v="84860750000"/>
    <n v="25857186400"/>
    <n v="142863100"/>
    <n v="3441000000"/>
    <n v="8146000000"/>
    <n v="11241500000"/>
    <n v="61435000000"/>
    <n v="11174686400"/>
    <n v="15279750000"/>
    <n v="0.16899999999999993"/>
    <n v="26000049500"/>
  </r>
  <r>
    <x v="510"/>
    <s v="912828L65"/>
    <s v="Note"/>
    <s v="5-Year"/>
    <n v="1.4339999999999999"/>
    <n v="1.4670000000000001"/>
    <n v="1.35"/>
    <n v="2.57"/>
    <n v="0"/>
    <n v="89980500000"/>
    <n v="34965484800"/>
    <n v="34516100"/>
    <n v="1755000000"/>
    <n v="6605000000"/>
    <n v="11020000000"/>
    <n v="59254000000"/>
    <n v="22190484800"/>
    <n v="24121500000"/>
    <n v="0.11699999999999999"/>
    <n v="35000000900"/>
  </r>
  <r>
    <x v="511"/>
    <s v="912828L57"/>
    <s v="Note"/>
    <s v="7-Year"/>
    <n v="1.776"/>
    <n v="1.8129999999999999"/>
    <n v="1.7"/>
    <n v="2.5099999999999998"/>
    <n v="0"/>
    <n v="72912050000"/>
    <n v="28983895600"/>
    <n v="16105200"/>
    <n v="2577000000"/>
    <n v="5392000000"/>
    <n v="8267000000"/>
    <n v="48167000000"/>
    <n v="18139895600"/>
    <n v="19353050000"/>
    <n v="0.11299999999999999"/>
    <n v="29000000800"/>
  </r>
  <r>
    <x v="512"/>
    <s v="912828L81"/>
    <s v="Note"/>
    <s v="3-Year"/>
    <n v="0.85499999999999998"/>
    <n v="0.89500000000000002"/>
    <n v="0.7"/>
    <n v="3.14"/>
    <n v="0"/>
    <n v="75265300000"/>
    <n v="23958404000"/>
    <n v="41624000"/>
    <n v="2670000000"/>
    <n v="6880000000"/>
    <n v="9851180000"/>
    <n v="56391500000"/>
    <n v="11437224000"/>
    <n v="11993800000"/>
    <n v="0.19500000000000006"/>
    <n v="24000028000"/>
  </r>
  <r>
    <x v="513"/>
    <s v="912828K74"/>
    <s v="Note"/>
    <s v="9-Year 10-Month"/>
    <n v="2.02"/>
    <n v="2.0659999999999998"/>
    <n v="1.9450000000000001"/>
    <n v="2.59"/>
    <n v="0"/>
    <n v="54462130000"/>
    <n v="20992429500"/>
    <n v="7572200"/>
    <n v="2152000000"/>
    <n v="4152000000"/>
    <n v="5781254500"/>
    <n v="35917500000"/>
    <n v="13059175000"/>
    <n v="14392630000"/>
    <n v="0.12099999999999977"/>
    <n v="21000001700"/>
  </r>
  <r>
    <x v="514"/>
    <s v="912810RN0"/>
    <s v="Bond"/>
    <s v="29-Year 10-Month"/>
    <n v="2.8740000000000001"/>
    <n v="2.9140000000000001"/>
    <n v="2.7949999999999999"/>
    <n v="2.46"/>
    <n v="0"/>
    <n v="31979971000"/>
    <n v="12998353300"/>
    <n v="1652000"/>
    <n v="2017000000"/>
    <n v="3571000000"/>
    <n v="3652370000"/>
    <n v="20715500000"/>
    <n v="7328983300"/>
    <n v="7693471000"/>
    <n v="0.11900000000000022"/>
    <n v="13000005300"/>
  </r>
  <r>
    <x v="515"/>
    <s v="912828L99"/>
    <s v="Note"/>
    <s v="5-Year"/>
    <n v="1.36"/>
    <n v="1.415"/>
    <n v="1.2669999999999999"/>
    <n v="2.4300000000000002"/>
    <n v="0"/>
    <n v="84876800000"/>
    <n v="34958894000"/>
    <n v="41206200"/>
    <n v="1331000000"/>
    <n v="5531000000"/>
    <n v="13020994000"/>
    <n v="57818000000"/>
    <n v="20606900000"/>
    <n v="21527800000"/>
    <n v="0.14800000000000013"/>
    <n v="35000100200"/>
  </r>
  <r>
    <x v="516"/>
    <s v="912828M49"/>
    <s v="Note"/>
    <s v="7-Year"/>
    <n v="1.845"/>
    <n v="1.885"/>
    <n v="1.7649999999999999"/>
    <n v="2.5499999999999998"/>
    <n v="0"/>
    <n v="73843553000"/>
    <n v="28989633000"/>
    <n v="10385200"/>
    <n v="4057000000"/>
    <n v="6337000000"/>
    <n v="6861080000"/>
    <n v="48601000000"/>
    <n v="18071553000"/>
    <n v="18905553000"/>
    <n v="0.12000000000000011"/>
    <n v="29000018200"/>
  </r>
  <r>
    <x v="517"/>
    <s v="912828TW0"/>
    <s v="Note"/>
    <s v="2-Year"/>
    <n v="0.8"/>
    <n v="0.82399999999999995"/>
    <n v="0.68799999999999994"/>
    <n v="3.01"/>
    <n v="0"/>
    <n v="78260790000"/>
    <n v="25933500000"/>
    <n v="66564400"/>
    <n v="2860000000"/>
    <n v="7035000000"/>
    <n v="12687710000"/>
    <n v="60640000000"/>
    <n v="10385790000"/>
    <n v="10585790000"/>
    <n v="0.13600000000000001"/>
    <n v="26000064400"/>
  </r>
  <r>
    <x v="518"/>
    <s v="912828M64"/>
    <s v="Note"/>
    <s v="3-Year"/>
    <n v="1.234"/>
    <n v="1.2709999999999999"/>
    <n v="0.88800000000000001"/>
    <n v="2.82"/>
    <n v="122282300"/>
    <n v="67693300000"/>
    <n v="23924892500"/>
    <n v="75107800"/>
    <n v="3612000000"/>
    <n v="7002000000"/>
    <n v="10548000000"/>
    <n v="49133000000"/>
    <n v="9764892500"/>
    <n v="11558300000"/>
    <n v="0.3829999999999999"/>
    <n v="24122282600"/>
  </r>
  <r>
    <x v="519"/>
    <s v="912828M56"/>
    <s v="Note"/>
    <s v="10-Year"/>
    <n v="2.2749999999999999"/>
    <n v="2.3039999999999998"/>
    <n v="2.1949999999999998"/>
    <n v="2.58"/>
    <n v="122282200"/>
    <n v="61905880000"/>
    <n v="23937360000"/>
    <n v="62649100"/>
    <n v="3414000000"/>
    <n v="5834000000"/>
    <n v="6032950000"/>
    <n v="39447000000"/>
    <n v="14490410000"/>
    <n v="16624880000"/>
    <n v="0.10899999999999999"/>
    <n v="24122291300"/>
  </r>
  <r>
    <x v="520"/>
    <s v="912810RP5"/>
    <s v="Bond"/>
    <s v="30-Year"/>
    <n v="3.03"/>
    <n v="3.07"/>
    <n v="2.9359999999999999"/>
    <n v="2.41"/>
    <n v="81521500"/>
    <n v="38528920000"/>
    <n v="15984180000"/>
    <n v="15822700"/>
    <n v="1624688500"/>
    <n v="3299000000"/>
    <n v="4728746500"/>
    <n v="24174200000"/>
    <n v="9630745000"/>
    <n v="11055720000"/>
    <n v="0.1339999999999999"/>
    <n v="16081524200"/>
  </r>
  <r>
    <x v="521"/>
    <s v="912828M72"/>
    <s v="Note"/>
    <s v="2-Year"/>
    <n v="0.91"/>
    <n v="0.94799999999999995"/>
    <n v="0.85"/>
    <n v="3.15"/>
    <n v="0"/>
    <n v="81834800000"/>
    <n v="25837205000"/>
    <n v="162823800"/>
    <n v="4912000000"/>
    <n v="8182000000"/>
    <n v="9121910000"/>
    <n v="61414000000"/>
    <n v="11803295000"/>
    <n v="12238800000"/>
    <n v="9.7999999999999976E-2"/>
    <n v="26000028800"/>
  </r>
  <r>
    <x v="522"/>
    <s v="912828M98"/>
    <s v="Note"/>
    <s v="5-Year"/>
    <n v="1.62"/>
    <n v="1.67"/>
    <n v="1.55"/>
    <n v="2.52"/>
    <n v="0"/>
    <n v="88203670000"/>
    <n v="34958126000"/>
    <n v="41926000"/>
    <n v="3547000000"/>
    <n v="8062000000"/>
    <n v="11594856000"/>
    <n v="59326000000"/>
    <n v="19816270000"/>
    <n v="20815670000"/>
    <n v="0.11999999999999988"/>
    <n v="35000052000"/>
  </r>
  <r>
    <x v="523"/>
    <s v="912828M80"/>
    <s v="Note"/>
    <s v="7-Year"/>
    <n v="1.9710000000000001"/>
    <n v="2.0129999999999999"/>
    <n v="1.895"/>
    <n v="2.5099999999999998"/>
    <n v="0"/>
    <n v="72799995000"/>
    <n v="28979345000"/>
    <n v="20679100"/>
    <n v="3920000000"/>
    <n v="6524000000"/>
    <n v="8846225000"/>
    <n v="48070975000"/>
    <n v="16213120000"/>
    <n v="18205020000"/>
    <n v="0.11799999999999988"/>
    <n v="29000024100"/>
  </r>
  <r>
    <x v="524"/>
    <s v="912828N22"/>
    <s v="Note"/>
    <s v="3-Year"/>
    <n v="1.22"/>
    <n v="1.2549999999999999"/>
    <n v="1.1000000000000001"/>
    <n v="3.14"/>
    <n v="0"/>
    <n v="75270925000"/>
    <n v="23919822500"/>
    <n v="80201900"/>
    <n v="4440300000"/>
    <n v="8498300000"/>
    <n v="8131897500"/>
    <n v="53415000000"/>
    <n v="11347625000"/>
    <n v="13357625000"/>
    <n v="0.1549999999999998"/>
    <n v="24000024400"/>
  </r>
  <r>
    <x v="525"/>
    <s v="912828M56"/>
    <s v="Note"/>
    <s v="9-Year 11-Month"/>
    <n v="2.1800000000000002"/>
    <n v="2.2330000000000001"/>
    <n v="2.0499999999999998"/>
    <n v="2.64"/>
    <n v="0"/>
    <n v="55492860000"/>
    <n v="20985272500"/>
    <n v="14738300"/>
    <n v="2531000000"/>
    <n v="4636000000"/>
    <n v="5452530000"/>
    <n v="36660600000"/>
    <n v="13001742500"/>
    <n v="14196260000"/>
    <n v="0.18300000000000027"/>
    <n v="21000010800"/>
  </r>
  <r>
    <x v="526"/>
    <s v="912810RP5"/>
    <s v="Bond"/>
    <s v="29-Year 11-Month"/>
    <n v="2.93"/>
    <n v="2.9780000000000002"/>
    <n v="2.85"/>
    <n v="2.42"/>
    <n v="0"/>
    <n v="31475640000"/>
    <n v="12990084500"/>
    <n v="9918300"/>
    <n v="1349000000"/>
    <n v="2523000000"/>
    <n v="3342227000"/>
    <n v="20130100000"/>
    <n v="8298857500"/>
    <n v="8822540000"/>
    <n v="0.12800000000000011"/>
    <n v="13000002800"/>
  </r>
  <r>
    <x v="527"/>
    <s v="912828N55"/>
    <s v="Note"/>
    <s v="2-Year"/>
    <n v="1.03"/>
    <n v="1.056"/>
    <n v="0.88800000000000001"/>
    <n v="2.8"/>
    <n v="0"/>
    <n v="72534100000"/>
    <n v="25835900000"/>
    <n v="164186200"/>
    <n v="6993800000"/>
    <n v="11123800000"/>
    <n v="9150250000"/>
    <n v="50102000000"/>
    <n v="9691850000"/>
    <n v="11308300000"/>
    <n v="0.16800000000000004"/>
    <n v="26000086200"/>
  </r>
  <r>
    <x v="528"/>
    <s v="912828N48"/>
    <s v="Note"/>
    <s v="5-Year"/>
    <n v="1.734"/>
    <n v="1.7849999999999999"/>
    <n v="1.6"/>
    <n v="2.3199999999999998"/>
    <n v="0"/>
    <n v="81017000000"/>
    <n v="34954117500"/>
    <n v="45901600"/>
    <n v="3831470000"/>
    <n v="6704100000"/>
    <n v="12766097500"/>
    <n v="55518200000"/>
    <n v="18356550000"/>
    <n v="18794700000"/>
    <n v="0.18499999999999983"/>
    <n v="35000019100"/>
  </r>
  <r>
    <x v="529"/>
    <s v="912828N30"/>
    <s v="Note"/>
    <s v="7-Year"/>
    <n v="2.1150000000000002"/>
    <n v="2.161"/>
    <n v="1.8879999999999999"/>
    <n v="2.34"/>
    <n v="0"/>
    <n v="67985647000"/>
    <n v="28982792000"/>
    <n v="17216300"/>
    <n v="4076000000"/>
    <n v="6983000000"/>
    <n v="11252430000"/>
    <n v="47158000000"/>
    <n v="13654362000"/>
    <n v="13844647000"/>
    <n v="0.27300000000000013"/>
    <n v="29000008300"/>
  </r>
  <r>
    <x v="530"/>
    <s v="912828N63"/>
    <s v="Note"/>
    <s v="3-Year"/>
    <n v="1.1399999999999999"/>
    <n v="1.1739999999999999"/>
    <n v="0.88800000000000001"/>
    <n v="2.94"/>
    <n v="0"/>
    <n v="70617430000"/>
    <n v="23954858000"/>
    <n v="45145800"/>
    <n v="2250728000"/>
    <n v="5111300000"/>
    <n v="6659000000"/>
    <n v="50155000000"/>
    <n v="15045130000"/>
    <n v="15351130000"/>
    <n v="0.28599999999999992"/>
    <n v="24000003800"/>
  </r>
  <r>
    <x v="531"/>
    <s v="912828M56"/>
    <s v="Note"/>
    <s v="9-Year 10-Month"/>
    <n v="2.048"/>
    <n v="2.09"/>
    <n v="1.9850000000000001"/>
    <n v="2.77"/>
    <n v="0"/>
    <n v="58112930000"/>
    <n v="20980572000"/>
    <n v="19469600"/>
    <n v="2369000000"/>
    <n v="4185000000"/>
    <n v="3717708000"/>
    <n v="37050000000"/>
    <n v="14893864000"/>
    <n v="16877930000"/>
    <n v="0.10499999999999976"/>
    <n v="21000041600"/>
  </r>
  <r>
    <x v="532"/>
    <s v="912810RP5"/>
    <s v="Bond"/>
    <s v="29-Year 10-Month"/>
    <n v="2.8420000000000001"/>
    <n v="2.9049999999999998"/>
    <n v="2.7149999999999999"/>
    <n v="2.29"/>
    <n v="0"/>
    <n v="29735630000"/>
    <n v="12987262000"/>
    <n v="12740300"/>
    <n v="1409000000"/>
    <n v="2437000000"/>
    <n v="4238018500"/>
    <n v="19596500000"/>
    <n v="7340243500"/>
    <n v="7702130000"/>
    <n v="0.18999999999999995"/>
    <n v="13000002300"/>
  </r>
  <r>
    <x v="533"/>
    <s v="912828P20"/>
    <s v="Note"/>
    <s v="2-Year"/>
    <n v="0.83"/>
    <n v="0.86"/>
    <n v="0.68799999999999994"/>
    <n v="2.9"/>
    <n v="473307900"/>
    <n v="75175150000"/>
    <n v="25827813300"/>
    <n v="172235600"/>
    <n v="3176515000"/>
    <n v="7538000000"/>
    <n v="7709298300"/>
    <n v="51000150000"/>
    <n v="14942000000"/>
    <n v="16637000000"/>
    <n v="0.17200000000000004"/>
    <n v="26473356800"/>
  </r>
  <r>
    <x v="534"/>
    <s v="912828N89"/>
    <s v="Note"/>
    <s v="5-Year"/>
    <n v="1.4390000000000001"/>
    <n v="1.496"/>
    <n v="1.3"/>
    <n v="2.44"/>
    <n v="637145100"/>
    <n v="85290370000"/>
    <n v="34949540000"/>
    <n v="50482200"/>
    <n v="3021000000"/>
    <n v="7701000000"/>
    <n v="13215370000"/>
    <n v="58543200000"/>
    <n v="18713170000"/>
    <n v="19046170000"/>
    <n v="0.19599999999999995"/>
    <n v="35637167300"/>
  </r>
  <r>
    <x v="535"/>
    <s v="912828P38"/>
    <s v="Note"/>
    <s v="7-Year"/>
    <n v="1.72"/>
    <n v="1.7589999999999999"/>
    <n v="1.5880000000000001"/>
    <n v="2.63"/>
    <n v="527920200"/>
    <n v="76257225000"/>
    <n v="28973484000"/>
    <n v="26592700"/>
    <n v="4295410000"/>
    <n v="7760000000"/>
    <n v="4576127000"/>
    <n v="45929500000"/>
    <n v="20101947000"/>
    <n v="22567725000"/>
    <n v="0.17099999999999982"/>
    <n v="29527996900"/>
  </r>
  <r>
    <x v="536"/>
    <s v="912828P53"/>
    <s v="Note"/>
    <s v="3-Year"/>
    <n v="0.81"/>
    <n v="0.84399999999999997"/>
    <n v="0.7"/>
    <n v="2.74"/>
    <n v="1884490100"/>
    <n v="65751520000"/>
    <n v="23938790000"/>
    <n v="61217800"/>
    <n v="3586000000"/>
    <n v="7306000000"/>
    <n v="10424290000"/>
    <n v="48438000000"/>
    <n v="9928500000"/>
    <n v="10007520000"/>
    <n v="0.14400000000000002"/>
    <n v="25884497900"/>
  </r>
  <r>
    <x v="537"/>
    <s v="912828P46"/>
    <s v="Note"/>
    <s v="10-Year"/>
    <n v="1.69"/>
    <n v="1.73"/>
    <n v="1.63"/>
    <n v="2.56"/>
    <n v="1805969700"/>
    <n v="58855750000"/>
    <n v="22975657800"/>
    <n v="24374000"/>
    <n v="3523586800"/>
    <n v="6284000000"/>
    <n v="5136875000"/>
    <n v="36212000000"/>
    <n v="14315196000"/>
    <n v="16359750000"/>
    <n v="0.10000000000000009"/>
    <n v="24806001500"/>
  </r>
  <r>
    <x v="538"/>
    <s v="912810RQ3"/>
    <s v="Bond"/>
    <s v="30-Year"/>
    <n v="2.391"/>
    <n v="2.5"/>
    <n v="2.2999999999999998"/>
    <n v="2.09"/>
    <n v="1177806200"/>
    <n v="31365770000"/>
    <n v="14983581200"/>
    <n v="16443100"/>
    <n v="1535876000"/>
    <n v="2649000000"/>
    <n v="4754480000"/>
    <n v="19766300000"/>
    <n v="8693225200"/>
    <n v="8950470000"/>
    <n v="0.20000000000000018"/>
    <n v="16177830500"/>
  </r>
  <r>
    <x v="539"/>
    <s v="912828UR9"/>
    <s v="Note"/>
    <s v="2-Year"/>
    <n v="0.71"/>
    <n v="0.752"/>
    <n v="0.66"/>
    <n v="2.91"/>
    <n v="8713837300"/>
    <n v="75405700000"/>
    <n v="25827900000"/>
    <n v="172124800"/>
    <n v="2789000000"/>
    <n v="9329000000"/>
    <n v="8633000000"/>
    <n v="49223000000"/>
    <n v="14405900000"/>
    <n v="16853700000"/>
    <n v="9.1999999999999971E-2"/>
    <n v="34713862100"/>
  </r>
  <r>
    <x v="540"/>
    <s v="912828P87"/>
    <s v="Note"/>
    <s v="5-Year"/>
    <n v="1.1200000000000001"/>
    <n v="1.169"/>
    <n v="1"/>
    <n v="2.44"/>
    <n v="11395017900"/>
    <n v="83014135000"/>
    <n v="33944285000"/>
    <n v="55729100"/>
    <n v="3402000000"/>
    <n v="6182000000"/>
    <n v="7713720000"/>
    <n v="52713000000"/>
    <n v="22828565000"/>
    <n v="24119135000"/>
    <n v="0.16900000000000004"/>
    <n v="45395032000"/>
  </r>
  <r>
    <x v="541"/>
    <s v="912828P79"/>
    <s v="Note"/>
    <s v="7-Year"/>
    <n v="1.51"/>
    <n v="1.5680000000000001"/>
    <n v="1.42"/>
    <n v="2.25"/>
    <n v="9384132400"/>
    <n v="62865910000"/>
    <n v="27979590000"/>
    <n v="20432100"/>
    <n v="3973000000"/>
    <n v="6363000000"/>
    <n v="9042600000"/>
    <n v="41179000000"/>
    <n v="14963990000"/>
    <n v="15323910000"/>
    <n v="0.14800000000000013"/>
    <n v="37384154500"/>
  </r>
  <r>
    <x v="542"/>
    <s v="912828P95"/>
    <s v="Note"/>
    <s v="3-Year"/>
    <n v="1"/>
    <n v="1.0389999999999999"/>
    <n v="0.9"/>
    <n v="2.71"/>
    <n v="0"/>
    <n v="64984800000"/>
    <n v="23946760000"/>
    <n v="53247400"/>
    <n v="2168320000"/>
    <n v="5156000000"/>
    <n v="10714640000"/>
    <n v="47225000000"/>
    <n v="11063800000"/>
    <n v="12603800000"/>
    <n v="0.1389999999999999"/>
    <n v="24000007400"/>
  </r>
  <r>
    <x v="543"/>
    <s v="912828P46"/>
    <s v="Note"/>
    <s v="9-Year 11-Month"/>
    <n v="1.83"/>
    <n v="1.895"/>
    <n v="1.7609999999999999"/>
    <n v="2.4900000000000002"/>
    <n v="0"/>
    <n v="49754660000"/>
    <n v="19986700000"/>
    <n v="13348200"/>
    <n v="2217000000"/>
    <n v="3767000000"/>
    <n v="6471180000"/>
    <n v="34477200000"/>
    <n v="11298520000"/>
    <n v="11510460000"/>
    <n v="0.13400000000000012"/>
    <n v="20000048200"/>
  </r>
  <r>
    <x v="544"/>
    <s v="912810RQ3"/>
    <s v="Bond"/>
    <s v="29-Year 11-Month"/>
    <n v="2.6749999999999998"/>
    <n v="2.72"/>
    <n v="2.5920000000000001"/>
    <n v="2.33"/>
    <n v="0"/>
    <n v="27923110000"/>
    <n v="11996210600"/>
    <n v="3789500"/>
    <n v="1441000000"/>
    <n v="2354000000"/>
    <n v="3243823000"/>
    <n v="17142500000"/>
    <n v="7311387600"/>
    <n v="8426610000"/>
    <n v="0.12800000000000011"/>
    <n v="12000000100"/>
  </r>
  <r>
    <x v="545"/>
    <s v="912828Q45"/>
    <s v="Note"/>
    <s v="2-Year"/>
    <n v="0.83"/>
    <n v="0.877"/>
    <n v="0.8"/>
    <n v="2.58"/>
    <n v="6194612100"/>
    <n v="66858641000"/>
    <n v="25829771000"/>
    <n v="170233900"/>
    <n v="3923370000"/>
    <n v="7436000000"/>
    <n v="9658760000"/>
    <n v="47060000000"/>
    <n v="12247641000"/>
    <n v="12362641000"/>
    <n v="7.6999999999999957E-2"/>
    <n v="32194617000"/>
  </r>
  <r>
    <x v="546"/>
    <s v="912828Q37"/>
    <s v="Note"/>
    <s v="5-Year"/>
    <n v="1.27"/>
    <n v="1.335"/>
    <n v="1.2"/>
    <n v="2.38"/>
    <n v="8100646500"/>
    <n v="80737072000"/>
    <n v="33943566400"/>
    <n v="56473600"/>
    <n v="2431246400"/>
    <n v="5002000000"/>
    <n v="13212248000"/>
    <n v="55750000000"/>
    <n v="18300072000"/>
    <n v="19985072000"/>
    <n v="0.13500000000000001"/>
    <n v="42100686500"/>
  </r>
  <r>
    <x v="547"/>
    <s v="912828Q29"/>
    <s v="Note"/>
    <s v="7-Year"/>
    <n v="1.5529999999999999"/>
    <n v="1.6060000000000001"/>
    <n v="1.4950000000000001"/>
    <n v="2.5099999999999998"/>
    <n v="6671120600"/>
    <n v="70133297000"/>
    <n v="27982057000"/>
    <n v="17956900"/>
    <n v="4336000000"/>
    <n v="6654000000"/>
    <n v="7468260000"/>
    <n v="46133500000"/>
    <n v="16177797000"/>
    <n v="17345797000"/>
    <n v="0.11099999999999999"/>
    <n v="34671134500"/>
  </r>
  <r>
    <x v="548"/>
    <s v="912828Q52"/>
    <s v="Note"/>
    <s v="3-Year"/>
    <n v="0.84"/>
    <n v="0.89"/>
    <n v="0.745"/>
    <n v="2.72"/>
    <n v="168895300"/>
    <n v="65150300000"/>
    <n v="23848430000"/>
    <n v="51602500"/>
    <n v="2733817500"/>
    <n v="5563000000"/>
    <n v="7768420000"/>
    <n v="45623000000"/>
    <n v="13346192500"/>
    <n v="13964300000"/>
    <n v="0.14500000000000002"/>
    <n v="24068927800"/>
  </r>
  <r>
    <x v="549"/>
    <s v="912828P46"/>
    <s v="Note"/>
    <s v="9-Year 10-Month"/>
    <n v="1.7250000000000001"/>
    <n v="1.7649999999999999"/>
    <n v="1.651"/>
    <n v="2.75"/>
    <n v="140746000"/>
    <n v="54958220000"/>
    <n v="19992376000"/>
    <n v="7636900"/>
    <n v="3052000000"/>
    <n v="4757000000"/>
    <n v="4952011600"/>
    <n v="36626200000"/>
    <n v="11988364400"/>
    <n v="13575020000"/>
    <n v="0.11399999999999988"/>
    <n v="20140758900"/>
  </r>
  <r>
    <x v="550"/>
    <s v="912810RQ3"/>
    <s v="Bond"/>
    <s v="29-Year 10-Month"/>
    <n v="2.56"/>
    <n v="2.5960000000000001"/>
    <n v="2.3879999999999999"/>
    <n v="2.4"/>
    <n v="84447600"/>
    <n v="28813850000"/>
    <n v="11987516000"/>
    <n v="12487500"/>
    <n v="1296500000"/>
    <n v="2333500000"/>
    <n v="2886345000"/>
    <n v="17238500000"/>
    <n v="7804671000"/>
    <n v="9241850000"/>
    <n v="0.20800000000000018"/>
    <n v="12084451100"/>
  </r>
  <r>
    <x v="551"/>
    <s v="912828Q94"/>
    <s v="Note"/>
    <s v="2-Year"/>
    <n v="0.80500000000000005"/>
    <n v="0.84199999999999997"/>
    <n v="0.76"/>
    <n v="2.64"/>
    <n v="6909230600"/>
    <n v="68568350000"/>
    <n v="25859390000"/>
    <n v="140635500"/>
    <n v="3751000000"/>
    <n v="5536000000"/>
    <n v="9919440000"/>
    <n v="50418400000"/>
    <n v="12188950000"/>
    <n v="12613950000"/>
    <n v="8.1999999999999962E-2"/>
    <n v="32909256100"/>
  </r>
  <r>
    <x v="552"/>
    <s v="912828Q78"/>
    <s v="Note"/>
    <s v="5-Year"/>
    <n v="1.36"/>
    <n v="1.41"/>
    <n v="1.2"/>
    <n v="2.41"/>
    <n v="9035147700"/>
    <n v="81731140000"/>
    <n v="33947734000"/>
    <n v="52280000"/>
    <n v="2296000000"/>
    <n v="3891000000"/>
    <n v="10112874000"/>
    <n v="54686900000"/>
    <n v="21538860000"/>
    <n v="23153240000"/>
    <n v="0.20999999999999996"/>
    <n v="43035161700"/>
  </r>
  <r>
    <x v="553"/>
    <s v="912828R28"/>
    <s v="Note"/>
    <s v="7-Year"/>
    <n v="1.6"/>
    <n v="1.6339999999999999"/>
    <n v="1.49"/>
    <n v="2.65"/>
    <n v="7440709800"/>
    <n v="74243465000"/>
    <n v="27973669000"/>
    <n v="26339300"/>
    <n v="3979000000"/>
    <n v="5179000000"/>
    <n v="5659035000"/>
    <n v="48563500000"/>
    <n v="18335634000"/>
    <n v="20500965000"/>
    <n v="0.14399999999999991"/>
    <n v="35440718100"/>
  </r>
  <r>
    <x v="554"/>
    <s v="912828R44"/>
    <s v="Note"/>
    <s v="3-Year"/>
    <n v="0.84499999999999997"/>
    <n v="0.875"/>
    <n v="0.75"/>
    <n v="2.93"/>
    <n v="5427606600"/>
    <n v="70334050000"/>
    <n v="23930900000"/>
    <n v="69141800"/>
    <n v="2447000000"/>
    <n v="5257000000"/>
    <n v="6766080000"/>
    <n v="48131400000"/>
    <n v="14717820000"/>
    <n v="16945650000"/>
    <n v="0.125"/>
    <n v="29427648400"/>
  </r>
  <r>
    <x v="555"/>
    <s v="912828R36"/>
    <s v="Note"/>
    <s v="10-Year"/>
    <n v="1.68"/>
    <n v="1.71"/>
    <n v="1.6"/>
    <n v="2.68"/>
    <n v="5201456300"/>
    <n v="61673680000"/>
    <n v="22968975500"/>
    <n v="31051400"/>
    <n v="2708000000"/>
    <n v="3655000000"/>
    <n v="3382496000"/>
    <n v="38851900000"/>
    <n v="16878479500"/>
    <n v="19166780000"/>
    <n v="0.10999999999999988"/>
    <n v="28201483200"/>
  </r>
  <r>
    <x v="556"/>
    <s v="912810RS9"/>
    <s v="Bond"/>
    <s v="30-Year"/>
    <n v="2.5539999999999998"/>
    <n v="2.6150000000000002"/>
    <n v="2.3879999999999999"/>
    <n v="2.19"/>
    <n v="3392254100"/>
    <n v="32875816000"/>
    <n v="14984696000"/>
    <n v="15338800"/>
    <n v="1315000000"/>
    <n v="1930000000"/>
    <n v="4719288000"/>
    <n v="21041200000"/>
    <n v="8950408000"/>
    <n v="9904616000"/>
    <n v="0.22700000000000031"/>
    <n v="18392288900"/>
  </r>
  <r>
    <x v="557"/>
    <s v="912828R51"/>
    <s v="Note"/>
    <s v="2-Year"/>
    <n v="0.9"/>
    <n v="0.92"/>
    <n v="0.8"/>
    <n v="3"/>
    <n v="6630728300"/>
    <n v="77861588000"/>
    <n v="25792767000"/>
    <n v="207242100"/>
    <n v="8387350000"/>
    <n v="10791000000"/>
    <n v="4564245000"/>
    <n v="51636400000"/>
    <n v="12841172000"/>
    <n v="15434188000"/>
    <n v="0.12"/>
    <n v="32630737400"/>
  </r>
  <r>
    <x v="558"/>
    <s v="912828R77"/>
    <s v="Note"/>
    <s v="5-Year"/>
    <n v="1.35"/>
    <n v="1.395"/>
    <n v="1.2849999999999999"/>
    <n v="2.6"/>
    <n v="8670952300"/>
    <n v="88289420000"/>
    <n v="33942055000"/>
    <n v="58080700"/>
    <n v="3925000000"/>
    <n v="5545000000"/>
    <n v="7404000000"/>
    <n v="56349000000"/>
    <n v="22613055000"/>
    <n v="26395420000"/>
    <n v="0.1100000000000001"/>
    <n v="42671088000"/>
  </r>
  <r>
    <x v="559"/>
    <s v="912828R69"/>
    <s v="Note"/>
    <s v="7-Year"/>
    <n v="1.615"/>
    <n v="1.6519999999999999"/>
    <n v="1.5"/>
    <n v="2.57"/>
    <n v="7140784200"/>
    <n v="72018527000"/>
    <n v="27975020500"/>
    <n v="24990000"/>
    <n v="4717000000"/>
    <n v="5848000000"/>
    <n v="5183087500"/>
    <n v="45513800000"/>
    <n v="18074933000"/>
    <n v="20656727000"/>
    <n v="0.15199999999999991"/>
    <n v="35140794700"/>
  </r>
  <r>
    <x v="560"/>
    <s v="912828R85"/>
    <s v="Note"/>
    <s v="3-Year"/>
    <n v="0.88"/>
    <n v="0.93"/>
    <n v="0.68799999999999994"/>
    <n v="2.79"/>
    <n v="0"/>
    <n v="66970700000"/>
    <n v="23970054500"/>
    <n v="30001900"/>
    <n v="2660000000"/>
    <n v="4380000000"/>
    <n v="9784110000"/>
    <n v="50163400000"/>
    <n v="11525944500"/>
    <n v="12427300000"/>
    <n v="0.2420000000000001"/>
    <n v="24000056400"/>
  </r>
  <r>
    <x v="561"/>
    <s v="912828R36"/>
    <s v="Note"/>
    <s v="9-Year 11-Month"/>
    <n v="1.66"/>
    <n v="1.702"/>
    <n v="1.595"/>
    <n v="2.7"/>
    <n v="0"/>
    <n v="54007440000"/>
    <n v="19987961500"/>
    <n v="12054100"/>
    <n v="1430000000"/>
    <n v="2300000000"/>
    <n v="3840695500"/>
    <n v="35130900000"/>
    <n v="14717266000"/>
    <n v="16576540000"/>
    <n v="0.10699999999999998"/>
    <n v="20000015600"/>
  </r>
  <r>
    <x v="562"/>
    <s v="912810RS9"/>
    <s v="Bond"/>
    <s v="29-Year 11-Month"/>
    <n v="2.4300000000000002"/>
    <n v="2.4750000000000001"/>
    <n v="2.2999999999999998"/>
    <n v="2.42"/>
    <n v="0"/>
    <n v="29078129000"/>
    <n v="11997283500"/>
    <n v="2731100"/>
    <n v="970174500"/>
    <n v="1477000000"/>
    <n v="3236609500"/>
    <n v="18684200000"/>
    <n v="7790499500"/>
    <n v="8916929000"/>
    <n v="0.17500000000000027"/>
    <n v="12000014600"/>
  </r>
  <r>
    <x v="563"/>
    <s v="912828R93"/>
    <s v="Note"/>
    <s v="2-Year"/>
    <n v="0.7"/>
    <n v="0.745"/>
    <n v="0.38800000000000001"/>
    <n v="2.72"/>
    <n v="3792895400"/>
    <n v="70540600000"/>
    <n v="25861780000"/>
    <n v="138285400"/>
    <n v="2565000000"/>
    <n v="3715000000"/>
    <n v="11049385000"/>
    <n v="54307000000"/>
    <n v="12247395000"/>
    <n v="12518600000"/>
    <n v="0.35699999999999998"/>
    <n v="29792960800"/>
  </r>
  <r>
    <x v="564"/>
    <s v="912828S27"/>
    <s v="Note"/>
    <s v="5-Year"/>
    <n v="1.165"/>
    <n v="1.218"/>
    <n v="1.1000000000000001"/>
    <n v="2.29"/>
    <n v="4959940200"/>
    <n v="77855800000"/>
    <n v="33968028600"/>
    <n v="32013100"/>
    <n v="1266000000"/>
    <n v="2716000000"/>
    <n v="13268228600"/>
    <n v="55599000000"/>
    <n v="19433800000"/>
    <n v="19540800000"/>
    <n v="0.11799999999999988"/>
    <n v="38959981900"/>
  </r>
  <r>
    <x v="565"/>
    <s v="912828S35"/>
    <s v="Note"/>
    <s v="7-Year"/>
    <n v="1.4490000000000001"/>
    <n v="1.4970000000000001"/>
    <n v="1.35"/>
    <n v="2.56"/>
    <n v="4084656500"/>
    <n v="71633493000"/>
    <n v="27992960200"/>
    <n v="7047200"/>
    <n v="2557000000"/>
    <n v="3827000000"/>
    <n v="7076240000"/>
    <n v="48109000000"/>
    <n v="18359720200"/>
    <n v="19697493000"/>
    <n v="0.14700000000000002"/>
    <n v="32084663900"/>
  </r>
  <r>
    <x v="566"/>
    <s v="912828S43"/>
    <s v="Note"/>
    <s v="3-Year"/>
    <n v="0.73"/>
    <n v="0.76500000000000001"/>
    <n v="0.6"/>
    <n v="2.69"/>
    <n v="1563173600"/>
    <n v="64405300000"/>
    <n v="23952075000"/>
    <n v="47951700"/>
    <n v="3791000000"/>
    <n v="5301000000"/>
    <n v="9442870000"/>
    <n v="47444000000"/>
    <n v="10718205000"/>
    <n v="11660300000"/>
    <n v="0.16500000000000004"/>
    <n v="25563200300"/>
  </r>
  <r>
    <x v="567"/>
    <s v="912828R36"/>
    <s v="Note"/>
    <s v="9-Year 10-Month"/>
    <n v="1.47"/>
    <n v="1.516"/>
    <n v="1.395"/>
    <n v="2.33"/>
    <n v="1302644700"/>
    <n v="46568336000"/>
    <n v="19995341000"/>
    <n v="4660500"/>
    <n v="1588155000"/>
    <n v="2390000000"/>
    <n v="7546850000"/>
    <n v="33028000000"/>
    <n v="10860336000"/>
    <n v="11150336000"/>
    <n v="0.121"/>
    <n v="21302646200"/>
  </r>
  <r>
    <x v="568"/>
    <s v="912810RS9"/>
    <s v="Bond"/>
    <s v="29-Year 10-Month"/>
    <n v="2.13"/>
    <n v="2.1720000000000002"/>
    <n v="2"/>
    <n v="2.48"/>
    <n v="781586800"/>
    <n v="29813473000"/>
    <n v="11996909400"/>
    <n v="3090800"/>
    <n v="1009500000"/>
    <n v="1518500000"/>
    <n v="2770188000"/>
    <n v="18086000000"/>
    <n v="8217221400"/>
    <n v="10208973000"/>
    <n v="0.17200000000000015"/>
    <n v="12781587000"/>
  </r>
  <r>
    <x v="569"/>
    <s v="912828S68"/>
    <s v="Note"/>
    <s v="2-Year"/>
    <n v="0.72699999999999998"/>
    <n v="0.76"/>
    <n v="0.6"/>
    <n v="2.52"/>
    <n v="1815682000"/>
    <n v="65354250000"/>
    <n v="25827210000"/>
    <n v="172949100"/>
    <n v="2668000000"/>
    <n v="4168000000"/>
    <n v="15442960000"/>
    <n v="53470000000"/>
    <n v="7716250000"/>
    <n v="7716250000"/>
    <n v="0.16000000000000003"/>
    <n v="27815841100"/>
  </r>
  <r>
    <x v="570"/>
    <s v="912828S76"/>
    <s v="Note"/>
    <s v="5-Year"/>
    <n v="1.1299999999999999"/>
    <n v="1.18"/>
    <n v="1.04"/>
    <n v="2.27"/>
    <n v="2374353200"/>
    <n v="77082777000"/>
    <n v="33969972000"/>
    <n v="30112700"/>
    <n v="1606000000"/>
    <n v="3206000000"/>
    <n v="14141442500"/>
    <n v="55619000000"/>
    <n v="18222529500"/>
    <n v="18257777000"/>
    <n v="0.1399999999999999"/>
    <n v="36374437900"/>
  </r>
  <r>
    <x v="571"/>
    <s v="912828S92"/>
    <s v="Note"/>
    <s v="7-Year"/>
    <n v="1.2969999999999999"/>
    <n v="1.34"/>
    <n v="1.2"/>
    <n v="2.5099999999999998"/>
    <n v="1955349700"/>
    <n v="70368277000"/>
    <n v="27985785000"/>
    <n v="14288800"/>
    <n v="2158752000"/>
    <n v="3378000000"/>
    <n v="7507176000"/>
    <n v="47487000000"/>
    <n v="18319857000"/>
    <n v="19503277000"/>
    <n v="0.14000000000000012"/>
    <n v="29955423500"/>
  </r>
  <r>
    <x v="572"/>
    <s v="9128282B5"/>
    <s v="Note"/>
    <s v="3-Year"/>
    <n v="0.8"/>
    <n v="0.85"/>
    <n v="0.68799999999999994"/>
    <n v="2.98"/>
    <n v="2458280200"/>
    <n v="71565400000"/>
    <n v="23958877000"/>
    <n v="41168600"/>
    <n v="2268000000"/>
    <n v="3828000000"/>
    <n v="8069477000"/>
    <n v="51955000000"/>
    <n v="13621400000"/>
    <n v="15782400000"/>
    <n v="0.16200000000000003"/>
    <n v="26458325800"/>
  </r>
  <r>
    <x v="573"/>
    <s v="9128282A7"/>
    <s v="Note"/>
    <s v="10-Year"/>
    <n v="1.45"/>
    <n v="1.5029999999999999"/>
    <n v="1.3879999999999999"/>
    <n v="2.4300000000000002"/>
    <n v="2355851800"/>
    <n v="55889450000"/>
    <n v="22983250000"/>
    <n v="16778600"/>
    <n v="1757000000"/>
    <n v="2802000000"/>
    <n v="4636800000"/>
    <n v="34894000000"/>
    <n v="16589450000"/>
    <n v="18193450000"/>
    <n v="0.11499999999999999"/>
    <n v="25355880400"/>
  </r>
  <r>
    <x v="574"/>
    <s v="912810RT7"/>
    <s v="Bond"/>
    <s v="30-Year"/>
    <n v="2.2050000000000001"/>
    <n v="2.274"/>
    <n v="2.0880000000000001"/>
    <n v="2.2400000000000002"/>
    <n v="1536425000"/>
    <n v="33527371000"/>
    <n v="14994474400"/>
    <n v="5545200"/>
    <n v="1633980000"/>
    <n v="2437000000"/>
    <n v="4146168000"/>
    <n v="21066000000"/>
    <n v="9214326400"/>
    <n v="10024371000"/>
    <n v="0.18599999999999994"/>
    <n v="16536444600"/>
  </r>
  <r>
    <x v="575"/>
    <s v="9128282C3"/>
    <s v="Note"/>
    <s v="2-Year"/>
    <n v="0.71"/>
    <n v="0.76"/>
    <n v="0.65"/>
    <n v="2.83"/>
    <n v="1778095100"/>
    <n v="73423000000"/>
    <n v="25821775000"/>
    <n v="178336300"/>
    <n v="6498400000"/>
    <n v="9294000000"/>
    <n v="7492210000"/>
    <n v="50023000000"/>
    <n v="11831165000"/>
    <n v="14106000000"/>
    <n v="0.10999999999999999"/>
    <n v="27778206400"/>
  </r>
  <r>
    <x v="576"/>
    <s v="9128282F6"/>
    <s v="Note"/>
    <s v="5-Year"/>
    <n v="1.08"/>
    <n v="1.125"/>
    <n v="1.03"/>
    <n v="2.54"/>
    <n v="2325201200"/>
    <n v="86405895000"/>
    <n v="33957302600"/>
    <n v="42787000"/>
    <n v="2089000000"/>
    <n v="3219000000"/>
    <n v="8537314000"/>
    <n v="56985000000"/>
    <n v="23330988600"/>
    <n v="26201895000"/>
    <n v="9.4999999999999973E-2"/>
    <n v="36325290800"/>
  </r>
  <r>
    <x v="577"/>
    <s v="9128282D1"/>
    <s v="Note"/>
    <s v="7-Year"/>
    <n v="1.37"/>
    <n v="1.423"/>
    <n v="1.288"/>
    <n v="2.38"/>
    <n v="1914871600"/>
    <n v="66718623000"/>
    <n v="27986923000"/>
    <n v="13084000"/>
    <n v="2907000000"/>
    <n v="3907000000"/>
    <n v="8754300000"/>
    <n v="46216000000"/>
    <n v="16325623000"/>
    <n v="16595623000"/>
    <n v="0.13500000000000001"/>
    <n v="29914878600"/>
  </r>
  <r>
    <x v="578"/>
    <s v="9128282A7"/>
    <s v="Note"/>
    <s v="9-Year 11-Month"/>
    <n v="1.64"/>
    <n v="1.6990000000000001"/>
    <n v="1.59"/>
    <n v="2.35"/>
    <n v="0"/>
    <n v="46992750000"/>
    <n v="19983257000"/>
    <n v="16756000"/>
    <n v="678000000"/>
    <n v="1541000000"/>
    <n v="6893210500"/>
    <n v="32120000000"/>
    <n v="12412046500"/>
    <n v="13331750000"/>
    <n v="0.10899999999999999"/>
    <n v="20000013000"/>
  </r>
  <r>
    <x v="578"/>
    <s v="9128282G4"/>
    <s v="Note"/>
    <s v="3-Year"/>
    <n v="0.91900000000000004"/>
    <n v="0.94699999999999995"/>
    <n v="0.8"/>
    <n v="2.77"/>
    <n v="0"/>
    <n v="66502100000"/>
    <n v="23952000000"/>
    <n v="48039100"/>
    <n v="1115980000"/>
    <n v="2706000000"/>
    <n v="9711000000"/>
    <n v="48791000000"/>
    <n v="13125020000"/>
    <n v="15005100000"/>
    <n v="0.14699999999999991"/>
    <n v="24000039100"/>
  </r>
  <r>
    <x v="579"/>
    <s v="912810RT7"/>
    <s v="Bond"/>
    <s v="29-Year 11-Month"/>
    <n v="2.4"/>
    <n v="2.4750000000000001"/>
    <n v="2.1880000000000002"/>
    <n v="2.13"/>
    <n v="0"/>
    <n v="25528661000"/>
    <n v="11981287900"/>
    <n v="18729900"/>
    <n v="549493200"/>
    <n v="980000000"/>
    <n v="4489864800"/>
    <n v="17345300000"/>
    <n v="6941929900"/>
    <n v="7203361000"/>
    <n v="0.28699999999999992"/>
    <n v="12000017800"/>
  </r>
  <r>
    <x v="580"/>
    <s v="912828T42"/>
    <s v="Note"/>
    <s v="2-Year"/>
    <n v="0.72499999999999998"/>
    <n v="0.75"/>
    <n v="0.65"/>
    <n v="2.65"/>
    <n v="1584917700"/>
    <n v="68790850000"/>
    <n v="25825977500"/>
    <n v="174197100"/>
    <n v="4898250000"/>
    <n v="6757000000"/>
    <n v="11459237500"/>
    <n v="52083200000"/>
    <n v="9468490000"/>
    <n v="9950650000"/>
    <n v="9.9999999999999978E-2"/>
    <n v="27585092300"/>
  </r>
  <r>
    <x v="581"/>
    <s v="912828T34"/>
    <s v="Note"/>
    <s v="5-Year"/>
    <n v="1.0900000000000001"/>
    <n v="1.129"/>
    <n v="1.03"/>
    <n v="2.39"/>
    <n v="2072584500"/>
    <n v="81251036000"/>
    <n v="33962157800"/>
    <n v="37897800"/>
    <n v="1504276000"/>
    <n v="2800000000"/>
    <n v="11593594000"/>
    <n v="55196600000"/>
    <n v="20864287800"/>
    <n v="23254436000"/>
    <n v="9.8999999999999977E-2"/>
    <n v="36072640100"/>
  </r>
  <r>
    <x v="582"/>
    <s v="912828T26"/>
    <s v="Note"/>
    <s v="7-Year"/>
    <n v="1.347"/>
    <n v="1.389"/>
    <n v="1.25"/>
    <n v="2.4700000000000002"/>
    <n v="1706834300"/>
    <n v="69246619000"/>
    <n v="27986791500"/>
    <n v="13209000"/>
    <n v="2927000000"/>
    <n v="4002000000"/>
    <n v="8444592500"/>
    <n v="46527000000"/>
    <n v="16615199000"/>
    <n v="18717619000"/>
    <n v="0.13900000000000001"/>
    <n v="29706834800"/>
  </r>
  <r>
    <x v="583"/>
    <s v="9128282A7"/>
    <s v="Note"/>
    <s v="9-Year 10-Month"/>
    <n v="1.7490000000000001"/>
    <n v="1.7929999999999999"/>
    <n v="1.65"/>
    <n v="2.5299999999999998"/>
    <n v="0"/>
    <n v="50544925000"/>
    <n v="19991812500"/>
    <n v="8208600"/>
    <n v="1325150000"/>
    <n v="2400000000"/>
    <n v="6125650000"/>
    <n v="34091200000"/>
    <n v="12541012500"/>
    <n v="14053725000"/>
    <n v="0.14300000000000002"/>
    <n v="20000021100"/>
  </r>
  <r>
    <x v="583"/>
    <s v="912828T59"/>
    <s v="Note"/>
    <s v="3-Year"/>
    <n v="1"/>
    <n v="1.0449999999999999"/>
    <n v="0.9"/>
    <n v="2.92"/>
    <n v="0"/>
    <n v="70082800000"/>
    <n v="23960507200"/>
    <n v="39545700"/>
    <n v="2423960000"/>
    <n v="4847000000"/>
    <n v="9044147200"/>
    <n v="52043400000"/>
    <n v="12492400000"/>
    <n v="13192400000"/>
    <n v="0.14499999999999991"/>
    <n v="24000052900"/>
  </r>
  <r>
    <x v="584"/>
    <s v="912810RT7"/>
    <s v="Bond"/>
    <s v="29-Year 10-Month"/>
    <n v="2.4249999999999998"/>
    <n v="2.4700000000000002"/>
    <n v="2.2999999999999998"/>
    <n v="2.44"/>
    <n v="0"/>
    <n v="29261599000"/>
    <n v="11993142200"/>
    <n v="6888800"/>
    <n v="735000000"/>
    <n v="1367000000"/>
    <n v="3415405000"/>
    <n v="18367500000"/>
    <n v="7842737200"/>
    <n v="9527099000"/>
    <n v="0.17000000000000037"/>
    <n v="12000031000"/>
  </r>
  <r>
    <x v="585"/>
    <s v="912828T83"/>
    <s v="Note"/>
    <s v="2-Year"/>
    <n v="0.82899999999999996"/>
    <n v="0.85499999999999998"/>
    <n v="0.75"/>
    <n v="2.5299999999999998"/>
    <n v="1571797000"/>
    <n v="65676689000"/>
    <n v="25816184600"/>
    <n v="183887800"/>
    <n v="2602780000"/>
    <n v="4214000000"/>
    <n v="14507789600"/>
    <n v="51964000000"/>
    <n v="8705615000"/>
    <n v="9498689000"/>
    <n v="0.10499999999999998"/>
    <n v="27571869400"/>
  </r>
  <r>
    <x v="586"/>
    <s v="912828T67"/>
    <s v="Note"/>
    <s v="5-Year"/>
    <n v="1.26"/>
    <n v="1.3029999999999999"/>
    <n v="1.1950000000000001"/>
    <n v="2.4900000000000002"/>
    <n v="2055426700"/>
    <n v="84474943000"/>
    <n v="33966348500"/>
    <n v="33703300"/>
    <n v="1650000000"/>
    <n v="3215000000"/>
    <n v="12021660000"/>
    <n v="58742600000"/>
    <n v="20294688500"/>
    <n v="22517343000"/>
    <n v="0.10799999999999987"/>
    <n v="36055478500"/>
  </r>
  <r>
    <x v="587"/>
    <s v="912828T91"/>
    <s v="Note"/>
    <s v="7-Year"/>
    <n v="1.6"/>
    <n v="1.653"/>
    <n v="1.5349999999999999"/>
    <n v="2.4900000000000002"/>
    <n v="1692704300"/>
    <n v="69733741000"/>
    <n v="27984258400"/>
    <n v="15742800"/>
    <n v="3684000000"/>
    <n v="4619000000"/>
    <n v="7087321800"/>
    <n v="45848800000"/>
    <n v="17212936600"/>
    <n v="19265941000"/>
    <n v="0.1180000000000001"/>
    <n v="29692705500"/>
  </r>
  <r>
    <x v="588"/>
    <s v="912828U32"/>
    <s v="Note"/>
    <s v="3-Year"/>
    <n v="1"/>
    <n v="1.034"/>
    <n v="0.89500000000000002"/>
    <n v="2.69"/>
    <n v="5254109900"/>
    <n v="64630575000"/>
    <n v="23959084800"/>
    <n v="40993600"/>
    <n v="1831000000"/>
    <n v="2881000000"/>
    <n v="11910842300"/>
    <n v="49420000000"/>
    <n v="10217242500"/>
    <n v="12329575000"/>
    <n v="0.13900000000000001"/>
    <n v="29254188300"/>
  </r>
  <r>
    <x v="589"/>
    <s v="912828U24"/>
    <s v="Note"/>
    <s v="10-Year"/>
    <n v="1.95"/>
    <n v="2.02"/>
    <n v="1.85"/>
    <n v="2.2200000000000002"/>
    <n v="5035188500"/>
    <n v="50993850000"/>
    <n v="22979766000"/>
    <n v="20302400"/>
    <n v="1917558000"/>
    <n v="2886000000"/>
    <n v="9000303000"/>
    <n v="34576000000"/>
    <n v="12061905000"/>
    <n v="13531850000"/>
    <n v="0.16999999999999993"/>
    <n v="28035256900"/>
  </r>
  <r>
    <x v="590"/>
    <s v="912810RU4"/>
    <s v="Bond"/>
    <s v="30-Year"/>
    <n v="2.8260000000000001"/>
    <n v="2.9020000000000001"/>
    <n v="2.6880000000000002"/>
    <n v="2.11"/>
    <n v="3283818600"/>
    <n v="31592896000"/>
    <n v="14990499200"/>
    <n v="9500800"/>
    <n v="1873000000"/>
    <n v="2768000000"/>
    <n v="4955112000"/>
    <n v="19720000000"/>
    <n v="8162387200"/>
    <n v="9104896000"/>
    <n v="0.21399999999999997"/>
    <n v="18283818600"/>
  </r>
  <r>
    <x v="591"/>
    <s v="912828U40"/>
    <s v="Note"/>
    <s v="2-Year"/>
    <n v="1.05"/>
    <n v="1.085"/>
    <n v="0.88800000000000001"/>
    <n v="2.73"/>
    <n v="2767228700"/>
    <n v="70889430000"/>
    <n v="25845402500"/>
    <n v="154824700"/>
    <n v="3471600000"/>
    <n v="6132000000"/>
    <n v="13121590000"/>
    <n v="54042400000"/>
    <n v="9252212500"/>
    <n v="10715030000"/>
    <n v="0.19699999999999995"/>
    <n v="28767455900"/>
  </r>
  <r>
    <x v="592"/>
    <s v="912828U65"/>
    <s v="Note"/>
    <s v="5-Year"/>
    <n v="1.71"/>
    <n v="1.76"/>
    <n v="1.62"/>
    <n v="2.44"/>
    <n v="3618683700"/>
    <n v="82800228000"/>
    <n v="33958792000"/>
    <n v="41228200"/>
    <n v="1539000000"/>
    <n v="3064000000"/>
    <n v="12119965500"/>
    <n v="58375900000"/>
    <n v="20299826500"/>
    <n v="21360328000"/>
    <n v="0.1399999999999999"/>
    <n v="37618703900"/>
  </r>
  <r>
    <x v="593"/>
    <s v="912828U57"/>
    <s v="Note"/>
    <s v="7-Year"/>
    <n v="2.17"/>
    <n v="2.2149999999999999"/>
    <n v="2.0409999999999999"/>
    <n v="2.68"/>
    <n v="2980092400"/>
    <n v="75097349000"/>
    <n v="27983649000"/>
    <n v="16389300"/>
    <n v="2618000000"/>
    <n v="5153000000"/>
    <n v="5034150000"/>
    <n v="44645400000"/>
    <n v="20331499000"/>
    <n v="25298949000"/>
    <n v="0.17399999999999993"/>
    <n v="30980130700"/>
  </r>
  <r>
    <x v="594"/>
    <s v="912828U24"/>
    <s v="Note"/>
    <s v="9-Year 11-Month"/>
    <n v="2.44"/>
    <n v="2.4849999999999999"/>
    <n v="2.38"/>
    <n v="2.39"/>
    <n v="0"/>
    <n v="47688300000"/>
    <n v="19981417000"/>
    <n v="18631000"/>
    <n v="1200500000"/>
    <n v="2010500000"/>
    <n v="7292097000"/>
    <n v="31715000000"/>
    <n v="11488820000"/>
    <n v="13962800000"/>
    <n v="0.10499999999999998"/>
    <n v="20000048000"/>
  </r>
  <r>
    <x v="594"/>
    <s v="912828U73"/>
    <s v="Note"/>
    <s v="3-Year"/>
    <n v="1.43"/>
    <n v="1.452"/>
    <n v="1.32"/>
    <n v="2.65"/>
    <n v="0"/>
    <n v="63616000000"/>
    <n v="23947682500"/>
    <n v="52469300"/>
    <n v="2145000000"/>
    <n v="4075000000"/>
    <n v="11608835000"/>
    <n v="47810000000"/>
    <n v="10193847500"/>
    <n v="11731000000"/>
    <n v="0.1319999999999999"/>
    <n v="24000151800"/>
  </r>
  <r>
    <x v="595"/>
    <s v="912810RU4"/>
    <s v="Bond"/>
    <s v="29-Year 11-Month"/>
    <n v="3.1"/>
    <n v="3.1520000000000001"/>
    <n v="2.8879999999999999"/>
    <n v="2.39"/>
    <n v="0"/>
    <n v="28698311000"/>
    <n v="11994987400"/>
    <n v="5046300"/>
    <n v="1115700000"/>
    <n v="1607700000"/>
    <n v="3219265000"/>
    <n v="17640000000"/>
    <n v="7660022400"/>
    <n v="9450611000"/>
    <n v="0.26400000000000023"/>
    <n v="12000033700"/>
  </r>
  <r>
    <x v="596"/>
    <s v="912828U99"/>
    <s v="Note"/>
    <s v="2-Year"/>
    <n v="1.252"/>
    <n v="1.28"/>
    <n v="1.1000000000000001"/>
    <n v="2.44"/>
    <n v="3457357000"/>
    <n v="63174335000"/>
    <n v="25826223000"/>
    <n v="173824400"/>
    <n v="2394440000"/>
    <n v="3454000000"/>
    <n v="14976848000"/>
    <n v="49925000000"/>
    <n v="8454935000"/>
    <n v="9795335000"/>
    <n v="0.17999999999999994"/>
    <n v="29457404400"/>
  </r>
  <r>
    <x v="597"/>
    <s v="912828U81"/>
    <s v="Note"/>
    <s v="5-Year"/>
    <n v="2.02"/>
    <n v="2.0569999999999999"/>
    <n v="1.9"/>
    <n v="2.72"/>
    <n v="4521159000"/>
    <n v="92443760000"/>
    <n v="33949174000"/>
    <n v="50940600"/>
    <n v="1404410000"/>
    <n v="3029410000"/>
    <n v="8302740000"/>
    <n v="55580000000"/>
    <n v="24242024000"/>
    <n v="33834350000"/>
    <n v="0.15700000000000003"/>
    <n v="38521273600"/>
  </r>
  <r>
    <x v="598"/>
    <s v="912828V23"/>
    <s v="Note"/>
    <s v="7-Year"/>
    <n v="2.2400000000000002"/>
    <n v="2.2839999999999998"/>
    <n v="1.8879999999999999"/>
    <n v="2.54"/>
    <n v="3723307400"/>
    <n v="71231195000"/>
    <n v="27984987000"/>
    <n v="15111400"/>
    <n v="5311700000"/>
    <n v="7504000000"/>
    <n v="4769472000"/>
    <n v="42546000000"/>
    <n v="17903815000"/>
    <n v="21181195000"/>
    <n v="0.39599999999999991"/>
    <n v="31723405800"/>
  </r>
  <r>
    <x v="599"/>
    <s v="912828V31"/>
    <s v="Note"/>
    <s v="3-Year"/>
    <n v="1.43"/>
    <n v="1.472"/>
    <n v="1.35"/>
    <n v="2.97"/>
    <n v="1329851600"/>
    <n v="71191550000"/>
    <n v="23948026000"/>
    <n v="52061300"/>
    <n v="1591000000"/>
    <n v="3214000000"/>
    <n v="9281376000"/>
    <n v="51732900000"/>
    <n v="13075650000"/>
    <n v="16244650000"/>
    <n v="0.12199999999999989"/>
    <n v="25329938900"/>
  </r>
  <r>
    <x v="600"/>
    <s v="912828U24"/>
    <s v="Note"/>
    <s v="9-Year 10-Month"/>
    <n v="2.2999999999999998"/>
    <n v="2.3420000000000001"/>
    <n v="2.25"/>
    <n v="2.58"/>
    <n v="1108209600"/>
    <n v="51588870000"/>
    <n v="19986520000"/>
    <n v="13537700"/>
    <n v="1748650000"/>
    <n v="2862000000"/>
    <n v="4142500000"/>
    <n v="32001500000"/>
    <n v="14095370000"/>
    <n v="16725370000"/>
    <n v="9.2000000000000082E-2"/>
    <n v="21108267300"/>
  </r>
  <r>
    <x v="601"/>
    <s v="912810RU4"/>
    <s v="Bond"/>
    <s v="29-Year 10-Month"/>
    <n v="2.85"/>
    <n v="2.9140000000000001"/>
    <n v="2.75"/>
    <n v="2.3199999999999998"/>
    <n v="664925700"/>
    <n v="27781329000"/>
    <n v="11994935000"/>
    <n v="5068600"/>
    <n v="544000000"/>
    <n v="1119000000"/>
    <n v="3455500000"/>
    <n v="17462500000"/>
    <n v="7995435000"/>
    <n v="9199829000"/>
    <n v="0.16400000000000015"/>
    <n v="12664929300"/>
  </r>
  <r>
    <x v="602"/>
    <s v="912828V56"/>
    <s v="Note"/>
    <s v="2-Year"/>
    <n v="1.1499999999999999"/>
    <n v="1.21"/>
    <n v="0.88800000000000001"/>
    <n v="2.68"/>
    <n v="1648772700"/>
    <n v="69583300000"/>
    <n v="25846671000"/>
    <n v="153408800"/>
    <n v="2406100000"/>
    <n v="4031100000"/>
    <n v="10822100000"/>
    <n v="52930000000"/>
    <n v="12618471000"/>
    <n v="12622200000"/>
    <n v="0.32199999999999995"/>
    <n v="27648852500"/>
  </r>
  <r>
    <x v="603"/>
    <s v="912828V72"/>
    <s v="Note"/>
    <s v="5-Year"/>
    <n v="1.9239999999999999"/>
    <n v="1.988"/>
    <n v="1.845"/>
    <n v="2.38"/>
    <n v="2156087400"/>
    <n v="80891326000"/>
    <n v="33955508400"/>
    <n v="44555200"/>
    <n v="1577000000"/>
    <n v="3207000000"/>
    <n v="10893680000"/>
    <n v="54685000000"/>
    <n v="21484828400"/>
    <n v="22999326000"/>
    <n v="0.14300000000000002"/>
    <n v="36156151000"/>
  </r>
  <r>
    <x v="604"/>
    <s v="912828V80"/>
    <s v="Note"/>
    <s v="7-Year"/>
    <n v="2.2890000000000001"/>
    <n v="2.335"/>
    <n v="2.21"/>
    <n v="2.4500000000000002"/>
    <n v="1775601300"/>
    <n v="68703793000"/>
    <n v="27986313000"/>
    <n v="13733500"/>
    <n v="1834075000"/>
    <n v="3860000000"/>
    <n v="5780025000"/>
    <n v="42179000000"/>
    <n v="20372213000"/>
    <n v="22664793000"/>
    <n v="0.125"/>
    <n v="29775647800"/>
  </r>
  <r>
    <x v="605"/>
    <s v="912828W22"/>
    <s v="Note"/>
    <s v="3-Year"/>
    <n v="1.36"/>
    <n v="1.423"/>
    <n v="1.1879999999999999"/>
    <n v="2.78"/>
    <n v="2771052800"/>
    <n v="66729000000"/>
    <n v="23949604000"/>
    <n v="50458100"/>
    <n v="1940000000"/>
    <n v="3465000000"/>
    <n v="8308604000"/>
    <n v="49078000000"/>
    <n v="13701000000"/>
    <n v="14186000000"/>
    <n v="0.2350000000000001"/>
    <n v="26771114900"/>
  </r>
  <r>
    <x v="606"/>
    <s v="912828V98"/>
    <s v="Note"/>
    <s v="10-Year"/>
    <n v="2.2599999999999998"/>
    <n v="2.3330000000000002"/>
    <n v="2.2010000000000001"/>
    <n v="2.29"/>
    <n v="2655592300"/>
    <n v="52562600000"/>
    <n v="22965537000"/>
    <n v="33470000"/>
    <n v="1007000000"/>
    <n v="2182000000"/>
    <n v="7016937000"/>
    <n v="34142000000"/>
    <n v="14941600000"/>
    <n v="16238600000"/>
    <n v="0.13200000000000012"/>
    <n v="25654599300"/>
  </r>
  <r>
    <x v="607"/>
    <s v="912810RV2"/>
    <s v="Bond"/>
    <s v="30-Year"/>
    <n v="2.944"/>
    <n v="3.0049999999999999"/>
    <n v="2.8879999999999999"/>
    <n v="2.25"/>
    <n v="1731907900"/>
    <n v="33729499000"/>
    <n v="14995499500"/>
    <n v="4500700"/>
    <n v="735000000"/>
    <n v="1425000000"/>
    <n v="4331882500"/>
    <n v="21084000000"/>
    <n v="9928617000"/>
    <n v="11220499000"/>
    <n v="0.11699999999999999"/>
    <n v="16731908100"/>
  </r>
  <r>
    <x v="608"/>
    <s v="912828W30"/>
    <s v="Note"/>
    <s v="2-Year"/>
    <n v="1.19"/>
    <n v="1.23"/>
    <n v="0.88800000000000001"/>
    <n v="2.82"/>
    <n v="3605863300"/>
    <n v="73136900000"/>
    <n v="25838140000"/>
    <n v="161871500"/>
    <n v="5190000000"/>
    <n v="6415000000"/>
    <n v="7784400000"/>
    <n v="53188000000"/>
    <n v="12863740000"/>
    <n v="13533900000"/>
    <n v="0.34199999999999997"/>
    <n v="29605874800"/>
  </r>
  <r>
    <x v="609"/>
    <s v="912828W55"/>
    <s v="Note"/>
    <s v="5-Year"/>
    <n v="1.87"/>
    <n v="1.9370000000000001"/>
    <n v="1.79"/>
    <n v="2.29"/>
    <n v="4715359700"/>
    <n v="77885243000"/>
    <n v="33947683000"/>
    <n v="52358900"/>
    <n v="2864400000"/>
    <n v="4374400000"/>
    <n v="11321540000"/>
    <n v="53267000000"/>
    <n v="19761743000"/>
    <n v="20243843000"/>
    <n v="0.14700000000000002"/>
    <n v="38715401600"/>
  </r>
  <r>
    <x v="610"/>
    <s v="912828W48"/>
    <s v="Note"/>
    <s v="7-Year"/>
    <n v="2.141"/>
    <n v="2.1970000000000001"/>
    <n v="1.8879999999999999"/>
    <n v="2.4900000000000002"/>
    <n v="3883237300"/>
    <n v="69726895000"/>
    <n v="27992594500"/>
    <n v="7409700"/>
    <n v="3188200000"/>
    <n v="4363200000"/>
    <n v="6946830000"/>
    <n v="45496000000"/>
    <n v="17857564500"/>
    <n v="19867695000"/>
    <n v="0.30900000000000016"/>
    <n v="31883241500"/>
  </r>
  <r>
    <x v="611"/>
    <s v="912828W63"/>
    <s v="Note"/>
    <s v="3-Year"/>
    <n v="1.57"/>
    <n v="1.63"/>
    <n v="1.5"/>
    <n v="2.74"/>
    <n v="0"/>
    <n v="65609200000"/>
    <n v="23838790000"/>
    <n v="61238000"/>
    <n v="1999770000"/>
    <n v="5008000000"/>
    <n v="10069650000"/>
    <n v="47913000000"/>
    <n v="11769370000"/>
    <n v="12688200000"/>
    <n v="0.12999999999999989"/>
    <n v="23900028000"/>
  </r>
  <r>
    <x v="612"/>
    <s v="912828V98"/>
    <s v="Note"/>
    <s v="9-Year 11-Month"/>
    <n v="2.5099999999999998"/>
    <n v="2.56"/>
    <n v="2.4489999999999998"/>
    <n v="2.66"/>
    <n v="0"/>
    <n v="53099900000"/>
    <n v="19990395000"/>
    <n v="9671600"/>
    <n v="3136025000"/>
    <n v="4420000000"/>
    <n v="3709102500"/>
    <n v="32715000000"/>
    <n v="13145267500"/>
    <n v="15964900000"/>
    <n v="0.11100000000000021"/>
    <n v="20000066600"/>
  </r>
  <r>
    <x v="613"/>
    <s v="912810RV2"/>
    <s v="Bond"/>
    <s v="29-Year 11-Month"/>
    <n v="3.12"/>
    <n v="3.17"/>
    <n v="3"/>
    <n v="2.34"/>
    <n v="0"/>
    <n v="28038786000"/>
    <n v="11993718400"/>
    <n v="6284700"/>
    <n v="1573065400"/>
    <n v="2130000000"/>
    <n v="3098049500"/>
    <n v="17062000000"/>
    <n v="7322603500"/>
    <n v="8846786000"/>
    <n v="0.16999999999999993"/>
    <n v="12000003100"/>
  </r>
  <r>
    <x v="614"/>
    <s v="912828W97"/>
    <s v="Note"/>
    <s v="2-Year"/>
    <n v="1.2"/>
    <n v="1.2609999999999999"/>
    <n v="1.1399999999999999"/>
    <n v="2.73"/>
    <n v="3147708100"/>
    <n v="70617400000"/>
    <n v="25728012500"/>
    <n v="165320800"/>
    <n v="2768000000"/>
    <n v="4268000000"/>
    <n v="9174612500"/>
    <n v="52185000000"/>
    <n v="13785400000"/>
    <n v="14164400000"/>
    <n v="0.121"/>
    <n v="29041041400"/>
  </r>
  <r>
    <x v="615"/>
    <s v="912828W89"/>
    <s v="Note"/>
    <s v="5-Year"/>
    <n v="1.89"/>
    <n v="1.95"/>
    <n v="1.8"/>
    <n v="2.37"/>
    <n v="4116233700"/>
    <n v="80563832000"/>
    <n v="33941214500"/>
    <n v="58794200"/>
    <n v="1613000000"/>
    <n v="3128000000"/>
    <n v="8948845000"/>
    <n v="53403000000"/>
    <n v="23379369500"/>
    <n v="24032832000"/>
    <n v="0.14999999999999991"/>
    <n v="38116242400"/>
  </r>
  <r>
    <x v="616"/>
    <s v="912828W71"/>
    <s v="Note"/>
    <s v="7-Year"/>
    <n v="2.1749999999999998"/>
    <n v="2.2149999999999999"/>
    <n v="1.8879999999999999"/>
    <n v="2.56"/>
    <n v="3389839400"/>
    <n v="71765824000"/>
    <n v="27987754000"/>
    <n v="12254000"/>
    <n v="2350000000"/>
    <n v="4862000000"/>
    <n v="5736880000"/>
    <n v="45420000000"/>
    <n v="19900874000"/>
    <n v="21483824000"/>
    <n v="0.32699999999999996"/>
    <n v="31389847400"/>
  </r>
  <r>
    <x v="617"/>
    <s v="912828X21"/>
    <s v="Note"/>
    <s v="3-Year"/>
    <n v="1.46"/>
    <n v="1.5249999999999999"/>
    <n v="1.38"/>
    <n v="2.62"/>
    <n v="197264200"/>
    <n v="62723750000"/>
    <n v="23847530000"/>
    <n v="52498200"/>
    <n v="1981000000"/>
    <n v="3481000000"/>
    <n v="9508780000"/>
    <n v="46830000000"/>
    <n v="12357750000"/>
    <n v="12412750000"/>
    <n v="0.14500000000000002"/>
    <n v="24097292400"/>
  </r>
  <r>
    <x v="618"/>
    <s v="912828V98"/>
    <s v="Note"/>
    <s v="9-Year 10-Month"/>
    <n v="2.2599999999999998"/>
    <n v="2.3319999999999999"/>
    <n v="1.8879999999999999"/>
    <n v="2.48"/>
    <n v="164386800"/>
    <n v="49511500000"/>
    <n v="19992757500"/>
    <n v="7274500"/>
    <n v="1063000000"/>
    <n v="2513000000"/>
    <n v="5890517500"/>
    <n v="31384000000"/>
    <n v="13039240000"/>
    <n v="15614500000"/>
    <n v="0.44399999999999995"/>
    <n v="20164418800"/>
  </r>
  <r>
    <x v="619"/>
    <s v="912810RV2"/>
    <s v="Bond"/>
    <s v="29-Year 10-Month"/>
    <n v="2.8610000000000002"/>
    <n v="2.9380000000000002"/>
    <n v="2.8"/>
    <n v="2.23"/>
    <n v="98632100"/>
    <n v="26705679000"/>
    <n v="11992750500"/>
    <n v="7259000"/>
    <n v="698000000"/>
    <n v="1248000000"/>
    <n v="3563515000"/>
    <n v="16728000000"/>
    <n v="7731235500"/>
    <n v="8729679000"/>
    <n v="0.13800000000000034"/>
    <n v="12098641600"/>
  </r>
  <r>
    <x v="620"/>
    <s v="912828ST8"/>
    <s v="Note"/>
    <s v="2-Year"/>
    <n v="1.22"/>
    <n v="1.28"/>
    <n v="0.88800000000000001"/>
    <n v="2.85"/>
    <n v="3548611100"/>
    <n v="73901755000"/>
    <n v="25730103000"/>
    <n v="169962300"/>
    <n v="2941000000"/>
    <n v="4711000000"/>
    <n v="7629348000"/>
    <n v="52858000000"/>
    <n v="15159755000"/>
    <n v="16332755000"/>
    <n v="0.39200000000000002"/>
    <n v="29448676400"/>
  </r>
  <r>
    <x v="621"/>
    <s v="912828X47"/>
    <s v="Note"/>
    <s v="5-Year"/>
    <n v="1.82"/>
    <n v="1.875"/>
    <n v="1.73"/>
    <n v="2.34"/>
    <n v="4640491300"/>
    <n v="79394724000"/>
    <n v="33963391400"/>
    <n v="37002500"/>
    <n v="1796090000"/>
    <n v="3378000000"/>
    <n v="12708157400"/>
    <n v="55602300000"/>
    <n v="19459144000"/>
    <n v="20414424000"/>
    <n v="0.14500000000000002"/>
    <n v="38640885200"/>
  </r>
  <r>
    <x v="622"/>
    <s v="912828X70"/>
    <s v="Note"/>
    <s v="7-Year"/>
    <n v="2.0499999999999998"/>
    <n v="2.0840000000000001"/>
    <n v="1.8879999999999999"/>
    <n v="2.73"/>
    <n v="3821581100"/>
    <n v="76513652000"/>
    <n v="27991657000"/>
    <n v="8347000"/>
    <n v="2669000000"/>
    <n v="4729000000"/>
    <n v="2456885000"/>
    <n v="46208500000"/>
    <n v="22865772000"/>
    <n v="25576152000"/>
    <n v="0.19600000000000017"/>
    <n v="31821585100"/>
  </r>
  <r>
    <x v="623"/>
    <s v="912828X96"/>
    <s v="Note"/>
    <s v="3-Year"/>
    <n v="1.5289999999999999"/>
    <n v="1.5720000000000001"/>
    <n v="1.288"/>
    <n v="2.76"/>
    <n v="7929035700"/>
    <n v="66075700000"/>
    <n v="23850350000"/>
    <n v="49666200"/>
    <n v="2222000000"/>
    <n v="3722000000"/>
    <n v="9519850000"/>
    <n v="50145200000"/>
    <n v="12108500000"/>
    <n v="12208500000"/>
    <n v="0.28400000000000003"/>
    <n v="31829051900"/>
  </r>
  <r>
    <x v="624"/>
    <s v="912828X88"/>
    <s v="Note"/>
    <s v="10-Year"/>
    <n v="2.3420000000000001"/>
    <n v="2.4"/>
    <n v="2.2810000000000001"/>
    <n v="2.33"/>
    <n v="7598659100"/>
    <n v="53606000000"/>
    <n v="22972960000"/>
    <n v="27173800"/>
    <n v="1161920000"/>
    <n v="2942000000"/>
    <n v="7861440000"/>
    <n v="34897200000"/>
    <n v="13949600000"/>
    <n v="15766800000"/>
    <n v="0.11899999999999977"/>
    <n v="30598792900"/>
  </r>
  <r>
    <x v="625"/>
    <s v="912810RX8"/>
    <s v="Bond"/>
    <s v="30-Year"/>
    <n v="3"/>
    <n v="3.05"/>
    <n v="2.92"/>
    <n v="2.19"/>
    <n v="4955647200"/>
    <n v="32851698000"/>
    <n v="14987803000"/>
    <n v="12215000"/>
    <n v="792000000"/>
    <n v="1442000000"/>
    <n v="5341230000"/>
    <n v="21410100000"/>
    <n v="8854573000"/>
    <n v="9999598000"/>
    <n v="0.12999999999999989"/>
    <n v="19955665200"/>
  </r>
  <r>
    <x v="626"/>
    <s v="912828XS4"/>
    <s v="Note"/>
    <s v="2-Year"/>
    <n v="1.26"/>
    <n v="1.3160000000000001"/>
    <n v="0.88800000000000001"/>
    <n v="2.9"/>
    <n v="3127905400"/>
    <n v="75271735000"/>
    <n v="25776462000"/>
    <n v="123580600"/>
    <n v="3197000000"/>
    <n v="7217000000"/>
    <n v="7848100000"/>
    <n v="50850400000"/>
    <n v="14731362000"/>
    <n v="17204335000"/>
    <n v="0.42800000000000005"/>
    <n v="29027948000"/>
  </r>
  <r>
    <x v="627"/>
    <s v="912828XR6"/>
    <s v="Note"/>
    <s v="5-Year"/>
    <n v="1.8"/>
    <n v="1.831"/>
    <n v="1.7150000000000001"/>
    <n v="2.67"/>
    <n v="4090337700"/>
    <n v="90877594000"/>
    <n v="33931858000"/>
    <n v="68154200"/>
    <n v="2916000000"/>
    <n v="4341000000"/>
    <n v="7713724000"/>
    <n v="57201300000"/>
    <n v="23302134000"/>
    <n v="29335294000"/>
    <n v="0.11599999999999988"/>
    <n v="38090349900"/>
  </r>
  <r>
    <x v="628"/>
    <s v="912828XT2"/>
    <s v="Note"/>
    <s v="7-Year"/>
    <n v="2.0099999999999998"/>
    <n v="2.06"/>
    <n v="1.8879999999999999"/>
    <n v="2.54"/>
    <n v="3368513400"/>
    <n v="71131256000"/>
    <n v="27991040000"/>
    <n v="9000000"/>
    <n v="4806408000"/>
    <n v="5969000000"/>
    <n v="6043716000"/>
    <n v="44695500000"/>
    <n v="17140916000"/>
    <n v="20466756000"/>
    <n v="0.17200000000000015"/>
    <n v="31368553400"/>
  </r>
  <r>
    <x v="629"/>
    <s v="912828X88"/>
    <s v="Note"/>
    <s v="9-Year 11-Month"/>
    <n v="2.15"/>
    <n v="2.1949999999999998"/>
    <n v="2.09"/>
    <n v="2.54"/>
    <n v="0"/>
    <n v="50867800000"/>
    <n v="19990115500"/>
    <n v="9945100"/>
    <n v="1061063000"/>
    <n v="1896000000"/>
    <n v="5707695000"/>
    <n v="31978600000"/>
    <n v="13221357500"/>
    <n v="16993200000"/>
    <n v="0.10499999999999998"/>
    <n v="20000060600"/>
  </r>
  <r>
    <x v="629"/>
    <s v="912828XU9"/>
    <s v="Note"/>
    <s v="3-Year"/>
    <n v="1.46"/>
    <n v="1.5"/>
    <n v="1.38"/>
    <n v="3"/>
    <n v="0"/>
    <n v="71932800000"/>
    <n v="23823072000"/>
    <n v="77007600"/>
    <n v="1484000000"/>
    <n v="3059000000"/>
    <n v="6707164000"/>
    <n v="46577900000"/>
    <n v="15631908000"/>
    <n v="22295900000"/>
    <n v="0.12000000000000011"/>
    <n v="23900079600"/>
  </r>
  <r>
    <x v="630"/>
    <s v="912810RX8"/>
    <s v="Bond"/>
    <s v="29-Year 11-Month"/>
    <n v="2.82"/>
    <n v="2.87"/>
    <n v="2.72"/>
    <n v="2.3199999999999998"/>
    <n v="0"/>
    <n v="27827256000"/>
    <n v="11997542500"/>
    <n v="2460700"/>
    <n v="805000000"/>
    <n v="1335000000"/>
    <n v="3548471000"/>
    <n v="17633700000"/>
    <n v="7644071500"/>
    <n v="8858556000"/>
    <n v="0.14999999999999991"/>
    <n v="12000003200"/>
  </r>
  <r>
    <x v="631"/>
    <s v="912828XV7"/>
    <s v="Note"/>
    <s v="2-Year"/>
    <n v="1.3"/>
    <n v="1.3480000000000001"/>
    <n v="1.1879999999999999"/>
    <n v="3.03"/>
    <n v="3160424300"/>
    <n v="78528404900"/>
    <n v="25723844900"/>
    <n v="176234400"/>
    <n v="4720000000"/>
    <n v="7220000000"/>
    <n v="6440040000"/>
    <n v="50612000000"/>
    <n v="14563804900"/>
    <n v="20696404900"/>
    <n v="0.16000000000000014"/>
    <n v="29060503600"/>
  </r>
  <r>
    <x v="632"/>
    <s v="912828XW5"/>
    <s v="Note"/>
    <s v="5-Year"/>
    <n v="1.77"/>
    <n v="1.8280000000000001"/>
    <n v="1.7"/>
    <n v="2.33"/>
    <n v="4132862500"/>
    <n v="79168317000"/>
    <n v="33949132000"/>
    <n v="50879000"/>
    <n v="3118000000"/>
    <n v="4633000000"/>
    <n v="8691815000"/>
    <n v="48899000000"/>
    <n v="22139317000"/>
    <n v="25636317000"/>
    <n v="0.12800000000000011"/>
    <n v="38132873500"/>
  </r>
  <r>
    <x v="633"/>
    <s v="912828XX3"/>
    <s v="Note"/>
    <s v="7-Year"/>
    <n v="2.0169999999999999"/>
    <n v="2.056"/>
    <n v="1.9350000000000001"/>
    <n v="2.46"/>
    <n v="3403533800"/>
    <n v="68891893000"/>
    <n v="27988950500"/>
    <n v="11083600"/>
    <n v="2634000000"/>
    <n v="4044000000"/>
    <n v="7041487500"/>
    <n v="44032000000"/>
    <n v="18313463000"/>
    <n v="20815893000"/>
    <n v="0.121"/>
    <n v="31403567900"/>
  </r>
  <r>
    <x v="634"/>
    <s v="9128282J8"/>
    <s v="Note"/>
    <s v="3-Year"/>
    <n v="1.5289999999999999"/>
    <n v="1.573"/>
    <n v="1.4610000000000001"/>
    <n v="2.87"/>
    <n v="547813900"/>
    <n v="68715200000"/>
    <n v="23831954000"/>
    <n v="68055100"/>
    <n v="2348000000"/>
    <n v="3348000000"/>
    <n v="8950362500"/>
    <n v="47786000000"/>
    <n v="12533591500"/>
    <n v="17581200000"/>
    <n v="0.11199999999999988"/>
    <n v="24447823000"/>
  </r>
  <r>
    <x v="635"/>
    <s v="912828X88"/>
    <s v="Note"/>
    <s v="9-Year 10-Month"/>
    <n v="2.2799999999999998"/>
    <n v="2.3250000000000002"/>
    <n v="2.2000000000000002"/>
    <n v="2.4500000000000002"/>
    <n v="456511600"/>
    <n v="48948000000"/>
    <n v="19988308600"/>
    <n v="11744900"/>
    <n v="1149000000"/>
    <n v="2559000000"/>
    <n v="5887165000"/>
    <n v="30915000000"/>
    <n v="12952143600"/>
    <n v="15474000000"/>
    <n v="0.125"/>
    <n v="20456565100"/>
  </r>
  <r>
    <x v="636"/>
    <s v="912810RX8"/>
    <s v="Bond"/>
    <s v="29-Year 10-Month"/>
    <n v="2.87"/>
    <n v="2.9359999999999999"/>
    <n v="2.5"/>
    <n v="2.31"/>
    <n v="273906900"/>
    <n v="27671990000"/>
    <n v="11995970000"/>
    <n v="4044300"/>
    <n v="765000000"/>
    <n v="1295000000"/>
    <n v="3831640000"/>
    <n v="18116000000"/>
    <n v="7399330000"/>
    <n v="8260990000"/>
    <n v="0.43599999999999994"/>
    <n v="12273921200"/>
  </r>
  <r>
    <x v="637"/>
    <s v="9128282K5"/>
    <s v="Note"/>
    <s v="2-Year"/>
    <n v="1.34"/>
    <n v="1.395"/>
    <n v="1.1879999999999999"/>
    <n v="3.06"/>
    <n v="2643540300"/>
    <n v="79200805000"/>
    <n v="25716736500"/>
    <n v="183283900"/>
    <n v="4347150000"/>
    <n v="6244000000"/>
    <n v="6335781500"/>
    <n v="51183000000"/>
    <n v="15033805000"/>
    <n v="21773805000"/>
    <n v="0.20700000000000007"/>
    <n v="28543560700"/>
  </r>
  <r>
    <x v="638"/>
    <s v="9128282P4"/>
    <s v="Note"/>
    <s v="5-Year"/>
    <n v="1.84"/>
    <n v="1.8839999999999999"/>
    <n v="1.77"/>
    <n v="2.58"/>
    <n v="3456937200"/>
    <n v="87553396000"/>
    <n v="33962774900"/>
    <n v="37326800"/>
    <n v="2100000000"/>
    <n v="3725000000"/>
    <n v="8170590500"/>
    <n v="54382000000"/>
    <n v="23692184400"/>
    <n v="29446396000"/>
    <n v="0.11399999999999988"/>
    <n v="37457038900"/>
  </r>
  <r>
    <x v="639"/>
    <s v="9128282N9"/>
    <s v="Note"/>
    <s v="7-Year"/>
    <n v="2.08"/>
    <n v="2.1259999999999999"/>
    <n v="2.0099999999999998"/>
    <n v="2.54"/>
    <n v="2846889500"/>
    <n v="71141375000"/>
    <n v="27989153000"/>
    <n v="10859900"/>
    <n v="3258000000"/>
    <n v="4628000000"/>
    <n v="5772548000"/>
    <n v="44957000000"/>
    <n v="18958605000"/>
    <n v="21556375000"/>
    <n v="0.1160000000000001"/>
    <n v="30846902400"/>
  </r>
  <r>
    <x v="640"/>
    <s v="9128282Q2"/>
    <s v="Note"/>
    <s v="3-Year"/>
    <n v="1.4790000000000001"/>
    <n v="1.52"/>
    <n v="1.1879999999999999"/>
    <n v="3.13"/>
    <n v="7221290400"/>
    <n v="74986390000"/>
    <n v="23847186000"/>
    <n v="49821100"/>
    <n v="2423890000"/>
    <n v="3968890000"/>
    <n v="6149130000"/>
    <n v="50058000000"/>
    <n v="15274166000"/>
    <n v="20959500000"/>
    <n v="0.33200000000000007"/>
    <n v="31118297500"/>
  </r>
  <r>
    <x v="641"/>
    <s v="9128282R0"/>
    <s v="Note"/>
    <s v="10-Year"/>
    <n v="2.2000000000000002"/>
    <n v="2.25"/>
    <n v="2.1"/>
    <n v="2.23"/>
    <n v="6920403200"/>
    <n v="51347211000"/>
    <n v="22972220000"/>
    <n v="27816500"/>
    <n v="1564301000"/>
    <n v="2699301000"/>
    <n v="8100393500"/>
    <n v="33895000000"/>
    <n v="13307525500"/>
    <n v="14752910000"/>
    <n v="0.14999999999999991"/>
    <n v="29920439700"/>
  </r>
  <r>
    <x v="642"/>
    <s v="912810RY6"/>
    <s v="Bond"/>
    <s v="30-Year"/>
    <n v="2.76"/>
    <n v="2.8180000000000001"/>
    <n v="2.3879999999999999"/>
    <n v="2.3199999999999998"/>
    <n v="4513306400"/>
    <n v="34785389000"/>
    <n v="14997186500"/>
    <n v="2818600"/>
    <n v="807035000"/>
    <n v="1587035000"/>
    <n v="4172865000"/>
    <n v="21604000000"/>
    <n v="10017286500"/>
    <n v="11594354000"/>
    <n v="0.43000000000000016"/>
    <n v="19513311500"/>
  </r>
  <r>
    <x v="643"/>
    <s v="9128282S8"/>
    <s v="Note"/>
    <s v="5-Year"/>
    <n v="1.7"/>
    <n v="1.742"/>
    <n v="1.3879999999999999"/>
    <n v="2.58"/>
    <n v="1065679000"/>
    <n v="87683647000"/>
    <n v="33908057000"/>
    <n v="91965200"/>
    <n v="4565000000"/>
    <n v="6192000000"/>
    <n v="5925410000"/>
    <n v="52200000000"/>
    <n v="23417647000"/>
    <n v="29291647000"/>
    <n v="0.35400000000000009"/>
    <n v="35065701200"/>
  </r>
  <r>
    <x v="643"/>
    <s v="9128282T6"/>
    <s v="Note"/>
    <s v="2-Year"/>
    <n v="1.3"/>
    <n v="1.345"/>
    <n v="1.1879999999999999"/>
    <n v="2.86"/>
    <n v="814931100"/>
    <n v="74054275000"/>
    <n v="25788640000"/>
    <n v="111428700"/>
    <n v="3240000000"/>
    <n v="4740000000"/>
    <n v="10738140000"/>
    <n v="48263000000"/>
    <n v="11810500000"/>
    <n v="21051275000"/>
    <n v="0.15700000000000003"/>
    <n v="26714999800"/>
  </r>
  <r>
    <x v="644"/>
    <s v="9128282U3"/>
    <s v="Note"/>
    <s v="7-Year"/>
    <n v="1.9"/>
    <n v="1.9410000000000001"/>
    <n v="1.6879999999999999"/>
    <n v="2.46"/>
    <n v="877618000"/>
    <n v="68960484000"/>
    <n v="27981344000"/>
    <n v="18666800"/>
    <n v="4642000000"/>
    <n v="5817000000"/>
    <n v="4089430000"/>
    <n v="39975000000"/>
    <n v="19249914000"/>
    <n v="23168484000"/>
    <n v="0.25300000000000011"/>
    <n v="28877628800"/>
  </r>
  <r>
    <x v="645"/>
    <s v="9128282V1"/>
    <s v="Note"/>
    <s v="3-Year"/>
    <n v="1.38"/>
    <n v="1.4330000000000001"/>
    <n v="1.1879999999999999"/>
    <n v="2.7"/>
    <n v="0"/>
    <n v="64735700000"/>
    <n v="23852322500"/>
    <n v="47698300"/>
    <n v="2483000000"/>
    <n v="3983000000"/>
    <n v="10359565000"/>
    <n v="45913000000"/>
    <n v="11009757500"/>
    <n v="14839700000"/>
    <n v="0.24500000000000011"/>
    <n v="23900020800"/>
  </r>
  <r>
    <x v="646"/>
    <s v="9128282R0"/>
    <s v="Note"/>
    <s v="9-Year 11-Month"/>
    <n v="2.125"/>
    <n v="2.1800000000000002"/>
    <n v="2.0649999999999999"/>
    <n v="2.2799999999999998"/>
    <n v="0"/>
    <n v="45656400000"/>
    <n v="19989855000"/>
    <n v="10155700"/>
    <n v="1209000000"/>
    <n v="2009000000"/>
    <n v="7730100000"/>
    <n v="31117000000"/>
    <n v="11050755000"/>
    <n v="12530400000"/>
    <n v="0.11500000000000021"/>
    <n v="20000010700"/>
  </r>
  <r>
    <x v="647"/>
    <s v="912810RY6"/>
    <s v="Bond"/>
    <s v="29-Year 11-Month"/>
    <n v="2.7389999999999999"/>
    <n v="2.79"/>
    <n v="2.1880000000000002"/>
    <n v="2.21"/>
    <n v="0"/>
    <n v="26484028000"/>
    <n v="11995788000"/>
    <n v="4213700"/>
    <n v="818000000"/>
    <n v="1323000000"/>
    <n v="4126280000"/>
    <n v="16845900000"/>
    <n v="7051508000"/>
    <n v="8315128000"/>
    <n v="0.60199999999999987"/>
    <n v="12000001700"/>
  </r>
  <r>
    <x v="648"/>
    <s v="9128282X7"/>
    <s v="Note"/>
    <s v="2-Year"/>
    <n v="1.4390000000000001"/>
    <n v="1.462"/>
    <n v="1.345"/>
    <n v="2.88"/>
    <n v="3234231900"/>
    <n v="74651800000"/>
    <n v="25781600000"/>
    <n v="118659600"/>
    <n v="4907600000"/>
    <n v="8172000000"/>
    <n v="9490800000"/>
    <n v="52429000000"/>
    <n v="11383200000"/>
    <n v="14050800000"/>
    <n v="0.11699999999999999"/>
    <n v="29134491500"/>
  </r>
  <r>
    <x v="649"/>
    <s v="9128282W9"/>
    <s v="Note"/>
    <s v="5-Year"/>
    <n v="1.865"/>
    <n v="1.911"/>
    <n v="1.7709999999999999"/>
    <n v="2.52"/>
    <n v="4229380200"/>
    <n v="85446198000"/>
    <n v="33896178000"/>
    <n v="103874300"/>
    <n v="2391000000"/>
    <n v="4011000000"/>
    <n v="7901980000"/>
    <n v="52020000000"/>
    <n v="23603198000"/>
    <n v="29415198000"/>
    <n v="0.14000000000000012"/>
    <n v="38229432500"/>
  </r>
  <r>
    <x v="650"/>
    <s v="9128282Y5"/>
    <s v="Note"/>
    <s v="7-Year"/>
    <n v="2.0920000000000001"/>
    <n v="2.13"/>
    <n v="1.9950000000000001"/>
    <n v="2.7"/>
    <n v="3483018900"/>
    <n v="75693351000"/>
    <n v="27987167000"/>
    <n v="12919700"/>
    <n v="5304157000"/>
    <n v="6798000000"/>
    <n v="2912643500"/>
    <n v="44234000000"/>
    <n v="19770366500"/>
    <n v="24661351000"/>
    <n v="0.13499999999999979"/>
    <n v="31483105600"/>
  </r>
  <r>
    <x v="651"/>
    <s v="9128282R0"/>
    <s v="Note"/>
    <s v="9-Year 10-Month"/>
    <n v="2.2999999999999998"/>
    <n v="2.3460000000000001"/>
    <n v="2.2309999999999999"/>
    <n v="2.54"/>
    <n v="0"/>
    <n v="50853800000"/>
    <n v="19989855200"/>
    <n v="10166300"/>
    <n v="1204000000"/>
    <n v="2264000000"/>
    <n v="4971980000"/>
    <n v="31538000000"/>
    <n v="13813875200"/>
    <n v="17051800000"/>
    <n v="0.11500000000000021"/>
    <n v="20000021500"/>
  </r>
  <r>
    <x v="651"/>
    <s v="9128282Z2"/>
    <s v="Note"/>
    <s v="3-Year"/>
    <n v="1.61"/>
    <n v="1.657"/>
    <n v="1.25"/>
    <n v="2.83"/>
    <n v="0"/>
    <n v="67846297000"/>
    <n v="23823582000"/>
    <n v="76484200"/>
    <n v="1684362000"/>
    <n v="3493097000"/>
    <n v="9201310000"/>
    <n v="46773000000"/>
    <n v="12937910000"/>
    <n v="17580200000"/>
    <n v="0.40700000000000003"/>
    <n v="23900066200"/>
  </r>
  <r>
    <x v="652"/>
    <s v="912810RY6"/>
    <s v="Bond"/>
    <s v="29-Year 10-Month"/>
    <n v="2.8239999999999998"/>
    <n v="2.87"/>
    <n v="2.5"/>
    <n v="2.5299999999999998"/>
    <n v="0"/>
    <n v="30355186000"/>
    <n v="11995097500"/>
    <n v="4905400"/>
    <n v="1272000000"/>
    <n v="1902000000"/>
    <n v="3189571500"/>
    <n v="18387060000"/>
    <n v="7533526000"/>
    <n v="10066126000"/>
    <n v="0.37000000000000011"/>
    <n v="12000002900"/>
  </r>
  <r>
    <x v="653"/>
    <s v="912828F62"/>
    <s v="Note"/>
    <s v="2-Year"/>
    <n v="1.55"/>
    <n v="1.5960000000000001"/>
    <n v="1.48"/>
    <n v="2.74"/>
    <n v="650356100"/>
    <n v="71017800000"/>
    <n v="25770610000"/>
    <n v="129470200"/>
    <n v="3645625000"/>
    <n v="5864000000"/>
    <n v="9714935000"/>
    <n v="51637000000"/>
    <n v="12410050000"/>
    <n v="13516800000"/>
    <n v="0.1160000000000001"/>
    <n v="26550436300"/>
  </r>
  <r>
    <x v="654"/>
    <s v="9128283C2"/>
    <s v="Note"/>
    <s v="5-Year"/>
    <n v="2.004"/>
    <n v="2.0579999999999998"/>
    <n v="1.95"/>
    <n v="2.44"/>
    <n v="850465500"/>
    <n v="83017368000"/>
    <n v="33948068000"/>
    <n v="51943400"/>
    <n v="3750000000"/>
    <n v="5365000000"/>
    <n v="9298700000"/>
    <n v="51471000000"/>
    <n v="20899368000"/>
    <n v="26181368000"/>
    <n v="0.10799999999999987"/>
    <n v="34850476900"/>
  </r>
  <r>
    <x v="655"/>
    <s v="9128283D0"/>
    <s v="Note"/>
    <s v="7-Year"/>
    <n v="2.2200000000000002"/>
    <n v="2.2799999999999998"/>
    <n v="2.17"/>
    <n v="2.39"/>
    <n v="700383400"/>
    <n v="66935715000"/>
    <n v="27988839000"/>
    <n v="11232700"/>
    <n v="3726490000"/>
    <n v="4977000000"/>
    <n v="6503526500"/>
    <n v="41424000000"/>
    <n v="17758822500"/>
    <n v="20534715000"/>
    <n v="0.10999999999999988"/>
    <n v="28700455100"/>
  </r>
  <r>
    <x v="656"/>
    <s v="9128283G3"/>
    <s v="Note"/>
    <s v="3-Year"/>
    <n v="1.6990000000000001"/>
    <n v="1.75"/>
    <n v="1.1879999999999999"/>
    <n v="2.76"/>
    <n v="2918371200"/>
    <n v="66040150000"/>
    <n v="23837834000"/>
    <n v="62228300"/>
    <n v="2151000000"/>
    <n v="3751000000"/>
    <n v="8927931000"/>
    <n v="44923000000"/>
    <n v="12758903000"/>
    <n v="17366150000"/>
    <n v="0.56200000000000006"/>
    <n v="26818433500"/>
  </r>
  <r>
    <x v="657"/>
    <s v="9128283F5"/>
    <s v="Note"/>
    <s v="10-Year"/>
    <n v="2.2549999999999999"/>
    <n v="2.3140000000000001"/>
    <n v="2.2000000000000002"/>
    <n v="2.48"/>
    <n v="2796772400"/>
    <n v="56906549000"/>
    <n v="22968866000"/>
    <n v="31145600"/>
    <n v="2076000000"/>
    <n v="3496000000"/>
    <n v="5274203000"/>
    <n v="34799000000"/>
    <n v="15618663000"/>
    <n v="18611549000"/>
    <n v="0.11399999999999988"/>
    <n v="25796784000"/>
  </r>
  <r>
    <x v="658"/>
    <s v="912810RZ3"/>
    <s v="Bond"/>
    <s v="30-Year"/>
    <n v="2.7490000000000001"/>
    <n v="2.8010000000000002"/>
    <n v="2.1880000000000002"/>
    <n v="2.23"/>
    <n v="1823982000"/>
    <n v="33373506000"/>
    <n v="14995116000"/>
    <n v="4884700"/>
    <n v="963000000"/>
    <n v="1593000000"/>
    <n v="4762610000"/>
    <n v="21022000000"/>
    <n v="9269506000"/>
    <n v="10758506000"/>
    <n v="0.61299999999999999"/>
    <n v="16823982700"/>
  </r>
  <r>
    <x v="659"/>
    <s v="912828M80"/>
    <s v="Note"/>
    <s v="5-Year"/>
    <n v="2.0299999999999998"/>
    <n v="2.0659999999999998"/>
    <n v="1.9"/>
    <n v="2.46"/>
    <n v="1844997300"/>
    <n v="83624797000"/>
    <n v="33972587000"/>
    <n v="27435500"/>
    <n v="3858000000"/>
    <n v="5458000000"/>
    <n v="7758790000"/>
    <n v="51032000000"/>
    <n v="22355797000"/>
    <n v="27134797000"/>
    <n v="0.16599999999999993"/>
    <n v="35845019800"/>
  </r>
  <r>
    <x v="659"/>
    <s v="9128283H1"/>
    <s v="Note"/>
    <s v="2-Year"/>
    <n v="1.75"/>
    <n v="1.7649999999999999"/>
    <n v="1.65"/>
    <n v="2.73"/>
    <n v="1410880300"/>
    <n v="70544540000"/>
    <n v="25687765500"/>
    <n v="212308700"/>
    <n v="4365000000"/>
    <n v="6115000000"/>
    <n v="10571886000"/>
    <n v="51688000000"/>
    <n v="10750879500"/>
    <n v="12741540000"/>
    <n v="0.11499999999999999"/>
    <n v="27310954500"/>
  </r>
  <r>
    <x v="660"/>
    <s v="9128283J7"/>
    <s v="Note"/>
    <s v="7-Year"/>
    <n v="2.1749999999999998"/>
    <n v="2.23"/>
    <n v="2.0960000000000001"/>
    <n v="2.36"/>
    <n v="1519409500"/>
    <n v="66180310000"/>
    <n v="27991991000"/>
    <n v="8057500"/>
    <n v="3846000000"/>
    <n v="5346000000"/>
    <n v="7743681000"/>
    <n v="41336000000"/>
    <n v="16402310000"/>
    <n v="19498310000"/>
    <n v="0.1339999999999999"/>
    <n v="29519458000"/>
  </r>
  <r>
    <x v="661"/>
    <s v="9128283F5"/>
    <s v="Note"/>
    <s v="9-Year 11-Month"/>
    <n v="2.34"/>
    <n v="2.3839999999999999"/>
    <n v="2.2789999999999999"/>
    <n v="2.37"/>
    <n v="0"/>
    <n v="47430449000"/>
    <n v="19990658000"/>
    <n v="9354700"/>
    <n v="1673000000"/>
    <n v="2618000000"/>
    <n v="6883920000"/>
    <n v="29587800000"/>
    <n v="11433738000"/>
    <n v="15224649000"/>
    <n v="0.10499999999999998"/>
    <n v="20000012700"/>
  </r>
  <r>
    <x v="661"/>
    <s v="9128283L2"/>
    <s v="Note"/>
    <s v="3-Year"/>
    <n v="1.89"/>
    <n v="1.9319999999999999"/>
    <n v="1.6879999999999999"/>
    <n v="3.15"/>
    <n v="0"/>
    <n v="75428300000"/>
    <n v="23846190000"/>
    <n v="53819500"/>
    <n v="1762270000"/>
    <n v="3491000000"/>
    <n v="8003620000"/>
    <n v="46886000000"/>
    <n v="14080300000"/>
    <n v="25051300000"/>
    <n v="0.24399999999999999"/>
    <n v="23900009500"/>
  </r>
  <r>
    <x v="662"/>
    <s v="912810RZ3"/>
    <s v="Bond"/>
    <s v="29-Year 11-Month"/>
    <n v="2.7530000000000001"/>
    <n v="2.8039999999999998"/>
    <n v="2.1880000000000002"/>
    <n v="2.48"/>
    <n v="0"/>
    <n v="29737430000"/>
    <n v="11992460000"/>
    <n v="7551800"/>
    <n v="1083000000"/>
    <n v="1638000000"/>
    <n v="3484950000"/>
    <n v="18122600000"/>
    <n v="7424510000"/>
    <n v="9976830000"/>
    <n v="0.61599999999999966"/>
    <n v="12000011800"/>
  </r>
  <r>
    <x v="663"/>
    <s v="9128283N8"/>
    <s v="Note"/>
    <s v="2-Year"/>
    <n v="1.9"/>
    <n v="1.9219999999999999"/>
    <n v="1.8"/>
    <n v="2.52"/>
    <n v="3398793000"/>
    <n v="65121730000"/>
    <n v="25727830000"/>
    <n v="172196700"/>
    <n v="3740265000"/>
    <n v="4587165000"/>
    <n v="11703600000"/>
    <n v="49270000000"/>
    <n v="10283965000"/>
    <n v="11264565000"/>
    <n v="0.12199999999999989"/>
    <n v="29298819700"/>
  </r>
  <r>
    <x v="664"/>
    <s v="912828N30"/>
    <s v="Note"/>
    <s v="5-Year"/>
    <n v="2.19"/>
    <n v="2.2450000000000001"/>
    <n v="2.1"/>
    <n v="2.36"/>
    <n v="4444575500"/>
    <n v="80329838000"/>
    <n v="33968841000"/>
    <n v="31248700"/>
    <n v="2698000000"/>
    <n v="4198000000"/>
    <n v="11432455000"/>
    <n v="50119000000"/>
    <n v="19838386000"/>
    <n v="26012838000"/>
    <n v="0.14500000000000002"/>
    <n v="38444665200"/>
  </r>
  <r>
    <x v="665"/>
    <s v="9128283P3"/>
    <s v="Note"/>
    <s v="7-Year"/>
    <n v="2.3199999999999998"/>
    <n v="2.37"/>
    <n v="1.8879999999999999"/>
    <n v="2.5499999999999998"/>
    <n v="3660238500"/>
    <n v="71338571000"/>
    <n v="27991938500"/>
    <n v="8127600"/>
    <n v="3678430000"/>
    <n v="5121000000"/>
    <n v="7382507500"/>
    <n v="44046000000"/>
    <n v="16931001000"/>
    <n v="22171571000"/>
    <n v="0.48200000000000021"/>
    <n v="31660304600"/>
  </r>
  <r>
    <x v="666"/>
    <s v="9128283Q1"/>
    <s v="Note"/>
    <s v="3-Year"/>
    <n v="2.04"/>
    <n v="2.08"/>
    <n v="1.8879999999999999"/>
    <n v="3.13"/>
    <n v="812778200"/>
    <n v="74896500000"/>
    <n v="23839925000"/>
    <n v="60104600"/>
    <n v="2746000000"/>
    <n v="4346000000"/>
    <n v="8006250000"/>
    <n v="48581400000"/>
    <n v="13087675000"/>
    <n v="21969100000"/>
    <n v="0.19200000000000017"/>
    <n v="24712807800"/>
  </r>
  <r>
    <x v="667"/>
    <s v="9128283F5"/>
    <s v="Note"/>
    <s v="9-Year 10-Month"/>
    <n v="2.54"/>
    <n v="2.5790000000000002"/>
    <n v="2.4"/>
    <n v="2.69"/>
    <n v="677315100"/>
    <n v="53796900000"/>
    <n v="19991883000"/>
    <n v="8167000"/>
    <n v="1307000000"/>
    <n v="2727000000"/>
    <n v="4407365000"/>
    <n v="31542000000"/>
    <n v="14277518000"/>
    <n v="19527900000"/>
    <n v="0.17900000000000027"/>
    <n v="20677365100"/>
  </r>
  <r>
    <x v="668"/>
    <s v="912810RZ3"/>
    <s v="Bond"/>
    <s v="29-Year 10-Month"/>
    <n v="2.8340000000000001"/>
    <n v="2.867"/>
    <n v="2.2879999999999998"/>
    <n v="2.74"/>
    <n v="406389000"/>
    <n v="32883440000"/>
    <n v="11997353200"/>
    <n v="2656200"/>
    <n v="873000000"/>
    <n v="1420000000"/>
    <n v="2547563200"/>
    <n v="18202700000"/>
    <n v="8576790000"/>
    <n v="13260740000"/>
    <n v="0.57900000000000018"/>
    <n v="12406398400"/>
  </r>
  <r>
    <x v="669"/>
    <s v="9128283S7"/>
    <s v="Note"/>
    <s v="2-Year"/>
    <n v="2.0219999999999998"/>
    <n v="2.0659999999999998"/>
    <n v="1.95"/>
    <n v="3.22"/>
    <n v="3821216000"/>
    <n v="83319415000"/>
    <n v="25555407500"/>
    <n v="344604300"/>
    <n v="4060215000"/>
    <n v="5985215000"/>
    <n v="6603992500"/>
    <n v="52049000000"/>
    <n v="14891200000"/>
    <n v="25285200000"/>
    <n v="0.11599999999999988"/>
    <n v="29721227800"/>
  </r>
  <r>
    <x v="670"/>
    <s v="9128283U2"/>
    <s v="Note"/>
    <s v="5-Year"/>
    <n v="2.39"/>
    <n v="2.4340000000000002"/>
    <n v="2.3279999999999998"/>
    <n v="2.48"/>
    <n v="4996974700"/>
    <n v="84389602000"/>
    <n v="33951297000"/>
    <n v="48762800"/>
    <n v="3078000000"/>
    <n v="4753000000"/>
    <n v="8810665000"/>
    <n v="50857000000"/>
    <n v="22062632000"/>
    <n v="28779602000"/>
    <n v="0.10600000000000032"/>
    <n v="38997034500"/>
  </r>
  <r>
    <x v="671"/>
    <s v="9128283V0"/>
    <s v="Note"/>
    <s v="7-Year"/>
    <n v="2.5249999999999999"/>
    <n v="2.5649999999999999"/>
    <n v="2.4"/>
    <n v="2.73"/>
    <n v="4115155600"/>
    <n v="76468813000"/>
    <n v="27982405000"/>
    <n v="17610600"/>
    <n v="2851000000"/>
    <n v="4578000000"/>
    <n v="3275208000"/>
    <n v="43220000000"/>
    <n v="21856197000"/>
    <n v="28670813000"/>
    <n v="0.16500000000000004"/>
    <n v="32115171200"/>
  </r>
  <r>
    <x v="672"/>
    <s v="9128283X6"/>
    <s v="Note"/>
    <s v="3-Year"/>
    <n v="2.23"/>
    <n v="2.2799999999999998"/>
    <n v="2"/>
    <n v="3"/>
    <n v="4914122100"/>
    <n v="77943000000"/>
    <n v="25838064700"/>
    <n v="61991500"/>
    <n v="2507000000"/>
    <n v="4111000000"/>
    <n v="10474530000"/>
    <n v="51995000000"/>
    <n v="12856534700"/>
    <n v="21837000000"/>
    <n v="0.2799999999999998"/>
    <n v="30814178300"/>
  </r>
  <r>
    <x v="673"/>
    <s v="9128283W8"/>
    <s v="Note"/>
    <s v="10-Year"/>
    <n v="2.75"/>
    <n v="2.8109999999999999"/>
    <n v="2.66"/>
    <n v="2.34"/>
    <n v="4536112700"/>
    <n v="56088650000"/>
    <n v="23956710000"/>
    <n v="43335600"/>
    <n v="1285000000"/>
    <n v="2535000000"/>
    <n v="6504000000"/>
    <n v="33804000000"/>
    <n v="16167710000"/>
    <n v="19749650000"/>
    <n v="0.1509999999999998"/>
    <n v="28536158300"/>
  </r>
  <r>
    <x v="674"/>
    <s v="912810SA7"/>
    <s v="Bond"/>
    <s v="30-Year"/>
    <n v="3.06"/>
    <n v="3.121"/>
    <n v="2.8879999999999999"/>
    <n v="2.2599999999999998"/>
    <n v="3024075100"/>
    <n v="36091763000"/>
    <n v="15983370000"/>
    <n v="16631900"/>
    <n v="1287000000"/>
    <n v="2087000000"/>
    <n v="4922065000"/>
    <n v="22208000000"/>
    <n v="9774305000"/>
    <n v="11796763000"/>
    <n v="0.2330000000000001"/>
    <n v="19024077000"/>
  </r>
  <r>
    <x v="675"/>
    <s v="9128283Y4"/>
    <s v="Note"/>
    <s v="2-Year"/>
    <n v="2.21"/>
    <n v="2.2549999999999999"/>
    <n v="1.8879999999999999"/>
    <n v="2.72"/>
    <n v="6826258000"/>
    <n v="75857671000"/>
    <n v="27636164500"/>
    <n v="263923200"/>
    <n v="3698714500"/>
    <n v="5236101000"/>
    <n v="11133705000"/>
    <n v="56790000000"/>
    <n v="12803745000"/>
    <n v="13831570000"/>
    <n v="0.36699999999999999"/>
    <n v="34726345700"/>
  </r>
  <r>
    <x v="676"/>
    <s v="9128284A5"/>
    <s v="Note"/>
    <s v="5-Year"/>
    <n v="2.617"/>
    <n v="2.6579999999999999"/>
    <n v="2.1880000000000002"/>
    <n v="2.44"/>
    <n v="8532822500"/>
    <n v="85463629000"/>
    <n v="34910309000"/>
    <n v="89723400"/>
    <n v="4422000000"/>
    <n v="6072000000"/>
    <n v="10228430000"/>
    <n v="52263000000"/>
    <n v="20259879000"/>
    <n v="27128629000"/>
    <n v="0.46999999999999975"/>
    <n v="43532854900"/>
  </r>
  <r>
    <x v="677"/>
    <s v="9128283Z1"/>
    <s v="Note"/>
    <s v="7-Year"/>
    <n v="2.79"/>
    <n v="2.839"/>
    <n v="2.72"/>
    <n v="2.4900000000000002"/>
    <n v="7070052900"/>
    <n v="72125490000"/>
    <n v="28980465000"/>
    <n v="19592300"/>
    <n v="4528000000"/>
    <n v="6003000000"/>
    <n v="6413300000"/>
    <n v="44330000000"/>
    <n v="18039165000"/>
    <n v="21792490000"/>
    <n v="0.11899999999999977"/>
    <n v="36070110200"/>
  </r>
  <r>
    <x v="678"/>
    <s v="9128283W8"/>
    <s v="Note"/>
    <s v="9-Year 11-Month"/>
    <n v="2.85"/>
    <n v="2.8889999999999998"/>
    <n v="2.7810000000000001"/>
    <n v="2.5"/>
    <n v="0"/>
    <n v="52396040000"/>
    <n v="20983754000"/>
    <n v="16251900"/>
    <n v="1358896000"/>
    <n v="2528000000"/>
    <n v="5726580000"/>
    <n v="31523000000"/>
    <n v="13898278000"/>
    <n v="18345040000"/>
    <n v="0.10799999999999965"/>
    <n v="21000005900"/>
  </r>
  <r>
    <x v="678"/>
    <s v="9128284B3"/>
    <s v="Note"/>
    <s v="3-Year"/>
    <n v="2.4"/>
    <n v="2.4359999999999999"/>
    <n v="2.3199999999999998"/>
    <n v="2.94"/>
    <n v="0"/>
    <n v="81929400000"/>
    <n v="27687462500"/>
    <n v="112562600"/>
    <n v="2575000000"/>
    <n v="4850000000"/>
    <n v="11272387500"/>
    <n v="51589000000"/>
    <n v="13840075000"/>
    <n v="25490400000"/>
    <n v="0.1160000000000001"/>
    <n v="27800025100"/>
  </r>
  <r>
    <x v="679"/>
    <s v="912810SA7"/>
    <s v="Bond"/>
    <s v="29-Year 11-Month"/>
    <n v="3.0750000000000002"/>
    <n v="3.109"/>
    <n v="3.01"/>
    <n v="2.38"/>
    <n v="0"/>
    <n v="30981295000"/>
    <n v="12995571000"/>
    <n v="4430700"/>
    <n v="1917000000"/>
    <n v="2522000000"/>
    <n v="3548000000"/>
    <n v="18291000000"/>
    <n v="7530571000"/>
    <n v="10168295000"/>
    <n v="9.9000000000000199E-2"/>
    <n v="13000001700"/>
  </r>
  <r>
    <x v="680"/>
    <s v="9128284C1"/>
    <s v="Note"/>
    <s v="2-Year"/>
    <n v="2.2759999999999998"/>
    <n v="2.31"/>
    <n v="1.8879999999999999"/>
    <n v="2.91"/>
    <n v="5284713600"/>
    <n v="86757748000"/>
    <n v="29596381000"/>
    <n v="303740100"/>
    <n v="4179086000"/>
    <n v="5708000000"/>
    <n v="12235375000"/>
    <n v="56390000000"/>
    <n v="13181920000"/>
    <n v="24659748000"/>
    <n v="0.42200000000000015"/>
    <n v="35184834700"/>
  </r>
  <r>
    <x v="681"/>
    <s v="9128284D9"/>
    <s v="Note"/>
    <s v="5-Year"/>
    <n v="2.57"/>
    <n v="2.6120000000000001"/>
    <n v="2.5"/>
    <n v="2.5"/>
    <n v="6165499200"/>
    <n v="87528030000"/>
    <n v="34942858600"/>
    <n v="57178700"/>
    <n v="2899000000"/>
    <n v="4671000000"/>
    <n v="9851000000"/>
    <n v="53338000000"/>
    <n v="22192858600"/>
    <n v="29519030000"/>
    <n v="0.1120000000000001"/>
    <n v="41165536500"/>
  </r>
  <r>
    <x v="682"/>
    <s v="9128284F4"/>
    <s v="Note"/>
    <s v="7-Year"/>
    <n v="2.67"/>
    <n v="2.72"/>
    <n v="2.5499999999999998"/>
    <n v="2.34"/>
    <n v="5108556500"/>
    <n v="67842905000"/>
    <n v="28977509400"/>
    <n v="22525000"/>
    <n v="3494000000"/>
    <n v="4844000000"/>
    <n v="9300272400"/>
    <n v="43589000000"/>
    <n v="16183237000"/>
    <n v="19409905000"/>
    <n v="0.17000000000000037"/>
    <n v="34108590900"/>
  </r>
  <r>
    <x v="683"/>
    <s v="9128284G2"/>
    <s v="Note"/>
    <s v="3-Year"/>
    <n v="2.407"/>
    <n v="2.4500000000000002"/>
    <n v="2.2000000000000002"/>
    <n v="2.85"/>
    <n v="51432000"/>
    <n v="85347130000"/>
    <n v="29810138700"/>
    <n v="89923700"/>
    <n v="3448000000"/>
    <n v="5123000000"/>
    <n v="12187390000"/>
    <n v="56102000000"/>
    <n v="14174748700"/>
    <n v="24122130000"/>
    <n v="0.25"/>
    <n v="29951494400"/>
  </r>
  <r>
    <x v="684"/>
    <s v="9128283W8"/>
    <s v="Note"/>
    <s v="9-Year 10-Month"/>
    <n v="2.74"/>
    <n v="2.7949999999999999"/>
    <n v="2.1880000000000002"/>
    <n v="2.46"/>
    <n v="36002400"/>
    <n v="51606600000"/>
    <n v="20991784000"/>
    <n v="8264900"/>
    <n v="1768480000"/>
    <n v="2758000000"/>
    <n v="8053772000"/>
    <n v="33963000000"/>
    <n v="11169532000"/>
    <n v="14885600000"/>
    <n v="0.60699999999999976"/>
    <n v="21036051300"/>
  </r>
  <r>
    <x v="685"/>
    <s v="912810SA7"/>
    <s v="Bond"/>
    <s v="29-Year 10-Month"/>
    <n v="2.9990000000000001"/>
    <n v="3.044"/>
    <n v="2.1880000000000002"/>
    <n v="2.41"/>
    <n v="22287100"/>
    <n v="31385387000"/>
    <n v="12998197000"/>
    <n v="1805600"/>
    <n v="1896000000"/>
    <n v="2546000000"/>
    <n v="3171000000"/>
    <n v="18775000000"/>
    <n v="7931197000"/>
    <n v="10064387000"/>
    <n v="0.85599999999999987"/>
    <n v="13022289700"/>
  </r>
  <r>
    <x v="686"/>
    <s v="9128284J6"/>
    <s v="Note"/>
    <s v="2-Year"/>
    <n v="2.4700000000000002"/>
    <n v="2.4980000000000002"/>
    <n v="2.395"/>
    <n v="2.61"/>
    <n v="4084377400"/>
    <n v="83147500000"/>
    <n v="31492600000"/>
    <n v="357419500"/>
    <n v="4834000000"/>
    <n v="6654000000"/>
    <n v="13572100000"/>
    <n v="59664000000"/>
    <n v="13086500000"/>
    <n v="16829500000"/>
    <n v="0.1030000000000002"/>
    <n v="35934396900"/>
  </r>
  <r>
    <x v="687"/>
    <s v="9128284L1"/>
    <s v="Note"/>
    <s v="5-Year"/>
    <n v="2.8"/>
    <n v="2.8370000000000002"/>
    <n v="2.1880000000000002"/>
    <n v="2.4900000000000002"/>
    <n v="4467287800"/>
    <n v="87169376000"/>
    <n v="34945476000"/>
    <n v="54545200"/>
    <n v="4780000000"/>
    <n v="6280000000"/>
    <n v="9141400000"/>
    <n v="52540000000"/>
    <n v="21024076000"/>
    <n v="28349376000"/>
    <n v="0.64900000000000002"/>
    <n v="39467309000"/>
  </r>
  <r>
    <x v="688"/>
    <s v="9128284M9"/>
    <s v="Note"/>
    <s v="7-Year"/>
    <n v="2.9"/>
    <n v="2.952"/>
    <n v="2.2879999999999998"/>
    <n v="2.56"/>
    <n v="3701467000"/>
    <n v="74224679000"/>
    <n v="28975939000"/>
    <n v="14103600"/>
    <n v="3673000000"/>
    <n v="5323000000"/>
    <n v="6245260000"/>
    <n v="43865000000"/>
    <n v="19057679000"/>
    <n v="25036679000"/>
    <n v="0.66400000000000015"/>
    <n v="32691509600"/>
  </r>
  <r>
    <x v="689"/>
    <s v="9128284P2"/>
    <s v="Note"/>
    <s v="3-Year"/>
    <n v="2.6389999999999998"/>
    <n v="2.6640000000000001"/>
    <n v="2.5099999999999998"/>
    <n v="2.76"/>
    <n v="7473107000"/>
    <n v="85277800000"/>
    <n v="30818150000"/>
    <n v="81868500"/>
    <n v="3782000000"/>
    <n v="5467000000"/>
    <n v="12993410000"/>
    <n v="58390000000"/>
    <n v="14042740000"/>
    <n v="21420800000"/>
    <n v="0.15400000000000036"/>
    <n v="38373125500"/>
  </r>
  <r>
    <x v="690"/>
    <s v="9128284N7"/>
    <s v="Note"/>
    <s v="10-Year"/>
    <n v="2.95"/>
    <n v="2.9950000000000001"/>
    <n v="2.89"/>
    <n v="2.56"/>
    <n v="6026699100"/>
    <n v="64007750000"/>
    <n v="24954719000"/>
    <n v="45314200"/>
    <n v="2076325000"/>
    <n v="3976000000"/>
    <n v="7152318500"/>
    <n v="39859500000"/>
    <n v="15726075500"/>
    <n v="20172250000"/>
    <n v="0.10499999999999998"/>
    <n v="31026732300"/>
  </r>
  <r>
    <x v="691"/>
    <s v="912810SC3"/>
    <s v="Bond"/>
    <s v="30-Year"/>
    <n v="3.1"/>
    <n v="3.13"/>
    <n v="3.0449999999999999"/>
    <n v="2.38"/>
    <n v="4098155300"/>
    <n v="40397723000"/>
    <n v="16994954700"/>
    <n v="5087100"/>
    <n v="1418000000"/>
    <n v="2700000000"/>
    <n v="4913239000"/>
    <n v="23767000000"/>
    <n v="10663715700"/>
    <n v="13930723000"/>
    <n v="8.4999999999999964E-2"/>
    <n v="21098197100"/>
  </r>
  <r>
    <x v="692"/>
    <s v="9128284Q0"/>
    <s v="Note"/>
    <s v="2-Year"/>
    <n v="2.56"/>
    <n v="2.59"/>
    <n v="2.2000000000000002"/>
    <n v="2.88"/>
    <n v="5732490200"/>
    <n v="94381850000"/>
    <n v="32429810000"/>
    <n v="420191900"/>
    <n v="4975000000"/>
    <n v="7045000000"/>
    <n v="14712135000"/>
    <n v="64269000000"/>
    <n v="12742675000"/>
    <n v="23067850000"/>
    <n v="0.38999999999999968"/>
    <n v="38582492100"/>
  </r>
  <r>
    <x v="693"/>
    <s v="9128284S6"/>
    <s v="Note"/>
    <s v="5-Year"/>
    <n v="2.82"/>
    <n v="2.8639999999999999"/>
    <n v="2.74"/>
    <n v="2.52"/>
    <n v="6253625600"/>
    <n v="90554210000"/>
    <n v="35936698800"/>
    <n v="63373900"/>
    <n v="3904000000"/>
    <n v="5722000000"/>
    <n v="11838508800"/>
    <n v="56645000000"/>
    <n v="20194190000"/>
    <n v="28187210000"/>
    <n v="0.12399999999999967"/>
    <n v="42253698300"/>
  </r>
  <r>
    <x v="694"/>
    <s v="9128284R8"/>
    <s v="Note"/>
    <s v="7-Year"/>
    <n v="2.9"/>
    <n v="2.93"/>
    <n v="1.8879999999999999"/>
    <n v="2.62"/>
    <n v="5211354700"/>
    <n v="78713628000"/>
    <n v="29974623800"/>
    <n v="25618600"/>
    <n v="3864092000"/>
    <n v="6054000000"/>
    <n v="6472380000"/>
    <n v="46371000000"/>
    <n v="19638151800"/>
    <n v="26288628000"/>
    <n v="1.0420000000000003"/>
    <n v="35211597100"/>
  </r>
  <r>
    <x v="695"/>
    <s v="9128284N7"/>
    <s v="Note"/>
    <s v="9-Year 11-Month"/>
    <n v="2.92"/>
    <n v="2.9620000000000002"/>
    <n v="2.83"/>
    <n v="2.59"/>
    <n v="0"/>
    <n v="57052540000"/>
    <n v="21989208000"/>
    <n v="10842600"/>
    <n v="3576150000"/>
    <n v="5121000000"/>
    <n v="6092018000"/>
    <n v="35115000000"/>
    <n v="12321040000"/>
    <n v="16816540000"/>
    <n v="0.13200000000000012"/>
    <n v="22000050600"/>
  </r>
  <r>
    <x v="695"/>
    <s v="9128284T4"/>
    <s v="Note"/>
    <s v="3-Year"/>
    <n v="2.62"/>
    <n v="2.6640000000000001"/>
    <n v="2.1880000000000002"/>
    <n v="2.83"/>
    <n v="0"/>
    <n v="90285330000"/>
    <n v="31825119500"/>
    <n v="74999300"/>
    <n v="2932000000"/>
    <n v="4537000000"/>
    <n v="12542665000"/>
    <n v="61142000000"/>
    <n v="16350454500"/>
    <n v="24606330000"/>
    <n v="0.47599999999999998"/>
    <n v="31900118800"/>
  </r>
  <r>
    <x v="696"/>
    <s v="912810SC3"/>
    <s v="Bond"/>
    <s v="29-Year 11-Month"/>
    <n v="3.0630000000000002"/>
    <n v="3.1"/>
    <n v="2.8879999999999999"/>
    <n v="2.38"/>
    <n v="0"/>
    <n v="33311082000"/>
    <n v="13992939100"/>
    <n v="7069000"/>
    <n v="1437258000"/>
    <n v="2091000000"/>
    <n v="3846767100"/>
    <n v="20231000000"/>
    <n v="8708914000"/>
    <n v="10989082000"/>
    <n v="0.21200000000000019"/>
    <n v="14000008100"/>
  </r>
  <r>
    <x v="697"/>
    <s v="912828XY1"/>
    <s v="Note"/>
    <s v="2-Year"/>
    <n v="2.5"/>
    <n v="2.5379999999999998"/>
    <n v="2.42"/>
    <n v="2.73"/>
    <n v="4234201900"/>
    <n v="92287820000"/>
    <n v="33475880000"/>
    <n v="324169400"/>
    <n v="5155650000"/>
    <n v="7222000000"/>
    <n v="14171220000"/>
    <n v="59325000000"/>
    <n v="14149010000"/>
    <n v="25740820000"/>
    <n v="0.11799999999999988"/>
    <n v="38034251300"/>
  </r>
  <r>
    <x v="698"/>
    <s v="9128284U1"/>
    <s v="Note"/>
    <s v="5-Year"/>
    <n v="2.68"/>
    <n v="2.7189999999999999"/>
    <n v="2.6"/>
    <n v="2.5499999999999998"/>
    <n v="4483272500"/>
    <n v="91600432000"/>
    <n v="35963725700"/>
    <n v="36395800"/>
    <n v="3415000000"/>
    <n v="4965000000"/>
    <n v="10241116200"/>
    <n v="57296000000"/>
    <n v="22307609500"/>
    <n v="29339432000"/>
    <n v="0.11899999999999977"/>
    <n v="40483394000"/>
  </r>
  <r>
    <x v="699"/>
    <s v="912828XZ8"/>
    <s v="Note"/>
    <s v="7-Year"/>
    <n v="2.77"/>
    <n v="2.8090000000000002"/>
    <n v="2.7"/>
    <n v="2.5299999999999998"/>
    <n v="3736060400"/>
    <n v="75846294000"/>
    <n v="29983974000"/>
    <n v="16040100"/>
    <n v="4570000000"/>
    <n v="5975000000"/>
    <n v="7238680000"/>
    <n v="45213000000"/>
    <n v="18175294000"/>
    <n v="24658294000"/>
    <n v="0.10899999999999999"/>
    <n v="33736074500"/>
  </r>
  <r>
    <x v="700"/>
    <s v="912828Y20"/>
    <s v="Note"/>
    <s v="3-Year"/>
    <n v="2.66"/>
    <n v="2.6850000000000001"/>
    <n v="2.56"/>
    <n v="2.5099999999999998"/>
    <n v="128264400"/>
    <n v="82642100000"/>
    <n v="32837502500"/>
    <n v="62545000"/>
    <n v="3000000000"/>
    <n v="4500000000"/>
    <n v="16840402500"/>
    <n v="58965000000"/>
    <n v="12997100000"/>
    <n v="19177100000"/>
    <n v="0.125"/>
    <n v="33028311900"/>
  </r>
  <r>
    <x v="701"/>
    <s v="9128284N7"/>
    <s v="Note"/>
    <s v="9-Year 10-Month"/>
    <n v="2.82"/>
    <n v="2.859"/>
    <n v="2.3879999999999999"/>
    <n v="2.57"/>
    <n v="85509600"/>
    <n v="56459000000"/>
    <n v="21993278500"/>
    <n v="6786600"/>
    <n v="2299350000"/>
    <n v="3728000000"/>
    <n v="5389821000"/>
    <n v="34432000000"/>
    <n v="14304107500"/>
    <n v="18299000000"/>
    <n v="0.47100000000000009"/>
    <n v="22085574700"/>
  </r>
  <r>
    <x v="702"/>
    <s v="912810SC3"/>
    <s v="Bond"/>
    <s v="29-Year 10-Month"/>
    <n v="2.9140000000000001"/>
    <n v="2.9580000000000002"/>
    <n v="2.6880000000000002"/>
    <n v="2.34"/>
    <n v="54415100"/>
    <n v="32713362000"/>
    <n v="13995064000"/>
    <n v="4936500"/>
    <n v="1445000000"/>
    <n v="2095000000"/>
    <n v="3890000000"/>
    <n v="20165000000"/>
    <n v="8660064000"/>
    <n v="10453362000"/>
    <n v="0.27"/>
    <n v="14054415600"/>
  </r>
  <r>
    <x v="703"/>
    <s v="912828Y46"/>
    <s v="Note"/>
    <s v="2-Year"/>
    <n v="2.61"/>
    <n v="2.657"/>
    <n v="2.1880000000000002"/>
    <n v="2.92"/>
    <n v="1900547100"/>
    <n v="101707895000"/>
    <n v="34462311000"/>
    <n v="437836600"/>
    <n v="4923000000"/>
    <n v="6973000000"/>
    <n v="14021916000"/>
    <n v="70554500000"/>
    <n v="15517395000"/>
    <n v="24180395000"/>
    <n v="0.46899999999999986"/>
    <n v="36800694700"/>
  </r>
  <r>
    <x v="704"/>
    <s v="912828Y61"/>
    <s v="Note"/>
    <s v="5-Year"/>
    <n v="2.7789999999999999"/>
    <n v="2.8149999999999999"/>
    <n v="2.71"/>
    <n v="2.61"/>
    <n v="1954848300"/>
    <n v="94061737000"/>
    <n v="35966433000"/>
    <n v="33701100"/>
    <n v="3124392000"/>
    <n v="6103000000"/>
    <n v="8666800000"/>
    <n v="55793000000"/>
    <n v="24175241000"/>
    <n v="32165737000"/>
    <n v="0.10499999999999998"/>
    <n v="37954982400"/>
  </r>
  <r>
    <x v="705"/>
    <s v="912828Y79"/>
    <s v="Note"/>
    <s v="7-Year"/>
    <n v="2.87"/>
    <n v="2.93"/>
    <n v="2.82"/>
    <n v="2.4900000000000002"/>
    <n v="1629040300"/>
    <n v="74655077000"/>
    <n v="29992613000"/>
    <n v="7459800"/>
    <n v="3590000000"/>
    <n v="5300000000"/>
    <n v="7026716000"/>
    <n v="44738000000"/>
    <n v="19375897000"/>
    <n v="24617077000"/>
    <n v="0.11000000000000032"/>
    <n v="31629113100"/>
  </r>
  <r>
    <x v="706"/>
    <s v="9128284W7"/>
    <s v="Note"/>
    <s v="3-Year"/>
    <n v="2.7429999999999999"/>
    <n v="2.7650000000000001"/>
    <n v="2.63"/>
    <n v="2.65"/>
    <n v="4570943900"/>
    <n v="89915850000"/>
    <n v="33807730000"/>
    <n v="92300300"/>
    <n v="4088240000"/>
    <n v="5754000000"/>
    <n v="15288800000"/>
    <n v="60982000000"/>
    <n v="14430690000"/>
    <n v="23179850000"/>
    <n v="0.13500000000000023"/>
    <n v="38470974200"/>
  </r>
  <r>
    <x v="707"/>
    <s v="9128284V9"/>
    <s v="Note"/>
    <s v="10-Year"/>
    <n v="2.92"/>
    <n v="2.96"/>
    <n v="2.867"/>
    <n v="2.5499999999999998"/>
    <n v="3495427700"/>
    <n v="66159940000"/>
    <n v="25970654000"/>
    <n v="29446300"/>
    <n v="2928000000"/>
    <n v="4083000000"/>
    <n v="7129974000"/>
    <n v="40630000000"/>
    <n v="15912680000"/>
    <n v="21446940000"/>
    <n v="9.2999999999999972E-2"/>
    <n v="29495528000"/>
  </r>
  <r>
    <x v="708"/>
    <s v="912810SD1"/>
    <s v="Bond"/>
    <s v="30-Year"/>
    <n v="3.048"/>
    <n v="3.09"/>
    <n v="2.5880000000000001"/>
    <n v="2.27"/>
    <n v="2419911400"/>
    <n v="40923395000"/>
    <n v="17991688500"/>
    <n v="8316900"/>
    <n v="1446000000"/>
    <n v="2186000000"/>
    <n v="5346461000"/>
    <n v="25629000000"/>
    <n v="11199227500"/>
    <n v="13108395000"/>
    <n v="0.50199999999999978"/>
    <n v="20419916800"/>
  </r>
  <r>
    <x v="709"/>
    <s v="9128284Y3"/>
    <s v="Note"/>
    <s v="2-Year"/>
    <n v="2.625"/>
    <n v="2.6549999999999998"/>
    <n v="1.8879999999999999"/>
    <n v="2.89"/>
    <n v="2537301200"/>
    <n v="103719467000"/>
    <n v="35536266000"/>
    <n v="363923900"/>
    <n v="4861000000"/>
    <n v="6701000000"/>
    <n v="15102395000"/>
    <n v="67861000000"/>
    <n v="15572871000"/>
    <n v="29157467000"/>
    <n v="0.7669999999999999"/>
    <n v="38437491100"/>
  </r>
  <r>
    <x v="710"/>
    <s v="9128284X5"/>
    <s v="Note"/>
    <s v="5-Year"/>
    <n v="2.7210000000000001"/>
    <n v="2.7650000000000001"/>
    <n v="2.6"/>
    <n v="2.4900000000000002"/>
    <n v="2607781700"/>
    <n v="92203300000"/>
    <n v="36946038000"/>
    <n v="54008400"/>
    <n v="3330000000"/>
    <n v="5180000000"/>
    <n v="9141549200"/>
    <n v="56605000000"/>
    <n v="24474488800"/>
    <n v="30418300000"/>
    <n v="0.16500000000000004"/>
    <n v="39607828100"/>
  </r>
  <r>
    <x v="711"/>
    <s v="9128284Z0"/>
    <s v="Note"/>
    <s v="7-Year"/>
    <n v="2.8069999999999999"/>
    <n v="2.8439999999999999"/>
    <n v="2.7"/>
    <n v="2.65"/>
    <n v="2184898200"/>
    <n v="82154890000"/>
    <n v="30985490000"/>
    <n v="14554900"/>
    <n v="5877040000"/>
    <n v="8828000000"/>
    <n v="6670200000"/>
    <n v="49425000000"/>
    <n v="18438250000"/>
    <n v="23901890000"/>
    <n v="0.14399999999999968"/>
    <n v="33184943100"/>
  </r>
  <r>
    <x v="712"/>
    <s v="9128285A4"/>
    <s v="Note"/>
    <s v="3-Year"/>
    <n v="2.7949999999999999"/>
    <n v="2.8210000000000002"/>
    <n v="2.6"/>
    <n v="2.68"/>
    <n v="0"/>
    <n v="93707200000"/>
    <n v="34789505900"/>
    <n v="110513200"/>
    <n v="3731000000"/>
    <n v="5371000000"/>
    <n v="14958752400"/>
    <n v="65126000000"/>
    <n v="16099753500"/>
    <n v="23210200000"/>
    <n v="0.22100000000000009"/>
    <n v="34900019100"/>
  </r>
  <r>
    <x v="713"/>
    <s v="9128284V9"/>
    <s v="Note"/>
    <s v="9-Year 11-Month"/>
    <n v="2.9159999999999999"/>
    <n v="2.9569999999999999"/>
    <n v="2.8"/>
    <n v="2.58"/>
    <n v="0"/>
    <n v="59313385000"/>
    <n v="22984575000"/>
    <n v="15429800"/>
    <n v="3090000000"/>
    <n v="4242000000"/>
    <n v="5203000000"/>
    <n v="36168000000"/>
    <n v="14691575000"/>
    <n v="18903385000"/>
    <n v="0.15700000000000003"/>
    <n v="23000004800"/>
  </r>
  <r>
    <x v="714"/>
    <s v="912810SD1"/>
    <s v="Bond"/>
    <s v="29-Year 11-Month"/>
    <n v="3.05"/>
    <n v="3.0880000000000001"/>
    <n v="2.6880000000000002"/>
    <n v="2.34"/>
    <n v="0"/>
    <n v="35055570000"/>
    <n v="14996787500"/>
    <n v="3223900"/>
    <n v="1692857500"/>
    <n v="2353000000"/>
    <n v="4049031000"/>
    <n v="21954000000"/>
    <n v="9254899000"/>
    <n v="10748570000"/>
    <n v="0.39999999999999991"/>
    <n v="15000011400"/>
  </r>
  <r>
    <x v="715"/>
    <s v="9128285B2"/>
    <s v="Note"/>
    <s v="2-Year"/>
    <n v="2.8"/>
    <n v="2.8290000000000002"/>
    <n v="2.7"/>
    <n v="2.44"/>
    <n v="0"/>
    <n v="89671395000"/>
    <n v="36509217400"/>
    <n v="390858100"/>
    <n v="4894000000"/>
    <n v="6469000000"/>
    <n v="17024568000"/>
    <n v="63349000000"/>
    <n v="14590649400"/>
    <n v="19853395000"/>
    <n v="0.129"/>
    <n v="36900075500"/>
  </r>
  <r>
    <x v="716"/>
    <s v="9128285D8"/>
    <s v="Note"/>
    <s v="5-Year"/>
    <n v="2.9660000000000002"/>
    <n v="2.9969999999999999"/>
    <n v="2.88"/>
    <n v="2.39"/>
    <n v="0"/>
    <n v="90909500000"/>
    <n v="37961268000"/>
    <n v="38778700"/>
    <n v="3501000000"/>
    <n v="5036000000"/>
    <n v="12495168000"/>
    <n v="59354000000"/>
    <n v="21965100000"/>
    <n v="26519500000"/>
    <n v="0.11699999999999999"/>
    <n v="38000046700"/>
  </r>
  <r>
    <x v="717"/>
    <s v="9128285C0"/>
    <s v="Note"/>
    <s v="7-Year"/>
    <n v="2.9849999999999999"/>
    <n v="3.0339999999999998"/>
    <n v="2.5880000000000001"/>
    <n v="2.4500000000000002"/>
    <n v="0"/>
    <n v="75891350000"/>
    <n v="30976622800"/>
    <n v="23425500"/>
    <n v="3956400000"/>
    <n v="6071400000"/>
    <n v="7828496000"/>
    <n v="47430000000"/>
    <n v="19191726800"/>
    <n v="22389950000"/>
    <n v="0.44599999999999973"/>
    <n v="31000048300"/>
  </r>
  <r>
    <x v="718"/>
    <s v="9128284V9"/>
    <s v="Note"/>
    <s v="9-Year 10-Month"/>
    <n v="3.18"/>
    <n v="3.2250000000000001"/>
    <n v="3.12"/>
    <n v="2.39"/>
    <n v="0"/>
    <n v="54860165000"/>
    <n v="22974381100"/>
    <n v="25667900"/>
    <n v="1240945000"/>
    <n v="2278000000"/>
    <n v="6923757500"/>
    <n v="34619000000"/>
    <n v="14809678600"/>
    <n v="17963165000"/>
    <n v="0.10499999999999998"/>
    <n v="23000049000"/>
  </r>
  <r>
    <x v="718"/>
    <s v="9128285F3"/>
    <s v="Note"/>
    <s v="3-Year"/>
    <n v="2.9550000000000001"/>
    <n v="2.9889999999999999"/>
    <n v="2.89"/>
    <n v="2.56"/>
    <n v="0"/>
    <n v="92006650000"/>
    <n v="35703620000"/>
    <n v="96461000"/>
    <n v="3487000000"/>
    <n v="5735000000"/>
    <n v="15469960000"/>
    <n v="60264000000"/>
    <n v="16746660000"/>
    <n v="26007650000"/>
    <n v="9.8999999999999755E-2"/>
    <n v="35800081000"/>
  </r>
  <r>
    <x v="719"/>
    <s v="912810SD1"/>
    <s v="Bond"/>
    <s v="29-Year 10-Month"/>
    <n v="3.3090000000000002"/>
    <n v="3.3439999999999999"/>
    <n v="3.23"/>
    <n v="2.42"/>
    <n v="0"/>
    <n v="36290104000"/>
    <n v="14997966200"/>
    <n v="2034200"/>
    <n v="1916000000"/>
    <n v="2566000000"/>
    <n v="3421101000"/>
    <n v="21864000000"/>
    <n v="9660865200"/>
    <n v="11860104000"/>
    <n v="0.11399999999999988"/>
    <n v="15000000400"/>
  </r>
  <r>
    <x v="720"/>
    <s v="9128285G1"/>
    <s v="Note"/>
    <s v="2-Year"/>
    <n v="2.859"/>
    <n v="2.88"/>
    <n v="2.77"/>
    <n v="2.67"/>
    <n v="0"/>
    <n v="100962392000"/>
    <n v="37472866800"/>
    <n v="427328300"/>
    <n v="2060000000"/>
    <n v="3860000000"/>
    <n v="15699606600"/>
    <n v="67026000000"/>
    <n v="19713260200"/>
    <n v="30076392000"/>
    <n v="0.10999999999999988"/>
    <n v="37900195100"/>
  </r>
  <r>
    <x v="721"/>
    <s v="9128285K2"/>
    <s v="Note"/>
    <s v="5-Year"/>
    <n v="2.94"/>
    <n v="2.9769999999999999"/>
    <n v="2.85"/>
    <n v="2.2999999999999998"/>
    <n v="0"/>
    <n v="89685340000"/>
    <n v="38858615000"/>
    <n v="41390200"/>
    <n v="727000000"/>
    <n v="2227000000"/>
    <n v="15202650000"/>
    <n v="60267000000"/>
    <n v="22928965000"/>
    <n v="27191340000"/>
    <n v="0.12699999999999978"/>
    <n v="38900005200"/>
  </r>
  <r>
    <x v="722"/>
    <s v="9128285J5"/>
    <s v="Note"/>
    <s v="7-Year"/>
    <n v="3.024"/>
    <n v="3.0739999999999998"/>
    <n v="2.6880000000000002"/>
    <n v="2.39"/>
    <n v="0"/>
    <n v="74160680000"/>
    <n v="30979771200"/>
    <n v="20229100"/>
    <n v="1616100000"/>
    <n v="2966100000"/>
    <n v="9339472500"/>
    <n v="47893000000"/>
    <n v="20024198700"/>
    <n v="23301580000"/>
    <n v="0.38599999999999968"/>
    <n v="31000000300"/>
  </r>
  <r>
    <x v="723"/>
    <s v="9128285L0"/>
    <s v="Note"/>
    <s v="3-Year"/>
    <n v="2.96"/>
    <n v="2.9830000000000001"/>
    <n v="2.86"/>
    <n v="2.54"/>
    <n v="7545438700"/>
    <n v="93691800000"/>
    <n v="36702980900"/>
    <n v="97186400"/>
    <n v="1102628500"/>
    <n v="2848000000"/>
    <n v="17584965000"/>
    <n v="64204000000"/>
    <n v="18015387400"/>
    <n v="26639800000"/>
    <n v="0.12300000000000022"/>
    <n v="44345606000"/>
  </r>
  <r>
    <x v="724"/>
    <s v="9128285M8"/>
    <s v="Note"/>
    <s v="10-Year"/>
    <n v="3.165"/>
    <n v="3.2090000000000001"/>
    <n v="3.1"/>
    <n v="2.54"/>
    <n v="5506130800"/>
    <n v="68399240000"/>
    <n v="26952935100"/>
    <n v="47182000"/>
    <n v="328000000"/>
    <n v="1953000000"/>
    <n v="6726464000"/>
    <n v="41063000000"/>
    <n v="19898471100"/>
    <n v="25383240000"/>
    <n v="0.10899999999999999"/>
    <n v="32506247900"/>
  </r>
  <r>
    <x v="725"/>
    <s v="912810SE9"/>
    <s v="Bond"/>
    <s v="30-Year"/>
    <n v="3.36"/>
    <n v="3.4180000000000001"/>
    <n v="3.27"/>
    <n v="2.06"/>
    <n v="3874684700"/>
    <n v="39089045000"/>
    <n v="18993389800"/>
    <n v="6610700"/>
    <n v="550000000"/>
    <n v="1225000000"/>
    <n v="7227000000"/>
    <n v="25997000000"/>
    <n v="11216389800"/>
    <n v="11867045000"/>
    <n v="0.14800000000000013"/>
    <n v="22874685200"/>
  </r>
  <r>
    <x v="726"/>
    <s v="9128285Q9"/>
    <s v="Note"/>
    <s v="2-Year"/>
    <n v="2.8159999999999998"/>
    <n v="2.8359999999999999"/>
    <n v="2.72"/>
    <n v="2.65"/>
    <n v="3424779900"/>
    <n v="103006235000"/>
    <n v="38562886000"/>
    <n v="337191300"/>
    <n v="7513486000"/>
    <n v="9350000000"/>
    <n v="13744165000"/>
    <n v="67321000000"/>
    <n v="17305235000"/>
    <n v="26335235000"/>
    <n v="0.11599999999999966"/>
    <n v="42324857200"/>
  </r>
  <r>
    <x v="727"/>
    <s v="9128285P1"/>
    <s v="Note"/>
    <s v="5-Year"/>
    <n v="2.8490000000000002"/>
    <n v="2.88"/>
    <n v="2.78"/>
    <n v="2.4900000000000002"/>
    <n v="3512594700"/>
    <n v="99648690000"/>
    <n v="39853291500"/>
    <n v="46739000"/>
    <n v="4115900000"/>
    <n v="5890900000"/>
    <n v="11866460000"/>
    <n v="63672000000"/>
    <n v="23870931500"/>
    <n v="30085790000"/>
    <n v="0.10000000000000009"/>
    <n v="43412625200"/>
  </r>
  <r>
    <x v="728"/>
    <s v="9128285N6"/>
    <s v="Note"/>
    <s v="7-Year"/>
    <n v="2.9390000000000001"/>
    <n v="2.9740000000000002"/>
    <n v="2.488"/>
    <n v="2.5499999999999998"/>
    <n v="2810075800"/>
    <n v="81614120000"/>
    <n v="31977842000"/>
    <n v="22173000"/>
    <n v="8647824500"/>
    <n v="10448700000"/>
    <n v="5225844000"/>
    <n v="48374000000"/>
    <n v="18104173500"/>
    <n v="22791420000"/>
    <n v="0.48600000000000021"/>
    <n v="34810090800"/>
  </r>
  <r>
    <x v="729"/>
    <s v="9128285R7"/>
    <s v="Note"/>
    <s v="3-Year"/>
    <n v="2.7090000000000001"/>
    <n v="2.7480000000000002"/>
    <n v="2.63"/>
    <n v="2.59"/>
    <n v="0"/>
    <n v="98279200000"/>
    <n v="37794031200"/>
    <n v="105999200"/>
    <n v="4737000000"/>
    <n v="6521000000"/>
    <n v="13973660000"/>
    <n v="64102000000"/>
    <n v="19083371200"/>
    <n v="27656200000"/>
    <n v="0.11800000000000033"/>
    <n v="37900030400"/>
  </r>
  <r>
    <x v="730"/>
    <s v="9128285M8"/>
    <s v="Note"/>
    <s v="9-Year 11-Month"/>
    <n v="2.87"/>
    <n v="2.915"/>
    <n v="2.488"/>
    <n v="2.35"/>
    <n v="0"/>
    <n v="56504600000"/>
    <n v="23987828100"/>
    <n v="12236400"/>
    <n v="2580000000"/>
    <n v="4180000000"/>
    <n v="6270074500"/>
    <n v="35183000000"/>
    <n v="15137753600"/>
    <n v="17141600000"/>
    <n v="0.42700000000000005"/>
    <n v="24000064500"/>
  </r>
  <r>
    <x v="731"/>
    <s v="912810SE9"/>
    <s v="Bond"/>
    <s v="29-Year 11-Month"/>
    <n v="3.11"/>
    <n v="3.165"/>
    <n v="2.6880000000000002"/>
    <n v="2.31"/>
    <n v="0"/>
    <n v="36918385000"/>
    <n v="15995815500"/>
    <n v="4193700"/>
    <n v="1844000000"/>
    <n v="2494000000"/>
    <n v="3528025000"/>
    <n v="22186000000"/>
    <n v="10623790500"/>
    <n v="12238385000"/>
    <n v="0.47699999999999987"/>
    <n v="16000009200"/>
  </r>
  <r>
    <x v="732"/>
    <s v="9128285S5"/>
    <s v="Note"/>
    <s v="2-Year"/>
    <n v="2.5819999999999999"/>
    <n v="2.6190000000000002"/>
    <n v="2.4"/>
    <n v="2.31"/>
    <n v="0"/>
    <n v="91811630000"/>
    <n v="39523090000"/>
    <n v="376993900"/>
    <n v="3102000000"/>
    <n v="4802000000"/>
    <n v="18648460000"/>
    <n v="68037000000"/>
    <n v="17772630000"/>
    <n v="18972630000"/>
    <n v="0.21900000000000031"/>
    <n v="39900083900"/>
  </r>
  <r>
    <x v="733"/>
    <s v="9128285U0"/>
    <s v="Note"/>
    <s v="5-Year"/>
    <n v="2.5990000000000002"/>
    <n v="2.6520000000000001"/>
    <n v="2.4"/>
    <n v="2.09"/>
    <n v="0"/>
    <n v="85743935000"/>
    <n v="40964967900"/>
    <n v="35050700"/>
    <n v="3933000000"/>
    <n v="5433000000"/>
    <n v="15056000000"/>
    <n v="57776000000"/>
    <n v="21975967900"/>
    <n v="22534935000"/>
    <n v="0.25200000000000022"/>
    <n v="41000018600"/>
  </r>
  <r>
    <x v="734"/>
    <s v="9128285T3"/>
    <s v="Note"/>
    <s v="7-Year"/>
    <n v="2.64"/>
    <n v="2.68"/>
    <n v="2.2879999999999998"/>
    <n v="2.46"/>
    <n v="0"/>
    <n v="78682830000"/>
    <n v="31988328300"/>
    <n v="11829700"/>
    <n v="4678000000"/>
    <n v="6160000000"/>
    <n v="5752350000"/>
    <n v="45379000000"/>
    <n v="21557978300"/>
    <n v="27143830000"/>
    <n v="0.39200000000000035"/>
    <n v="32000158000"/>
  </r>
  <r>
    <x v="735"/>
    <s v="9128285V8"/>
    <s v="Note"/>
    <s v="3-Year"/>
    <n v="2.5230000000000001"/>
    <n v="2.5590000000000002"/>
    <n v="2.4"/>
    <n v="2.44"/>
    <n v="0"/>
    <n v="92439570000"/>
    <n v="37834902900"/>
    <n v="65159200"/>
    <n v="6710000000"/>
    <n v="8210000000"/>
    <n v="15271970000"/>
    <n v="63679000000"/>
    <n v="15852932900"/>
    <n v="20550570000"/>
    <n v="0.15900000000000025"/>
    <n v="37900062100"/>
  </r>
  <r>
    <x v="736"/>
    <s v="9128285M8"/>
    <s v="Note"/>
    <s v="9-Year 10-Month"/>
    <n v="2.69"/>
    <n v="2.7280000000000002"/>
    <n v="2.2879999999999998"/>
    <n v="2.5099999999999998"/>
    <n v="0"/>
    <n v="60231945000"/>
    <n v="23994624100"/>
    <n v="5380500"/>
    <n v="4981000000"/>
    <n v="6281000000"/>
    <n v="5357000000"/>
    <n v="37042000000"/>
    <n v="13656624100"/>
    <n v="16908945000"/>
    <n v="0.44000000000000039"/>
    <n v="24000004600"/>
  </r>
  <r>
    <x v="737"/>
    <s v="912810SE9"/>
    <s v="Bond"/>
    <s v="29-Year 10-Month"/>
    <n v="2.99"/>
    <n v="3.0350000000000001"/>
    <n v="2.5880000000000001"/>
    <n v="2.19"/>
    <n v="0"/>
    <n v="35052100000"/>
    <n v="15992784300"/>
    <n v="7219200"/>
    <n v="2550100000"/>
    <n v="3185100000"/>
    <n v="4275503000"/>
    <n v="21757000000"/>
    <n v="9167181300"/>
    <n v="10110000000"/>
    <n v="0.44700000000000006"/>
    <n v="16000003500"/>
  </r>
  <r>
    <x v="738"/>
    <s v="9128285Z9"/>
    <s v="Note"/>
    <s v="5-Year"/>
    <n v="2.54"/>
    <n v="2.5760000000000001"/>
    <n v="2.4700000000000002"/>
    <n v="2.41"/>
    <n v="0"/>
    <n v="98718190000"/>
    <n v="40965284100"/>
    <n v="34781300"/>
    <n v="6238000000"/>
    <n v="7713000000"/>
    <n v="10065644100"/>
    <n v="60013000000"/>
    <n v="24661640000"/>
    <n v="30992190000"/>
    <n v="0.10599999999999987"/>
    <n v="41000065400"/>
  </r>
  <r>
    <x v="738"/>
    <s v="9128285X4"/>
    <s v="Note"/>
    <s v="2-Year"/>
    <n v="2.577"/>
    <n v="2.6"/>
    <n v="2.5"/>
    <n v="2.56"/>
    <n v="0"/>
    <n v="102154600000"/>
    <n v="39581800000"/>
    <n v="318252800"/>
    <n v="7572000000"/>
    <n v="9272000000"/>
    <n v="10886200000"/>
    <n v="66325000000"/>
    <n v="21123600000"/>
    <n v="26557600000"/>
    <n v="0.10000000000000009"/>
    <n v="39900052800"/>
  </r>
  <r>
    <x v="739"/>
    <s v="9128286A3"/>
    <s v="Note"/>
    <s v="7-Year"/>
    <n v="2.58"/>
    <n v="2.625"/>
    <n v="2.5"/>
    <n v="2.54"/>
    <n v="0"/>
    <n v="81147680000"/>
    <n v="31985843200"/>
    <n v="14263000"/>
    <n v="7966555000"/>
    <n v="9490900000"/>
    <n v="5382401500"/>
    <n v="48380000000"/>
    <n v="18636886700"/>
    <n v="23276780000"/>
    <n v="0.125"/>
    <n v="32000106200"/>
  </r>
  <r>
    <x v="740"/>
    <s v="9128286C9"/>
    <s v="Note"/>
    <s v="3-Year"/>
    <n v="2.4740000000000002"/>
    <n v="2.5019999999999998"/>
    <n v="2.4"/>
    <n v="2.5499999999999998"/>
    <n v="9151237200"/>
    <n v="96845500000"/>
    <n v="37820750000"/>
    <n v="79305600"/>
    <n v="6980000000"/>
    <n v="8880000000"/>
    <n v="13561250000"/>
    <n v="64998000000"/>
    <n v="17279500000"/>
    <n v="22967500000"/>
    <n v="0.10199999999999987"/>
    <n v="47051292800"/>
  </r>
  <r>
    <x v="741"/>
    <s v="9128286B1"/>
    <s v="Note"/>
    <s v="10-Year"/>
    <n v="2.64"/>
    <n v="2.6890000000000001"/>
    <n v="2.585"/>
    <n v="2.35"/>
    <n v="6502194700"/>
    <n v="63393605000"/>
    <n v="26969069000"/>
    <n v="30936400"/>
    <n v="3286000000"/>
    <n v="4336000000"/>
    <n v="7648410000"/>
    <n v="40450000000"/>
    <n v="16034659000"/>
    <n v="18607605000"/>
    <n v="0.10400000000000009"/>
    <n v="33502200100"/>
  </r>
  <r>
    <x v="742"/>
    <s v="912810SF6"/>
    <s v="Bond"/>
    <s v="30-Year"/>
    <n v="2.972"/>
    <n v="3.0219999999999998"/>
    <n v="2.5880000000000001"/>
    <n v="2.27"/>
    <n v="4575618500"/>
    <n v="43048970000"/>
    <n v="18992283200"/>
    <n v="7729900"/>
    <n v="3229100000"/>
    <n v="3999100000"/>
    <n v="5060310000"/>
    <n v="26529000000"/>
    <n v="10702873200"/>
    <n v="12520870000"/>
    <n v="0.43399999999999972"/>
    <n v="23575631600"/>
  </r>
  <r>
    <x v="743"/>
    <s v="9128286G0"/>
    <s v="Note"/>
    <s v="5-Year"/>
    <n v="2.4620000000000002"/>
    <n v="2.4889999999999999"/>
    <n v="2.37"/>
    <n v="2.4"/>
    <n v="1973156300"/>
    <n v="98537747400"/>
    <n v="40962936200"/>
    <n v="37063800"/>
    <n v="9223000000"/>
    <n v="10998000000"/>
    <n v="8122448800"/>
    <n v="58888000000"/>
    <n v="23617487400"/>
    <n v="28651747400"/>
    <n v="0.11899999999999977"/>
    <n v="42973156300"/>
  </r>
  <r>
    <x v="743"/>
    <s v="9128286D7"/>
    <s v="Note"/>
    <s v="2-Year"/>
    <n v="2.4849999999999999"/>
    <n v="2.5030000000000001"/>
    <n v="2.4"/>
    <n v="2.5"/>
    <n v="1925030500"/>
    <n v="99693040000"/>
    <n v="39512863600"/>
    <n v="287190000"/>
    <n v="8946000000"/>
    <n v="10446000000"/>
    <n v="15330790000"/>
    <n v="68218000000"/>
    <n v="15236073600"/>
    <n v="21029040000"/>
    <n v="0.1030000000000002"/>
    <n v="41725084100"/>
  </r>
  <r>
    <x v="744"/>
    <s v="9128286F2"/>
    <s v="Note"/>
    <s v="7-Year"/>
    <n v="2.5"/>
    <n v="2.5379999999999998"/>
    <n v="2.4409999999999998"/>
    <n v="2.6"/>
    <n v="1540024400"/>
    <n v="83118645000"/>
    <n v="31983000200"/>
    <n v="17077400"/>
    <n v="9090235200"/>
    <n v="11087400000"/>
    <n v="5246000000"/>
    <n v="49701000000"/>
    <n v="17646765000"/>
    <n v="22330245000"/>
    <n v="9.6999999999999975E-2"/>
    <n v="33540102000"/>
  </r>
  <r>
    <x v="745"/>
    <s v="9128286H8"/>
    <s v="Note"/>
    <s v="3-Year"/>
    <n v="2.41"/>
    <n v="2.448"/>
    <n v="2.3199999999999998"/>
    <n v="2.56"/>
    <n v="0"/>
    <n v="97175400000"/>
    <n v="37811102500"/>
    <n v="102221100"/>
    <n v="3557000000"/>
    <n v="5074000000"/>
    <n v="15525615000"/>
    <n v="63479000000"/>
    <n v="18728487500"/>
    <n v="28622400000"/>
    <n v="0.12800000000000011"/>
    <n v="37913323600"/>
  </r>
  <r>
    <x v="746"/>
    <s v="9128286B1"/>
    <s v="Note"/>
    <s v="9-Year 11-Month"/>
    <n v="2.585"/>
    <n v="2.6150000000000002"/>
    <n v="2.1880000000000002"/>
    <n v="2.59"/>
    <n v="0"/>
    <n v="62155865000"/>
    <n v="23989900400"/>
    <n v="10229200"/>
    <n v="2178000000"/>
    <n v="3663000000"/>
    <n v="5152777600"/>
    <n v="36694000000"/>
    <n v="16659122800"/>
    <n v="21798865000"/>
    <n v="0.42700000000000005"/>
    <n v="24000129600"/>
  </r>
  <r>
    <x v="747"/>
    <s v="912810SF6"/>
    <s v="Bond"/>
    <s v="29-Year 11-Month"/>
    <n v="2.95"/>
    <n v="3.0139999999999998"/>
    <n v="2.5880000000000001"/>
    <n v="2.25"/>
    <n v="0"/>
    <n v="36054035000"/>
    <n v="15997798300"/>
    <n v="2211900"/>
    <n v="2248300000"/>
    <n v="2773300000"/>
    <n v="4501463000"/>
    <n v="22541000000"/>
    <n v="9248035300"/>
    <n v="10739735000"/>
    <n v="0.42599999999999971"/>
    <n v="16000010200"/>
  </r>
  <r>
    <x v="748"/>
    <s v="912828C57"/>
    <s v="Note"/>
    <s v="2-Year"/>
    <n v="2.23"/>
    <n v="2.2610000000000001"/>
    <n v="1.8879999999999999"/>
    <n v="2.6"/>
    <n v="0"/>
    <n v="103660605000"/>
    <n v="39516105000"/>
    <n v="283918200"/>
    <n v="5243000000"/>
    <n v="6743000000"/>
    <n v="12131900000"/>
    <n v="67073000000"/>
    <n v="22141205000"/>
    <n v="29844605000"/>
    <n v="0.37300000000000022"/>
    <n v="39800023200"/>
  </r>
  <r>
    <x v="749"/>
    <s v="912828W71"/>
    <s v="Note"/>
    <s v="5-Year"/>
    <n v="2.125"/>
    <n v="2.1720000000000002"/>
    <n v="2.0499999999999998"/>
    <n v="2.35"/>
    <n v="0"/>
    <n v="96257615000"/>
    <n v="40968002200"/>
    <n v="32018900"/>
    <n v="7063000000"/>
    <n v="8513000000"/>
    <n v="9737000000"/>
    <n v="58911000000"/>
    <n v="24168002200"/>
    <n v="28833615000"/>
    <n v="0.12200000000000033"/>
    <n v="41000021100"/>
  </r>
  <r>
    <x v="750"/>
    <s v="9128286L9"/>
    <s v="Note"/>
    <s v="7-Year"/>
    <n v="2.2410000000000001"/>
    <n v="2.2810000000000001"/>
    <n v="2.15"/>
    <n v="2.54"/>
    <n v="0"/>
    <n v="81388760000"/>
    <n v="31992200000"/>
    <n v="7800900"/>
    <n v="6627400000"/>
    <n v="8049400000"/>
    <n v="4733080000"/>
    <n v="47422000000"/>
    <n v="20631720000"/>
    <n v="25917360000"/>
    <n v="0.13100000000000023"/>
    <n v="32000000900"/>
  </r>
  <r>
    <x v="751"/>
    <s v="9128286M7"/>
    <s v="Note"/>
    <s v="3-Year"/>
    <n v="2.2749999999999999"/>
    <n v="2.3010000000000002"/>
    <n v="1.988"/>
    <n v="2.4900000000000002"/>
    <n v="5280000"/>
    <n v="94351800000"/>
    <n v="37816560000"/>
    <n v="83465000"/>
    <n v="7074000000"/>
    <n v="8574000000"/>
    <n v="14588040000"/>
    <n v="64211000000"/>
    <n v="16154520000"/>
    <n v="21566800000"/>
    <n v="0.31300000000000017"/>
    <n v="37905305000"/>
  </r>
  <r>
    <x v="752"/>
    <s v="9128286B1"/>
    <s v="Note"/>
    <s v="9-Year 10-Month"/>
    <n v="2.4249999999999998"/>
    <n v="2.4660000000000002"/>
    <n v="2.0880000000000001"/>
    <n v="2.5499999999999998"/>
    <n v="3334700"/>
    <n v="61270985000"/>
    <n v="23982300500"/>
    <n v="17735300"/>
    <n v="2880000000"/>
    <n v="4063000000"/>
    <n v="4706537500"/>
    <n v="37586000000"/>
    <n v="16395763000"/>
    <n v="19621985000"/>
    <n v="0.37800000000000011"/>
    <n v="24003370500"/>
  </r>
  <r>
    <x v="753"/>
    <s v="912810SF6"/>
    <s v="Bond"/>
    <s v="29-Year 10-Month"/>
    <n v="2.87"/>
    <n v="2.93"/>
    <n v="2.488"/>
    <n v="2.25"/>
    <n v="2223100"/>
    <n v="36015690000"/>
    <n v="15997217500"/>
    <n v="2806800"/>
    <n v="2303362500"/>
    <n v="2988400000"/>
    <n v="4021640000"/>
    <n v="22603000000"/>
    <n v="9672215000"/>
    <n v="10424290000"/>
    <n v="0.44200000000000017"/>
    <n v="16002247400"/>
  </r>
  <r>
    <x v="754"/>
    <s v="912828WG1"/>
    <s v="Note"/>
    <s v="2-Year"/>
    <n v="2.3239999999999998"/>
    <n v="2.355"/>
    <n v="2.25"/>
    <n v="2.5099999999999998"/>
    <n v="510686300"/>
    <n v="100210885000"/>
    <n v="39673507100"/>
    <n v="219842700"/>
    <n v="6255660000"/>
    <n v="7808000000"/>
    <n v="14477640200"/>
    <n v="66965000000"/>
    <n v="18940206900"/>
    <n v="25437885000"/>
    <n v="0.10499999999999998"/>
    <n v="40404036100"/>
  </r>
  <r>
    <x v="755"/>
    <s v="9128286R6"/>
    <s v="Note"/>
    <s v="5-Year"/>
    <n v="2.2799999999999998"/>
    <n v="2.3149999999999999"/>
    <n v="2.2000000000000002"/>
    <n v="2.44"/>
    <n v="523453400"/>
    <n v="100123525000"/>
    <n v="40966994000"/>
    <n v="33079800"/>
    <n v="6255250000"/>
    <n v="7762000000"/>
    <n v="9525625000"/>
    <n v="61488000000"/>
    <n v="25186119000"/>
    <n v="30873525000"/>
    <n v="0.11499999999999977"/>
    <n v="41523527200"/>
  </r>
  <r>
    <x v="756"/>
    <s v="9128286S4"/>
    <s v="Note"/>
    <s v="7-Year"/>
    <n v="2.38"/>
    <n v="2.4260000000000002"/>
    <n v="1.988"/>
    <n v="2.4900000000000002"/>
    <n v="408549000"/>
    <n v="79686055000"/>
    <n v="31940860000"/>
    <n v="59211100"/>
    <n v="6085200000"/>
    <n v="7535200000"/>
    <n v="6576255000"/>
    <n v="49335000000"/>
    <n v="19279405000"/>
    <n v="22815855000"/>
    <n v="0.43800000000000017"/>
    <n v="32408620100"/>
  </r>
  <r>
    <x v="757"/>
    <s v="9128286U9"/>
    <s v="Note"/>
    <s v="3-Year"/>
    <n v="2.2229999999999999"/>
    <n v="2.2480000000000002"/>
    <n v="2.14"/>
    <n v="2.48"/>
    <n v="12944989800"/>
    <n v="94073500000"/>
    <n v="37914860000"/>
    <n v="85228100"/>
    <n v="7600000000"/>
    <n v="7625000000"/>
    <n v="15936640000"/>
    <n v="65610000000"/>
    <n v="14378220000"/>
    <n v="20838500000"/>
    <n v="0.1080000000000001"/>
    <n v="50945077900"/>
  </r>
  <r>
    <x v="758"/>
    <s v="9128286T2"/>
    <s v="Note"/>
    <s v="10-Year"/>
    <n v="2.4300000000000002"/>
    <n v="2.4790000000000001"/>
    <n v="2.3570000000000002"/>
    <n v="2.17"/>
    <n v="9197755900"/>
    <n v="58532000000"/>
    <n v="26978718000"/>
    <n v="21324300"/>
    <n v="3090000000"/>
    <n v="3090000000"/>
    <n v="9497820000"/>
    <n v="39344000000"/>
    <n v="14390898000"/>
    <n v="16098000000"/>
    <n v="0.12199999999999989"/>
    <n v="36197798200"/>
  </r>
  <r>
    <x v="759"/>
    <s v="912810SH2"/>
    <s v="Bond"/>
    <s v="30-Year"/>
    <n v="2.84"/>
    <n v="2.8919999999999999"/>
    <n v="2.65"/>
    <n v="2.2000000000000002"/>
    <n v="6472494800"/>
    <n v="41799620000"/>
    <n v="18992200500"/>
    <n v="7804100"/>
    <n v="2086200000"/>
    <n v="2113200000"/>
    <n v="5418212500"/>
    <n v="27140000000"/>
    <n v="11487788000"/>
    <n v="12546420000"/>
    <n v="0.24199999999999999"/>
    <n v="25472499400"/>
  </r>
  <r>
    <x v="760"/>
    <s v="912828XT2"/>
    <s v="Note"/>
    <s v="5-Year"/>
    <n v="2.0299999999999998"/>
    <n v="2.0649999999999999"/>
    <n v="1.98"/>
    <n v="2.38"/>
    <n v="4306968200"/>
    <n v="97579695000"/>
    <n v="40959885200"/>
    <n v="40264900"/>
    <n v="7523220200"/>
    <n v="8097000000"/>
    <n v="9889970000"/>
    <n v="61580000000"/>
    <n v="23546695000"/>
    <n v="27902695000"/>
    <n v="8.4999999999999964E-2"/>
    <n v="45307118300"/>
  </r>
  <r>
    <x v="760"/>
    <s v="9128286V7"/>
    <s v="Note"/>
    <s v="2-Year"/>
    <n v="2.1"/>
    <n v="2.125"/>
    <n v="2.02"/>
    <n v="2.75"/>
    <n v="4201920200"/>
    <n v="109429925000"/>
    <n v="39610396400"/>
    <n v="184611000"/>
    <n v="10766290000"/>
    <n v="12236000000"/>
    <n v="10383000000"/>
    <n v="67428000000"/>
    <n v="18461106400"/>
    <n v="29765925000"/>
    <n v="0.10499999999999998"/>
    <n v="43996927600"/>
  </r>
  <r>
    <x v="761"/>
    <s v="9128286X3"/>
    <s v="Note"/>
    <s v="7-Year"/>
    <n v="2.09"/>
    <n v="2.1440000000000001"/>
    <n v="2"/>
    <n v="2.2999999999999998"/>
    <n v="3361536100"/>
    <n v="73526640000"/>
    <n v="31974790000"/>
    <n v="25230900"/>
    <n v="3611100000"/>
    <n v="3611100000"/>
    <n v="9737150000"/>
    <n v="49390000000"/>
    <n v="18626540000"/>
    <n v="20525540000"/>
    <n v="0.14400000000000013"/>
    <n v="35361557000"/>
  </r>
  <r>
    <x v="762"/>
    <s v="9128286Y1"/>
    <s v="Note"/>
    <s v="3-Year"/>
    <n v="1.8380000000000001"/>
    <n v="1.861"/>
    <n v="1.3879999999999999"/>
    <n v="2.62"/>
    <n v="0"/>
    <n v="99168750000"/>
    <n v="37744031200"/>
    <n v="56177100"/>
    <n v="5048000000"/>
    <n v="5602000000"/>
    <n v="11331890000"/>
    <n v="64547000000"/>
    <n v="21364141200"/>
    <n v="29019750000"/>
    <n v="0.47300000000000009"/>
    <n v="37800208300"/>
  </r>
  <r>
    <x v="763"/>
    <s v="9128286T2"/>
    <s v="Note"/>
    <s v="9-Year 11-Month"/>
    <n v="2.0750000000000002"/>
    <n v="2.13"/>
    <n v="2"/>
    <n v="2.4900000000000002"/>
    <n v="0"/>
    <n v="59642390000"/>
    <n v="23990062000"/>
    <n v="9940600"/>
    <n v="3264840000"/>
    <n v="3268000000"/>
    <n v="4994832000"/>
    <n v="37500000000"/>
    <n v="15730390000"/>
    <n v="18874390000"/>
    <n v="0.12999999999999989"/>
    <n v="24000002600"/>
  </r>
  <r>
    <x v="764"/>
    <s v="912810SH2"/>
    <s v="Bond"/>
    <s v="29-Year 11-Month"/>
    <n v="2.5550000000000002"/>
    <n v="2.6070000000000002"/>
    <n v="2.1880000000000002"/>
    <n v="2.3199999999999998"/>
    <n v="0"/>
    <n v="37049645000"/>
    <n v="15990054000"/>
    <n v="9956400"/>
    <n v="2421200000"/>
    <n v="2437200000"/>
    <n v="3850657000"/>
    <n v="23509000000"/>
    <n v="9718197000"/>
    <n v="11103445000"/>
    <n v="0.41900000000000004"/>
    <n v="16000010400"/>
  </r>
  <r>
    <x v="765"/>
    <s v="9128286T2"/>
    <s v="Note"/>
    <s v="9-Year 11-Month"/>
    <n v="2.06"/>
    <n v="2.0649999999999999"/>
    <n v="2.0299999999999998"/>
    <n v="3.43"/>
    <n v="0"/>
    <n v="85850000"/>
    <n v="25000400"/>
    <n v="0"/>
    <n v="0"/>
    <n v="0"/>
    <n v="25000400"/>
    <n v="85850000"/>
    <n v="0"/>
    <n v="0"/>
    <n v="3.5000000000000142E-2"/>
    <n v="25000400"/>
  </r>
  <r>
    <x v="766"/>
    <s v="9128287A2"/>
    <s v="Note"/>
    <s v="2-Year"/>
    <n v="1.6639999999999999"/>
    <n v="1.6950000000000001"/>
    <n v="1.57"/>
    <n v="2.58"/>
    <n v="2287612800"/>
    <n v="102666210000"/>
    <n v="39645985000"/>
    <n v="154062400"/>
    <n v="9589000000"/>
    <n v="9759000000"/>
    <n v="10834025000"/>
    <n v="65181000000"/>
    <n v="19222960000"/>
    <n v="27726210000"/>
    <n v="0.125"/>
    <n v="42087660200"/>
  </r>
  <r>
    <x v="767"/>
    <s v="9128286Z8"/>
    <s v="Note"/>
    <s v="5-Year"/>
    <n v="1.75"/>
    <n v="1.7909999999999999"/>
    <n v="1.63"/>
    <n v="2.35"/>
    <n v="2344803100"/>
    <n v="96146265000"/>
    <n v="40973818400"/>
    <n v="26206100"/>
    <n v="8074115000"/>
    <n v="8095000000"/>
    <n v="9497863400"/>
    <n v="60972000000"/>
    <n v="23401840000"/>
    <n v="27079265000"/>
    <n v="0.16100000000000003"/>
    <n v="43344827600"/>
  </r>
  <r>
    <x v="768"/>
    <s v="9128287B0"/>
    <s v="Note"/>
    <s v="7-Year"/>
    <n v="1.855"/>
    <n v="1.889"/>
    <n v="1.75"/>
    <n v="2.44"/>
    <n v="1830090100"/>
    <n v="78084485000"/>
    <n v="31990670400"/>
    <n v="9361700"/>
    <n v="7752500000"/>
    <n v="7817500000"/>
    <n v="6478385000"/>
    <n v="47953000000"/>
    <n v="17759785400"/>
    <n v="22313985000"/>
    <n v="0.13900000000000001"/>
    <n v="33830122200"/>
  </r>
  <r>
    <x v="769"/>
    <s v="9128287C8"/>
    <s v="Note"/>
    <s v="3-Year"/>
    <n v="1.821"/>
    <n v="1.857"/>
    <n v="1.7"/>
    <n v="2.39"/>
    <n v="323524200"/>
    <n v="90876300000"/>
    <n v="37971150000"/>
    <n v="28939900"/>
    <n v="6803000000"/>
    <n v="6932000000"/>
    <n v="12750475000"/>
    <n v="60966000000"/>
    <n v="18417675000"/>
    <n v="22978300000"/>
    <n v="0.15700000000000003"/>
    <n v="38323614100"/>
  </r>
  <r>
    <x v="770"/>
    <s v="9128286T2"/>
    <s v="Note"/>
    <s v="9-Year 10-Month"/>
    <n v="2.0299999999999998"/>
    <n v="2.0640000000000001"/>
    <n v="1.95"/>
    <n v="2.41"/>
    <n v="204331000"/>
    <n v="57781505000"/>
    <n v="23995397000"/>
    <n v="4620800"/>
    <n v="3084000000"/>
    <n v="3089000000"/>
    <n v="6332384000"/>
    <n v="37778000000"/>
    <n v="14579013000"/>
    <n v="16914505000"/>
    <n v="0.1140000000000001"/>
    <n v="24204348800"/>
  </r>
  <r>
    <x v="771"/>
    <s v="912810SH2"/>
    <s v="Bond"/>
    <s v="29-Year 10-Month"/>
    <n v="2.57"/>
    <n v="2.6440000000000001"/>
    <n v="1.8879999999999999"/>
    <n v="2.13"/>
    <n v="136220700"/>
    <n v="34059995000"/>
    <n v="15992757000"/>
    <n v="7247000"/>
    <n v="2683300000"/>
    <n v="2683300000"/>
    <n v="5314762000"/>
    <n v="22873000000"/>
    <n v="7994695000"/>
    <n v="8503695000"/>
    <n v="0.75600000000000023"/>
    <n v="16136224700"/>
  </r>
  <r>
    <x v="772"/>
    <s v="9128287F1"/>
    <s v="Note"/>
    <s v="2-Year"/>
    <n v="1.8"/>
    <n v="1.825"/>
    <n v="1.5880000000000001"/>
    <n v="2.5"/>
    <n v="1589017100"/>
    <n v="99697515000"/>
    <n v="39710027000"/>
    <n v="185131500"/>
    <n v="9898000000"/>
    <n v="9983000000"/>
    <n v="12546135000"/>
    <n v="63841000000"/>
    <n v="17265892000"/>
    <n v="25873515000"/>
    <n v="0.23699999999999988"/>
    <n v="41484175600"/>
  </r>
  <r>
    <x v="773"/>
    <s v="912828Y87"/>
    <s v="Note"/>
    <s v="5-Year"/>
    <n v="1.7789999999999999"/>
    <n v="1.8240000000000001"/>
    <n v="1.7"/>
    <n v="2.2599999999999998"/>
    <n v="1628742500"/>
    <n v="92629140000"/>
    <n v="40949530000"/>
    <n v="45552200"/>
    <n v="5626000000"/>
    <n v="5626000000"/>
    <n v="13453035000"/>
    <n v="60985000000"/>
    <n v="21870495000"/>
    <n v="26018140000"/>
    <n v="0.12400000000000011"/>
    <n v="42623824700"/>
  </r>
  <r>
    <x v="774"/>
    <s v="912828Y95"/>
    <s v="Note"/>
    <s v="7-Year"/>
    <n v="1.92"/>
    <n v="1.9670000000000001"/>
    <n v="1.488"/>
    <n v="2.27"/>
    <n v="1271213600"/>
    <n v="72764960000"/>
    <n v="31982395000"/>
    <n v="17627700"/>
    <n v="5052000000"/>
    <n v="5102000000"/>
    <n v="7945585000"/>
    <n v="46094000000"/>
    <n v="18984810000"/>
    <n v="21568960000"/>
    <n v="0.47900000000000009"/>
    <n v="33271236300"/>
  </r>
  <r>
    <x v="775"/>
    <s v="912828YA2"/>
    <s v="Note"/>
    <s v="3-Year"/>
    <n v="1.53"/>
    <n v="1.5620000000000001"/>
    <n v="1.0880000000000001"/>
    <n v="2.41"/>
    <n v="24796993800"/>
    <n v="91543300000"/>
    <n v="37953300000"/>
    <n v="46702800"/>
    <n v="7337000000"/>
    <n v="7412000000"/>
    <n v="12908760000"/>
    <n v="60970000000"/>
    <n v="17707540000"/>
    <n v="23161300000"/>
    <n v="0.47399999999999998"/>
    <n v="62796996600"/>
  </r>
  <r>
    <x v="776"/>
    <s v="912828YB0"/>
    <s v="Note"/>
    <s v="10-Year"/>
    <n v="1.595"/>
    <n v="1.67"/>
    <n v="1.51"/>
    <n v="2.2000000000000002"/>
    <n v="17618916700"/>
    <n v="59295425000"/>
    <n v="26972550500"/>
    <n v="27484000"/>
    <n v="3657000000"/>
    <n v="3657000000"/>
    <n v="8286980000"/>
    <n v="38813700000"/>
    <n v="15028570500"/>
    <n v="16824725000"/>
    <n v="0.15999999999999992"/>
    <n v="44618951200"/>
  </r>
  <r>
    <x v="777"/>
    <s v="912810SJ8"/>
    <s v="Bond"/>
    <s v="30-Year"/>
    <n v="2.2650000000000001"/>
    <n v="2.335"/>
    <n v="1.8879999999999999"/>
    <n v="2.2400000000000002"/>
    <n v="12398496800"/>
    <n v="42513180000"/>
    <n v="18991314000"/>
    <n v="8712200"/>
    <n v="2377884000"/>
    <n v="2554600000"/>
    <n v="4965230000"/>
    <n v="26627000000"/>
    <n v="11648200000"/>
    <n v="13331580000"/>
    <n v="0.44700000000000006"/>
    <n v="31398523000"/>
  </r>
  <r>
    <x v="778"/>
    <s v="912828YC8"/>
    <s v="Note"/>
    <s v="2-Year"/>
    <n v="1.4890000000000001"/>
    <n v="1.516"/>
    <n v="0.88"/>
    <n v="2.6"/>
    <n v="5194229300"/>
    <n v="103672495000"/>
    <n v="39740475000"/>
    <n v="154557000"/>
    <n v="8090000000"/>
    <n v="8270000000"/>
    <n v="12915980000"/>
    <n v="66927000000"/>
    <n v="18734495000"/>
    <n v="28475495000"/>
    <n v="0.63600000000000001"/>
    <n v="45089261300"/>
  </r>
  <r>
    <x v="779"/>
    <s v="912828YE4"/>
    <s v="Note"/>
    <s v="5-Year"/>
    <n v="1.32"/>
    <n v="1.365"/>
    <n v="1.25"/>
    <n v="2.48"/>
    <n v="5324084900"/>
    <n v="101573870000"/>
    <n v="40974690000"/>
    <n v="20372800"/>
    <n v="7664500000"/>
    <n v="8759000000"/>
    <n v="8865025000"/>
    <n v="64490000000"/>
    <n v="24445165000"/>
    <n v="28324870000"/>
    <n v="0.11499999999999999"/>
    <n v="46319147700"/>
  </r>
  <r>
    <x v="780"/>
    <s v="912828YD6"/>
    <s v="Note"/>
    <s v="7-Year"/>
    <n v="1.42"/>
    <n v="1.4890000000000001"/>
    <n v="1.35"/>
    <n v="2.16"/>
    <n v="4155383300"/>
    <n v="69084570000"/>
    <n v="31989237200"/>
    <n v="10763600"/>
    <n v="5134500000"/>
    <n v="5134500000"/>
    <n v="10797000000"/>
    <n v="46182000000"/>
    <n v="16057737200"/>
    <n v="17768070000"/>
    <n v="0.13900000000000001"/>
    <n v="36155384100"/>
  </r>
  <r>
    <x v="781"/>
    <s v="912828YF1"/>
    <s v="Note"/>
    <s v="3-Year"/>
    <n v="1.54"/>
    <n v="1.573"/>
    <n v="0.88"/>
    <n v="2.42"/>
    <n v="0"/>
    <n v="92033215000"/>
    <n v="37916593800"/>
    <n v="33459200"/>
    <n v="6281000000"/>
    <n v="6466000000"/>
    <n v="14123390000"/>
    <n v="62236000000"/>
    <n v="17512203800"/>
    <n v="23331215000"/>
    <n v="0.69299999999999995"/>
    <n v="37950053000"/>
  </r>
  <r>
    <x v="782"/>
    <s v="912828YB0"/>
    <s v="Note"/>
    <s v="9-Year 11-Month"/>
    <n v="1.7"/>
    <n v="1.7390000000000001"/>
    <n v="0.88"/>
    <n v="2.46"/>
    <n v="0"/>
    <n v="59121805000"/>
    <n v="23997675800"/>
    <n v="2324600"/>
    <n v="3052000000"/>
    <n v="3110000000"/>
    <n v="5920000000"/>
    <n v="36484000000"/>
    <n v="15025675800"/>
    <n v="19527805000"/>
    <n v="0.8590000000000001"/>
    <n v="24000000400"/>
  </r>
  <r>
    <x v="783"/>
    <s v="912810SJ8"/>
    <s v="Bond"/>
    <s v="29-Year 11-Month"/>
    <n v="2.2050000000000001"/>
    <n v="2.27"/>
    <n v="2"/>
    <n v="2.2200000000000002"/>
    <n v="0"/>
    <n v="35524300000"/>
    <n v="15981862800"/>
    <n v="18151200"/>
    <n v="2126700000"/>
    <n v="2146700000"/>
    <n v="4216078000"/>
    <n v="22812000000"/>
    <n v="9639084800"/>
    <n v="10565600000"/>
    <n v="0.27"/>
    <n v="16000014000"/>
  </r>
  <r>
    <x v="784"/>
    <s v="912828YJ3"/>
    <s v="Note"/>
    <s v="2-Year"/>
    <n v="1.585"/>
    <n v="1.6120000000000001"/>
    <n v="0.88"/>
    <n v="2.64"/>
    <n v="4155274300"/>
    <n v="105308630000"/>
    <n v="39853186400"/>
    <n v="146819800"/>
    <n v="6347918900"/>
    <n v="8726000000"/>
    <n v="10784437500"/>
    <n v="66084000000"/>
    <n v="22720830000"/>
    <n v="30498630000"/>
    <n v="0.7320000000000001"/>
    <n v="44155280500"/>
  </r>
  <r>
    <x v="785"/>
    <s v="912828YH7"/>
    <s v="Note"/>
    <s v="5-Year"/>
    <n v="1.54"/>
    <n v="1.6"/>
    <n v="0.88"/>
    <n v="2.3199999999999998"/>
    <n v="4259156100"/>
    <n v="94900155000"/>
    <n v="40983213400"/>
    <n v="16911500"/>
    <n v="5818240000"/>
    <n v="5853000000"/>
    <n v="11068120000"/>
    <n v="61910000000"/>
    <n v="24096853400"/>
    <n v="27137155000"/>
    <n v="0.72000000000000008"/>
    <n v="45259281000"/>
  </r>
  <r>
    <x v="786"/>
    <s v="912828YG9"/>
    <s v="Note"/>
    <s v="7-Year"/>
    <n v="1.59"/>
    <n v="1.633"/>
    <n v="0.88"/>
    <n v="2.4900000000000002"/>
    <n v="3324219300"/>
    <n v="79744955000"/>
    <n v="31993709400"/>
    <n v="6314700"/>
    <n v="4664700000"/>
    <n v="5599700000"/>
    <n v="6468536000"/>
    <n v="48216000000"/>
    <n v="20860473400"/>
    <n v="25929255000"/>
    <n v="0.753"/>
    <n v="35324243400"/>
  </r>
  <r>
    <x v="787"/>
    <s v="912828YK0"/>
    <s v="Note"/>
    <s v="3-Year"/>
    <n v="1.379"/>
    <n v="1.413"/>
    <n v="0.88"/>
    <n v="2.4300000000000002"/>
    <n v="0"/>
    <n v="92147390000"/>
    <n v="37971665400"/>
    <n v="28376600"/>
    <n v="6418000000"/>
    <n v="6418000000"/>
    <n v="14163710000"/>
    <n v="60401000000"/>
    <n v="17389955400"/>
    <n v="25328390000"/>
    <n v="0.53300000000000003"/>
    <n v="38000042000"/>
  </r>
  <r>
    <x v="788"/>
    <s v="912828YB0"/>
    <s v="Note"/>
    <s v="9-Year 10-Month"/>
    <n v="1.5349999999999999"/>
    <n v="1.59"/>
    <n v="1.45"/>
    <n v="2.4300000000000002"/>
    <n v="0"/>
    <n v="58313320000"/>
    <n v="23996736500"/>
    <n v="3314000"/>
    <n v="3070000000"/>
    <n v="3130000000"/>
    <n v="6881891500"/>
    <n v="38347000000"/>
    <n v="14044845000"/>
    <n v="16836320000"/>
    <n v="0.14000000000000012"/>
    <n v="24000050500"/>
  </r>
  <r>
    <x v="789"/>
    <s v="912810SJ8"/>
    <s v="Bond"/>
    <s v="29-Year 10-Month"/>
    <n v="2.1190000000000002"/>
    <n v="2.17"/>
    <n v="1.8"/>
    <n v="2.25"/>
    <n v="0"/>
    <n v="35923790000"/>
    <n v="15997302900"/>
    <n v="2716300"/>
    <n v="2965600000"/>
    <n v="2980600000"/>
    <n v="3669756500"/>
    <n v="22248000000"/>
    <n v="9361946400"/>
    <n v="10695190000"/>
    <n v="0.36999999999999988"/>
    <n v="16000019200"/>
  </r>
  <r>
    <x v="790"/>
    <s v="912828YP9"/>
    <s v="Note"/>
    <s v="2-Year"/>
    <n v="1.56"/>
    <n v="1.5940000000000001"/>
    <n v="0.88"/>
    <n v="2.7"/>
    <n v="4182016500"/>
    <n v="107712675000"/>
    <n v="39893161200"/>
    <n v="106903100"/>
    <n v="5568500000"/>
    <n v="8127000000"/>
    <n v="12453000000"/>
    <n v="67033000000"/>
    <n v="21871661200"/>
    <n v="32552675000"/>
    <n v="0.71400000000000008"/>
    <n v="44182080800"/>
  </r>
  <r>
    <x v="791"/>
    <s v="912828YM6"/>
    <s v="Note"/>
    <s v="5-Year"/>
    <n v="1.528"/>
    <n v="1.57"/>
    <n v="1.36"/>
    <n v="2.41"/>
    <n v="4286566800"/>
    <n v="98592915000"/>
    <n v="40965995900"/>
    <n v="34178500"/>
    <n v="4720966300"/>
    <n v="5366000000"/>
    <n v="9332762500"/>
    <n v="60308000000"/>
    <n v="26912267100"/>
    <n v="32918915000"/>
    <n v="0.20999999999999996"/>
    <n v="45286741200"/>
  </r>
  <r>
    <x v="792"/>
    <s v="912828YQ7"/>
    <s v="Note"/>
    <s v="7-Year"/>
    <n v="1.615"/>
    <n v="1.657"/>
    <n v="1.4"/>
    <n v="2.46"/>
    <n v="3345613100"/>
    <n v="78629435000"/>
    <n v="31995464500"/>
    <n v="4564000"/>
    <n v="4636600000"/>
    <n v="5502600000"/>
    <n v="6422000000"/>
    <n v="47729000000"/>
    <n v="20936864500"/>
    <n v="25397835000"/>
    <n v="0.25700000000000012"/>
    <n v="35345641600"/>
  </r>
  <r>
    <x v="793"/>
    <s v="912828TY6"/>
    <s v="Note"/>
    <s v="3-Year"/>
    <n v="1.6"/>
    <n v="1.63"/>
    <n v="1.53"/>
    <n v="2.6"/>
    <n v="17993322500"/>
    <n v="98492101000"/>
    <n v="37851001000"/>
    <n v="49057800"/>
    <n v="6409572000"/>
    <n v="6571000000"/>
    <n v="11260318000"/>
    <n v="63780000000"/>
    <n v="20181111000"/>
    <n v="28141101000"/>
    <n v="9.9999999999999867E-2"/>
    <n v="55893381300"/>
  </r>
  <r>
    <x v="794"/>
    <s v="912828YS3"/>
    <s v="Note"/>
    <s v="10-Year"/>
    <n v="1.77"/>
    <n v="1.8089999999999999"/>
    <n v="0.88"/>
    <n v="2.4900000000000002"/>
    <n v="12784729100"/>
    <n v="67161242000"/>
    <n v="26979990400"/>
    <n v="20011800"/>
    <n v="3337000000"/>
    <n v="3428000000"/>
    <n v="6230948000"/>
    <n v="41586000000"/>
    <n v="17412042400"/>
    <n v="22147242000"/>
    <n v="0.92899999999999994"/>
    <n v="39784731300"/>
  </r>
  <r>
    <x v="795"/>
    <s v="912810SK5"/>
    <s v="Bond"/>
    <s v="30-Year"/>
    <n v="2.375"/>
    <n v="2.4300000000000002"/>
    <n v="1.75"/>
    <n v="2.23"/>
    <n v="8996661200"/>
    <n v="42404830000"/>
    <n v="18985715000"/>
    <n v="14299800"/>
    <n v="3888700000"/>
    <n v="3895700000"/>
    <n v="3935722500"/>
    <n v="26011000000"/>
    <n v="11161292500"/>
    <n v="12498130000"/>
    <n v="0.68000000000000016"/>
    <n v="27996676000"/>
  </r>
  <r>
    <x v="796"/>
    <s v="912828YT1"/>
    <s v="Note"/>
    <s v="2-Year"/>
    <n v="1.5780000000000001"/>
    <n v="1.601"/>
    <n v="1.45"/>
    <n v="2.63"/>
    <n v="3175532900"/>
    <n v="104823455000"/>
    <n v="39801229400"/>
    <n v="198795200"/>
    <n v="11586396400"/>
    <n v="13152000000"/>
    <n v="9198550000"/>
    <n v="64105000000"/>
    <n v="19016283000"/>
    <n v="27566455000"/>
    <n v="0.15100000000000002"/>
    <n v="43175557500"/>
  </r>
  <r>
    <x v="797"/>
    <s v="912828YV6"/>
    <s v="Note"/>
    <s v="5-Year"/>
    <n v="1.54"/>
    <n v="1.587"/>
    <n v="1.4850000000000001"/>
    <n v="2.5"/>
    <n v="3254921200"/>
    <n v="102509550000"/>
    <n v="40967296000"/>
    <n v="32728700"/>
    <n v="5549500000"/>
    <n v="6547000000"/>
    <n v="8863021000"/>
    <n v="62764000000"/>
    <n v="26554775000"/>
    <n v="33198550000"/>
    <n v="0.10199999999999987"/>
    <n v="44254945900"/>
  </r>
  <r>
    <x v="798"/>
    <s v="912828YU8"/>
    <s v="Note"/>
    <s v="7-Year"/>
    <n v="1.6659999999999999"/>
    <n v="1.7190000000000001"/>
    <n v="0.88"/>
    <n v="2.44"/>
    <n v="2540426200"/>
    <n v="78129245000"/>
    <n v="31993382500"/>
    <n v="6679400"/>
    <n v="3216365000"/>
    <n v="3334100000"/>
    <n v="6499017500"/>
    <n v="48532000000"/>
    <n v="22278000000"/>
    <n v="26263145000"/>
    <n v="0.83900000000000008"/>
    <n v="34540488100"/>
  </r>
  <r>
    <x v="799"/>
    <s v="912828YW4"/>
    <s v="Note"/>
    <s v="3-Year"/>
    <n v="1.6"/>
    <n v="1.6319999999999999"/>
    <n v="1.52"/>
    <n v="2.56"/>
    <n v="0"/>
    <n v="97129660000"/>
    <n v="37843440000"/>
    <n v="56607000"/>
    <n v="9018000000"/>
    <n v="9178000000"/>
    <n v="10250500000"/>
    <n v="60953000000"/>
    <n v="18574940000"/>
    <n v="26998660000"/>
    <n v="0.11199999999999988"/>
    <n v="37900047000"/>
  </r>
  <r>
    <x v="800"/>
    <s v="912828YS3"/>
    <s v="Note"/>
    <s v="9-Year 11-Month"/>
    <n v="1.8"/>
    <n v="1.8420000000000001"/>
    <n v="0.88"/>
    <n v="2.4300000000000002"/>
    <n v="0"/>
    <n v="58373055000"/>
    <n v="23993631300"/>
    <n v="6417100"/>
    <n v="4643121300"/>
    <n v="4856000000"/>
    <n v="5885000000"/>
    <n v="36865000000"/>
    <n v="13465510000"/>
    <n v="16652055000"/>
    <n v="0.96200000000000008"/>
    <n v="24000048400"/>
  </r>
  <r>
    <x v="801"/>
    <s v="912810SK5"/>
    <s v="Bond"/>
    <s v="29-Year 11-Month"/>
    <n v="2.2650000000000001"/>
    <n v="2.3069999999999999"/>
    <n v="0.88"/>
    <n v="2.46"/>
    <n v="0"/>
    <n v="39274730000"/>
    <n v="15994580000"/>
    <n v="5426300"/>
    <n v="3375600000"/>
    <n v="3850600000"/>
    <n v="2473550000"/>
    <n v="22432000000"/>
    <n v="10145430000"/>
    <n v="12992130000"/>
    <n v="1.427"/>
    <n v="16000006300"/>
  </r>
  <r>
    <x v="802"/>
    <s v="912828YZ7"/>
    <s v="Note"/>
    <s v="2-Year"/>
    <n v="1.625"/>
    <n v="1.653"/>
    <n v="1.45"/>
    <n v="2.2999999999999998"/>
    <n v="3764622900"/>
    <n v="91921555000"/>
    <n v="39734202000"/>
    <n v="165843700"/>
    <n v="8524000000"/>
    <n v="8909000000"/>
    <n v="12812376000"/>
    <n v="60230000000"/>
    <n v="18397826000"/>
    <n v="22782555000"/>
    <n v="0.20300000000000007"/>
    <n v="43664668600"/>
  </r>
  <r>
    <x v="803"/>
    <s v="912828YY0"/>
    <s v="Note"/>
    <s v="5-Year"/>
    <n v="1.73"/>
    <n v="1.756"/>
    <n v="1.5"/>
    <n v="2.4900000000000002"/>
    <n v="3858738400"/>
    <n v="102006995000"/>
    <n v="40970167500"/>
    <n v="29904700"/>
    <n v="6608947500"/>
    <n v="8564000000"/>
    <n v="8799000000"/>
    <n v="60406000000"/>
    <n v="25562220000"/>
    <n v="33036995000"/>
    <n v="0.25600000000000001"/>
    <n v="44858810600"/>
  </r>
  <r>
    <x v="804"/>
    <s v="912828YX2"/>
    <s v="Note"/>
    <s v="7-Year"/>
    <n v="1.79"/>
    <n v="1.835"/>
    <n v="1.288"/>
    <n v="2.4700000000000002"/>
    <n v="3011698200"/>
    <n v="78905440000"/>
    <n v="31992488000"/>
    <n v="7515300"/>
    <n v="7496109500"/>
    <n v="8523600000"/>
    <n v="5486661000"/>
    <n v="46927000000"/>
    <n v="19009717500"/>
    <n v="23454840000"/>
    <n v="0.54699999999999993"/>
    <n v="35011701500"/>
  </r>
  <r>
    <x v="805"/>
    <s v="912828Z29"/>
    <s v="Note"/>
    <s v="3-Year"/>
    <n v="1.54"/>
    <n v="1.5669999999999999"/>
    <n v="1.45"/>
    <n v="2.4500000000000002"/>
    <n v="1215860200"/>
    <n v="92988900000"/>
    <n v="37951625200"/>
    <n v="48427900"/>
    <n v="6356000000"/>
    <n v="6791000000"/>
    <n v="13569390000"/>
    <n v="62938000000"/>
    <n v="18026235200"/>
    <n v="23259900000"/>
    <n v="0.11699999999999999"/>
    <n v="39215913300"/>
  </r>
  <r>
    <x v="806"/>
    <s v="912828YS3"/>
    <s v="Note"/>
    <s v="9-Year 10-Month"/>
    <n v="1.82"/>
    <n v="1.869"/>
    <n v="1.7"/>
    <n v="2.4500000000000002"/>
    <n v="767911700"/>
    <n v="58738475000"/>
    <n v="23995938400"/>
    <n v="4095300"/>
    <n v="3866673400"/>
    <n v="4530500000"/>
    <n v="6885790000"/>
    <n v="39425000000"/>
    <n v="13243475000"/>
    <n v="14782975000"/>
    <n v="0.16900000000000004"/>
    <n v="24767945400"/>
  </r>
  <r>
    <x v="807"/>
    <s v="912810SK5"/>
    <s v="Bond"/>
    <s v="29-Year 10-Month"/>
    <n v="2.31"/>
    <n v="2.3410000000000002"/>
    <n v="0.88"/>
    <n v="2.54"/>
    <n v="511941100"/>
    <n v="40653470000"/>
    <n v="15983332000"/>
    <n v="16673100"/>
    <n v="2858734300"/>
    <n v="3574700000"/>
    <n v="3050475000"/>
    <n v="23307000000"/>
    <n v="10074122700"/>
    <n v="13771770000"/>
    <n v="1.4610000000000003"/>
    <n v="16511946200"/>
  </r>
  <r>
    <x v="808"/>
    <s v="912828Z52"/>
    <s v="Note"/>
    <s v="5-Year"/>
    <n v="1.4"/>
    <n v="1.448"/>
    <n v="1.32"/>
    <n v="2.33"/>
    <n v="4233632300"/>
    <n v="95473805000"/>
    <n v="40971056600"/>
    <n v="28984700"/>
    <n v="5699000000"/>
    <n v="5971000000"/>
    <n v="10675776000"/>
    <n v="61309000000"/>
    <n v="24596280600"/>
    <n v="28193805000"/>
    <n v="0.12799999999999989"/>
    <n v="45233673600"/>
  </r>
  <r>
    <x v="808"/>
    <s v="912828Z60"/>
    <s v="Note"/>
    <s v="2-Year"/>
    <n v="1.4139999999999999"/>
    <n v="1.44"/>
    <n v="1.25"/>
    <n v="2.65"/>
    <n v="4130373000"/>
    <n v="105609451000"/>
    <n v="39757037000"/>
    <n v="243093000"/>
    <n v="8248367000"/>
    <n v="8827000000"/>
    <n v="12000430000"/>
    <n v="65837000000"/>
    <n v="19508240000"/>
    <n v="30945451000"/>
    <n v="0.18999999999999995"/>
    <n v="44130503000"/>
  </r>
  <r>
    <x v="809"/>
    <s v="912828Z78"/>
    <s v="Note"/>
    <s v="7-Year"/>
    <n v="1.52"/>
    <n v="1.57"/>
    <n v="0.88"/>
    <n v="2.37"/>
    <n v="3304298300"/>
    <n v="75861360000"/>
    <n v="31990590200"/>
    <n v="9413700"/>
    <n v="5512315000"/>
    <n v="5935500000"/>
    <n v="7908318000"/>
    <n v="48375000000"/>
    <n v="18569957200"/>
    <n v="21550860000"/>
    <n v="0.69000000000000006"/>
    <n v="35304302200"/>
  </r>
  <r>
    <x v="810"/>
    <s v="912828Z86"/>
    <s v="Note"/>
    <s v="3-Year"/>
    <n v="1.3640000000000001"/>
    <n v="1.3939999999999999"/>
    <n v="1.25"/>
    <n v="2.56"/>
    <n v="16899739700"/>
    <n v="97052250000"/>
    <n v="37847024000"/>
    <n v="52998400"/>
    <n v="6845000000"/>
    <n v="8150000000"/>
    <n v="14378350000"/>
    <n v="62249500000"/>
    <n v="16623674000"/>
    <n v="26652750000"/>
    <n v="0.14399999999999991"/>
    <n v="54799762100"/>
  </r>
  <r>
    <x v="811"/>
    <s v="912828Z94"/>
    <s v="Note"/>
    <s v="10-Year"/>
    <n v="1.577"/>
    <n v="1.6220000000000001"/>
    <n v="1.35"/>
    <n v="2.58"/>
    <n v="12007709700"/>
    <n v="69652955000"/>
    <n v="26979320900"/>
    <n v="20684800"/>
    <n v="3984000000"/>
    <n v="5649000000"/>
    <n v="6452908500"/>
    <n v="42236000000"/>
    <n v="16542412400"/>
    <n v="21767955000"/>
    <n v="0.27200000000000002"/>
    <n v="39007715400"/>
  </r>
  <r>
    <x v="812"/>
    <s v="912810SL3"/>
    <s v="Bond"/>
    <s v="30-Year"/>
    <n v="2.0099999999999998"/>
    <n v="2.0609999999999999"/>
    <n v="1.75"/>
    <n v="2.4300000000000002"/>
    <n v="8449869800"/>
    <n v="46132970000"/>
    <n v="18996908800"/>
    <n v="3093900"/>
    <n v="3687700000"/>
    <n v="4447700000"/>
    <n v="3623475000"/>
    <n v="26953000000"/>
    <n v="11685733800"/>
    <n v="14732270000"/>
    <n v="0.31099999999999994"/>
    <n v="27449872500"/>
  </r>
  <r>
    <x v="813"/>
    <s v="912828ZA1"/>
    <s v="Note"/>
    <s v="2-Year"/>
    <n v="1.1499999999999999"/>
    <n v="1.1879999999999999"/>
    <n v="0.88"/>
    <n v="2.4500000000000002"/>
    <n v="6045401100"/>
    <n v="97913915000"/>
    <n v="39738640000"/>
    <n v="161405100"/>
    <n v="3700000000"/>
    <n v="4925000000"/>
    <n v="17685760000"/>
    <n v="63807000000"/>
    <n v="18352880000"/>
    <n v="29181915000"/>
    <n v="0.30799999999999994"/>
    <n v="45945446200"/>
  </r>
  <r>
    <x v="814"/>
    <s v="912828ZC7"/>
    <s v="Note"/>
    <s v="5-Year"/>
    <n v="1.1020000000000001"/>
    <n v="1.1499999999999999"/>
    <n v="1"/>
    <n v="2.46"/>
    <n v="6196536100"/>
    <n v="100663210000"/>
    <n v="40967278500"/>
    <n v="32744700"/>
    <n v="4016000000"/>
    <n v="5398000000"/>
    <n v="11741139300"/>
    <n v="64263400000"/>
    <n v="25210139200"/>
    <n v="31001810000"/>
    <n v="0.14999999999999991"/>
    <n v="47196559300"/>
  </r>
  <r>
    <x v="815"/>
    <s v="912828ZB9"/>
    <s v="Note"/>
    <s v="7-Year"/>
    <n v="1.1890000000000001"/>
    <n v="1.2470000000000001"/>
    <n v="0.88"/>
    <n v="2.4900000000000002"/>
    <n v="4836320800"/>
    <n v="79568400000"/>
    <n v="31991333600"/>
    <n v="8672500"/>
    <n v="4191500000"/>
    <n v="5706500000"/>
    <n v="7656995000"/>
    <n v="50185000000"/>
    <n v="20142838600"/>
    <n v="23676900000"/>
    <n v="0.3670000000000001"/>
    <n v="36836326900"/>
  </r>
  <r>
    <x v="816"/>
    <s v="912828ZD5"/>
    <s v="Note"/>
    <s v="3-Year"/>
    <n v="0.49"/>
    <n v="0.56299999999999994"/>
    <n v="0.08"/>
    <n v="2.2000000000000002"/>
    <n v="36538500"/>
    <n v="83624600000"/>
    <n v="37958109600"/>
    <n v="31948100"/>
    <n v="1408000000"/>
    <n v="2558000000"/>
    <n v="16714000000"/>
    <n v="57794000000"/>
    <n v="19836109600"/>
    <n v="23272600000"/>
    <n v="0.48299999999999993"/>
    <n v="38026596200"/>
  </r>
  <r>
    <x v="817"/>
    <s v="912828Z94"/>
    <s v="Note"/>
    <s v="9-Year 11-Month"/>
    <n v="0.75"/>
    <n v="0.84899999999999998"/>
    <n v="0.08"/>
    <n v="2.36"/>
    <n v="23076900"/>
    <n v="56709315000"/>
    <n v="23996279000"/>
    <n v="3722000"/>
    <n v="2206494000"/>
    <n v="3219000000"/>
    <n v="7145470000"/>
    <n v="34718000000"/>
    <n v="14644315000"/>
    <n v="18772315000"/>
    <n v="0.76900000000000002"/>
    <n v="24023077900"/>
  </r>
  <r>
    <x v="818"/>
    <s v="912810SL3"/>
    <s v="Bond"/>
    <s v="29-Year 11-Month"/>
    <n v="1.22"/>
    <n v="1.32"/>
    <n v="0.75"/>
    <n v="2.36"/>
    <n v="15384600"/>
    <n v="37729755000"/>
    <n v="15997570200"/>
    <n v="2430400"/>
    <n v="1420000000"/>
    <n v="2020000000"/>
    <n v="3452000000"/>
    <n v="20641000000"/>
    <n v="11125570200"/>
    <n v="15068755000"/>
    <n v="0.57000000000000006"/>
    <n v="16015385200"/>
  </r>
  <r>
    <x v="819"/>
    <s v="912828ZG8"/>
    <s v="Note"/>
    <s v="2-Year"/>
    <n v="0.35"/>
    <n v="0.39800000000000002"/>
    <n v="0.08"/>
    <n v="2.36"/>
    <n v="5377828400"/>
    <n v="94308990000"/>
    <n v="39824357500"/>
    <n v="165675300"/>
    <n v="3405000000"/>
    <n v="4605000000"/>
    <n v="14435610000"/>
    <n v="59938000000"/>
    <n v="21983747500"/>
    <n v="29765990000"/>
    <n v="0.318"/>
    <n v="45367861200"/>
  </r>
  <r>
    <x v="820"/>
    <s v="912828ZF0"/>
    <s v="Note"/>
    <s v="5-Year"/>
    <n v="0.48"/>
    <n v="0.53500000000000003"/>
    <n v="0.08"/>
    <n v="2.5299999999999998"/>
    <n v="5512274100"/>
    <n v="103737315000"/>
    <n v="40986935600"/>
    <n v="13075700"/>
    <n v="5165639600"/>
    <n v="6991500000"/>
    <n v="14483490000"/>
    <n v="64486000000"/>
    <n v="21337806000"/>
    <n v="32259815000"/>
    <n v="0.45500000000000002"/>
    <n v="46512285400"/>
  </r>
  <r>
    <x v="821"/>
    <s v="912828ZE3"/>
    <s v="Note"/>
    <s v="7-Year"/>
    <n v="0.62"/>
    <n v="0.68"/>
    <n v="0.08"/>
    <n v="2.76"/>
    <n v="4302262600"/>
    <n v="88253960000"/>
    <n v="31994071000"/>
    <n v="6171100"/>
    <n v="2909425000"/>
    <n v="4609000000"/>
    <n v="9135600000"/>
    <n v="53735000000"/>
    <n v="19949046000"/>
    <n v="29909960000"/>
    <n v="0.60000000000000009"/>
    <n v="36302504700"/>
  </r>
  <r>
    <x v="822"/>
    <s v="912828ZH6"/>
    <s v="Note"/>
    <s v="3-Year"/>
    <n v="0.318"/>
    <n v="0.34799999999999998"/>
    <n v="0.23"/>
    <n v="2.27"/>
    <n v="131654200"/>
    <n v="90842600000"/>
    <n v="39872330900"/>
    <n v="27690200"/>
    <n v="1622000000"/>
    <n v="2822000000"/>
    <n v="16162380000"/>
    <n v="60323000000"/>
    <n v="22087950900"/>
    <n v="27697600000"/>
    <n v="0.11799999999999997"/>
    <n v="40031675300"/>
  </r>
  <r>
    <x v="823"/>
    <s v="912828Z94"/>
    <s v="Note"/>
    <s v="9-Year 10-Month"/>
    <n v="0.72399999999999998"/>
    <n v="0.78200000000000003"/>
    <n v="0.08"/>
    <n v="2.4300000000000002"/>
    <n v="82283800"/>
    <n v="60844520000"/>
    <n v="24998289000"/>
    <n v="1714100"/>
    <n v="3307000000"/>
    <n v="4382000000"/>
    <n v="6897224000"/>
    <n v="37161000000"/>
    <n v="14794065000"/>
    <n v="19301520000"/>
    <n v="0.70200000000000007"/>
    <n v="25082286900"/>
  </r>
  <r>
    <x v="824"/>
    <s v="912810SL3"/>
    <s v="Bond"/>
    <s v="29-Year 10-Month"/>
    <n v="1.27"/>
    <n v="1.325"/>
    <n v="0.08"/>
    <n v="2.35"/>
    <n v="55953000"/>
    <n v="39979345700"/>
    <n v="16996500700"/>
    <n v="3523500"/>
    <n v="1862000000"/>
    <n v="2552000000"/>
    <n v="3842205000"/>
    <n v="23368500000"/>
    <n v="11292295700"/>
    <n v="14058845700"/>
    <n v="1.2449999999999999"/>
    <n v="17055977200"/>
  </r>
  <r>
    <x v="825"/>
    <s v="912828ZL7"/>
    <s v="Note"/>
    <s v="5-Year"/>
    <n v="0.35"/>
    <n v="0.39400000000000002"/>
    <n v="0.08"/>
    <n v="2.74"/>
    <n v="3734302400"/>
    <n v="117680520000"/>
    <n v="42983620000"/>
    <n v="16445400"/>
    <n v="8681000000"/>
    <n v="13970000000"/>
    <n v="8320115000"/>
    <n v="66616000000"/>
    <n v="25982505000"/>
    <n v="37094520000"/>
    <n v="0.314"/>
    <n v="46734367800"/>
  </r>
  <r>
    <x v="825"/>
    <s v="912828ZM5"/>
    <s v="Note"/>
    <s v="2-Year"/>
    <n v="0.185"/>
    <n v="0.22900000000000001"/>
    <n v="0.08"/>
    <n v="3.1"/>
    <n v="3647458300"/>
    <n v="130083375000"/>
    <n v="41788275000"/>
    <n v="111739300"/>
    <n v="7440000000"/>
    <n v="12615000000"/>
    <n v="11025000000"/>
    <n v="71239000000"/>
    <n v="23323275000"/>
    <n v="46229375000"/>
    <n v="0.14900000000000002"/>
    <n v="45547472600"/>
  </r>
  <r>
    <x v="826"/>
    <s v="912828ZN3"/>
    <s v="Note"/>
    <s v="7-Year"/>
    <n v="0.47"/>
    <n v="0.52500000000000002"/>
    <n v="0.08"/>
    <n v="2.56"/>
    <n v="3039548500"/>
    <n v="89752010000"/>
    <n v="34993593100"/>
    <n v="6452100"/>
    <n v="4298710000"/>
    <n v="9311800000"/>
    <n v="7441710500"/>
    <n v="51477000000"/>
    <n v="23253172600"/>
    <n v="28963210000"/>
    <n v="0.44500000000000001"/>
    <n v="38039593700"/>
  </r>
  <r>
    <x v="827"/>
    <s v="912828ZP8"/>
    <s v="Note"/>
    <s v="3-Year"/>
    <n v="0.19900000000000001"/>
    <n v="0.23"/>
    <n v="0.08"/>
    <n v="2.54"/>
    <n v="22211648800"/>
    <n v="106840000000"/>
    <n v="41967910000"/>
    <n v="29005000"/>
    <n v="5479000000"/>
    <n v="7224000000"/>
    <n v="13678570000"/>
    <n v="68990000000"/>
    <n v="22810340000"/>
    <n v="30626000000"/>
    <n v="0.15000000000000002"/>
    <n v="64208563800"/>
  </r>
  <r>
    <x v="828"/>
    <s v="912828ZQ6"/>
    <s v="Note"/>
    <s v="10-Year"/>
    <n v="0.65"/>
    <n v="0.7"/>
    <n v="0.59"/>
    <n v="2.69"/>
    <n v="16923161000"/>
    <n v="85952460000"/>
    <n v="31988685800"/>
    <n v="11349600"/>
    <n v="4266000000"/>
    <n v="8604000000"/>
    <n v="6563637500"/>
    <n v="47845500000"/>
    <n v="21159048300"/>
    <n v="29502960000"/>
    <n v="0.10999999999999999"/>
    <n v="48923196400"/>
  </r>
  <r>
    <x v="829"/>
    <s v="912810SN9"/>
    <s v="Bond"/>
    <s v="30-Year"/>
    <n v="1.2789999999999999"/>
    <n v="1.3420000000000001"/>
    <n v="0.08"/>
    <n v="2.2999999999999998"/>
    <n v="11634673100"/>
    <n v="50624020000"/>
    <n v="21993520000"/>
    <n v="6484700"/>
    <n v="2845200000"/>
    <n v="4555200000"/>
    <n v="4701400000"/>
    <n v="29507000000"/>
    <n v="14446920000"/>
    <n v="16561820000"/>
    <n v="1.262"/>
    <n v="33634677800"/>
  </r>
  <r>
    <x v="830"/>
    <s v="912810SR0"/>
    <s v="Bond"/>
    <s v="20-Year"/>
    <n v="1.159"/>
    <n v="1.22"/>
    <n v="8.7999999999999995E-2"/>
    <n v="2.5299999999999998"/>
    <n v="2099658500"/>
    <n v="50622777500"/>
    <n v="19993692500"/>
    <n v="6327800"/>
    <n v="2941000000"/>
    <n v="4691000000"/>
    <n v="4910912500"/>
    <n v="28290000000"/>
    <n v="12141780000"/>
    <n v="17641777500"/>
    <n v="1.1319999999999999"/>
    <n v="22099678800"/>
  </r>
  <r>
    <x v="831"/>
    <s v="912828ZR4"/>
    <s v="Note"/>
    <s v="2-Year"/>
    <n v="0.14699999999999999"/>
    <n v="0.17799999999999999"/>
    <n v="1.7999999999999999E-2"/>
    <n v="2.68"/>
    <n v="4619248800"/>
    <n v="117839475000"/>
    <n v="43789995000"/>
    <n v="110029400"/>
    <n v="6490000000"/>
    <n v="10332000000"/>
    <n v="14058420000"/>
    <n v="69598000000"/>
    <n v="23241575000"/>
    <n v="37909475000"/>
    <n v="0.16"/>
    <n v="48519273200"/>
  </r>
  <r>
    <x v="832"/>
    <s v="912828ZT0"/>
    <s v="Note"/>
    <s v="5-Year"/>
    <n v="0.28000000000000003"/>
    <n v="0.33400000000000002"/>
    <n v="8.7999999999999995E-2"/>
    <n v="2.2799999999999998"/>
    <n v="4724231700"/>
    <n v="102773385000"/>
    <n v="44983345000"/>
    <n v="16699800"/>
    <n v="4872760000"/>
    <n v="8385800000"/>
    <n v="14317000000"/>
    <n v="65236000000"/>
    <n v="25793585000"/>
    <n v="29151585000"/>
    <n v="0.24600000000000002"/>
    <n v="49724276500"/>
  </r>
  <r>
    <x v="833"/>
    <s v="912828ZS2"/>
    <s v="Note"/>
    <s v="7-Year"/>
    <n v="0.5"/>
    <n v="0.55300000000000005"/>
    <n v="0.42"/>
    <n v="2.5499999999999998"/>
    <n v="3989351200"/>
    <n v="96801400000"/>
    <n v="37990920000"/>
    <n v="9083300"/>
    <n v="4708400000"/>
    <n v="8178400000"/>
    <n v="9126520000"/>
    <n v="58485000000"/>
    <n v="24156000000"/>
    <n v="30138000000"/>
    <n v="0.13300000000000006"/>
    <n v="41989354500"/>
  </r>
  <r>
    <x v="834"/>
    <s v="912828ZU7"/>
    <s v="Note"/>
    <s v="3-Year"/>
    <n v="0.24"/>
    <n v="0.28000000000000003"/>
    <n v="0.08"/>
    <n v="2.5499999999999998"/>
    <n v="625565300"/>
    <n v="111983500000"/>
    <n v="43982678700"/>
    <n v="17324900"/>
    <n v="6365933700"/>
    <n v="10206000000"/>
    <n v="14171375000"/>
    <n v="67438000000"/>
    <n v="23445370000"/>
    <n v="34339500000"/>
    <n v="0.2"/>
    <n v="44625568900"/>
  </r>
  <r>
    <x v="835"/>
    <s v="912828ZQ6"/>
    <s v="Note"/>
    <s v="9-Year 11-Month"/>
    <n v="0.76900000000000002"/>
    <n v="0.83199999999999996"/>
    <n v="0.7"/>
    <n v="2.2599999999999998"/>
    <n v="412304300"/>
    <n v="65651340000"/>
    <n v="28998725800"/>
    <n v="1289100"/>
    <n v="3410000000"/>
    <n v="6020000000"/>
    <n v="9134276500"/>
    <n v="41670000000"/>
    <n v="16454449300"/>
    <n v="17961340000"/>
    <n v="0.13200000000000001"/>
    <n v="29412319200"/>
  </r>
  <r>
    <x v="836"/>
    <s v="912810SN9"/>
    <s v="Bond"/>
    <s v="29-Year 11-Month"/>
    <n v="1.38"/>
    <n v="1.45"/>
    <n v="0.88"/>
    <n v="2.2999999999999998"/>
    <n v="270130400"/>
    <n v="43714430000"/>
    <n v="18999108200"/>
    <n v="904900"/>
    <n v="2517400000"/>
    <n v="4057400000"/>
    <n v="4663961200"/>
    <n v="26638000000"/>
    <n v="11817747000"/>
    <n v="13019030000"/>
    <n v="0.56999999999999995"/>
    <n v="19270143500"/>
  </r>
  <r>
    <x v="837"/>
    <s v="912810SR0"/>
    <s v="Bond"/>
    <s v="19-Year 11-Month"/>
    <n v="1.26"/>
    <n v="1.3140000000000001"/>
    <n v="0.88"/>
    <n v="2.63"/>
    <n v="2325129100"/>
    <n v="44746000000"/>
    <n v="16998646000"/>
    <n v="1361200"/>
    <n v="2797000000"/>
    <n v="4317000000"/>
    <n v="3726341000"/>
    <n v="25399000000"/>
    <n v="10475305000"/>
    <n v="15030000000"/>
    <n v="0.43400000000000005"/>
    <n v="19325136300"/>
  </r>
  <r>
    <x v="838"/>
    <s v="912828ZX1"/>
    <s v="Note"/>
    <s v="2-Year"/>
    <n v="0.16"/>
    <n v="0.193"/>
    <n v="0.08"/>
    <n v="2.46"/>
    <n v="6291525900"/>
    <n v="112848740000"/>
    <n v="45799187500"/>
    <n v="100925300"/>
    <n v="7669620000"/>
    <n v="11955000000"/>
    <n v="14302827500"/>
    <n v="69861000000"/>
    <n v="23826740000"/>
    <n v="31032740000"/>
    <n v="0.113"/>
    <n v="52191638700"/>
  </r>
  <r>
    <x v="839"/>
    <s v="912828ZW3"/>
    <s v="Note"/>
    <s v="5-Year"/>
    <n v="0.28799999999999998"/>
    <n v="0.33"/>
    <n v="0.22"/>
    <n v="2.58"/>
    <n v="6428298100"/>
    <n v="121059185000"/>
    <n v="46985336000"/>
    <n v="14764400"/>
    <n v="7413783000"/>
    <n v="11065000000"/>
    <n v="10319840000"/>
    <n v="74141000000"/>
    <n v="29251713000"/>
    <n v="35853185000"/>
    <n v="0.11000000000000001"/>
    <n v="53428398500"/>
  </r>
  <r>
    <x v="840"/>
    <s v="912828ZV5"/>
    <s v="Note"/>
    <s v="7-Year"/>
    <n v="0.46500000000000002"/>
    <n v="0.51100000000000001"/>
    <n v="0.08"/>
    <n v="2.4900000000000002"/>
    <n v="5607664300"/>
    <n v="102032915000"/>
    <n v="40997855000"/>
    <n v="2217700"/>
    <n v="6437100000"/>
    <n v="10417100000"/>
    <n v="8891360000"/>
    <n v="60708000000"/>
    <n v="25669395000"/>
    <n v="30907815000"/>
    <n v="0.43099999999999999"/>
    <n v="46607737000"/>
  </r>
  <r>
    <x v="841"/>
    <s v="912828ZY9"/>
    <s v="Note"/>
    <s v="3-Year"/>
    <n v="0.16"/>
    <n v="0.19"/>
    <n v="0.08"/>
    <n v="2.44"/>
    <n v="4035617100"/>
    <n v="112097210000"/>
    <n v="45882774400"/>
    <n v="14234200"/>
    <n v="6080000000"/>
    <n v="9987000000"/>
    <n v="14887300000"/>
    <n v="71123000000"/>
    <n v="24915474400"/>
    <n v="30987210000"/>
    <n v="0.11"/>
    <n v="49932625700"/>
  </r>
  <r>
    <x v="842"/>
    <s v="912828ZQ6"/>
    <s v="Note"/>
    <s v="9-Year 10-Month"/>
    <n v="0.61099999999999999"/>
    <n v="0.65300000000000002"/>
    <n v="0.5"/>
    <n v="2.62"/>
    <n v="2544193400"/>
    <n v="76064548000"/>
    <n v="28996179500"/>
    <n v="3836200"/>
    <n v="4915000000"/>
    <n v="7710000000"/>
    <n v="5708195000"/>
    <n v="44790000000"/>
    <n v="18372984500"/>
    <n v="23564548000"/>
    <n v="0.15300000000000002"/>
    <n v="31544209100"/>
  </r>
  <r>
    <x v="843"/>
    <s v="912810SN9"/>
    <s v="Bond"/>
    <s v="29-Year 10-Month"/>
    <n v="1.294"/>
    <n v="1.33"/>
    <n v="0.88"/>
    <n v="2.5"/>
    <n v="1666885300"/>
    <n v="47495820000"/>
    <n v="18997073000"/>
    <n v="941300"/>
    <n v="1995000000"/>
    <n v="5143500000"/>
    <n v="3314976600"/>
    <n v="25688000000"/>
    <n v="13687096400"/>
    <n v="16664320000"/>
    <n v="0.45000000000000007"/>
    <n v="20664899600"/>
  </r>
  <r>
    <x v="844"/>
    <s v="912810SR0"/>
    <s v="Bond"/>
    <s v="19-Year 10-Month"/>
    <n v="1"/>
    <n v="1.0589999999999999"/>
    <n v="0.88"/>
    <n v="2.4300000000000002"/>
    <n v="1931854100"/>
    <n v="41343450000"/>
    <n v="16999579200"/>
    <n v="442300"/>
    <n v="1999000000"/>
    <n v="3705000000"/>
    <n v="3608780100"/>
    <n v="24594000000"/>
    <n v="11391799100"/>
    <n v="13044450000"/>
    <n v="0.17899999999999994"/>
    <n v="18931875600"/>
  </r>
  <r>
    <x v="845"/>
    <s v="91282CAB7"/>
    <s v="Note"/>
    <s v="5-Year"/>
    <n v="0.23"/>
    <n v="0.28799999999999998"/>
    <n v="0.15"/>
    <n v="2.3199999999999998"/>
    <n v="5568285400"/>
    <n v="113477920000"/>
    <n v="48971823300"/>
    <n v="23179700"/>
    <n v="6031000000"/>
    <n v="10081000000"/>
    <n v="14471647500"/>
    <n v="72434000000"/>
    <n v="28469175800"/>
    <n v="30962920000"/>
    <n v="0.13799999999999998"/>
    <n v="54563288400"/>
  </r>
  <r>
    <x v="845"/>
    <s v="91282CAC5"/>
    <s v="Note"/>
    <s v="2-Year"/>
    <n v="0.121"/>
    <n v="0.155"/>
    <n v="0.08"/>
    <n v="2.34"/>
    <n v="5454646900"/>
    <n v="112151805000"/>
    <n v="47836870000"/>
    <n v="158228200"/>
    <n v="7087000000"/>
    <n v="11287000000"/>
    <n v="18821065000"/>
    <n v="73427000000"/>
    <n v="21928805000"/>
    <n v="27437805000"/>
    <n v="7.4999999999999997E-2"/>
    <n v="53449745100"/>
  </r>
  <r>
    <x v="846"/>
    <s v="91282CAD3"/>
    <s v="Note"/>
    <s v="7-Year"/>
    <n v="0.4"/>
    <n v="0.44600000000000001"/>
    <n v="0.08"/>
    <n v="2.4500000000000002"/>
    <n v="5000092900"/>
    <n v="107767400000"/>
    <n v="43998130000"/>
    <n v="1883300"/>
    <n v="7401900000"/>
    <n v="11480900000"/>
    <n v="8474310000"/>
    <n v="63394000000"/>
    <n v="28121920000"/>
    <n v="32892500000"/>
    <n v="0.36599999999999999"/>
    <n v="49000106200"/>
  </r>
  <r>
    <x v="847"/>
    <s v="91282CAF8"/>
    <s v="Note"/>
    <s v="3-Year"/>
    <n v="0.14599999999999999"/>
    <n v="0.17899999999999999"/>
    <n v="0.08"/>
    <n v="2.44"/>
    <n v="28548134900"/>
    <n v="117100000000"/>
    <n v="47864336000"/>
    <n v="30710100"/>
    <n v="5883464000"/>
    <n v="10105000000"/>
    <n v="14689312000"/>
    <n v="73270000000"/>
    <n v="27291560000"/>
    <n v="33725000000"/>
    <n v="9.8999999999999991E-2"/>
    <n v="76443181000"/>
  </r>
  <r>
    <x v="848"/>
    <s v="91282CAE1"/>
    <s v="Note"/>
    <s v="10-Year"/>
    <n v="0.63900000000000001"/>
    <n v="0.67700000000000005"/>
    <n v="0.1"/>
    <n v="2.41"/>
    <n v="22600606800"/>
    <n v="91536195000"/>
    <n v="37989294600"/>
    <n v="10723300"/>
    <n v="5601000000"/>
    <n v="9226000000"/>
    <n v="7533524600"/>
    <n v="52085000000"/>
    <n v="24854770000"/>
    <n v="30225195000"/>
    <n v="0.57700000000000007"/>
    <n v="60600624700"/>
  </r>
  <r>
    <x v="849"/>
    <s v="912810SP4"/>
    <s v="Bond"/>
    <s v="30-Year"/>
    <n v="1.32"/>
    <n v="1.4059999999999999"/>
    <n v="1.1499999999999999"/>
    <n v="2.14"/>
    <n v="15463573000"/>
    <n v="55533455000"/>
    <n v="25991895000"/>
    <n v="8118800"/>
    <n v="3086400000"/>
    <n v="5236400000"/>
    <n v="7354440000"/>
    <n v="34323000000"/>
    <n v="15551055000"/>
    <n v="15974055000"/>
    <n v="0.25600000000000001"/>
    <n v="41463586800"/>
  </r>
  <r>
    <x v="850"/>
    <s v="912810SQ2"/>
    <s v="Bond"/>
    <s v="20-Year"/>
    <n v="1.1100000000000001"/>
    <n v="1.1850000000000001"/>
    <n v="0.08"/>
    <n v="2.2599999999999998"/>
    <n v="2171847400"/>
    <n v="56423060000"/>
    <n v="24999361000"/>
    <n v="643300"/>
    <n v="2797087500"/>
    <n v="5840600000"/>
    <n v="6548115000"/>
    <n v="33524000000"/>
    <n v="15654158500"/>
    <n v="17058460000"/>
    <n v="1.105"/>
    <n v="27171851700"/>
  </r>
  <r>
    <x v="851"/>
    <s v="91282CAG6"/>
    <s v="Note"/>
    <s v="2-Year"/>
    <n v="0.12"/>
    <n v="0.155"/>
    <n v="5.7000000000000002E-2"/>
    <n v="2.78"/>
    <n v="4343694800"/>
    <n v="138983360000"/>
    <n v="49895360000"/>
    <n v="104718900"/>
    <n v="6827000000"/>
    <n v="12392000000"/>
    <n v="14312000000"/>
    <n v="84212000000"/>
    <n v="28756360000"/>
    <n v="42379360000"/>
    <n v="9.8000000000000004E-2"/>
    <n v="54343773700"/>
  </r>
  <r>
    <x v="852"/>
    <s v="91282CAJ0"/>
    <s v="Note"/>
    <s v="5-Year"/>
    <n v="0.26100000000000001"/>
    <n v="0.29799999999999999"/>
    <n v="0.08"/>
    <n v="2.71"/>
    <n v="4430568700"/>
    <n v="138179455000"/>
    <n v="50980249000"/>
    <n v="20111400"/>
    <n v="8121000000"/>
    <n v="12926000000"/>
    <n v="9085642000"/>
    <n v="80132000000"/>
    <n v="33773607000"/>
    <n v="45121455000"/>
    <n v="0.21799999999999997"/>
    <n v="55430929100"/>
  </r>
  <r>
    <x v="853"/>
    <s v="91282CAH4"/>
    <s v="Note"/>
    <s v="7-Year"/>
    <n v="0.47599999999999998"/>
    <n v="0.51900000000000002"/>
    <n v="0.08"/>
    <n v="2.4700000000000002"/>
    <n v="4083073100"/>
    <n v="116188900000"/>
    <n v="46991264800"/>
    <n v="8737800"/>
    <n v="7688031600"/>
    <n v="11627300000"/>
    <n v="7210130000"/>
    <n v="67009000000"/>
    <n v="32093103200"/>
    <n v="37552600000"/>
    <n v="0.439"/>
    <n v="51083075700"/>
  </r>
  <r>
    <x v="854"/>
    <s v="91282CAK7"/>
    <s v="Note"/>
    <s v="3-Year"/>
    <n v="0.14399999999999999"/>
    <n v="0.17"/>
    <n v="6.5000000000000002E-2"/>
    <n v="2.2799999999999998"/>
    <n v="2055555600"/>
    <n v="114082100000"/>
    <n v="49870766400"/>
    <n v="29297500"/>
    <n v="6466223400"/>
    <n v="10846000000"/>
    <n v="18098420000"/>
    <n v="71448000000"/>
    <n v="25306123000"/>
    <n v="31788100000"/>
    <n v="0.10500000000000001"/>
    <n v="51955619500"/>
  </r>
  <r>
    <x v="855"/>
    <s v="91282CAE1"/>
    <s v="Note"/>
    <s v="9-Year 11-Month"/>
    <n v="0.65"/>
    <n v="0.70399999999999996"/>
    <n v="0.59"/>
    <n v="2.2999999999999998"/>
    <n v="1438888900"/>
    <n v="80628735000"/>
    <n v="34989939300"/>
    <n v="10099300"/>
    <n v="5109000000"/>
    <n v="8599000000"/>
    <n v="9486894000"/>
    <n v="49722000000"/>
    <n v="20394045300"/>
    <n v="22307735000"/>
    <n v="0.11399999999999999"/>
    <n v="36438927500"/>
  </r>
  <r>
    <x v="856"/>
    <s v="912810SP4"/>
    <s v="Bond"/>
    <s v="29-Year 11-Month"/>
    <n v="1.4179999999999999"/>
    <n v="1.4730000000000001"/>
    <n v="0.9"/>
    <n v="2.31"/>
    <n v="945555500"/>
    <n v="53068065000"/>
    <n v="22993399000"/>
    <n v="6614200"/>
    <n v="3698000000"/>
    <n v="5968000000"/>
    <n v="4902284000"/>
    <n v="30622000000"/>
    <n v="14393115000"/>
    <n v="16478065000"/>
    <n v="0.57300000000000006"/>
    <n v="23945568700"/>
  </r>
  <r>
    <x v="857"/>
    <s v="912810SQ2"/>
    <s v="Bond"/>
    <s v="19-Year 11-Month"/>
    <n v="1.1599999999999999"/>
    <n v="1.2130000000000001"/>
    <n v="0.08"/>
    <n v="2.39"/>
    <n v="3011904700"/>
    <n v="52471510000"/>
    <n v="21993452100"/>
    <n v="6562800"/>
    <n v="3361000000"/>
    <n v="6418000000"/>
    <n v="5288860000"/>
    <n v="30864000000"/>
    <n v="13343592100"/>
    <n v="15189510000"/>
    <n v="1.133"/>
    <n v="25011919600"/>
  </r>
  <r>
    <x v="858"/>
    <s v="91282CAN1"/>
    <s v="Note"/>
    <s v="2-Year"/>
    <n v="0.1"/>
    <n v="0.13600000000000001"/>
    <n v="3.4000000000000002E-2"/>
    <n v="2.42"/>
    <n v="7119047700"/>
    <n v="125776035000"/>
    <n v="51892313000"/>
    <n v="107711600"/>
    <n v="7294000000"/>
    <n v="13239000000"/>
    <n v="17339073000"/>
    <n v="76225000000"/>
    <n v="27259240000"/>
    <n v="36312035000"/>
    <n v="0.10200000000000001"/>
    <n v="59119072300"/>
  </r>
  <r>
    <x v="859"/>
    <s v="91282CAM3"/>
    <s v="Note"/>
    <s v="5-Year"/>
    <n v="0.24"/>
    <n v="0.27500000000000002"/>
    <n v="0.08"/>
    <n v="2.52"/>
    <n v="7255952400"/>
    <n v="133642405000"/>
    <n v="52978600000"/>
    <n v="13779800"/>
    <n v="9214000000"/>
    <n v="14001000000"/>
    <n v="10954195000"/>
    <n v="77976000000"/>
    <n v="32810405000"/>
    <n v="41665405000"/>
    <n v="0.19500000000000001"/>
    <n v="60248332200"/>
  </r>
  <r>
    <x v="860"/>
    <s v="91282CAL5"/>
    <s v="Note"/>
    <s v="7-Year"/>
    <n v="0.41399999999999998"/>
    <n v="0.46200000000000002"/>
    <n v="0.08"/>
    <n v="2.42"/>
    <n v="6845238100"/>
    <n v="121146960000"/>
    <n v="49997050000"/>
    <n v="3006200"/>
    <n v="8324235000"/>
    <n v="12690300000"/>
    <n v="10251610000"/>
    <n v="71198000000"/>
    <n v="31421205000"/>
    <n v="37258660000"/>
    <n v="0.38200000000000001"/>
    <n v="56845294300"/>
  </r>
  <r>
    <x v="861"/>
    <s v="91282CAP6"/>
    <s v="Note"/>
    <s v="3-Year"/>
    <n v="0.16500000000000001"/>
    <n v="0.193"/>
    <n v="0.08"/>
    <n v="2.44"/>
    <n v="1454581900"/>
    <n v="126710255000"/>
    <n v="51976275000"/>
    <n v="18867800"/>
    <n v="6565000000"/>
    <n v="10985000000"/>
    <n v="16483670000"/>
    <n v="77101000000"/>
    <n v="28927605000"/>
    <n v="38624255000"/>
    <n v="0.113"/>
    <n v="53449724700"/>
  </r>
  <r>
    <x v="862"/>
    <s v="91282CAE1"/>
    <s v="Note"/>
    <s v="9-Year 10-Month"/>
    <n v="0.71599999999999997"/>
    <n v="0.76500000000000001"/>
    <n v="0.08"/>
    <n v="2.4700000000000002"/>
    <n v="979045400"/>
    <n v="86604010000"/>
    <n v="34989282000"/>
    <n v="10781400"/>
    <n v="4966000000"/>
    <n v="8516000000"/>
    <n v="8023200000"/>
    <n v="51835000000"/>
    <n v="22000082000"/>
    <n v="26253010000"/>
    <n v="0.68500000000000005"/>
    <n v="35979108800"/>
  </r>
  <r>
    <x v="863"/>
    <s v="912810SP4"/>
    <s v="Bond"/>
    <s v="29-Year 10-Month"/>
    <n v="1.5129999999999999"/>
    <n v="1.5780000000000001"/>
    <n v="1.45"/>
    <n v="2.29"/>
    <n v="643372700"/>
    <n v="52615060800"/>
    <n v="22996151800"/>
    <n v="3849000"/>
    <n v="3443400000"/>
    <n v="5957400000"/>
    <n v="5291921000"/>
    <n v="31735000000"/>
    <n v="14260830800"/>
    <n v="14922660800"/>
    <n v="0.12800000000000011"/>
    <n v="23643373500"/>
  </r>
  <r>
    <x v="864"/>
    <s v="912810SQ2"/>
    <s v="Bond"/>
    <s v="19-Year 10-Month"/>
    <n v="1.325"/>
    <n v="1.37"/>
    <n v="0.08"/>
    <n v="2.4300000000000002"/>
    <n v="2334060400"/>
    <n v="53431640000"/>
    <n v="21998494500"/>
    <n v="1520600"/>
    <n v="3431000000"/>
    <n v="5431000000"/>
    <n v="4720145000"/>
    <n v="31590000000"/>
    <n v="13847349500"/>
    <n v="16410640000"/>
    <n v="1.29"/>
    <n v="24334075500"/>
  </r>
  <r>
    <x v="865"/>
    <s v="91282CAR2"/>
    <s v="Note"/>
    <s v="2-Year"/>
    <n v="0.12"/>
    <n v="0.151"/>
    <n v="0.05"/>
    <n v="2.41"/>
    <n v="5729057500"/>
    <n v="129857255000"/>
    <n v="53854052700"/>
    <n v="141024700"/>
    <n v="8399000000"/>
    <n v="14049000000"/>
    <n v="17244627700"/>
    <n v="78615000000"/>
    <n v="28210425000"/>
    <n v="37193255000"/>
    <n v="0.10099999999999999"/>
    <n v="59724134900"/>
  </r>
  <r>
    <x v="866"/>
    <s v="91282CAT8"/>
    <s v="Note"/>
    <s v="5-Year"/>
    <n v="0.28899999999999998"/>
    <n v="0.33"/>
    <n v="0.08"/>
    <n v="2.38"/>
    <n v="5835151000"/>
    <n v="130769855000"/>
    <n v="54974867500"/>
    <n v="20157600"/>
    <n v="7680000000"/>
    <n v="12370000000"/>
    <n v="13242905000"/>
    <n v="78219000000"/>
    <n v="34051962500"/>
    <n v="40180855000"/>
    <n v="0.25"/>
    <n v="60830176100"/>
  </r>
  <r>
    <x v="867"/>
    <s v="91282CAU5"/>
    <s v="Note"/>
    <s v="7-Year"/>
    <n v="0.54500000000000004"/>
    <n v="0.6"/>
    <n v="0.08"/>
    <n v="2.2400000000000002"/>
    <n v="5622963700"/>
    <n v="118515615000"/>
    <n v="52997237000"/>
    <n v="2776100"/>
    <n v="7557859000"/>
    <n v="12114400000"/>
    <n v="13180245000"/>
    <n v="72300000000"/>
    <n v="32259133000"/>
    <n v="34101215000"/>
    <n v="0.52"/>
    <n v="58622976800"/>
  </r>
  <r>
    <x v="868"/>
    <s v="91282CAW1"/>
    <s v="Note"/>
    <s v="3-Year"/>
    <n v="0.23"/>
    <n v="0.25"/>
    <n v="0.08"/>
    <n v="2.4"/>
    <n v="14806881600"/>
    <n v="129529800000"/>
    <n v="53864522000"/>
    <n v="30595100"/>
    <n v="7693937000"/>
    <n v="12301000000"/>
    <n v="25222794000"/>
    <n v="89315000000"/>
    <n v="20947791000"/>
    <n v="27913800000"/>
    <n v="0.16999999999999998"/>
    <n v="68701998700"/>
  </r>
  <r>
    <x v="869"/>
    <s v="91282CAV3"/>
    <s v="Note"/>
    <s v="10-Year"/>
    <n v="0.91200000000000003"/>
    <n v="0.96"/>
    <n v="0.75"/>
    <n v="2.3199999999999998"/>
    <n v="11242261900"/>
    <n v="95217325000"/>
    <n v="40974468400"/>
    <n v="25542900"/>
    <n v="5380205500"/>
    <n v="9189000000"/>
    <n v="13123082500"/>
    <n v="59886000000"/>
    <n v="22471180400"/>
    <n v="26142325000"/>
    <n v="0.20999999999999996"/>
    <n v="52242273200"/>
  </r>
  <r>
    <x v="870"/>
    <s v="912810SS8"/>
    <s v="Bond"/>
    <s v="30-Year"/>
    <n v="1.62"/>
    <n v="1.68"/>
    <n v="0.08"/>
    <n v="2.29"/>
    <n v="7403440700"/>
    <n v="61862950000"/>
    <n v="26986999000"/>
    <n v="13025900"/>
    <n v="4463300000"/>
    <n v="6781300000"/>
    <n v="5817878000"/>
    <n v="35459000000"/>
    <n v="16705821000"/>
    <n v="19622650000"/>
    <n v="1.5999999999999999"/>
    <n v="34403465600"/>
  </r>
  <r>
    <x v="871"/>
    <s v="912810ST6"/>
    <s v="Bond"/>
    <s v="20-Year"/>
    <n v="1.3620000000000001"/>
    <n v="1.4219999999999999"/>
    <n v="0.08"/>
    <n v="2.27"/>
    <n v="3745702100"/>
    <n v="61309920000"/>
    <n v="26998970900"/>
    <n v="1041300"/>
    <n v="4129000000"/>
    <n v="6579000000"/>
    <n v="6341402000"/>
    <n v="37588000000"/>
    <n v="16528568900"/>
    <n v="17142920000"/>
    <n v="1.3419999999999999"/>
    <n v="30745714300"/>
  </r>
  <r>
    <x v="872"/>
    <s v="91282CAZ4"/>
    <s v="Note"/>
    <s v="5-Year"/>
    <n v="0.34899999999999998"/>
    <n v="0.39700000000000002"/>
    <n v="0.25"/>
    <n v="2.38"/>
    <n v="7907593600"/>
    <n v="135798100000"/>
    <n v="56986339000"/>
    <n v="13691100"/>
    <n v="8163076500"/>
    <n v="12721000000"/>
    <n v="16647300000"/>
    <n v="86651000000"/>
    <n v="32175962500"/>
    <n v="36426100000"/>
    <n v="0.14700000000000002"/>
    <n v="64907623700"/>
  </r>
  <r>
    <x v="872"/>
    <s v="91282CAX9"/>
    <s v="Note"/>
    <s v="2-Year"/>
    <n v="0.14000000000000001"/>
    <n v="0.16500000000000001"/>
    <n v="0.08"/>
    <n v="2.71"/>
    <n v="7768863900"/>
    <n v="151761536000"/>
    <n v="55876965500"/>
    <n v="123356100"/>
    <n v="8772000000"/>
    <n v="14172000000"/>
    <n v="21373712500"/>
    <n v="97400000000"/>
    <n v="25731253000"/>
    <n v="40189536000"/>
    <n v="8.5000000000000006E-2"/>
    <n v="63769185500"/>
  </r>
  <r>
    <x v="873"/>
    <s v="91282CAY7"/>
    <s v="Note"/>
    <s v="7-Year"/>
    <n v="0.6"/>
    <n v="0.65300000000000002"/>
    <n v="0.08"/>
    <n v="2.37"/>
    <n v="7768863800"/>
    <n v="132919525000"/>
    <n v="55996950000"/>
    <n v="3072400"/>
    <n v="8465700000"/>
    <n v="13165700000"/>
    <n v="10907025000"/>
    <n v="78231000000"/>
    <n v="36624225000"/>
    <n v="41522825000"/>
    <n v="0.57300000000000006"/>
    <n v="63768886200"/>
  </r>
  <r>
    <x v="874"/>
    <s v="91282CBA8"/>
    <s v="Note"/>
    <s v="3-Year"/>
    <n v="0.187"/>
    <n v="0.21099999999999999"/>
    <n v="0.08"/>
    <n v="2.2799999999999998"/>
    <n v="2385220400"/>
    <n v="127359655000"/>
    <n v="55948886000"/>
    <n v="51213700"/>
    <n v="8878000000"/>
    <n v="13359000000"/>
    <n v="19513281000"/>
    <n v="79200000000"/>
    <n v="27557605000"/>
    <n v="34800655000"/>
    <n v="0.13100000000000001"/>
    <n v="58385320100"/>
  </r>
  <r>
    <x v="875"/>
    <s v="91282CAV3"/>
    <s v="Note"/>
    <s v="9-Year 11-Month"/>
    <n v="0.90400000000000003"/>
    <n v="0.95099999999999996"/>
    <n v="0.08"/>
    <n v="2.33"/>
    <n v="1618542400"/>
    <n v="88494000000"/>
    <n v="37994217000"/>
    <n v="5800100"/>
    <n v="5587000000"/>
    <n v="9212000000"/>
    <n v="8734669000"/>
    <n v="53514000000"/>
    <n v="23672548000"/>
    <n v="25768000000"/>
    <n v="0.871"/>
    <n v="39618559500"/>
  </r>
  <r>
    <x v="876"/>
    <s v="912810SS8"/>
    <s v="Bond"/>
    <s v="29-Year 11-Month"/>
    <n v="1.6259999999999999"/>
    <n v="1.665"/>
    <n v="0.08"/>
    <n v="2.48"/>
    <n v="1022237200"/>
    <n v="59539065000"/>
    <n v="23997277300"/>
    <n v="2729700"/>
    <n v="4024034400"/>
    <n v="6253500000"/>
    <n v="4166000000"/>
    <n v="31752000000"/>
    <n v="15807242900"/>
    <n v="21533565000"/>
    <n v="1.585"/>
    <n v="25022244200"/>
  </r>
  <r>
    <x v="877"/>
    <s v="912810ST6"/>
    <s v="Bond"/>
    <s v="19-Year 11-Month"/>
    <n v="1.411"/>
    <n v="1.47"/>
    <n v="0.87"/>
    <n v="2.39"/>
    <n v="3651460500"/>
    <n v="57473670000"/>
    <n v="23999443700"/>
    <n v="635600"/>
    <n v="4248000000"/>
    <n v="6363000000"/>
    <n v="6247706000"/>
    <n v="34084000000"/>
    <n v="13503737700"/>
    <n v="17026670000"/>
    <n v="0.6"/>
    <n v="27651539800"/>
  </r>
  <r>
    <x v="878"/>
    <s v="91282CBC4"/>
    <s v="Note"/>
    <s v="5-Year"/>
    <n v="0.35"/>
    <n v="0.39400000000000002"/>
    <n v="0.08"/>
    <n v="2.39"/>
    <n v="8976507000"/>
    <n v="141031930000"/>
    <n v="58980979600"/>
    <n v="14068300"/>
    <n v="10596000000"/>
    <n v="15346000000"/>
    <n v="14699600000"/>
    <n v="81841000000"/>
    <n v="33685379600"/>
    <n v="43844930000"/>
    <n v="0.314"/>
    <n v="67971554900"/>
  </r>
  <r>
    <x v="878"/>
    <s v="91282CBD2"/>
    <s v="Note"/>
    <s v="2-Year"/>
    <n v="0.11"/>
    <n v="0.13700000000000001"/>
    <n v="0.05"/>
    <n v="2.4500000000000002"/>
    <n v="8824362800"/>
    <n v="142156210000"/>
    <n v="57875597500"/>
    <n v="124453800"/>
    <n v="10130000000"/>
    <n v="15380000000"/>
    <n v="19261632500"/>
    <n v="84140000000"/>
    <n v="28483965000"/>
    <n v="42636210000"/>
    <n v="8.7000000000000008E-2"/>
    <n v="66824414100"/>
  </r>
  <r>
    <x v="879"/>
    <s v="91282CBB6"/>
    <s v="Note"/>
    <s v="7-Year"/>
    <n v="0.60799999999999998"/>
    <n v="0.66200000000000003"/>
    <n v="0.55000000000000004"/>
    <n v="2.31"/>
    <n v="8976507000"/>
    <n v="136570560000"/>
    <n v="58994289400"/>
    <n v="5718700"/>
    <n v="10017451400"/>
    <n v="14581500000"/>
    <n v="13384682000"/>
    <n v="79363000000"/>
    <n v="35592156000"/>
    <n v="42626060000"/>
    <n v="0.11199999999999999"/>
    <n v="67976515100"/>
  </r>
  <r>
    <x v="880"/>
    <s v="91282CBE0"/>
    <s v="Note"/>
    <s v="3-Year"/>
    <n v="0.21"/>
    <n v="0.23400000000000001"/>
    <n v="0.12"/>
    <n v="2.52"/>
    <n v="5830507000"/>
    <n v="146062230000"/>
    <n v="57876000000"/>
    <n v="24154800"/>
    <n v="8434060000"/>
    <n v="13346000000"/>
    <n v="19230710000"/>
    <n v="95311000000"/>
    <n v="30211230000"/>
    <n v="37405230000"/>
    <n v="0.11400000000000002"/>
    <n v="63730661800"/>
  </r>
  <r>
    <x v="881"/>
    <s v="91282CAV3"/>
    <s v="Note"/>
    <s v="9-Year 10-Month"/>
    <n v="1.1200000000000001"/>
    <n v="1.1639999999999999"/>
    <n v="0.96099999999999997"/>
    <n v="2.4700000000000002"/>
    <n v="3819987200"/>
    <n v="93697335000"/>
    <n v="37991685000"/>
    <n v="8318800"/>
    <n v="6749600000"/>
    <n v="10404000000"/>
    <n v="7593650000"/>
    <n v="53969000000"/>
    <n v="23648435000"/>
    <n v="29324335000"/>
    <n v="0.20299999999999996"/>
    <n v="41819991000"/>
  </r>
  <r>
    <x v="882"/>
    <s v="912810SS8"/>
    <s v="Bond"/>
    <s v="29-Year 10-Month"/>
    <n v="1.79"/>
    <n v="1.825"/>
    <n v="0.08"/>
    <n v="2.4700000000000002"/>
    <n v="2412623500"/>
    <n v="59324623000"/>
    <n v="23996512600"/>
    <n v="3489200"/>
    <n v="4128017500"/>
    <n v="6338200000"/>
    <n v="3396744500"/>
    <n v="32295000000"/>
    <n v="16471750600"/>
    <n v="20691423000"/>
    <n v="1.7449999999999999"/>
    <n v="26412625300"/>
  </r>
  <r>
    <x v="883"/>
    <s v="912810ST6"/>
    <s v="Bond"/>
    <s v="19-Year 10-Month"/>
    <n v="1.6"/>
    <n v="1.657"/>
    <n v="0.08"/>
    <n v="2.2799999999999998"/>
    <n v="3243793500"/>
    <n v="54695950000"/>
    <n v="23997476000"/>
    <n v="2547400"/>
    <n v="3482530000"/>
    <n v="5727000000"/>
    <n v="6178816000"/>
    <n v="33441000000"/>
    <n v="14336130000"/>
    <n v="15527950000"/>
    <n v="1.577"/>
    <n v="27243816900"/>
  </r>
  <r>
    <x v="884"/>
    <s v="91282CBG5"/>
    <s v="Note"/>
    <s v="2-Year"/>
    <n v="9.9000000000000005E-2"/>
    <n v="0.125"/>
    <n v="2.5000000000000001E-2"/>
    <n v="2.67"/>
    <n v="8109483900"/>
    <n v="159869005000"/>
    <n v="59789059000"/>
    <n v="105946700"/>
    <n v="9356000000"/>
    <n v="16434000000"/>
    <n v="16582176000"/>
    <n v="92719000000"/>
    <n v="33850883000"/>
    <n v="50716005000"/>
    <n v="0.1"/>
    <n v="68004489600"/>
  </r>
  <r>
    <x v="885"/>
    <s v="91282CBH3"/>
    <s v="Note"/>
    <s v="5-Year"/>
    <n v="0.375"/>
    <n v="0.42399999999999999"/>
    <n v="0.3"/>
    <n v="2.34"/>
    <n v="8244642000"/>
    <n v="142864145000"/>
    <n v="60970515000"/>
    <n v="24593400"/>
    <n v="8625000000"/>
    <n v="13405000000"/>
    <n v="15460420000"/>
    <n v="85075000000"/>
    <n v="36885095000"/>
    <n v="44384145000"/>
    <n v="0.124"/>
    <n v="69239750400"/>
  </r>
  <r>
    <x v="886"/>
    <s v="91282CBJ9"/>
    <s v="Note"/>
    <s v="7-Year"/>
    <n v="0.70299999999999996"/>
    <n v="0.754"/>
    <n v="0.6"/>
    <n v="2.2999999999999998"/>
    <n v="8379799900"/>
    <n v="142898245000"/>
    <n v="61994272000"/>
    <n v="5771500"/>
    <n v="10094325000"/>
    <n v="15443600000"/>
    <n v="12161487500"/>
    <n v="81058000000"/>
    <n v="39738459500"/>
    <n v="46396645000"/>
    <n v="0.15400000000000003"/>
    <n v="70379843400"/>
  </r>
  <r>
    <x v="887"/>
    <s v="91282CBM2"/>
    <s v="Note"/>
    <s v="3-Year"/>
    <n v="0.16500000000000001"/>
    <n v="0.19600000000000001"/>
    <n v="0.09"/>
    <n v="2.39"/>
    <n v="21041170200"/>
    <n v="138543000000"/>
    <n v="57857920000"/>
    <n v="32120400"/>
    <n v="9286000000"/>
    <n v="14387000000"/>
    <n v="18059920000"/>
    <n v="83931000000"/>
    <n v="30512000000"/>
    <n v="40225000000"/>
    <n v="0.10600000000000001"/>
    <n v="78931210600"/>
  </r>
  <r>
    <x v="888"/>
    <s v="91282CBL4"/>
    <s v="Note"/>
    <s v="10-Year"/>
    <n v="1.105"/>
    <n v="1.155"/>
    <n v="0.08"/>
    <n v="2.37"/>
    <n v="14873930700"/>
    <n v="96961674000"/>
    <n v="40976823200"/>
    <n v="23219900"/>
    <n v="7753035000"/>
    <n v="11695000000"/>
    <n v="8387105000"/>
    <n v="55702000000"/>
    <n v="24836683200"/>
    <n v="29564674000"/>
    <n v="1.075"/>
    <n v="55873973800"/>
  </r>
  <r>
    <x v="889"/>
    <s v="912810SU3"/>
    <s v="Bond"/>
    <s v="30-Year"/>
    <n v="1.87"/>
    <n v="1.9330000000000001"/>
    <n v="1.82"/>
    <n v="2.1800000000000002"/>
    <n v="9795027400"/>
    <n v="58750140000"/>
    <n v="26989315200"/>
    <n v="10704800"/>
    <n v="4679620000"/>
    <n v="7108300000"/>
    <n v="5992955200"/>
    <n v="35006000000"/>
    <n v="16316740000"/>
    <n v="16635840000"/>
    <n v="0.11299999999999999"/>
    <n v="36795047400"/>
  </r>
  <r>
    <x v="890"/>
    <s v="912810SW9"/>
    <s v="Bond"/>
    <s v="20-Year"/>
    <n v="1.85"/>
    <n v="1.92"/>
    <n v="0.88"/>
    <n v="2.15"/>
    <n v="5849038000"/>
    <n v="57997650000"/>
    <n v="26996535500"/>
    <n v="3471300"/>
    <n v="4323538000"/>
    <n v="6816000000"/>
    <n v="7851713000"/>
    <n v="36206000000"/>
    <n v="14821284500"/>
    <n v="14975650000"/>
    <n v="1.04"/>
    <n v="32849044800"/>
  </r>
  <r>
    <x v="891"/>
    <s v="91282CBN0"/>
    <s v="Note"/>
    <s v="2-Year"/>
    <n v="9.8000000000000004E-2"/>
    <n v="0.11899999999999999"/>
    <n v="0.03"/>
    <n v="2.44"/>
    <n v="12997862400"/>
    <n v="145994945000"/>
    <n v="59682313300"/>
    <n v="117816600"/>
    <n v="7168925000"/>
    <n v="12573000000"/>
    <n v="18313622500"/>
    <n v="84567000000"/>
    <n v="34199765800"/>
    <n v="48854945000"/>
    <n v="8.8999999999999996E-2"/>
    <n v="72797992300"/>
  </r>
  <r>
    <x v="892"/>
    <s v="91282CBQ3"/>
    <s v="Note"/>
    <s v="5-Year"/>
    <n v="0.56999999999999995"/>
    <n v="0.621"/>
    <n v="0.47"/>
    <n v="2.2400000000000002"/>
    <n v="13214493400"/>
    <n v="136321275000"/>
    <n v="60974980000"/>
    <n v="23028100"/>
    <n v="8770000000"/>
    <n v="13271000000"/>
    <n v="17417705000"/>
    <n v="84402000000"/>
    <n v="34787275000"/>
    <n v="38648275000"/>
    <n v="0.15100000000000002"/>
    <n v="74212501500"/>
  </r>
  <r>
    <x v="893"/>
    <s v="91282CBP5"/>
    <s v="Note"/>
    <s v="7-Year"/>
    <n v="1.099"/>
    <n v="1.1950000000000001"/>
    <n v="0.95"/>
    <n v="2.04"/>
    <n v="13431124300"/>
    <n v="126765780000"/>
    <n v="61989770000"/>
    <n v="10255400"/>
    <n v="13717900000"/>
    <n v="18547900000"/>
    <n v="24678990000"/>
    <n v="84625000000"/>
    <n v="23592880000"/>
    <n v="23592880000"/>
    <n v="0.24500000000000011"/>
    <n v="75431149700"/>
  </r>
  <r>
    <x v="894"/>
    <s v="91282CBR1"/>
    <s v="Note"/>
    <s v="3-Year"/>
    <n v="0.31900000000000001"/>
    <n v="0.35499999999999998"/>
    <n v="0.08"/>
    <n v="2.69"/>
    <n v="3594550000"/>
    <n v="155821400000"/>
    <n v="57869787000"/>
    <n v="25773800"/>
    <n v="10561000000"/>
    <n v="15263000000"/>
    <n v="19669837500"/>
    <n v="91618000000"/>
    <n v="27638949500"/>
    <n v="48940400000"/>
    <n v="0.27499999999999997"/>
    <n v="61490110800"/>
  </r>
  <r>
    <x v="895"/>
    <s v="91282CBL4"/>
    <s v="Note"/>
    <s v="9-Year 11-Month"/>
    <n v="1.4670000000000001"/>
    <n v="1.5229999999999999"/>
    <n v="0.88"/>
    <n v="2.38"/>
    <n v="2355050000"/>
    <n v="90545182000"/>
    <n v="37966272200"/>
    <n v="33739300"/>
    <n v="6748585000"/>
    <n v="9865000000"/>
    <n v="9649528500"/>
    <n v="53451000000"/>
    <n v="21568158700"/>
    <n v="27229182000"/>
    <n v="0.6429999999999999"/>
    <n v="40355061500"/>
  </r>
  <r>
    <x v="896"/>
    <s v="912810SU3"/>
    <s v="Bond"/>
    <s v="29-Year 11-Month"/>
    <n v="2.23"/>
    <n v="2.2949999999999999"/>
    <n v="2.15"/>
    <n v="2.2799999999999998"/>
    <n v="1487400000"/>
    <n v="54801590000"/>
    <n v="23994280000"/>
    <n v="5721400"/>
    <n v="4855700000"/>
    <n v="6875700000"/>
    <n v="4609756000"/>
    <n v="31233000000"/>
    <n v="14528824000"/>
    <n v="16692890000"/>
    <n v="0.14500000000000002"/>
    <n v="25487401400"/>
  </r>
  <r>
    <x v="897"/>
    <s v="912810SW9"/>
    <s v="Bond"/>
    <s v="19-Year 11-Month"/>
    <n v="2.2400000000000002"/>
    <n v="2.29"/>
    <n v="0.88"/>
    <n v="2.5099999999999998"/>
    <n v="4309706800"/>
    <n v="60287185000"/>
    <n v="23997803700"/>
    <n v="2196900"/>
    <n v="4087000000"/>
    <n v="7178000000"/>
    <n v="5174537500"/>
    <n v="31657000000"/>
    <n v="14736266200"/>
    <n v="21452185000"/>
    <n v="1.4100000000000001"/>
    <n v="28309707400"/>
  </r>
  <r>
    <x v="898"/>
    <s v="91282CBU4"/>
    <s v="Note"/>
    <s v="2-Year"/>
    <n v="0.11"/>
    <n v="0.152"/>
    <n v="0.05"/>
    <n v="2.54"/>
    <n v="10774267300"/>
    <n v="152343620000"/>
    <n v="59795900800"/>
    <n v="104182700"/>
    <n v="10511205800"/>
    <n v="16652000000"/>
    <n v="18972725000"/>
    <n v="85638000000"/>
    <n v="30311970000"/>
    <n v="50053620000"/>
    <n v="0.10199999999999999"/>
    <n v="70674350800"/>
  </r>
  <r>
    <x v="899"/>
    <s v="91282CBT7"/>
    <s v="Note"/>
    <s v="5-Year"/>
    <n v="0.79"/>
    <n v="0.85"/>
    <n v="0.73599999999999999"/>
    <n v="2.36"/>
    <n v="10953838400"/>
    <n v="143989750000"/>
    <n v="60945407500"/>
    <n v="47393300"/>
    <n v="10127000000"/>
    <n v="14927000000"/>
    <n v="15422997500"/>
    <n v="88034000000"/>
    <n v="35395410000"/>
    <n v="41028750000"/>
    <n v="0.11399999999999999"/>
    <n v="71946639200"/>
  </r>
  <r>
    <x v="900"/>
    <s v="91282CBS9"/>
    <s v="Note"/>
    <s v="7-Year"/>
    <n v="1.2250000000000001"/>
    <n v="1.3"/>
    <n v="0.08"/>
    <n v="2.23"/>
    <n v="11133409500"/>
    <n v="138411341000"/>
    <n v="61938581000"/>
    <n v="61445700"/>
    <n v="11150900000"/>
    <n v="16300900000"/>
    <n v="15316240000"/>
    <n v="83489000000"/>
    <n v="35471441000"/>
    <n v="38621441000"/>
    <n v="1.22"/>
    <n v="73133436200"/>
  </r>
  <r>
    <x v="901"/>
    <s v="91282CBL4"/>
    <s v="Note"/>
    <s v="9-Year 10-Month"/>
    <n v="1.62"/>
    <n v="1.68"/>
    <n v="0.08"/>
    <n v="2.36"/>
    <n v="5833637100"/>
    <n v="89558462000"/>
    <n v="37986519600"/>
    <n v="13500000"/>
    <n v="6160000000"/>
    <n v="10110000000"/>
    <n v="9185753000"/>
    <n v="53219000000"/>
    <n v="22640766600"/>
    <n v="26229462000"/>
    <n v="1.5999999999999999"/>
    <n v="43833656700"/>
  </r>
  <r>
    <x v="901"/>
    <s v="91282CBV2"/>
    <s v="Note"/>
    <s v="3-Year"/>
    <n v="0.35"/>
    <n v="0.376"/>
    <n v="0.08"/>
    <n v="2.3199999999999998"/>
    <n v="8903972600"/>
    <n v="134178300000"/>
    <n v="57742558400"/>
    <n v="52526600"/>
    <n v="9105044000"/>
    <n v="11327000000"/>
    <n v="19131710000"/>
    <n v="83123000000"/>
    <n v="29505804400"/>
    <n v="39728300000"/>
    <n v="0.29599999999999999"/>
    <n v="66699057600"/>
  </r>
  <r>
    <x v="902"/>
    <s v="912810SU3"/>
    <s v="Bond"/>
    <s v="29-Year 10-Month"/>
    <n v="2.27"/>
    <n v="2.3199999999999998"/>
    <n v="2.19"/>
    <n v="2.4700000000000002"/>
    <n v="3684402400"/>
    <n v="59171672000"/>
    <n v="23993018000"/>
    <n v="7015000"/>
    <n v="5265970000"/>
    <n v="7810000000"/>
    <n v="4101400000"/>
    <n v="32356000000"/>
    <n v="14625648000"/>
    <n v="19005672000"/>
    <n v="0.12999999999999989"/>
    <n v="27684435400"/>
  </r>
  <r>
    <x v="903"/>
    <s v="912810SW9"/>
    <s v="Bond"/>
    <s v="19-Year 10-Month"/>
    <n v="2.0920000000000001"/>
    <n v="2.1440000000000001"/>
    <n v="0.08"/>
    <n v="2.42"/>
    <n v="4583339800"/>
    <n v="57975000000"/>
    <n v="23995619000"/>
    <n v="4385800"/>
    <n v="4843000000"/>
    <n v="7888000000"/>
    <n v="5060548000"/>
    <n v="33605000000"/>
    <n v="14092071000"/>
    <n v="16482000000"/>
    <n v="2.0640000000000001"/>
    <n v="28583344600"/>
  </r>
  <r>
    <x v="904"/>
    <s v="91282CBW0"/>
    <s v="Note"/>
    <s v="5-Year"/>
    <n v="0.8"/>
    <n v="0.84899999999999998"/>
    <n v="0.72"/>
    <n v="2.31"/>
    <n v="11649322200"/>
    <n v="140906690000"/>
    <n v="60852802000"/>
    <n v="42218100"/>
    <n v="10653010000"/>
    <n v="15719000000"/>
    <n v="14948070000"/>
    <n v="83705000000"/>
    <n v="35251722000"/>
    <n v="41482690000"/>
    <n v="0.129"/>
    <n v="72544342300"/>
  </r>
  <r>
    <x v="904"/>
    <s v="91282CBX8"/>
    <s v="Note"/>
    <s v="2-Year"/>
    <n v="0.15"/>
    <n v="0.17499999999999999"/>
    <n v="0.08"/>
    <n v="2.34"/>
    <n v="11458349800"/>
    <n v="140037530000"/>
    <n v="59711305000"/>
    <n v="82069300"/>
    <n v="11049000000"/>
    <n v="15949000000"/>
    <n v="22649525000"/>
    <n v="84354000000"/>
    <n v="26012780000"/>
    <n v="39734530000"/>
    <n v="9.4999999999999987E-2"/>
    <n v="71251724100"/>
  </r>
  <r>
    <x v="905"/>
    <s v="91282CBZ3"/>
    <s v="Note"/>
    <s v="7-Year"/>
    <n v="1.2490000000000001"/>
    <n v="1.306"/>
    <n v="0.88"/>
    <n v="2.31"/>
    <n v="11840294700"/>
    <n v="143424297000"/>
    <n v="61976072000"/>
    <n v="23939100"/>
    <n v="12765200000"/>
    <n v="18240200000"/>
    <n v="13838775000"/>
    <n v="83937000000"/>
    <n v="35372097000"/>
    <n v="41247097000"/>
    <n v="0.42600000000000005"/>
    <n v="73840305800"/>
  </r>
  <r>
    <x v="906"/>
    <s v="91282CCC3"/>
    <s v="Note"/>
    <s v="3-Year"/>
    <n v="0.3"/>
    <n v="0.32900000000000001"/>
    <n v="0.08"/>
    <n v="2.42"/>
    <n v="30769279500"/>
    <n v="140318300000"/>
    <n v="57851534000"/>
    <n v="43500400"/>
    <n v="10478000000"/>
    <n v="15526000000"/>
    <n v="18665234000"/>
    <n v="84179000000"/>
    <n v="28708300000"/>
    <n v="40613300000"/>
    <n v="0.249"/>
    <n v="88664313900"/>
  </r>
  <r>
    <x v="907"/>
    <s v="91282CCB5"/>
    <s v="Note"/>
    <s v="10-Year"/>
    <n v="1.629"/>
    <n v="1.6839999999999999"/>
    <n v="0.88"/>
    <n v="2.4500000000000002"/>
    <n v="21750697500"/>
    <n v="100582365000"/>
    <n v="40960994000"/>
    <n v="39006500"/>
    <n v="7015000000"/>
    <n v="11835000000"/>
    <n v="7984229000"/>
    <n v="56750000000"/>
    <n v="25961765000"/>
    <n v="31997365000"/>
    <n v="0.80399999999999994"/>
    <n v="62750698000"/>
  </r>
  <r>
    <x v="908"/>
    <s v="912810SX7"/>
    <s v="Bond"/>
    <s v="30-Year"/>
    <n v="2.3149999999999999"/>
    <n v="2.395"/>
    <n v="0.88"/>
    <n v="2.2200000000000002"/>
    <n v="14323630000"/>
    <n v="59900825000"/>
    <n v="26989331700"/>
    <n v="10680100"/>
    <n v="5415300000"/>
    <n v="7825300000"/>
    <n v="5411506700"/>
    <n v="34577000000"/>
    <n v="16162525000"/>
    <n v="17498525000"/>
    <n v="1.5150000000000001"/>
    <n v="41323641800"/>
  </r>
  <r>
    <x v="909"/>
    <s v="912810SY5"/>
    <s v="Bond"/>
    <s v="20-Year"/>
    <n v="2.2149999999999999"/>
    <n v="2.286"/>
    <n v="2.15"/>
    <n v="2.2400000000000002"/>
    <n v="5240703700"/>
    <n v="60362510000"/>
    <n v="26994852500"/>
    <n v="5149900"/>
    <n v="5267900000"/>
    <n v="7927900000"/>
    <n v="6411342500"/>
    <n v="34899000000"/>
    <n v="15315610000"/>
    <n v="17535610000"/>
    <n v="0.13600000000000012"/>
    <n v="32240706100"/>
  </r>
  <r>
    <x v="910"/>
    <s v="91282CCD1"/>
    <s v="Note"/>
    <s v="2-Year"/>
    <n v="0.108"/>
    <n v="0.152"/>
    <n v="0.08"/>
    <n v="2.74"/>
    <n v="11646008300"/>
    <n v="163939725000"/>
    <n v="59794745000"/>
    <n v="100284900"/>
    <n v="10780000000"/>
    <n v="17755000000"/>
    <n v="14896020000"/>
    <n v="88401000000"/>
    <n v="34118725000"/>
    <n v="57783725000"/>
    <n v="7.1999999999999995E-2"/>
    <n v="71541038200"/>
  </r>
  <r>
    <x v="911"/>
    <s v="91282CCF6"/>
    <s v="Note"/>
    <s v="5-Year"/>
    <n v="0.74099999999999999"/>
    <n v="0.78800000000000003"/>
    <n v="0.08"/>
    <n v="2.4900000000000002"/>
    <n v="11840108300"/>
    <n v="151683885000"/>
    <n v="60861800400"/>
    <n v="33232500"/>
    <n v="9048000000"/>
    <n v="14064000000"/>
    <n v="12648000000"/>
    <n v="83703000000"/>
    <n v="39165800400"/>
    <n v="53916885000"/>
    <n v="0.70800000000000007"/>
    <n v="72735141200"/>
  </r>
  <r>
    <x v="912"/>
    <s v="91282CCE9"/>
    <s v="Note"/>
    <s v="7-Year"/>
    <n v="1.232"/>
    <n v="1.2849999999999999"/>
    <n v="0.08"/>
    <n v="2.41"/>
    <n v="12034208500"/>
    <n v="149548367000"/>
    <n v="61978474500"/>
    <n v="21576400"/>
    <n v="12828300000"/>
    <n v="18215300000"/>
    <n v="12228762500"/>
    <n v="85129000000"/>
    <n v="36921412000"/>
    <n v="46204067000"/>
    <n v="1.2049999999999998"/>
    <n v="74034259400"/>
  </r>
  <r>
    <x v="913"/>
    <s v="91282CCG4"/>
    <s v="Note"/>
    <s v="3-Year"/>
    <n v="0.29499999999999998"/>
    <n v="0.32500000000000001"/>
    <n v="0.22"/>
    <n v="2.4700000000000002"/>
    <n v="5332133400"/>
    <n v="143075700000"/>
    <n v="57961361600"/>
    <n v="33736400"/>
    <n v="10594000000"/>
    <n v="15889000000"/>
    <n v="15968925000"/>
    <n v="80420000000"/>
    <n v="31398436600"/>
    <n v="46766700000"/>
    <n v="0.10500000000000001"/>
    <n v="63327231400"/>
  </r>
  <r>
    <x v="914"/>
    <s v="91282CCB5"/>
    <s v="Note"/>
    <s v="9-Year 11-Month"/>
    <n v="1.44"/>
    <n v="1.4970000000000001"/>
    <n v="0.08"/>
    <n v="2.58"/>
    <n v="3493466600"/>
    <n v="98129455000"/>
    <n v="37989945700"/>
    <n v="10077100"/>
    <n v="7306000000"/>
    <n v="11206000000"/>
    <n v="5973472500"/>
    <n v="55834000000"/>
    <n v="24710473200"/>
    <n v="31089455000"/>
    <n v="1.417"/>
    <n v="41493489400"/>
  </r>
  <r>
    <x v="915"/>
    <s v="912810SX7"/>
    <s v="Bond"/>
    <s v="29-Year 11-Month"/>
    <n v="2.1"/>
    <n v="2.1720000000000002"/>
    <n v="0.88"/>
    <n v="2.29"/>
    <n v="2206400000"/>
    <n v="54925050000"/>
    <n v="23996814500"/>
    <n v="3188200"/>
    <n v="4316700000"/>
    <n v="6416700000"/>
    <n v="4313726500"/>
    <n v="32270000000"/>
    <n v="15366388000"/>
    <n v="16238350000"/>
    <n v="1.2920000000000003"/>
    <n v="26206402700"/>
  </r>
  <r>
    <x v="916"/>
    <s v="912810SY5"/>
    <s v="Bond"/>
    <s v="19-Year 11-Month"/>
    <n v="2.0499999999999998"/>
    <n v="2.12"/>
    <n v="0.88"/>
    <n v="2.4"/>
    <n v="3643001200"/>
    <n v="57520235000"/>
    <n v="23996113900"/>
    <n v="3915600"/>
    <n v="4896380500"/>
    <n v="6251000000"/>
    <n v="4206447500"/>
    <n v="32326000000"/>
    <n v="14893285900"/>
    <n v="18943235000"/>
    <n v="1.2400000000000002"/>
    <n v="27643030700"/>
  </r>
  <r>
    <x v="917"/>
    <s v="91282CCK5"/>
    <s v="Note"/>
    <s v="2-Year"/>
    <n v="0.219"/>
    <n v="0.249"/>
    <n v="0.13"/>
    <n v="2.54"/>
    <n v="9107503100"/>
    <n v="152320492000"/>
    <n v="59890423500"/>
    <n v="104698700"/>
    <n v="11070000000"/>
    <n v="17010000000"/>
    <n v="18495300000"/>
    <n v="84960000000"/>
    <n v="30325123500"/>
    <n v="50350492000"/>
    <n v="0.11899999999999999"/>
    <n v="69102625300"/>
  </r>
  <r>
    <x v="918"/>
    <s v="91282CCJ8"/>
    <s v="Note"/>
    <s v="5-Year"/>
    <n v="0.84299999999999997"/>
    <n v="0.90400000000000003"/>
    <n v="0.76"/>
    <n v="2.36"/>
    <n v="9259294800"/>
    <n v="143749644400"/>
    <n v="60967054400"/>
    <n v="27948100"/>
    <n v="11028000000"/>
    <n v="15828000000"/>
    <n v="14807700000"/>
    <n v="82817000000"/>
    <n v="35131354400"/>
    <n v="45104644400"/>
    <n v="0.14400000000000002"/>
    <n v="70254297300"/>
  </r>
  <r>
    <x v="919"/>
    <s v="91282CCH2"/>
    <s v="Note"/>
    <s v="7-Year"/>
    <n v="1.21"/>
    <n v="1.264"/>
    <n v="0.88"/>
    <n v="2.36"/>
    <n v="9411086500"/>
    <n v="146334263000"/>
    <n v="61982078000"/>
    <n v="17924600"/>
    <n v="13225800000"/>
    <n v="18625800000"/>
    <n v="11584815000"/>
    <n v="81027000000"/>
    <n v="37171463000"/>
    <n v="46681463000"/>
    <n v="0.38400000000000001"/>
    <n v="71411089100"/>
  </r>
  <r>
    <x v="920"/>
    <s v="91282CCB5"/>
    <s v="Note"/>
    <s v="9-Year 10-Month"/>
    <n v="1.3140000000000001"/>
    <n v="1.371"/>
    <n v="1.2430000000000001"/>
    <n v="2.39"/>
    <n v="6255620100"/>
    <n v="90709800000"/>
    <n v="37990493300"/>
    <n v="9595400"/>
    <n v="6641000000"/>
    <n v="8841000000"/>
    <n v="7233000000"/>
    <n v="53518000000"/>
    <n v="24116493300"/>
    <n v="28350800000"/>
    <n v="0.12799999999999989"/>
    <n v="44255708800"/>
  </r>
  <r>
    <x v="920"/>
    <s v="91282CCL3"/>
    <s v="Note"/>
    <s v="3-Year"/>
    <n v="0.38"/>
    <n v="0.42599999999999999"/>
    <n v="0.08"/>
    <n v="2.41"/>
    <n v="9548051900"/>
    <n v="139806250000"/>
    <n v="57962031000"/>
    <n v="38100400"/>
    <n v="10596000000"/>
    <n v="15291000000"/>
    <n v="16549666000"/>
    <n v="78943000000"/>
    <n v="30816365000"/>
    <n v="45572250000"/>
    <n v="0.34599999999999997"/>
    <n v="67548183300"/>
  </r>
  <r>
    <x v="921"/>
    <s v="912810SX7"/>
    <s v="Bond"/>
    <s v="29-Year 10-Month"/>
    <n v="1.9"/>
    <n v="2"/>
    <n v="1.87"/>
    <n v="2.19"/>
    <n v="3950918000"/>
    <n v="52631750000"/>
    <n v="23998547300"/>
    <n v="1484700"/>
    <n v="3989841500"/>
    <n v="6141700000"/>
    <n v="5347580800"/>
    <n v="31608000000"/>
    <n v="14661125000"/>
    <n v="14882050000"/>
    <n v="0.12999999999999989"/>
    <n v="27950950000"/>
  </r>
  <r>
    <x v="922"/>
    <s v="912810SY5"/>
    <s v="Bond"/>
    <s v="19-Year 10-Month"/>
    <n v="1.8"/>
    <n v="1.89"/>
    <n v="0.88"/>
    <n v="2.33"/>
    <n v="2298311400"/>
    <n v="55893630000"/>
    <n v="23998663600"/>
    <n v="1354200"/>
    <n v="4545000000"/>
    <n v="6720000000"/>
    <n v="5017129600"/>
    <n v="32788000000"/>
    <n v="14436534000"/>
    <n v="16385630000"/>
    <n v="1.0099999999999998"/>
    <n v="26298329200"/>
  </r>
  <r>
    <x v="923"/>
    <s v="91282CCN9"/>
    <s v="Note"/>
    <s v="2-Year"/>
    <n v="0.18"/>
    <n v="0.21299999999999999"/>
    <n v="0.08"/>
    <n v="2.4700000000000002"/>
    <n v="5745778700"/>
    <n v="147960555000"/>
    <n v="59682552500"/>
    <n v="117488500"/>
    <n v="12688000000"/>
    <n v="17848000000"/>
    <n v="15506882500"/>
    <n v="84507000000"/>
    <n v="31487670000"/>
    <n v="45605555000"/>
    <n v="0.13300000000000001"/>
    <n v="65545819700"/>
  </r>
  <r>
    <x v="924"/>
    <s v="91282CCP4"/>
    <s v="Note"/>
    <s v="5-Year"/>
    <n v="0.66"/>
    <n v="0.71"/>
    <n v="0.59899999999999998"/>
    <n v="2.36"/>
    <n v="5841541700"/>
    <n v="143863570000"/>
    <n v="60929303000"/>
    <n v="20759600"/>
    <n v="10814345000"/>
    <n v="15650000000"/>
    <n v="14731250000"/>
    <n v="84274000000"/>
    <n v="35383708000"/>
    <n v="43939570000"/>
    <n v="0.11099999999999999"/>
    <n v="66791604300"/>
  </r>
  <r>
    <x v="925"/>
    <s v="91282CCR0"/>
    <s v="Note"/>
    <s v="7-Year"/>
    <n v="0.98499999999999999"/>
    <n v="1.05"/>
    <n v="0.08"/>
    <n v="2.23"/>
    <n v="5937304700"/>
    <n v="138306820000"/>
    <n v="61991100400"/>
    <n v="8958700"/>
    <n v="12056900000"/>
    <n v="17306900000"/>
    <n v="13751280400"/>
    <n v="82377000000"/>
    <n v="36182920000"/>
    <n v="38622920000"/>
    <n v="0.97000000000000008"/>
    <n v="67937363800"/>
  </r>
  <r>
    <x v="926"/>
    <s v="91282CCT6"/>
    <s v="Note"/>
    <s v="3-Year"/>
    <n v="0.42"/>
    <n v="0.46500000000000002"/>
    <n v="0.30299999999999999"/>
    <n v="2.54"/>
    <n v="25876210500"/>
    <n v="147317900000"/>
    <n v="57952470300"/>
    <n v="42533600"/>
    <n v="10678000000"/>
    <n v="15728000000"/>
    <n v="15164810000"/>
    <n v="88762000000"/>
    <n v="32109660300"/>
    <n v="42827900000"/>
    <n v="0.16200000000000003"/>
    <n v="83871214400"/>
  </r>
  <r>
    <x v="927"/>
    <s v="91282CCS8"/>
    <s v="Note"/>
    <s v="10-Year"/>
    <n v="1.3149999999999999"/>
    <n v="1.34"/>
    <n v="0.88"/>
    <n v="2.65"/>
    <n v="18291803900"/>
    <n v="108510920000"/>
    <n v="40984628800"/>
    <n v="15437600"/>
    <n v="5377000000"/>
    <n v="11714000000"/>
    <n v="3947671400"/>
    <n v="55839000000"/>
    <n v="31659957400"/>
    <n v="40957920000"/>
    <n v="0.46000000000000008"/>
    <n v="59291870300"/>
  </r>
  <r>
    <x v="928"/>
    <s v="912810SZ2"/>
    <s v="Bond"/>
    <s v="30-Year"/>
    <n v="1.9590000000000001"/>
    <n v="2.04"/>
    <n v="1.9"/>
    <n v="2.21"/>
    <n v="12045822100"/>
    <n v="59623220000"/>
    <n v="26997292300"/>
    <n v="2710800"/>
    <n v="5668600000"/>
    <n v="7478600000"/>
    <n v="4953777300"/>
    <n v="34418000000"/>
    <n v="16374915000"/>
    <n v="17726620000"/>
    <n v="0.14000000000000012"/>
    <n v="39045825200"/>
  </r>
  <r>
    <x v="929"/>
    <s v="912810TA6"/>
    <s v="Bond"/>
    <s v="20-Year"/>
    <n v="1.7809999999999999"/>
    <n v="1.85"/>
    <n v="0.88"/>
    <n v="2.44"/>
    <n v="3392326300"/>
    <n v="65746191000"/>
    <n v="26998711800"/>
    <n v="1337100"/>
    <n v="5043357700"/>
    <n v="8209000000"/>
    <n v="5135985000"/>
    <n v="36478000000"/>
    <n v="16819369100"/>
    <n v="21059191000"/>
    <n v="0.97000000000000008"/>
    <n v="30392375200"/>
  </r>
  <r>
    <x v="930"/>
    <s v="91282CCU3"/>
    <s v="Note"/>
    <s v="2-Year"/>
    <n v="0.21"/>
    <n v="0.24199999999999999"/>
    <n v="8.7999999999999995E-2"/>
    <n v="2.65"/>
    <n v="7538503000"/>
    <n v="158879335000"/>
    <n v="59912499300"/>
    <n v="87626000"/>
    <n v="12690000000"/>
    <n v="18540000000"/>
    <n v="10950597500"/>
    <n v="86444000000"/>
    <n v="36271901800"/>
    <n v="53895335000"/>
    <n v="0.154"/>
    <n v="67538628300"/>
  </r>
  <r>
    <x v="931"/>
    <s v="91282CCW9"/>
    <s v="Note"/>
    <s v="5-Year"/>
    <n v="0.77500000000000002"/>
    <n v="0.83099999999999996"/>
    <n v="0.71"/>
    <n v="2.35"/>
    <n v="7664144700"/>
    <n v="143273470000"/>
    <n v="60962612600"/>
    <n v="31945700"/>
    <n v="10691000000"/>
    <n v="15421000000"/>
    <n v="12049902500"/>
    <n v="84343000000"/>
    <n v="38221710100"/>
    <n v="43509470000"/>
    <n v="0.121"/>
    <n v="68658703000"/>
  </r>
  <r>
    <x v="932"/>
    <s v="91282CCV1"/>
    <s v="Note"/>
    <s v="7-Year"/>
    <n v="1.099"/>
    <n v="1.155"/>
    <n v="0.99"/>
    <n v="2.34"/>
    <n v="7789786300"/>
    <n v="144816802000"/>
    <n v="61985937500"/>
    <n v="14079100"/>
    <n v="11688800000"/>
    <n v="16888800000"/>
    <n v="12444302500"/>
    <n v="84834000000"/>
    <n v="37852835000"/>
    <n v="43094002000"/>
    <n v="0.16500000000000004"/>
    <n v="69789802900"/>
  </r>
  <r>
    <x v="933"/>
    <s v="91282CCX7"/>
    <s v="Note"/>
    <s v="3-Year"/>
    <n v="0.4"/>
    <n v="0.44700000000000001"/>
    <n v="0.08"/>
    <n v="2.4500000000000002"/>
    <n v="6176033400"/>
    <n v="141825050000"/>
    <n v="57956330000"/>
    <n v="37207900"/>
    <n v="10992000000"/>
    <n v="16192000000"/>
    <n v="14121280000"/>
    <n v="81300000000"/>
    <n v="32843050000"/>
    <n v="44333050000"/>
    <n v="0.36699999999999999"/>
    <n v="64169571300"/>
  </r>
  <r>
    <x v="934"/>
    <s v="91282CCS8"/>
    <s v="Note"/>
    <s v="9-Year 11-Month"/>
    <n v="1.288"/>
    <n v="1.3380000000000001"/>
    <n v="1.23"/>
    <n v="2.59"/>
    <n v="4046366600"/>
    <n v="98564400000"/>
    <n v="37991230000"/>
    <n v="8773100"/>
    <n v="6315000000"/>
    <n v="11195000000"/>
    <n v="4682000000"/>
    <n v="54356000000"/>
    <n v="26994230000"/>
    <n v="33013400000"/>
    <n v="0.1080000000000001"/>
    <n v="42046369700"/>
  </r>
  <r>
    <x v="935"/>
    <s v="912810SZ2"/>
    <s v="Bond"/>
    <s v="29-Year 11-Month"/>
    <n v="1.86"/>
    <n v="1.91"/>
    <n v="0.88"/>
    <n v="2.4900000000000002"/>
    <n v="2555600000"/>
    <n v="59658295000"/>
    <n v="23998388300"/>
    <n v="1623700"/>
    <n v="4139313800"/>
    <n v="7210900000"/>
    <n v="3139591000"/>
    <n v="32364000000"/>
    <n v="16719483500"/>
    <n v="20083395000"/>
    <n v="1.0299999999999998"/>
    <n v="26555612000"/>
  </r>
  <r>
    <x v="936"/>
    <s v="912810TA6"/>
    <s v="Bond"/>
    <s v="19-Year 11-Month"/>
    <n v="1.74"/>
    <n v="1.7949999999999999"/>
    <n v="0.88"/>
    <n v="2.36"/>
    <n v="2890410000"/>
    <n v="56566985000"/>
    <n v="23999023000"/>
    <n v="985900"/>
    <n v="4534000000"/>
    <n v="6899000000"/>
    <n v="4052346000"/>
    <n v="31965000000"/>
    <n v="15412677000"/>
    <n v="17702985000"/>
    <n v="0.91499999999999992"/>
    <n v="26890418900"/>
  </r>
  <r>
    <x v="937"/>
    <s v="91282CCZ2"/>
    <s v="Note"/>
    <s v="5-Year"/>
    <n v="0.93600000000000005"/>
    <n v="0.99"/>
    <n v="0.88"/>
    <n v="2.37"/>
    <n v="7346458700"/>
    <n v="144285700000"/>
    <n v="60956028000"/>
    <n v="39022200"/>
    <n v="12317000000"/>
    <n v="14729000000"/>
    <n v="15529240000"/>
    <n v="89020000000"/>
    <n v="33109788000"/>
    <n v="40536700000"/>
    <n v="0.10999999999999999"/>
    <n v="68341508900"/>
  </r>
  <r>
    <x v="937"/>
    <s v="91282CDA6"/>
    <s v="Note"/>
    <s v="2-Year"/>
    <n v="0.28000000000000003"/>
    <n v="0.31"/>
    <n v="0.2"/>
    <n v="2.2799999999999998"/>
    <n v="7226025100"/>
    <n v="136732625000"/>
    <n v="59906153000"/>
    <n v="93853400"/>
    <n v="12993000000"/>
    <n v="15493000000"/>
    <n v="19761960000"/>
    <n v="85540000000"/>
    <n v="27151193000"/>
    <n v="35699625000"/>
    <n v="0.10999999999999999"/>
    <n v="67226031500"/>
  </r>
  <r>
    <x v="938"/>
    <s v="91282CCY5"/>
    <s v="Note"/>
    <s v="7-Year"/>
    <n v="1.27"/>
    <n v="1.3320000000000001"/>
    <n v="0.88"/>
    <n v="2.2400000000000002"/>
    <n v="7466892500"/>
    <n v="139153653000"/>
    <n v="61976716000"/>
    <n v="23289100"/>
    <n v="12965900000"/>
    <n v="15775900000"/>
    <n v="11770891000"/>
    <n v="82342000000"/>
    <n v="37239925000"/>
    <n v="41035753000"/>
    <n v="0.45200000000000007"/>
    <n v="69466897600"/>
  </r>
  <r>
    <x v="939"/>
    <s v="91282CCS8"/>
    <s v="Note"/>
    <s v="9-Year 10-Month"/>
    <n v="1.54"/>
    <n v="1.5840000000000001"/>
    <n v="1.5"/>
    <n v="2.58"/>
    <n v="2859183300"/>
    <n v="98023680300"/>
    <n v="37982884300"/>
    <n v="17123200"/>
    <n v="6739000000"/>
    <n v="10949000000"/>
    <n v="4256000000"/>
    <n v="56071000000"/>
    <n v="26987884300"/>
    <n v="31003680300"/>
    <n v="8.4000000000000075E-2"/>
    <n v="40859190800"/>
  </r>
  <r>
    <x v="939"/>
    <s v="91282CDB4"/>
    <s v="Note"/>
    <s v="3-Year"/>
    <n v="0.59499999999999997"/>
    <n v="0.63500000000000001"/>
    <n v="0.52"/>
    <n v="2.36"/>
    <n v="4364016700"/>
    <n v="136403600000"/>
    <n v="57751703700"/>
    <n v="43321100"/>
    <n v="10897000000"/>
    <n v="15847000000"/>
    <n v="21310005000"/>
    <n v="84764000000"/>
    <n v="25544698700"/>
    <n v="35792600000"/>
    <n v="0.11499999999999999"/>
    <n v="62159041500"/>
  </r>
  <r>
    <x v="940"/>
    <s v="912810SZ2"/>
    <s v="Bond"/>
    <s v="29-Year 10-Month"/>
    <n v="1.97"/>
    <n v="2.0489999999999999"/>
    <n v="1.9"/>
    <n v="2.36"/>
    <n v="1805800000"/>
    <n v="56624335000"/>
    <n v="23996214400"/>
    <n v="3808600"/>
    <n v="4120000000"/>
    <n v="6633000000"/>
    <n v="2948000000"/>
    <n v="31745000000"/>
    <n v="16928214400"/>
    <n v="18246335000"/>
    <n v="0.14900000000000002"/>
    <n v="25805823000"/>
  </r>
  <r>
    <x v="941"/>
    <s v="912810TA6"/>
    <s v="Bond"/>
    <s v="19-Year 10-Month"/>
    <n v="2.0070000000000001"/>
    <n v="2.1"/>
    <n v="1.88"/>
    <n v="2.25"/>
    <n v="2439978000"/>
    <n v="54084840000"/>
    <n v="23993770400"/>
    <n v="6241700"/>
    <n v="3744000000"/>
    <n v="6069000000"/>
    <n v="4694380000"/>
    <n v="31860000000"/>
    <n v="15555390400"/>
    <n v="16155840000"/>
    <n v="0.2200000000000002"/>
    <n v="26439990100"/>
  </r>
  <r>
    <x v="942"/>
    <s v="91282CDD0"/>
    <s v="Note"/>
    <s v="2-Year"/>
    <n v="0.44"/>
    <n v="0.48099999999999998"/>
    <n v="0.35"/>
    <n v="2.69"/>
    <n v="6099945100"/>
    <n v="160962825000"/>
    <n v="59802980200"/>
    <n v="92019800"/>
    <n v="13337000000"/>
    <n v="17937000000"/>
    <n v="11694000000"/>
    <n v="93519000000"/>
    <n v="34771980200"/>
    <n v="49506825000"/>
    <n v="0.13100000000000001"/>
    <n v="65994945100"/>
  </r>
  <r>
    <x v="943"/>
    <s v="91282CDG3"/>
    <s v="Note"/>
    <s v="5-Year"/>
    <n v="1.119"/>
    <n v="1.157"/>
    <n v="0.88"/>
    <n v="2.5499999999999998"/>
    <n v="6201610800"/>
    <n v="155498274000"/>
    <n v="60856788400"/>
    <n v="38269400"/>
    <n v="10569825600"/>
    <n v="16561000000"/>
    <n v="10864080000"/>
    <n v="88415000000"/>
    <n v="39422882800"/>
    <n v="50522274000"/>
    <n v="0.27700000000000002"/>
    <n v="67096668600"/>
  </r>
  <r>
    <x v="944"/>
    <s v="91282CDF5"/>
    <s v="Note"/>
    <s v="7-Year"/>
    <n v="1.38"/>
    <n v="1.4610000000000001"/>
    <n v="1.2909999999999999"/>
    <n v="2.25"/>
    <n v="6303276500"/>
    <n v="139195080000"/>
    <n v="61980820000"/>
    <n v="19187900"/>
    <n v="12111700000"/>
    <n v="17631700000"/>
    <n v="10267740000"/>
    <n v="78928000000"/>
    <n v="39601380000"/>
    <n v="42635380000"/>
    <n v="0.17000000000000015"/>
    <n v="68303284400"/>
  </r>
  <r>
    <x v="945"/>
    <s v="91282CDH1"/>
    <s v="Note"/>
    <s v="3-Year"/>
    <n v="0.69"/>
    <n v="0.75"/>
    <n v="0.08"/>
    <n v="2.33"/>
    <n v="32393526800"/>
    <n v="130053460000"/>
    <n v="55799030000"/>
    <n v="96039300"/>
    <n v="10068030000"/>
    <n v="15098000000"/>
    <n v="13580390000"/>
    <n v="75424000000"/>
    <n v="32150610000"/>
    <n v="39531460000"/>
    <n v="0.67"/>
    <n v="88288596100"/>
  </r>
  <r>
    <x v="946"/>
    <s v="91282CDJ7"/>
    <s v="Note"/>
    <s v="10-Year"/>
    <n v="1.37"/>
    <n v="1.444"/>
    <n v="1.337"/>
    <n v="2.35"/>
    <n v="22559777600"/>
    <n v="91800575000"/>
    <n v="38978888200"/>
    <n v="21121300"/>
    <n v="5381000000"/>
    <n v="9161000000"/>
    <n v="5919555000"/>
    <n v="52003000000"/>
    <n v="27678333200"/>
    <n v="30636575000"/>
    <n v="0.10699999999999998"/>
    <n v="61559787100"/>
  </r>
  <r>
    <x v="947"/>
    <s v="912810TB4"/>
    <s v="Bond"/>
    <s v="30-Year"/>
    <n v="1.8240000000000001"/>
    <n v="1.94"/>
    <n v="1.75"/>
    <n v="2.2000000000000002"/>
    <n v="14461395800"/>
    <n v="55056380000"/>
    <n v="24996054000"/>
    <n v="3975900"/>
    <n v="3943890000"/>
    <n v="6177600000"/>
    <n v="6305384000"/>
    <n v="34043000000"/>
    <n v="14746780000"/>
    <n v="14835780000"/>
    <n v="0.18999999999999995"/>
    <n v="39461425700"/>
  </r>
  <r>
    <x v="948"/>
    <s v="912810TC2"/>
    <s v="Bond"/>
    <s v="20-Year"/>
    <n v="1.9890000000000001"/>
    <n v="2.0649999999999999"/>
    <n v="1.94"/>
    <n v="2.34"/>
    <n v="1895741600"/>
    <n v="53771974000"/>
    <n v="22997792000"/>
    <n v="2216000"/>
    <n v="4456291600"/>
    <n v="7524000000"/>
    <n v="4700360000"/>
    <n v="30364000000"/>
    <n v="13841140400"/>
    <n v="15883974000"/>
    <n v="0.125"/>
    <n v="24895749600"/>
  </r>
  <r>
    <x v="949"/>
    <s v="91282CDK4"/>
    <s v="Note"/>
    <s v="5-Year"/>
    <n v="1.25"/>
    <n v="1.319"/>
    <n v="1.1299999999999999"/>
    <n v="2.34"/>
    <n v="4862989600"/>
    <n v="137891514000"/>
    <n v="58883726000"/>
    <n v="61335200"/>
    <n v="9563000000"/>
    <n v="14583000000"/>
    <n v="15830300000"/>
    <n v="85277000000"/>
    <n v="33490426000"/>
    <n v="38031514000"/>
    <n v="0.18900000000000006"/>
    <n v="63808050800"/>
  </r>
  <r>
    <x v="949"/>
    <s v="91282CDM0"/>
    <s v="Note"/>
    <s v="2-Year"/>
    <n v="0.57499999999999996"/>
    <n v="0.623"/>
    <n v="0.43"/>
    <n v="2.36"/>
    <n v="4780566100"/>
    <n v="136627080000"/>
    <n v="57840525000"/>
    <n v="154492700"/>
    <n v="9930000000"/>
    <n v="14680000000"/>
    <n v="21523445000"/>
    <n v="84710000000"/>
    <n v="26387080000"/>
    <n v="37237080000"/>
    <n v="0.193"/>
    <n v="62775583800"/>
  </r>
  <r>
    <x v="950"/>
    <s v="91282CDL2"/>
    <s v="Note"/>
    <s v="7-Year"/>
    <n v="1.532"/>
    <n v="1.5880000000000001"/>
    <n v="0.88800000000000001"/>
    <n v="2.42"/>
    <n v="4862989600"/>
    <n v="142992266000"/>
    <n v="58977844400"/>
    <n v="22156700"/>
    <n v="13730200000"/>
    <n v="20160200000"/>
    <n v="10277354000"/>
    <n v="81957000000"/>
    <n v="34970290400"/>
    <n v="40875066000"/>
    <n v="0.70000000000000007"/>
    <n v="63862990700"/>
  </r>
  <r>
    <x v="951"/>
    <s v="912810TC2"/>
    <s v="Bond"/>
    <s v="19-Year 11-Month"/>
    <n v="1.865"/>
    <n v="1.8720000000000001"/>
    <n v="1.81"/>
    <n v="2.92"/>
    <n v="0"/>
    <n v="72950000"/>
    <n v="25000100"/>
    <n v="0"/>
    <n v="0"/>
    <n v="0"/>
    <n v="25000100"/>
    <n v="72950000"/>
    <n v="0"/>
    <n v="0"/>
    <n v="6.2000000000000055E-2"/>
    <n v="25000100"/>
  </r>
  <r>
    <x v="952"/>
    <s v="91282CDN8"/>
    <s v="Note"/>
    <s v="3-Year"/>
    <n v="0.95699999999999996"/>
    <n v="1"/>
    <n v="0.84899999999999998"/>
    <n v="2.4300000000000002"/>
    <n v="7962589300"/>
    <n v="131119750000"/>
    <n v="53801326000"/>
    <n v="93894100"/>
    <n v="9691000000"/>
    <n v="16102000000"/>
    <n v="16040726000"/>
    <n v="77916000000"/>
    <n v="28069600000"/>
    <n v="37101750000"/>
    <n v="0.15100000000000002"/>
    <n v="61857809400"/>
  </r>
  <r>
    <x v="953"/>
    <s v="91282CDJ7"/>
    <s v="Note"/>
    <s v="9-Year 11-Month"/>
    <n v="1.45"/>
    <n v="1.518"/>
    <n v="0.88"/>
    <n v="2.4300000000000002"/>
    <n v="5308392900"/>
    <n v="87552860000"/>
    <n v="35983170000"/>
    <n v="16830300"/>
    <n v="6403000000"/>
    <n v="10183000000"/>
    <n v="4809155000"/>
    <n v="49258000000"/>
    <n v="24771015000"/>
    <n v="28111860000"/>
    <n v="0.63800000000000001"/>
    <n v="41308393200"/>
  </r>
  <r>
    <x v="954"/>
    <s v="912810TB4"/>
    <s v="Bond"/>
    <s v="29-Year 11-Month"/>
    <n v="1.8"/>
    <n v="1.895"/>
    <n v="1.75"/>
    <n v="2.2200000000000002"/>
    <n v="3244017800"/>
    <n v="48815720000"/>
    <n v="21997290000"/>
    <n v="2711300"/>
    <n v="4066785000"/>
    <n v="6669000000"/>
    <n v="4555785000"/>
    <n v="28507000000"/>
    <n v="13374720000"/>
    <n v="13639720000"/>
    <n v="0.14500000000000002"/>
    <n v="25244019100"/>
  </r>
  <r>
    <x v="955"/>
    <s v="912810TC2"/>
    <s v="Bond"/>
    <s v="19-Year 11-Month"/>
    <n v="1.9"/>
    <n v="1.9419999999999999"/>
    <n v="1.84"/>
    <n v="2.59"/>
    <n v="2717198400"/>
    <n v="51892005000"/>
    <n v="19998115000"/>
    <n v="1962300"/>
    <n v="4166110000"/>
    <n v="8243000000"/>
    <n v="2868000000"/>
    <n v="26973000000"/>
    <n v="12964005000"/>
    <n v="16676005000"/>
    <n v="0.10199999999999987"/>
    <n v="22717275700"/>
  </r>
  <r>
    <x v="956"/>
    <s v="91282CDR9"/>
    <s v="Note"/>
    <s v="2-Year"/>
    <n v="0.72499999999999998"/>
    <n v="0.76900000000000002"/>
    <n v="0.65"/>
    <n v="2.5499999999999998"/>
    <n v="7608155600"/>
    <n v="142691665000"/>
    <n v="55729046300"/>
    <n v="171151000"/>
    <n v="8017750000"/>
    <n v="14365000000"/>
    <n v="13498860000"/>
    <n v="81105000000"/>
    <n v="34212436300"/>
    <n v="47221665000"/>
    <n v="0.11899999999999999"/>
    <n v="63508352900"/>
  </r>
  <r>
    <x v="957"/>
    <s v="91282CDQ1"/>
    <s v="Note"/>
    <s v="5-Year"/>
    <n v="1.21"/>
    <n v="1.2629999999999999"/>
    <n v="1.1499999999999999"/>
    <n v="2.41"/>
    <n v="7744015600"/>
    <n v="137110033000"/>
    <n v="56962248500"/>
    <n v="37781500"/>
    <n v="8158918000"/>
    <n v="13458000000"/>
    <n v="11402297500"/>
    <n v="77964000000"/>
    <n v="37401033000"/>
    <n v="45688033000"/>
    <n v="0.11299999999999999"/>
    <n v="64744045600"/>
  </r>
  <r>
    <x v="958"/>
    <s v="91282CDP3"/>
    <s v="Note"/>
    <s v="7-Year"/>
    <n v="1.397"/>
    <n v="1.48"/>
    <n v="1.3169999999999999"/>
    <n v="2.21"/>
    <n v="7608155500"/>
    <n v="123838785000"/>
    <n v="55989175000"/>
    <n v="10846600"/>
    <n v="10891500000"/>
    <n v="15841500000"/>
    <n v="11922390000"/>
    <n v="71802000000"/>
    <n v="33175285000"/>
    <n v="36195285000"/>
    <n v="0.16300000000000003"/>
    <n v="63608177100"/>
  </r>
  <r>
    <x v="959"/>
    <s v="91282CDS7"/>
    <s v="Note"/>
    <s v="3-Year"/>
    <n v="1.19"/>
    <n v="1.2370000000000001"/>
    <n v="1.05"/>
    <n v="2.4700000000000002"/>
    <n v="8343334300"/>
    <n v="128303150000"/>
    <n v="51896683000"/>
    <n v="98417600"/>
    <n v="8049000000"/>
    <n v="14753000000"/>
    <n v="11853850000"/>
    <n v="72443000000"/>
    <n v="31993833000"/>
    <n v="41107150000"/>
    <n v="0.18700000000000006"/>
    <n v="60338434900"/>
  </r>
  <r>
    <x v="960"/>
    <s v="91282CDJ7"/>
    <s v="Note"/>
    <s v="9-Year 10-Month"/>
    <n v="1.6519999999999999"/>
    <n v="1.7230000000000001"/>
    <n v="1.6"/>
    <n v="2.5099999999999998"/>
    <n v="5776154500"/>
    <n v="90353310000"/>
    <n v="35992396200"/>
    <n v="7619400"/>
    <n v="6430000000"/>
    <n v="10080000000"/>
    <n v="5977970000"/>
    <n v="53576000000"/>
    <n v="23584426200"/>
    <n v="26697310000"/>
    <n v="0.123"/>
    <n v="41776170100"/>
  </r>
  <r>
    <x v="961"/>
    <s v="912810TB4"/>
    <s v="Bond"/>
    <s v="29-Year 10-Month"/>
    <n v="2"/>
    <n v="2.0750000000000002"/>
    <n v="1.94"/>
    <n v="2.35"/>
    <n v="3529872200"/>
    <n v="51795250000"/>
    <n v="21997657500"/>
    <n v="2352200"/>
    <n v="3756281500"/>
    <n v="6184400000"/>
    <n v="3948099500"/>
    <n v="29903000000"/>
    <n v="14293276500"/>
    <n v="15707850000"/>
    <n v="0.13500000000000023"/>
    <n v="25529881900"/>
  </r>
  <r>
    <x v="962"/>
    <s v="912810TC2"/>
    <s v="Bond"/>
    <s v="19-Year 10-Month"/>
    <n v="2.15"/>
    <n v="2.21"/>
    <n v="2.12"/>
    <n v="2.48"/>
    <n v="2989254100"/>
    <n v="49621300000"/>
    <n v="19998247200"/>
    <n v="1759200"/>
    <n v="3404864500"/>
    <n v="5873000000"/>
    <n v="3350196500"/>
    <n v="27774000000"/>
    <n v="13243186200"/>
    <n v="15974300000"/>
    <n v="8.9999999999999858E-2"/>
    <n v="22989260500"/>
  </r>
  <r>
    <x v="963"/>
    <s v="91282CDV0"/>
    <s v="Note"/>
    <s v="2-Year"/>
    <n v="0.95"/>
    <n v="0.99"/>
    <n v="0.90300000000000002"/>
    <n v="2.81"/>
    <n v="8070986400"/>
    <n v="151455060000"/>
    <n v="53665608000"/>
    <n v="231672400"/>
    <n v="5037500000"/>
    <n v="14575000000"/>
    <n v="13207128000"/>
    <n v="81528000000"/>
    <n v="35420980000"/>
    <n v="55352060000"/>
    <n v="8.6999999999999966E-2"/>
    <n v="61968266800"/>
  </r>
  <r>
    <x v="964"/>
    <s v="912828Z78"/>
    <s v="Note"/>
    <s v="5-Year"/>
    <n v="1.4850000000000001"/>
    <n v="1.5329999999999999"/>
    <n v="1.44"/>
    <n v="2.5"/>
    <n v="8220449100"/>
    <n v="137252138000"/>
    <n v="54946015000"/>
    <n v="49065100"/>
    <n v="9053500000"/>
    <n v="15332000000"/>
    <n v="8133150000"/>
    <n v="76997000000"/>
    <n v="37759365000"/>
    <n v="44923138000"/>
    <n v="9.2999999999999972E-2"/>
    <n v="63215529200"/>
  </r>
  <r>
    <x v="965"/>
    <s v="91282CDW8"/>
    <s v="Note"/>
    <s v="7-Year"/>
    <n v="1.7"/>
    <n v="1.7689999999999999"/>
    <n v="1.65"/>
    <n v="2.36"/>
    <n v="7921523500"/>
    <n v="125106580000"/>
    <n v="52976471700"/>
    <n v="23531700"/>
    <n v="12110756700"/>
    <n v="17293600000"/>
    <n v="7677362500"/>
    <n v="69523000000"/>
    <n v="33188352500"/>
    <n v="38289980000"/>
    <n v="0.11899999999999999"/>
    <n v="60921526900"/>
  </r>
  <r>
    <x v="966"/>
    <s v="91282CDZ1"/>
    <s v="Note"/>
    <s v="3-Year"/>
    <n v="1.54"/>
    <n v="1.5920000000000001"/>
    <n v="1.4"/>
    <n v="2.4500000000000002"/>
    <n v="30248102600"/>
    <n v="122396200000"/>
    <n v="49803033900"/>
    <n v="96984500"/>
    <n v="5550250000"/>
    <n v="10397000000"/>
    <n v="10113355000"/>
    <n v="70208000000"/>
    <n v="34139428900"/>
    <n v="41791200000"/>
    <n v="0.19200000000000017"/>
    <n v="80148121000"/>
  </r>
  <r>
    <x v="967"/>
    <s v="91282CDY4"/>
    <s v="Note"/>
    <s v="10-Year"/>
    <n v="1.853"/>
    <n v="1.9039999999999999"/>
    <n v="1.8"/>
    <n v="2.68"/>
    <n v="22383595900"/>
    <n v="99153115000"/>
    <n v="36977598400"/>
    <n v="22402800"/>
    <n v="5545000000"/>
    <n v="9993000000"/>
    <n v="2752472000"/>
    <n v="53777000000"/>
    <n v="28680126400"/>
    <n v="35383115000"/>
    <n v="0.10399999999999987"/>
    <n v="59383597100"/>
  </r>
  <r>
    <x v="968"/>
    <s v="912810TD0"/>
    <s v="Bond"/>
    <s v="30-Year"/>
    <n v="2.2490000000000001"/>
    <n v="2.34"/>
    <n v="2.15"/>
    <n v="2.2999999999999998"/>
    <n v="13914127100"/>
    <n v="52935395000"/>
    <n v="22996924400"/>
    <n v="3081600"/>
    <n v="4082150000"/>
    <n v="6347900000"/>
    <n v="3287463000"/>
    <n v="30390000000"/>
    <n v="15627311400"/>
    <n v="16197495000"/>
    <n v="0.18999999999999995"/>
    <n v="36914133100"/>
  </r>
  <r>
    <x v="969"/>
    <s v="912810TF5"/>
    <s v="Bond"/>
    <s v="20-Year"/>
    <n v="2.33"/>
    <n v="2.3959999999999999"/>
    <n v="2.2799999999999998"/>
    <n v="2.44"/>
    <n v="3254997000"/>
    <n v="46336550000"/>
    <n v="18993522000"/>
    <n v="6488600"/>
    <n v="3985500000"/>
    <n v="6408000000"/>
    <n v="3060030000"/>
    <n v="25821000000"/>
    <n v="11947992000"/>
    <n v="14107550000"/>
    <n v="0.1160000000000001"/>
    <n v="22255007600"/>
  </r>
  <r>
    <x v="970"/>
    <s v="91282CEA5"/>
    <s v="Note"/>
    <s v="2-Year"/>
    <n v="1.51"/>
    <n v="1.5529999999999999"/>
    <n v="1.4"/>
    <n v="2.64"/>
    <n v="8908413000"/>
    <n v="136858728000"/>
    <n v="51690563000"/>
    <n v="304444100"/>
    <n v="9702000000"/>
    <n v="16838000000"/>
    <n v="8088835000"/>
    <n v="73500000000"/>
    <n v="33899728000"/>
    <n v="46520728000"/>
    <n v="0.15300000000000002"/>
    <n v="60903420100"/>
  </r>
  <r>
    <x v="971"/>
    <s v="91282CEC1"/>
    <s v="Note"/>
    <s v="5-Year"/>
    <n v="1.83"/>
    <n v="1.88"/>
    <n v="1.75"/>
    <n v="2.4900000000000002"/>
    <n v="9079728600"/>
    <n v="131964010000"/>
    <n v="52926360900"/>
    <n v="68669600"/>
    <n v="9754000000"/>
    <n v="14897000000"/>
    <n v="7282514900"/>
    <n v="74526000000"/>
    <n v="35889846000"/>
    <n v="42541010000"/>
    <n v="0.12999999999999989"/>
    <n v="62074759100"/>
  </r>
  <r>
    <x v="972"/>
    <s v="91282CEB3"/>
    <s v="Note"/>
    <s v="7-Year"/>
    <n v="1.84"/>
    <n v="1.905"/>
    <n v="1.75"/>
    <n v="2.36"/>
    <n v="8565781600"/>
    <n v="118203170000"/>
    <n v="49985494800"/>
    <n v="14534400"/>
    <n v="11908268000"/>
    <n v="16301200000"/>
    <n v="6160120000"/>
    <n v="65598000000"/>
    <n v="31917106800"/>
    <n v="36303970000"/>
    <n v="0.15500000000000003"/>
    <n v="58565810800"/>
  </r>
  <r>
    <x v="973"/>
    <s v="91282CED9"/>
    <s v="Note"/>
    <s v="3-Year"/>
    <n v="1.7010000000000001"/>
    <n v="1.7749999999999999"/>
    <n v="1.55"/>
    <n v="2.39"/>
    <n v="8064941200"/>
    <n v="114503250000"/>
    <n v="47816992500"/>
    <n v="77075700"/>
    <n v="8894000000"/>
    <n v="14012000000"/>
    <n v="12581642500"/>
    <n v="66482000000"/>
    <n v="26341350000"/>
    <n v="34009250000"/>
    <n v="0.22499999999999987"/>
    <n v="55959009400"/>
  </r>
  <r>
    <x v="974"/>
    <s v="91282CDY4"/>
    <s v="Note"/>
    <s v="9-Year 11-Month"/>
    <n v="1.84"/>
    <n v="1.92"/>
    <n v="1.8"/>
    <n v="2.4700000000000002"/>
    <n v="5712666700"/>
    <n v="84045485000"/>
    <n v="33991365000"/>
    <n v="8657600"/>
    <n v="6130000000"/>
    <n v="9780000000"/>
    <n v="4670532000"/>
    <n v="48995000000"/>
    <n v="23190833000"/>
    <n v="25270485000"/>
    <n v="0.11999999999999988"/>
    <n v="39712689300"/>
  </r>
  <r>
    <x v="975"/>
    <s v="912810TD0"/>
    <s v="Bond"/>
    <s v="29-Year 11-Month"/>
    <n v="2.3199999999999998"/>
    <n v="2.375"/>
    <n v="2.25"/>
    <n v="2.46"/>
    <n v="3360392100"/>
    <n v="49153460000"/>
    <n v="19995810500"/>
    <n v="4191400"/>
    <n v="3284127400"/>
    <n v="5969700000"/>
    <n v="2411321000"/>
    <n v="26614000000"/>
    <n v="14300362100"/>
    <n v="16569760000"/>
    <n v="0.125"/>
    <n v="23360394000"/>
  </r>
  <r>
    <x v="976"/>
    <s v="912810TF5"/>
    <s v="Bond"/>
    <s v="19-Year 11-Month"/>
    <n v="2.6019999999999999"/>
    <n v="2.6509999999999998"/>
    <n v="2.59"/>
    <n v="2.72"/>
    <n v="2978612300"/>
    <n v="43571150000"/>
    <n v="15993546300"/>
    <n v="6464700"/>
    <n v="4162596300"/>
    <n v="6762000000"/>
    <n v="1533000000"/>
    <n v="22908000000"/>
    <n v="10297950000"/>
    <n v="13901150000"/>
    <n v="6.0999999999999943E-2"/>
    <n v="18978623300"/>
  </r>
  <r>
    <x v="977"/>
    <s v="91282CEF4"/>
    <s v="Note"/>
    <s v="5-Year"/>
    <n v="2.46"/>
    <n v="2.5430000000000001"/>
    <n v="2.35"/>
    <n v="2.5299999999999998"/>
    <n v="9494326800"/>
    <n v="128701440000"/>
    <n v="50923260900"/>
    <n v="72718300"/>
    <n v="10053145700"/>
    <n v="15702000000"/>
    <n v="10212000000"/>
    <n v="75642000000"/>
    <n v="30658115200"/>
    <n v="37357440000"/>
    <n v="0.19300000000000006"/>
    <n v="60490306000"/>
  </r>
  <r>
    <x v="977"/>
    <s v="91282CEG2"/>
    <s v="Note"/>
    <s v="2-Year"/>
    <n v="2.2999999999999998"/>
    <n v="2.3650000000000002"/>
    <n v="2.23"/>
    <n v="2.46"/>
    <n v="9308163600"/>
    <n v="122328935000"/>
    <n v="49186880000"/>
    <n v="711163200"/>
    <n v="12566000000"/>
    <n v="16766000000"/>
    <n v="9554645000"/>
    <n v="66710000000"/>
    <n v="27066235000"/>
    <n v="38852935000"/>
    <n v="0.13500000000000023"/>
    <n v="59206206800"/>
  </r>
  <r>
    <x v="978"/>
    <s v="91282CEE7"/>
    <s v="Note"/>
    <s v="7-Year"/>
    <n v="2.4300000000000002"/>
    <n v="2.4990000000000001"/>
    <n v="2.37"/>
    <n v="2.44"/>
    <n v="8749673700"/>
    <n v="114806230000"/>
    <n v="46981439500"/>
    <n v="18561600"/>
    <n v="13413600000"/>
    <n v="18510600000"/>
    <n v="4940522500"/>
    <n v="61391000000"/>
    <n v="28627317000"/>
    <n v="34904630000"/>
    <n v="0.129"/>
    <n v="55749674800"/>
  </r>
  <r>
    <x v="979"/>
    <s v="91282CEH0"/>
    <s v="Note"/>
    <s v="3-Year"/>
    <n v="2.68"/>
    <n v="2.738"/>
    <n v="2.61"/>
    <n v="2.48"/>
    <n v="10973031600"/>
    <n v="113748650000"/>
    <n v="45557551100"/>
    <n v="237524700"/>
    <n v="8000111100"/>
    <n v="11357000000"/>
    <n v="13208395000"/>
    <n v="68515000000"/>
    <n v="24349045000"/>
    <n v="33876650000"/>
    <n v="0.12800000000000011"/>
    <n v="56768107400"/>
  </r>
  <r>
    <x v="980"/>
    <s v="91282CDY4"/>
    <s v="Note"/>
    <s v="9-Year 10-Month"/>
    <n v="2.62"/>
    <n v="2.72"/>
    <n v="2.57"/>
    <n v="2.4300000000000002"/>
    <n v="8110501600"/>
    <n v="82712205000"/>
    <n v="33990122000"/>
    <n v="9955000"/>
    <n v="5784000000"/>
    <n v="7484000000"/>
    <n v="6341930000"/>
    <n v="51251000000"/>
    <n v="21864192000"/>
    <n v="23977205000"/>
    <n v="0.15000000000000036"/>
    <n v="42110578600"/>
  </r>
  <r>
    <x v="981"/>
    <s v="912810TD0"/>
    <s v="Bond"/>
    <s v="29-Year 10-Month"/>
    <n v="2.7250000000000001"/>
    <n v="2.8149999999999999"/>
    <n v="2.67"/>
    <n v="2.2999999999999998"/>
    <n v="4770883200"/>
    <n v="45998040000"/>
    <n v="19995400600"/>
    <n v="4635600"/>
    <n v="3780900000"/>
    <n v="4630900000"/>
    <n v="3172481000"/>
    <n v="26996000000"/>
    <n v="13042019600"/>
    <n v="14371140000"/>
    <n v="0.14500000000000002"/>
    <n v="24770919400"/>
  </r>
  <r>
    <x v="982"/>
    <s v="912810TF5"/>
    <s v="Bond"/>
    <s v="19-Year 10-Month"/>
    <n v="3.03"/>
    <n v="3.0950000000000002"/>
    <n v="2.88"/>
    <n v="2.8"/>
    <n v="2218396100"/>
    <n v="44807020000"/>
    <n v="15991717700"/>
    <n v="8340600"/>
    <n v="2450372100"/>
    <n v="3819000000"/>
    <n v="1397998000"/>
    <n v="23553000000"/>
    <n v="12143347600"/>
    <n v="17435020000"/>
    <n v="0.2150000000000003"/>
    <n v="18218454400"/>
  </r>
  <r>
    <x v="983"/>
    <s v="91282CEK3"/>
    <s v="Note"/>
    <s v="2-Year"/>
    <n v="2.5339999999999998"/>
    <n v="2.585"/>
    <n v="2.4500000000000002"/>
    <n v="2.74"/>
    <n v="6655188500"/>
    <n v="130485872000"/>
    <n v="47034301300"/>
    <n v="860703800"/>
    <n v="10082500000"/>
    <n v="15235000000"/>
    <n v="5925550000"/>
    <n v="67495000000"/>
    <n v="31026251300"/>
    <n v="47755872000"/>
    <n v="0.13499999999999979"/>
    <n v="54550193600"/>
  </r>
  <r>
    <x v="984"/>
    <s v="91282CEN7"/>
    <s v="Note"/>
    <s v="5-Year"/>
    <n v="2.72"/>
    <n v="2.7850000000000001"/>
    <n v="2.65"/>
    <n v="2.41"/>
    <n v="6793838100"/>
    <n v="118088895000"/>
    <n v="48795541400"/>
    <n v="99464500"/>
    <n v="9492000000"/>
    <n v="11517000000"/>
    <n v="8060464000"/>
    <n v="70345000000"/>
    <n v="31243077400"/>
    <n v="36226895000"/>
    <n v="0.13500000000000023"/>
    <n v="55688844000"/>
  </r>
  <r>
    <x v="985"/>
    <s v="91282CEM9"/>
    <s v="Note"/>
    <s v="7-Year"/>
    <n v="2.84"/>
    <n v="2.9079999999999999"/>
    <n v="2.78"/>
    <n v="2.41"/>
    <n v="6100589400"/>
    <n v="105881115000"/>
    <n v="43979363000"/>
    <n v="20655200"/>
    <n v="8718300000"/>
    <n v="10568300000"/>
    <n v="6694743000"/>
    <n v="62388000000"/>
    <n v="28566320000"/>
    <n v="32924815000"/>
    <n v="0.12800000000000011"/>
    <n v="50100607600"/>
  </r>
  <r>
    <x v="986"/>
    <s v="91282CEQ0"/>
    <s v="Note"/>
    <s v="3-Year"/>
    <n v="2.74"/>
    <n v="2.8090000000000002"/>
    <n v="2.69"/>
    <n v="2.59"/>
    <n v="31492633500"/>
    <n v="116424350000"/>
    <n v="44663736000"/>
    <n v="231398900"/>
    <n v="8057306000"/>
    <n v="13493000000"/>
    <n v="8935800000"/>
    <n v="67274000000"/>
    <n v="27670630000"/>
    <n v="35657350000"/>
    <n v="0.11900000000000022"/>
    <n v="76387768400"/>
  </r>
  <r>
    <x v="987"/>
    <s v="91282CEP2"/>
    <s v="Note"/>
    <s v="10-Year"/>
    <n v="2.85"/>
    <n v="2.9430000000000001"/>
    <n v="2.8"/>
    <n v="2.4900000000000002"/>
    <n v="25194106800"/>
    <n v="89497090000"/>
    <n v="35949055600"/>
    <n v="50979700"/>
    <n v="6545000000"/>
    <n v="8195000000"/>
    <n v="4132000000"/>
    <n v="52812000000"/>
    <n v="25272055600"/>
    <n v="28490090000"/>
    <n v="0.14300000000000024"/>
    <n v="61194142100"/>
  </r>
  <r>
    <x v="988"/>
    <s v="912810TG3"/>
    <s v="Bond"/>
    <s v="30-Year"/>
    <n v="2.91"/>
    <n v="2.9969999999999999"/>
    <n v="2.86"/>
    <n v="2.38"/>
    <n v="15396398600"/>
    <n v="52388395000"/>
    <n v="21985717700"/>
    <n v="14282500"/>
    <n v="3648842700"/>
    <n v="5073100000"/>
    <n v="3021000000"/>
    <n v="29686000000"/>
    <n v="15315875000"/>
    <n v="17629295000"/>
    <n v="0.13700000000000001"/>
    <n v="37396398800"/>
  </r>
  <r>
    <x v="989"/>
    <s v="912810TH1"/>
    <s v="Bond"/>
    <s v="20-Year"/>
    <n v="3.2149999999999999"/>
    <n v="3.29"/>
    <n v="2.88"/>
    <n v="2.5"/>
    <n v="2555726000"/>
    <n v="42408785000"/>
    <n v="16988406000"/>
    <n v="11631900"/>
    <n v="2790775000"/>
    <n v="3978000000"/>
    <n v="2208632500"/>
    <n v="24549000000"/>
    <n v="11988998500"/>
    <n v="13881785000"/>
    <n v="0.41000000000000014"/>
    <n v="19555763900"/>
  </r>
  <r>
    <x v="990"/>
    <s v="91282CER8"/>
    <s v="Note"/>
    <s v="2-Year"/>
    <n v="2.4449999999999998"/>
    <n v="2.5190000000000001"/>
    <n v="2.4"/>
    <n v="2.61"/>
    <n v="7065830800"/>
    <n v="121731203000"/>
    <n v="46222751600"/>
    <n v="677416300"/>
    <n v="10212168600"/>
    <n v="14766000000"/>
    <n v="7096680000"/>
    <n v="66099000000"/>
    <n v="28913903000"/>
    <n v="40866203000"/>
    <n v="0.11900000000000022"/>
    <n v="53965998700"/>
  </r>
  <r>
    <x v="991"/>
    <s v="91282CET4"/>
    <s v="Note"/>
    <s v="5-Year"/>
    <n v="2.66"/>
    <n v="2.7360000000000002"/>
    <n v="2.6"/>
    <n v="2.44"/>
    <n v="7216167600"/>
    <n v="117064495000"/>
    <n v="47789053400"/>
    <n v="107996500"/>
    <n v="9572000000"/>
    <n v="11672000000"/>
    <n v="8143440000"/>
    <n v="71563000000"/>
    <n v="30073613400"/>
    <n v="33829495000"/>
    <n v="0.13600000000000012"/>
    <n v="55113217500"/>
  </r>
  <r>
    <x v="992"/>
    <s v="91282CES6"/>
    <s v="Note"/>
    <s v="7-Year"/>
    <n v="2.7120000000000002"/>
    <n v="2.7770000000000001"/>
    <n v="2.65"/>
    <n v="2.69"/>
    <n v="6314146600"/>
    <n v="112954820000"/>
    <n v="41982995000"/>
    <n v="17009000"/>
    <n v="6617100000"/>
    <n v="10101100000"/>
    <n v="2677000000"/>
    <n v="62487000000"/>
    <n v="32688895000"/>
    <n v="40366720000"/>
    <n v="0.12700000000000022"/>
    <n v="48314150600"/>
  </r>
  <r>
    <x v="993"/>
    <s v="91282CEU1"/>
    <s v="Note"/>
    <s v="3-Year"/>
    <n v="2.87"/>
    <n v="2.927"/>
    <n v="2.78"/>
    <n v="2.4500000000000002"/>
    <n v="2587168100"/>
    <n v="107559550000"/>
    <n v="43625747800"/>
    <n v="174362800"/>
    <n v="10284652800"/>
    <n v="10773000000"/>
    <n v="10867545000"/>
    <n v="67164000000"/>
    <n v="22473550000"/>
    <n v="29622550000"/>
    <n v="0.14700000000000024"/>
    <n v="46387278700"/>
  </r>
  <r>
    <x v="994"/>
    <s v="91282CEP2"/>
    <s v="Note"/>
    <s v="9-Year 11-Month"/>
    <n v="2.95"/>
    <n v="3.03"/>
    <n v="2.89"/>
    <n v="2.41"/>
    <n v="1940376000"/>
    <n v="79577695000"/>
    <n v="32980790000"/>
    <n v="19228200"/>
    <n v="6388000000"/>
    <n v="6388000000"/>
    <n v="5619095000"/>
    <n v="49588000000"/>
    <n v="20973695000"/>
    <n v="23601695000"/>
    <n v="0.13999999999999968"/>
    <n v="34940394200"/>
  </r>
  <r>
    <x v="995"/>
    <s v="912810TG3"/>
    <s v="Bond"/>
    <s v="29-Year 11-Month"/>
    <n v="3.105"/>
    <n v="3.1850000000000001"/>
    <n v="3.03"/>
    <n v="2.35"/>
    <n v="1117186100"/>
    <n v="44665615000"/>
    <n v="18995835000"/>
    <n v="4183000"/>
    <n v="3209450000"/>
    <n v="3804200000"/>
    <n v="2675000000"/>
    <n v="25999000000"/>
    <n v="13111385000"/>
    <n v="14862415000"/>
    <n v="0.15500000000000025"/>
    <n v="20117204100"/>
  </r>
  <r>
    <x v="996"/>
    <s v="912810TH1"/>
    <s v="Bond"/>
    <s v="19-Year 11-Month"/>
    <n v="3.4049999999999998"/>
    <n v="3.488"/>
    <n v="3.38"/>
    <n v="2.6"/>
    <n v="1069995200"/>
    <n v="36336052000"/>
    <n v="13987507000"/>
    <n v="12493400"/>
    <n v="2826000000"/>
    <n v="3426000000"/>
    <n v="1728000000"/>
    <n v="21409000000"/>
    <n v="9433507000"/>
    <n v="11501052000"/>
    <n v="0.1080000000000001"/>
    <n v="15069995600"/>
  </r>
  <r>
    <x v="997"/>
    <s v="91282CEW7"/>
    <s v="Note"/>
    <s v="5-Year"/>
    <n v="3.18"/>
    <n v="3.2709999999999999"/>
    <n v="3.12"/>
    <n v="2.2799999999999998"/>
    <n v="3592126900"/>
    <n v="107150435000"/>
    <n v="46888035000"/>
    <n v="111967900"/>
    <n v="9237000000"/>
    <n v="11237000000"/>
    <n v="11173600000"/>
    <n v="66136000000"/>
    <n v="26477435000"/>
    <n v="29777435000"/>
    <n v="0.1509999999999998"/>
    <n v="50592129800"/>
  </r>
  <r>
    <x v="997"/>
    <s v="91282CEX5"/>
    <s v="Note"/>
    <s v="2-Year"/>
    <n v="3"/>
    <n v="3.0840000000000001"/>
    <n v="2.94"/>
    <n v="2.5099999999999998"/>
    <n v="3515698700"/>
    <n v="114511436000"/>
    <n v="45115298500"/>
    <n v="784936800"/>
    <n v="11406300000"/>
    <n v="13406300000"/>
    <n v="10486322500"/>
    <n v="64691000000"/>
    <n v="23222676000"/>
    <n v="36414136000"/>
    <n v="0.14400000000000013"/>
    <n v="49415934000"/>
  </r>
  <r>
    <x v="998"/>
    <s v="91282CEV9"/>
    <s v="Note"/>
    <s v="7-Year"/>
    <n v="3.1989999999999998"/>
    <n v="3.28"/>
    <n v="3.13"/>
    <n v="2.48"/>
    <n v="3057129200"/>
    <n v="99218190000"/>
    <n v="39973204000"/>
    <n v="26817200"/>
    <n v="8160500000"/>
    <n v="9910500000"/>
    <n v="7086765000"/>
    <n v="60597000000"/>
    <n v="24725939000"/>
    <n v="28710690000"/>
    <n v="0.14999999999999991"/>
    <n v="43057150400"/>
  </r>
  <r>
    <x v="999"/>
    <s v="91282CEY3"/>
    <s v="Note"/>
    <s v="3-Year"/>
    <n v="3.0379999999999998"/>
    <n v="3.093"/>
    <n v="2.9"/>
    <n v="2.4300000000000002"/>
    <n v="5480672400"/>
    <n v="104134900000"/>
    <n v="42740347400"/>
    <n v="159662100"/>
    <n v="8271207400"/>
    <n v="8592000000"/>
    <n v="8668240000"/>
    <n v="62227000000"/>
    <n v="25800900000"/>
    <n v="33315900000"/>
    <n v="0.19300000000000006"/>
    <n v="48380681900"/>
  </r>
  <r>
    <x v="1000"/>
    <s v="91282CEP2"/>
    <s v="Note"/>
    <s v="9-Year 10-Month"/>
    <n v="2.85"/>
    <n v="2.96"/>
    <n v="2.81"/>
    <n v="2.34"/>
    <n v="4206097400"/>
    <n v="77346345000"/>
    <n v="32988390000"/>
    <n v="11623000"/>
    <n v="5929000000"/>
    <n v="5929000000"/>
    <n v="6827870000"/>
    <n v="48798000000"/>
    <n v="20231520000"/>
    <n v="22619345000"/>
    <n v="0.14999999999999991"/>
    <n v="37206110400"/>
  </r>
  <r>
    <x v="1001"/>
    <s v="912810TG3"/>
    <s v="Bond"/>
    <s v="29-Year 10-Month"/>
    <n v="3.05"/>
    <n v="3.1150000000000002"/>
    <n v="2.99"/>
    <n v="2.44"/>
    <n v="2421692400"/>
    <n v="46277320000"/>
    <n v="18997865100"/>
    <n v="2140800"/>
    <n v="3103450000"/>
    <n v="3562200000"/>
    <n v="1988000000"/>
    <n v="26111000000"/>
    <n v="13906415100"/>
    <n v="16604120000"/>
    <n v="0.125"/>
    <n v="21421698300"/>
  </r>
  <r>
    <x v="1002"/>
    <s v="912810TH1"/>
    <s v="Bond"/>
    <s v="19-Year 10-Month"/>
    <n v="3.33"/>
    <n v="3.42"/>
    <n v="2.88"/>
    <n v="2.65"/>
    <n v="1214667200"/>
    <n v="37136990000"/>
    <n v="13980661700"/>
    <n v="19340100"/>
    <n v="1970000000"/>
    <n v="2697000000"/>
    <n v="1110241400"/>
    <n v="20900000000"/>
    <n v="10900420300"/>
    <n v="13539990000"/>
    <n v="0.54"/>
    <n v="15214669000"/>
  </r>
  <r>
    <x v="1003"/>
    <s v="91282CFA4"/>
    <s v="Note"/>
    <s v="2-Year"/>
    <n v="2.95"/>
    <n v="3.0150000000000001"/>
    <n v="2.85"/>
    <n v="2.58"/>
    <n v="3904287700"/>
    <n v="115484485000"/>
    <n v="44253657400"/>
    <n v="643391200"/>
    <n v="8855682400"/>
    <n v="11307000000"/>
    <n v="7941490000"/>
    <n v="64515000000"/>
    <n v="27456485000"/>
    <n v="39662485000"/>
    <n v="0.16500000000000004"/>
    <n v="48801336300"/>
  </r>
  <r>
    <x v="1004"/>
    <s v="91282CFB2"/>
    <s v="Note"/>
    <s v="5-Year"/>
    <n v="2.8"/>
    <n v="2.86"/>
    <n v="2.72"/>
    <n v="2.46"/>
    <n v="3991049500"/>
    <n v="113252120000"/>
    <n v="45932955000"/>
    <n v="64082100"/>
    <n v="7723500000"/>
    <n v="9088000000"/>
    <n v="7722335000"/>
    <n v="66400000000"/>
    <n v="30487120000"/>
    <n v="37764120000"/>
    <n v="0.13999999999999968"/>
    <n v="49988086600"/>
  </r>
  <r>
    <x v="1005"/>
    <s v="91282CFC0"/>
    <s v="Note"/>
    <s v="7-Year"/>
    <n v="2.65"/>
    <n v="2.73"/>
    <n v="2.5920000000000001"/>
    <n v="2.6"/>
    <n v="3296953900"/>
    <n v="98935690000"/>
    <n v="37986148000"/>
    <n v="13898900"/>
    <n v="7003480000"/>
    <n v="7977500000"/>
    <n v="4037280000"/>
    <n v="58299000000"/>
    <n v="26945388000"/>
    <n v="32659190000"/>
    <n v="0.1379999999999999"/>
    <n v="41297000800"/>
  </r>
  <r>
    <x v="1006"/>
    <s v="91282CFE6"/>
    <s v="Note"/>
    <s v="3-Year"/>
    <n v="3.14"/>
    <n v="3.202"/>
    <n v="3.0750000000000002"/>
    <n v="2.5"/>
    <n v="26564314000"/>
    <n v="104730405000"/>
    <n v="41704680000"/>
    <n v="195323600"/>
    <n v="7207500000"/>
    <n v="8940000000"/>
    <n v="8191625000"/>
    <n v="59633000000"/>
    <n v="26305555000"/>
    <n v="36157405000"/>
    <n v="0.12699999999999978"/>
    <n v="68464317600"/>
  </r>
  <r>
    <x v="1007"/>
    <s v="91282CFF3"/>
    <s v="Note"/>
    <s v="10-Year"/>
    <n v="2.69"/>
    <n v="2.7549999999999999"/>
    <n v="2.59"/>
    <n v="2.5299999999999998"/>
    <n v="22136928300"/>
    <n v="88603550000"/>
    <n v="34972143000"/>
    <n v="27867100"/>
    <n v="5442000000"/>
    <n v="6006000000"/>
    <n v="3469593000"/>
    <n v="52934000000"/>
    <n v="26060550000"/>
    <n v="29663550000"/>
    <n v="0.16500000000000004"/>
    <n v="57136938400"/>
  </r>
  <r>
    <x v="1008"/>
    <s v="912810TJ7"/>
    <s v="Bond"/>
    <s v="30-Year"/>
    <n v="3.0190000000000001"/>
    <n v="3.1059999999999999"/>
    <n v="2.9"/>
    <n v="2.31"/>
    <n v="13282157000"/>
    <n v="48503751000"/>
    <n v="20991551000"/>
    <n v="8450900"/>
    <n v="3886400000"/>
    <n v="3906400000"/>
    <n v="2275000000"/>
    <n v="27682000000"/>
    <n v="14830151000"/>
    <n v="16915351000"/>
    <n v="0.20599999999999996"/>
    <n v="34282158900"/>
  </r>
  <r>
    <x v="1009"/>
    <s v="912810TK4"/>
    <s v="Bond"/>
    <s v="20-Year"/>
    <n v="3.28"/>
    <n v="3.38"/>
    <n v="3.22"/>
    <n v="2.2999999999999998"/>
    <n v="1952865900"/>
    <n v="34548820000"/>
    <n v="14975804000"/>
    <n v="24211300"/>
    <n v="2743000000"/>
    <n v="2743000000"/>
    <n v="2202984000"/>
    <n v="20320000000"/>
    <n v="10029820000"/>
    <n v="11485820000"/>
    <n v="0.1599999999999997"/>
    <n v="16952881200"/>
  </r>
  <r>
    <x v="1010"/>
    <s v="91282CFG1"/>
    <s v="Note"/>
    <s v="2-Year"/>
    <n v="3.25"/>
    <n v="3.3069999999999999"/>
    <n v="3.15"/>
    <n v="2.4900000000000002"/>
    <n v="5728406800"/>
    <n v="108500187000"/>
    <n v="43039847000"/>
    <n v="755211300"/>
    <n v="7452000000"/>
    <n v="7452000000"/>
    <n v="9878580000"/>
    <n v="62146000000"/>
    <n v="25709267000"/>
    <n v="38902187000"/>
    <n v="0.15700000000000003"/>
    <n v="49523465100"/>
  </r>
  <r>
    <x v="1011"/>
    <s v="91282CFH9"/>
    <s v="Note"/>
    <s v="5-Year"/>
    <n v="3.15"/>
    <n v="3.23"/>
    <n v="3.05"/>
    <n v="2.2999999999999998"/>
    <n v="5858597800"/>
    <n v="103277450000"/>
    <n v="44899090000"/>
    <n v="97952400"/>
    <n v="8179000000"/>
    <n v="8329000000"/>
    <n v="9251960000"/>
    <n v="62706000000"/>
    <n v="27468130000"/>
    <n v="32242450000"/>
    <n v="0.18000000000000016"/>
    <n v="50855640200"/>
  </r>
  <r>
    <x v="1012"/>
    <s v="91282CFJ5"/>
    <s v="Note"/>
    <s v="7-Year"/>
    <n v="3.09"/>
    <n v="3.13"/>
    <n v="3.05"/>
    <n v="2.65"/>
    <n v="4817069300"/>
    <n v="98204705000"/>
    <n v="36980452100"/>
    <n v="19604600"/>
    <n v="5805500000"/>
    <n v="8124500000"/>
    <n v="3174403000"/>
    <n v="54206000000"/>
    <n v="28000549100"/>
    <n v="35874205000"/>
    <n v="8.0000000000000071E-2"/>
    <n v="41817126000"/>
  </r>
  <r>
    <x v="1013"/>
    <s v="91282CFF3"/>
    <s v="Note"/>
    <s v="9-Year 11-Month"/>
    <n v="3.24"/>
    <n v="3.33"/>
    <n v="3.17"/>
    <n v="2.37"/>
    <n v="0"/>
    <n v="75776005000"/>
    <n v="31981829000"/>
    <n v="18181400"/>
    <n v="5721000000"/>
    <n v="5741000000"/>
    <n v="6336744000"/>
    <n v="47514000000"/>
    <n v="19924085000"/>
    <n v="22521005000"/>
    <n v="0.16000000000000014"/>
    <n v="32000010400"/>
  </r>
  <r>
    <x v="1013"/>
    <s v="91282CFK2"/>
    <s v="Note"/>
    <s v="3-Year"/>
    <n v="3.5"/>
    <n v="3.5640000000000001"/>
    <n v="3.39"/>
    <n v="2.4900000000000002"/>
    <n v="0"/>
    <n v="102035600000"/>
    <n v="40791578000"/>
    <n v="208435000"/>
    <n v="8913000000"/>
    <n v="10913000000"/>
    <n v="9627585000"/>
    <n v="59518000000"/>
    <n v="22250993000"/>
    <n v="31604600000"/>
    <n v="0.17399999999999993"/>
    <n v="41000013000"/>
  </r>
  <r>
    <x v="1014"/>
    <s v="912810TJ7"/>
    <s v="Bond"/>
    <s v="29-Year 11-Month"/>
    <n v="3.45"/>
    <n v="3.5110000000000001"/>
    <n v="3.4"/>
    <n v="2.42"/>
    <n v="0"/>
    <n v="43531375000"/>
    <n v="17996633400"/>
    <n v="3376400"/>
    <n v="3070100000"/>
    <n v="3333600000"/>
    <n v="1952911900"/>
    <n v="24573000000"/>
    <n v="12973621500"/>
    <n v="15624775000"/>
    <n v="0.11100000000000021"/>
    <n v="18000009800"/>
  </r>
  <r>
    <x v="1015"/>
    <s v="912810TK4"/>
    <s v="Bond"/>
    <s v="19-Year 11-Month"/>
    <n v="3.75"/>
    <n v="3.82"/>
    <n v="3.7"/>
    <n v="2.65"/>
    <n v="0"/>
    <n v="31847630000"/>
    <n v="11989480000"/>
    <n v="10543100"/>
    <n v="1992500000"/>
    <n v="2405000000"/>
    <n v="966529000"/>
    <n v="17804000000"/>
    <n v="9030451000"/>
    <n v="11638630000"/>
    <n v="0.11999999999999966"/>
    <n v="12000023100"/>
  </r>
  <r>
    <x v="1016"/>
    <s v="91282CFN6"/>
    <s v="Note"/>
    <s v="2-Year"/>
    <n v="4.22"/>
    <n v="4.29"/>
    <n v="4.0999999999999996"/>
    <n v="2.5099999999999998"/>
    <n v="0"/>
    <n v="106044797000"/>
    <n v="41136040500"/>
    <n v="1644083200"/>
    <n v="10219000000"/>
    <n v="10219000000"/>
    <n v="9133651500"/>
    <n v="60743000000"/>
    <n v="21783389000"/>
    <n v="35082797000"/>
    <n v="0.19000000000000039"/>
    <n v="42780123700"/>
  </r>
  <r>
    <x v="1017"/>
    <s v="91282CFM8"/>
    <s v="Note"/>
    <s v="5-Year"/>
    <n v="4.13"/>
    <n v="4.2279999999999998"/>
    <n v="4.05"/>
    <n v="2.27"/>
    <n v="0"/>
    <n v="99736080000"/>
    <n v="43805510000"/>
    <n v="192397900"/>
    <n v="8192000000"/>
    <n v="8442000000"/>
    <n v="9514000000"/>
    <n v="61484000000"/>
    <n v="26099510000"/>
    <n v="29810080000"/>
    <n v="0.17799999999999994"/>
    <n v="43997907900"/>
  </r>
  <r>
    <x v="1018"/>
    <s v="91282CFL0"/>
    <s v="Note"/>
    <s v="7-Year"/>
    <n v="3.85"/>
    <n v="3.8980000000000001"/>
    <n v="3.7970000000000002"/>
    <n v="2.57"/>
    <n v="0"/>
    <n v="92432265000"/>
    <n v="35947089000"/>
    <n v="52914600"/>
    <n v="8865400000"/>
    <n v="9878400000"/>
    <n v="4618000000"/>
    <n v="53203000000"/>
    <n v="22463689000"/>
    <n v="29350865000"/>
    <n v="0.10099999999999998"/>
    <n v="36000003600"/>
  </r>
  <r>
    <x v="1019"/>
    <s v="91282CFP1"/>
    <s v="Note"/>
    <s v="3-Year"/>
    <n v="4.24"/>
    <n v="4.3179999999999996"/>
    <n v="4.18"/>
    <n v="2.57"/>
    <n v="0"/>
    <n v="102188870000"/>
    <n v="39502040000"/>
    <n v="397969700"/>
    <n v="7724000000"/>
    <n v="7774000000"/>
    <n v="10685170000"/>
    <n v="65162000000"/>
    <n v="21092870000"/>
    <n v="29252870000"/>
    <n v="0.1379999999999999"/>
    <n v="39900009700"/>
  </r>
  <r>
    <x v="1020"/>
    <s v="91282CFF3"/>
    <s v="Note"/>
    <s v="9-Year 10-Month"/>
    <n v="3.85"/>
    <n v="3.93"/>
    <n v="3.8"/>
    <n v="2.34"/>
    <n v="0"/>
    <n v="74879434000"/>
    <n v="31985066500"/>
    <n v="14963100"/>
    <n v="7520600000"/>
    <n v="7595600000"/>
    <n v="6300632500"/>
    <n v="46406000000"/>
    <n v="18163834000"/>
    <n v="20877834000"/>
    <n v="0.13000000000000034"/>
    <n v="32000029600"/>
  </r>
  <r>
    <x v="1021"/>
    <s v="912810TJ7"/>
    <s v="Bond"/>
    <s v="29-Year 10-Month"/>
    <n v="3.85"/>
    <n v="3.93"/>
    <n v="3.79"/>
    <n v="2.39"/>
    <n v="0"/>
    <n v="42941679000"/>
    <n v="17990969000"/>
    <n v="9032400"/>
    <n v="3355600000"/>
    <n v="3395600000"/>
    <n v="2198950000"/>
    <n v="24680000000"/>
    <n v="12436419000"/>
    <n v="14866079000"/>
    <n v="0.14000000000000012"/>
    <n v="18000001400"/>
  </r>
  <r>
    <x v="1022"/>
    <s v="912810TK4"/>
    <s v="Bond"/>
    <s v="19-Year 10-Month"/>
    <n v="4.319"/>
    <n v="4.3949999999999996"/>
    <n v="4.22"/>
    <n v="2.5"/>
    <n v="0"/>
    <n v="29993020000"/>
    <n v="11965293000"/>
    <n v="34717800"/>
    <n v="2376843000"/>
    <n v="2384000000"/>
    <n v="1966430000"/>
    <n v="18038000000"/>
    <n v="7622020000"/>
    <n v="9571020000"/>
    <n v="0.17499999999999982"/>
    <n v="12000010800"/>
  </r>
  <r>
    <x v="1023"/>
    <s v="91282CFQ9"/>
    <s v="Note"/>
    <s v="2-Year"/>
    <n v="4.3879999999999999"/>
    <n v="4.46"/>
    <n v="4.25"/>
    <n v="2.59"/>
    <n v="0"/>
    <n v="107184080000"/>
    <n v="40527786000"/>
    <n v="1372259400"/>
    <n v="10244600000"/>
    <n v="10244600000"/>
    <n v="9812941000"/>
    <n v="65211000000"/>
    <n v="20470245000"/>
    <n v="31728480000"/>
    <n v="0.20999999999999996"/>
    <n v="41900045400"/>
  </r>
  <r>
    <x v="1024"/>
    <s v="91282CFU0"/>
    <s v="Note"/>
    <s v="5-Year"/>
    <n v="4.1189999999999998"/>
    <n v="4.1920000000000002"/>
    <n v="4.05"/>
    <n v="2.48"/>
    <n v="0"/>
    <n v="106396052000"/>
    <n v="42777382000"/>
    <n v="222624400"/>
    <n v="6655500000"/>
    <n v="8206000000"/>
    <n v="7042830000"/>
    <n v="62185000000"/>
    <n v="29079052000"/>
    <n v="36005052000"/>
    <n v="0.14200000000000035"/>
    <n v="43000006400"/>
  </r>
  <r>
    <x v="1025"/>
    <s v="91282CFT3"/>
    <s v="Note"/>
    <s v="7-Year"/>
    <n v="3.95"/>
    <n v="4.0270000000000001"/>
    <n v="3.85"/>
    <n v="2.4300000000000002"/>
    <n v="0"/>
    <n v="85020084000"/>
    <n v="34956232800"/>
    <n v="43794200"/>
    <n v="7941356300"/>
    <n v="8172700000"/>
    <n v="4933492500"/>
    <n v="50157000000"/>
    <n v="22081384000"/>
    <n v="26690384000"/>
    <n v="0.17700000000000005"/>
    <n v="35000027000"/>
  </r>
  <r>
    <x v="1026"/>
    <s v="91282CFW6"/>
    <s v="Note"/>
    <s v="3-Year"/>
    <n v="4.54"/>
    <n v="4.6050000000000004"/>
    <n v="4"/>
    <n v="2.57"/>
    <n v="14027052200"/>
    <n v="102137600000"/>
    <n v="39411710000"/>
    <n v="388314100"/>
    <n v="6716100000"/>
    <n v="9887000000"/>
    <n v="8188975000"/>
    <n v="56280000000"/>
    <n v="24506635000"/>
    <n v="35970600000"/>
    <n v="0.60500000000000043"/>
    <n v="53827076300"/>
  </r>
  <r>
    <x v="1027"/>
    <s v="91282CFV8"/>
    <s v="Note"/>
    <s v="10-Year"/>
    <n v="4.0439999999999996"/>
    <n v="4.1399999999999997"/>
    <n v="3.96"/>
    <n v="2.23"/>
    <n v="12273670600"/>
    <n v="78064810000"/>
    <n v="34879130000"/>
    <n v="120900800"/>
    <n v="6303000000"/>
    <n v="6323000000"/>
    <n v="8520247500"/>
    <n v="49805000000"/>
    <n v="20055882500"/>
    <n v="21936810000"/>
    <n v="0.17999999999999972"/>
    <n v="47273701400"/>
  </r>
  <r>
    <x v="1028"/>
    <s v="912810TL2"/>
    <s v="Bond"/>
    <s v="30-Year"/>
    <n v="4"/>
    <n v="4.08"/>
    <n v="3.8879999999999999"/>
    <n v="2.42"/>
    <n v="7364202400"/>
    <n v="50829718000"/>
    <n v="20964791200"/>
    <n v="35259700"/>
    <n v="4273800000"/>
    <n v="4914100000"/>
    <n v="2030932000"/>
    <n v="27589000000"/>
    <n v="14660059200"/>
    <n v="18326618000"/>
    <n v="0.19200000000000017"/>
    <n v="28364253300"/>
  </r>
  <r>
    <x v="1029"/>
    <s v="912810TM0"/>
    <s v="Bond"/>
    <s v="20-Year"/>
    <n v="4.01"/>
    <n v="4.0720000000000001"/>
    <n v="3.96"/>
    <n v="2.64"/>
    <n v="1630725800"/>
    <n v="39507045000"/>
    <n v="14897800100"/>
    <n v="102213300"/>
    <n v="2295000000"/>
    <n v="2846000000"/>
    <n v="1378000000"/>
    <n v="21135000000"/>
    <n v="11224800100"/>
    <n v="15526045000"/>
    <n v="0.1120000000000001"/>
    <n v="16630739200"/>
  </r>
  <r>
    <x v="1030"/>
    <s v="91282CFZ9"/>
    <s v="Note"/>
    <s v="5-Year"/>
    <n v="3.899"/>
    <n v="3.9740000000000002"/>
    <n v="3.8"/>
    <n v="2.39"/>
    <n v="4674747500"/>
    <n v="102619225000"/>
    <n v="42854513600"/>
    <n v="145501300"/>
    <n v="8016895000"/>
    <n v="8576000000"/>
    <n v="6457253000"/>
    <n v="59155000000"/>
    <n v="28380365600"/>
    <n v="34888225000"/>
    <n v="0.17400000000000038"/>
    <n v="47674762400"/>
  </r>
  <r>
    <x v="1030"/>
    <s v="91282CFX4"/>
    <s v="Note"/>
    <s v="2-Year"/>
    <n v="4.46"/>
    <n v="4.5049999999999999"/>
    <n v="4.3499999999999996"/>
    <n v="2.64"/>
    <n v="4566032400"/>
    <n v="109923555000"/>
    <n v="40926642500"/>
    <n v="973450300"/>
    <n v="9164525000"/>
    <n v="10235000000"/>
    <n v="8441050000"/>
    <n v="62178000000"/>
    <n v="23321067500"/>
    <n v="37510555000"/>
    <n v="0.15500000000000025"/>
    <n v="46466125200"/>
  </r>
  <r>
    <x v="1031"/>
    <s v="91282CFY2"/>
    <s v="Note"/>
    <s v="7-Year"/>
    <n v="3.819"/>
    <n v="3.89"/>
    <n v="3.75"/>
    <n v="2.33"/>
    <n v="3805026900"/>
    <n v="81513270000"/>
    <n v="34961096000"/>
    <n v="38917200"/>
    <n v="5856990000"/>
    <n v="6274900000"/>
    <n v="7465736000"/>
    <n v="50312000000"/>
    <n v="21638370000"/>
    <n v="24926370000"/>
    <n v="0.14000000000000012"/>
    <n v="38805040100"/>
  </r>
  <r>
    <x v="1032"/>
    <s v="91282CFV8"/>
    <s v="Note"/>
    <s v="9-Year 11-Month"/>
    <n v="3.5350000000000001"/>
    <n v="3.625"/>
    <n v="3.4"/>
    <n v="2.31"/>
    <n v="0"/>
    <n v="73945570000"/>
    <n v="31952660000"/>
    <n v="47344400"/>
    <n v="5974000000"/>
    <n v="5974000000"/>
    <n v="6984090000"/>
    <n v="47213000000"/>
    <n v="18994570000"/>
    <n v="20758570000"/>
    <n v="0.22500000000000009"/>
    <n v="32000004400"/>
  </r>
  <r>
    <x v="1032"/>
    <s v="91282CGA3"/>
    <s v="Note"/>
    <s v="3-Year"/>
    <n v="4.03"/>
    <n v="4.093"/>
    <n v="3.94"/>
    <n v="2.5499999999999998"/>
    <n v="0"/>
    <n v="101602400000"/>
    <n v="39545800000"/>
    <n v="254247800"/>
    <n v="8083000000"/>
    <n v="8183000000"/>
    <n v="7060000000"/>
    <n v="58315000000"/>
    <n v="24402800000"/>
    <n v="35104400000"/>
    <n v="0.15300000000000002"/>
    <n v="39800047800"/>
  </r>
  <r>
    <x v="1033"/>
    <s v="912810TL2"/>
    <s v="Bond"/>
    <s v="29-Year 11-Month"/>
    <n v="3.43"/>
    <n v="3.5129999999999999"/>
    <n v="3.35"/>
    <n v="2.25"/>
    <n v="0"/>
    <n v="40451920000"/>
    <n v="17977779200"/>
    <n v="22242200"/>
    <n v="4153400000"/>
    <n v="4203400000"/>
    <n v="2756104000"/>
    <n v="24073000000"/>
    <n v="11068275200"/>
    <n v="12175520000"/>
    <n v="0.16299999999999981"/>
    <n v="18000021400"/>
  </r>
  <r>
    <x v="1034"/>
    <s v="912810TM0"/>
    <s v="Bond"/>
    <s v="19-Year 11-Month"/>
    <n v="3.899"/>
    <n v="3.9350000000000001"/>
    <n v="3.8109999999999999"/>
    <n v="2.68"/>
    <n v="0"/>
    <n v="32119540000"/>
    <n v="11940441500"/>
    <n v="59559300"/>
    <n v="2270000000"/>
    <n v="2570000000"/>
    <n v="1037415000"/>
    <n v="17144000000"/>
    <n v="8633026500"/>
    <n v="12405540000"/>
    <n v="0.12400000000000011"/>
    <n v="12000000800"/>
  </r>
  <r>
    <x v="1035"/>
    <s v="91282CGD7"/>
    <s v="Note"/>
    <s v="2-Year"/>
    <n v="4.3170000000000002"/>
    <n v="4.3730000000000002"/>
    <n v="4.22"/>
    <n v="2.71"/>
    <n v="0"/>
    <n v="113099710000"/>
    <n v="41144126000"/>
    <n v="855917000"/>
    <n v="7697666000"/>
    <n v="10090000000"/>
    <n v="7846000000"/>
    <n v="60906000000"/>
    <n v="25600460000"/>
    <n v="42103710000"/>
    <n v="0.15300000000000047"/>
    <n v="42000043000"/>
  </r>
  <r>
    <x v="1036"/>
    <s v="91282CGC9"/>
    <s v="Note"/>
    <s v="5-Year"/>
    <n v="3.9049999999999998"/>
    <n v="3.9729999999999999"/>
    <n v="3.83"/>
    <n v="2.46"/>
    <n v="0"/>
    <n v="105449120000"/>
    <n v="42861166900"/>
    <n v="138852000"/>
    <n v="7957034900"/>
    <n v="8540000000"/>
    <n v="7253180000"/>
    <n v="60676000000"/>
    <n v="27650952000"/>
    <n v="36233120000"/>
    <n v="0.14299999999999979"/>
    <n v="43000018900"/>
  </r>
  <r>
    <x v="1037"/>
    <s v="91282CGB1"/>
    <s v="Note"/>
    <s v="7-Year"/>
    <n v="3.859"/>
    <n v="3.9209999999999998"/>
    <n v="3.8"/>
    <n v="2.4500000000000002"/>
    <n v="0"/>
    <n v="85821065000"/>
    <n v="34946725000"/>
    <n v="53285200"/>
    <n v="5650100000"/>
    <n v="5883100000"/>
    <n v="5505060000"/>
    <n v="51982000000"/>
    <n v="23791565000"/>
    <n v="27955965000"/>
    <n v="0.121"/>
    <n v="35000010200"/>
  </r>
  <r>
    <x v="1038"/>
    <s v="91282CGE5"/>
    <s v="Note"/>
    <s v="3-Year"/>
    <n v="3.93"/>
    <n v="3.9769999999999999"/>
    <n v="3.86"/>
    <n v="2.84"/>
    <n v="0"/>
    <n v="113374415000"/>
    <n v="39795840000"/>
    <n v="204169200"/>
    <n v="5244000000"/>
    <n v="9445000000"/>
    <n v="6877000000"/>
    <n v="61977000000"/>
    <n v="27674840000"/>
    <n v="41952415000"/>
    <n v="0.11699999999999999"/>
    <n v="40000009200"/>
  </r>
  <r>
    <x v="1039"/>
    <s v="91282CFV8"/>
    <s v="Note"/>
    <s v="9-Year 10-Month"/>
    <n v="3.4990000000000001"/>
    <n v="3.5750000000000002"/>
    <n v="3.45"/>
    <n v="2.5299999999999998"/>
    <n v="0"/>
    <n v="80913151000"/>
    <n v="31971531000"/>
    <n v="28502900"/>
    <n v="5728380000"/>
    <n v="6504000000"/>
    <n v="4816000000"/>
    <n v="47730000000"/>
    <n v="21427151000"/>
    <n v="26679151000"/>
    <n v="0.125"/>
    <n v="32000033900"/>
  </r>
  <r>
    <x v="1040"/>
    <s v="912810TL2"/>
    <s v="Bond"/>
    <s v="29-Year 10-Month"/>
    <n v="3.5350000000000001"/>
    <n v="3.585"/>
    <n v="3.5"/>
    <n v="2.4500000000000002"/>
    <n v="0"/>
    <n v="44095910000"/>
    <n v="17986672000"/>
    <n v="13368700"/>
    <n v="2937600000"/>
    <n v="3497600000"/>
    <n v="1626132000"/>
    <n v="23893000000"/>
    <n v="13422940000"/>
    <n v="16705310000"/>
    <n v="8.4999999999999964E-2"/>
    <n v="18000040700"/>
  </r>
  <r>
    <x v="1041"/>
    <s v="912810TM0"/>
    <s v="Bond"/>
    <s v="19-Year 10-Month"/>
    <n v="3.62"/>
    <n v="3.6779999999999999"/>
    <n v="3.58"/>
    <n v="2.83"/>
    <n v="0"/>
    <n v="33937020000"/>
    <n v="11980222300"/>
    <n v="19782400"/>
    <n v="1870000000"/>
    <n v="2512000000"/>
    <n v="975000000"/>
    <n v="18213000000"/>
    <n v="9135222300"/>
    <n v="13212020000"/>
    <n v="9.7999999999999865E-2"/>
    <n v="12000004700"/>
  </r>
  <r>
    <x v="1042"/>
    <s v="91282CGG0"/>
    <s v="Note"/>
    <s v="2-Year"/>
    <n v="4.0999999999999996"/>
    <n v="4.1390000000000002"/>
    <n v="4.07"/>
    <n v="2.94"/>
    <n v="0"/>
    <n v="123030665000"/>
    <n v="41380365000"/>
    <n v="619637800"/>
    <n v="7750000000"/>
    <n v="10115000000"/>
    <n v="6737000000"/>
    <n v="67682000000"/>
    <n v="26893365000"/>
    <n v="45233665000"/>
    <n v="6.899999999999995E-2"/>
    <n v="42000002800"/>
  </r>
  <r>
    <x v="1043"/>
    <s v="91282CGH8"/>
    <s v="Note"/>
    <s v="5-Year"/>
    <n v="3.464"/>
    <n v="3.53"/>
    <n v="3.44"/>
    <n v="2.64"/>
    <n v="0"/>
    <n v="113289680000"/>
    <n v="42888479000"/>
    <n v="106533400"/>
    <n v="6621570000"/>
    <n v="8772000000"/>
    <n v="3783229000"/>
    <n v="60938000000"/>
    <n v="32483680000"/>
    <n v="43579680000"/>
    <n v="8.9999999999999858E-2"/>
    <n v="42995012400"/>
  </r>
  <r>
    <x v="1044"/>
    <s v="91282CGJ4"/>
    <s v="Note"/>
    <s v="7-Year"/>
    <n v="3.4569999999999999"/>
    <n v="3.5169999999999999"/>
    <n v="3.41"/>
    <n v="2.69"/>
    <n v="0"/>
    <n v="94136550000"/>
    <n v="34962200000"/>
    <n v="37809400"/>
    <n v="5879300000"/>
    <n v="7688300000"/>
    <n v="2138250000"/>
    <n v="52040000000"/>
    <n v="26944650000"/>
    <n v="34408250000"/>
    <n v="0.10699999999999976"/>
    <n v="35000009400"/>
  </r>
  <r>
    <x v="1045"/>
    <s v="91282CGL9"/>
    <s v="Note"/>
    <s v="3-Year"/>
    <n v="3.9889999999999999"/>
    <n v="4.0730000000000004"/>
    <n v="3.96"/>
    <n v="2.33"/>
    <n v="15631526200"/>
    <n v="93028366000"/>
    <n v="39717991000"/>
    <n v="182132300"/>
    <n v="8365000000"/>
    <n v="8415000000"/>
    <n v="7898050000"/>
    <n v="60680000000"/>
    <n v="23454941000"/>
    <n v="23933366000"/>
    <n v="0.11300000000000043"/>
    <n v="55531649500"/>
  </r>
  <r>
    <x v="1046"/>
    <s v="91282CGM7"/>
    <s v="Note"/>
    <s v="10-Year"/>
    <n v="3.55"/>
    <n v="3.613"/>
    <n v="3.5270000000000001"/>
    <n v="2.66"/>
    <n v="13677585300"/>
    <n v="92822782000"/>
    <n v="34884868400"/>
    <n v="115460700"/>
    <n v="5297784000"/>
    <n v="6906000000"/>
    <n v="1870000000"/>
    <n v="50775000000"/>
    <n v="27717084400"/>
    <n v="35141782000"/>
    <n v="8.5999999999999854E-2"/>
    <n v="48677914400"/>
  </r>
  <r>
    <x v="1047"/>
    <s v="912810TN8"/>
    <s v="Bond"/>
    <s v="30-Year"/>
    <n v="3.5720000000000001"/>
    <n v="3.6859999999999999"/>
    <n v="3.5"/>
    <n v="2.25"/>
    <n v="8206551200"/>
    <n v="47164730000"/>
    <n v="20982385000"/>
    <n v="17629100"/>
    <n v="3974400000"/>
    <n v="3994400000"/>
    <n v="3324655000"/>
    <n v="28308000000"/>
    <n v="13683330000"/>
    <n v="14862330000"/>
    <n v="0.18599999999999994"/>
    <n v="29206565300"/>
  </r>
  <r>
    <x v="1048"/>
    <s v="912810TQ1"/>
    <s v="Bond"/>
    <s v="20-Year"/>
    <n v="3.9"/>
    <n v="3.9769999999999999"/>
    <n v="3.8"/>
    <n v="2.54"/>
    <n v="3408061900"/>
    <n v="38067535000"/>
    <n v="14957677000"/>
    <n v="42355900"/>
    <n v="2688197000"/>
    <n v="3037000000"/>
    <n v="1005945000"/>
    <n v="21096000000"/>
    <n v="11263535000"/>
    <n v="13934535000"/>
    <n v="0.17700000000000005"/>
    <n v="18408094800"/>
  </r>
  <r>
    <x v="1049"/>
    <s v="91282CGN5"/>
    <s v="Note"/>
    <s v="2-Year"/>
    <n v="4.6100000000000003"/>
    <n v="4.673"/>
    <n v="4.54"/>
    <n v="2.61"/>
    <n v="9542573400"/>
    <n v="109089936100"/>
    <n v="41323938100"/>
    <n v="676087700"/>
    <n v="9500778000"/>
    <n v="9865000000"/>
    <n v="6185000000"/>
    <n v="59015000000"/>
    <n v="25638160100"/>
    <n v="40209936100"/>
    <n v="0.13300000000000001"/>
    <n v="51542599200"/>
  </r>
  <r>
    <x v="1050"/>
    <s v="91282CGP0"/>
    <s v="Note"/>
    <s v="5-Year"/>
    <n v="4.03"/>
    <n v="4.109"/>
    <n v="4"/>
    <n v="2.48"/>
    <n v="9769777400"/>
    <n v="106594930000"/>
    <n v="42848281500"/>
    <n v="145580500"/>
    <n v="8154901500"/>
    <n v="8835000000"/>
    <n v="4722000000"/>
    <n v="59612000000"/>
    <n v="29971380000"/>
    <n v="38147930000"/>
    <n v="0.10899999999999999"/>
    <n v="52763639400"/>
  </r>
  <r>
    <x v="1051"/>
    <s v="91282CGQ8"/>
    <s v="Note"/>
    <s v="7-Year"/>
    <n v="3.972"/>
    <n v="4.0620000000000003"/>
    <n v="3.94"/>
    <n v="2.4900000000000002"/>
    <n v="7952144400"/>
    <n v="87108035000"/>
    <n v="34960939000"/>
    <n v="39066100"/>
    <n v="7270300000"/>
    <n v="7360300000"/>
    <n v="4792140000"/>
    <n v="50108000000"/>
    <n v="22898499000"/>
    <n v="29639735000"/>
    <n v="0.12200000000000033"/>
    <n v="42952149500"/>
  </r>
  <r>
    <x v="1052"/>
    <s v="91282CGR6"/>
    <s v="Note"/>
    <s v="3-Year"/>
    <n v="4.58"/>
    <n v="4.6349999999999998"/>
    <n v="4.5"/>
    <n v="2.73"/>
    <n v="0"/>
    <n v="108839247000"/>
    <n v="39774711000"/>
    <n v="225292600"/>
    <n v="8223024000"/>
    <n v="8640000000"/>
    <n v="6696840000"/>
    <n v="63846000000"/>
    <n v="24854847000"/>
    <n v="36353247000"/>
    <n v="0.13499999999999979"/>
    <n v="40000003600"/>
  </r>
  <r>
    <x v="1053"/>
    <s v="91282CGM7"/>
    <s v="Note"/>
    <s v="9-Year 11-Month"/>
    <n v="3.8889999999999998"/>
    <n v="3.9849999999999999"/>
    <n v="3.8"/>
    <n v="2.35"/>
    <n v="0"/>
    <n v="75168645000"/>
    <n v="31963511800"/>
    <n v="36530600"/>
    <n v="6386420000"/>
    <n v="6540000000"/>
    <n v="5666940000"/>
    <n v="45802000000"/>
    <n v="19910151800"/>
    <n v="22826645000"/>
    <n v="0.18500000000000005"/>
    <n v="32000042400"/>
  </r>
  <r>
    <x v="1054"/>
    <s v="912810TN8"/>
    <s v="Bond"/>
    <s v="29-Year 11-Month"/>
    <n v="3.8039999999999998"/>
    <n v="3.8769999999999998"/>
    <n v="3.77"/>
    <n v="2.35"/>
    <n v="0"/>
    <n v="42318305000"/>
    <n v="17995635000"/>
    <n v="4365000"/>
    <n v="3569500000"/>
    <n v="3909500000"/>
    <n v="1700330000"/>
    <n v="23958000000"/>
    <n v="12725805000"/>
    <n v="14450805000"/>
    <n v="0.10699999999999976"/>
    <n v="18000000000"/>
  </r>
  <r>
    <x v="1055"/>
    <s v="912810TQ1"/>
    <s v="Bond"/>
    <s v="19-Year 11-Month"/>
    <n v="3.8"/>
    <n v="3.9089999999999998"/>
    <n v="2.88"/>
    <n v="2.5299999999999998"/>
    <n v="0"/>
    <n v="30277250000"/>
    <n v="11963995000"/>
    <n v="36006600"/>
    <n v="2520000000"/>
    <n v="2640000000"/>
    <n v="1425000000"/>
    <n v="17909000000"/>
    <n v="8018995000"/>
    <n v="9728250000"/>
    <n v="1.0289999999999999"/>
    <n v="12000001600"/>
  </r>
  <r>
    <x v="1056"/>
    <s v="91282CGU9"/>
    <s v="Note"/>
    <s v="2-Year"/>
    <n v="3.87"/>
    <n v="3.9540000000000002"/>
    <n v="3.8"/>
    <n v="2.44"/>
    <n v="0"/>
    <n v="101844275000"/>
    <n v="41437725000"/>
    <n v="462293600"/>
    <n v="10015000000"/>
    <n v="10665000000"/>
    <n v="9543450000"/>
    <n v="58800000000"/>
    <n v="21879275000"/>
    <n v="32379275000"/>
    <n v="0.15400000000000036"/>
    <n v="41900018600"/>
  </r>
  <r>
    <x v="1057"/>
    <s v="91282CGT2"/>
    <s v="Note"/>
    <s v="5-Year"/>
    <n v="3.589"/>
    <n v="3.665"/>
    <n v="3.53"/>
    <n v="2.48"/>
    <n v="0"/>
    <n v="106534920000"/>
    <n v="42900891500"/>
    <n v="99162700"/>
    <n v="7810463500"/>
    <n v="9884000000"/>
    <n v="5718587000"/>
    <n v="60782000000"/>
    <n v="29371841000"/>
    <n v="35868920000"/>
    <n v="0.13500000000000023"/>
    <n v="43000054200"/>
  </r>
  <r>
    <x v="1058"/>
    <s v="91282CGS4"/>
    <s v="Note"/>
    <s v="7-Year"/>
    <n v="3.55"/>
    <n v="3.6259999999999999"/>
    <n v="3.5"/>
    <n v="2.39"/>
    <n v="0"/>
    <n v="83738500000"/>
    <n v="34952646300"/>
    <n v="47364100"/>
    <n v="7468600000"/>
    <n v="8218600000"/>
    <n v="5381730000"/>
    <n v="49437000000"/>
    <n v="22102316300"/>
    <n v="26082900000"/>
    <n v="0.12599999999999989"/>
    <n v="35000010400"/>
  </r>
  <r>
    <x v="1059"/>
    <s v="91282CGV7"/>
    <s v="Note"/>
    <s v="3-Year"/>
    <n v="3.7570000000000001"/>
    <n v="3.81"/>
    <n v="3.65"/>
    <n v="2.59"/>
    <n v="2557486100"/>
    <n v="103644860000"/>
    <n v="39847606000"/>
    <n v="152397000"/>
    <n v="8373032000"/>
    <n v="10871000000"/>
    <n v="7047714000"/>
    <n v="58931000000"/>
    <n v="24426860000"/>
    <n v="33842860000"/>
    <n v="0.16000000000000014"/>
    <n v="42557489100"/>
  </r>
  <r>
    <x v="1060"/>
    <s v="91282CGM7"/>
    <s v="Note"/>
    <s v="9-Year 10-Month"/>
    <n v="3.3639999999999999"/>
    <n v="3.4550000000000001"/>
    <n v="3.3"/>
    <n v="2.36"/>
    <n v="2045988800"/>
    <n v="75372280000"/>
    <n v="31949495000"/>
    <n v="50524800"/>
    <n v="6360000000"/>
    <n v="6970000000"/>
    <n v="5477215000"/>
    <n v="45130000000"/>
    <n v="20112280000"/>
    <n v="23272280000"/>
    <n v="0.15500000000000025"/>
    <n v="34046008600"/>
  </r>
  <r>
    <x v="1061"/>
    <s v="912810TN8"/>
    <s v="Bond"/>
    <s v="29-Year 10-Month"/>
    <n v="3.589"/>
    <n v="3.661"/>
    <n v="3.5270000000000001"/>
    <n v="2.36"/>
    <n v="1150868700"/>
    <n v="42437533600"/>
    <n v="17979393200"/>
    <n v="20609700"/>
    <n v="3559400000"/>
    <n v="3799400000"/>
    <n v="1993095000"/>
    <n v="24204000000"/>
    <n v="12426898200"/>
    <n v="14434133600"/>
    <n v="0.1339999999999999"/>
    <n v="19150871600"/>
  </r>
  <r>
    <x v="1062"/>
    <s v="912810TQ1"/>
    <s v="Bond"/>
    <s v="19-Year 10-Month"/>
    <n v="3.85"/>
    <n v="3.92"/>
    <n v="3.82"/>
    <n v="2.66"/>
    <n v="1171099800"/>
    <n v="31914810000"/>
    <n v="11960168000"/>
    <n v="39845100"/>
    <n v="2300783500"/>
    <n v="3545000000"/>
    <n v="1440810000"/>
    <n v="17184000000"/>
    <n v="8218574500"/>
    <n v="11185810000"/>
    <n v="0.10000000000000009"/>
    <n v="13171112900"/>
  </r>
  <r>
    <x v="1063"/>
    <s v="91282CGX3"/>
    <s v="Note"/>
    <s v="2-Year"/>
    <n v="3.92"/>
    <n v="3.9689999999999999"/>
    <n v="3.85"/>
    <n v="2.68"/>
    <n v="4098849500"/>
    <n v="112157560000"/>
    <n v="41610110000"/>
    <n v="389942700"/>
    <n v="8265970000"/>
    <n v="11506000000"/>
    <n v="7878580000"/>
    <n v="61650000000"/>
    <n v="25465560000"/>
    <n v="39001560000"/>
    <n v="0.11899999999999977"/>
    <n v="46098902200"/>
  </r>
  <r>
    <x v="1064"/>
    <s v="91282CHA2"/>
    <s v="Note"/>
    <s v="5-Year"/>
    <n v="3.427"/>
    <n v="3.5"/>
    <n v="3.35"/>
    <n v="2.54"/>
    <n v="4196441000"/>
    <n v="109065560000"/>
    <n v="42915960000"/>
    <n v="84059700"/>
    <n v="7419000000"/>
    <n v="11009600000"/>
    <n v="5853000000"/>
    <n v="60738000000"/>
    <n v="29643960000"/>
    <n v="37317960000"/>
    <n v="0.14999999999999991"/>
    <n v="47196460700"/>
  </r>
  <r>
    <x v="1065"/>
    <s v="91282CGZ8"/>
    <s v="Note"/>
    <s v="7-Year"/>
    <n v="3.4889999999999999"/>
    <n v="3.5630000000000002"/>
    <n v="3.4"/>
    <n v="2.41"/>
    <n v="3415707800"/>
    <n v="84487680000"/>
    <n v="34963362500"/>
    <n v="36642400"/>
    <n v="7368800000"/>
    <n v="8248800000"/>
    <n v="5178682500"/>
    <n v="48905000000"/>
    <n v="22415880000"/>
    <n v="27333880000"/>
    <n v="0.16300000000000026"/>
    <n v="38415712700"/>
  </r>
  <r>
    <x v="1066"/>
    <s v="91282CHB0"/>
    <s v="Note"/>
    <s v="3-Year"/>
    <n v="3.6549999999999998"/>
    <n v="3.6949999999999998"/>
    <n v="3.5"/>
    <n v="2.93"/>
    <n v="10897698800"/>
    <n v="117057950000"/>
    <n v="39890554500"/>
    <n v="109460000"/>
    <n v="5450000000"/>
    <n v="11242000000"/>
    <n v="5180892000"/>
    <n v="61473000000"/>
    <n v="29259662500"/>
    <n v="44342950000"/>
    <n v="0.19499999999999984"/>
    <n v="50897713300"/>
  </r>
  <r>
    <x v="1067"/>
    <s v="91282CHC8"/>
    <s v="Note"/>
    <s v="10-Year"/>
    <n v="3.363"/>
    <n v="3.448"/>
    <n v="3.32"/>
    <n v="2.4500000000000002"/>
    <n v="9535486500"/>
    <n v="85617440000"/>
    <n v="34950234000"/>
    <n v="49877000"/>
    <n v="6800000000"/>
    <n v="9475000000"/>
    <n v="4559215000"/>
    <n v="48734000000"/>
    <n v="23591019000"/>
    <n v="27408440000"/>
    <n v="0.12800000000000011"/>
    <n v="44535597500"/>
  </r>
  <r>
    <x v="1068"/>
    <s v="912810TR9"/>
    <s v="Bond"/>
    <s v="30-Year"/>
    <n v="3.6709999999999998"/>
    <n v="3.7410000000000001"/>
    <n v="3.6"/>
    <n v="2.4300000000000002"/>
    <n v="5721291900"/>
    <n v="50918140000"/>
    <n v="20971305000"/>
    <n v="28699000"/>
    <n v="3639800000"/>
    <n v="5399800000"/>
    <n v="2141000000"/>
    <n v="27864000000"/>
    <n v="15190505000"/>
    <n v="17654340000"/>
    <n v="0.14100000000000001"/>
    <n v="26721295900"/>
  </r>
  <r>
    <x v="1069"/>
    <s v="912810TS7"/>
    <s v="Bond"/>
    <s v="20-Year"/>
    <n v="3.875"/>
    <n v="3.9540000000000002"/>
    <n v="2.88"/>
    <n v="2.56"/>
    <n v="2816958900"/>
    <n v="38354640000"/>
    <n v="14922117000"/>
    <n v="77883300"/>
    <n v="2703477000"/>
    <n v="4260000000"/>
    <n v="1687000000"/>
    <n v="21423000000"/>
    <n v="10531640000"/>
    <n v="12671640000"/>
    <n v="1.0740000000000003"/>
    <n v="17816959200"/>
  </r>
  <r>
    <x v="1070"/>
    <s v="91282CHD6"/>
    <s v="Note"/>
    <s v="2-Year"/>
    <n v="4.2549999999999999"/>
    <n v="4.3"/>
    <n v="4.1500000000000004"/>
    <n v="2.9"/>
    <n v="7887485100"/>
    <n v="121443720000"/>
    <n v="41665843300"/>
    <n v="323572200"/>
    <n v="6501373500"/>
    <n v="14490000000"/>
    <n v="6743954000"/>
    <n v="62228000000"/>
    <n v="28420515800"/>
    <n v="44725720000"/>
    <n v="0.14999999999999947"/>
    <n v="49876900600"/>
  </r>
  <r>
    <x v="1071"/>
    <s v="91282CHE4"/>
    <s v="Note"/>
    <s v="5-Year"/>
    <n v="3.6869999999999998"/>
    <n v="3.7490000000000001"/>
    <n v="3.55"/>
    <n v="2.58"/>
    <n v="8075282400"/>
    <n v="110878120000"/>
    <n v="42920796300"/>
    <n v="75222700"/>
    <n v="7707051300"/>
    <n v="10881000000"/>
    <n v="4007125000"/>
    <n v="60290000000"/>
    <n v="31206620000"/>
    <n v="39707120000"/>
    <n v="0.19900000000000029"/>
    <n v="51071301400"/>
  </r>
  <r>
    <x v="1072"/>
    <s v="91282CHF1"/>
    <s v="Note"/>
    <s v="7-Year"/>
    <n v="3.7690000000000001"/>
    <n v="3.827"/>
    <n v="3.68"/>
    <n v="2.61"/>
    <n v="6572904300"/>
    <n v="91286515000"/>
    <n v="34967519600"/>
    <n v="32589600"/>
    <n v="6044500000"/>
    <n v="9210000000"/>
    <n v="3641990000"/>
    <n v="50308000000"/>
    <n v="25281029600"/>
    <n v="31768515000"/>
    <n v="0.1469999999999998"/>
    <n v="41573013500"/>
  </r>
  <r>
    <x v="1073"/>
    <s v="91282CHC8"/>
    <s v="Note"/>
    <s v="9-Year 11-Month"/>
    <n v="3.714"/>
    <n v="3.7909999999999999"/>
    <n v="3.6"/>
    <n v="2.36"/>
    <n v="0"/>
    <n v="75530085000"/>
    <n v="31981695000"/>
    <n v="18314600"/>
    <n v="6371000000"/>
    <n v="7871000000"/>
    <n v="5691610000"/>
    <n v="44902000000"/>
    <n v="19919085000"/>
    <n v="22757085000"/>
    <n v="0.19099999999999984"/>
    <n v="32000009600"/>
  </r>
  <r>
    <x v="1073"/>
    <s v="91282CHH7"/>
    <s v="Note"/>
    <s v="3-Year"/>
    <n v="4.1289999999999996"/>
    <n v="4.202"/>
    <n v="3.88"/>
    <n v="2.7"/>
    <n v="0"/>
    <n v="107716460000"/>
    <n v="39884564200"/>
    <n v="110509600"/>
    <n v="8669104200"/>
    <n v="11301000000"/>
    <n v="6676000000"/>
    <n v="60161000000"/>
    <n v="24539460000"/>
    <n v="36254460000"/>
    <n v="0.32200000000000006"/>
    <n v="39995073800"/>
  </r>
  <r>
    <x v="1074"/>
    <s v="912810TR9"/>
    <s v="Bond"/>
    <s v="29-Year 11-Month"/>
    <n v="3.839"/>
    <n v="3.9079999999999999"/>
    <n v="2.88"/>
    <n v="2.52"/>
    <n v="0"/>
    <n v="45383085000"/>
    <n v="17994584600"/>
    <n v="5433500"/>
    <n v="3263012100"/>
    <n v="6001000000"/>
    <n v="1611487500"/>
    <n v="24325000000"/>
    <n v="13120085000"/>
    <n v="15057085000"/>
    <n v="1.028"/>
    <n v="18000018100"/>
  </r>
  <r>
    <x v="1075"/>
    <s v="912810TS7"/>
    <s v="Bond"/>
    <s v="19-Year 11-Month"/>
    <n v="3.94"/>
    <n v="4.01"/>
    <n v="3.89"/>
    <n v="2.87"/>
    <n v="0"/>
    <n v="34435540000"/>
    <n v="11968954800"/>
    <n v="31049600"/>
    <n v="2109500000"/>
    <n v="4604000000"/>
    <n v="932746000"/>
    <n v="17891000000"/>
    <n v="8926708800"/>
    <n v="11940540000"/>
    <n v="0.11999999999999966"/>
    <n v="12000004400"/>
  </r>
  <r>
    <x v="1076"/>
    <s v="91282CHL8"/>
    <s v="Note"/>
    <s v="2-Year"/>
    <n v="4.625"/>
    <n v="4.67"/>
    <n v="4.5"/>
    <n v="2.86"/>
    <n v="0"/>
    <n v="119663285000"/>
    <n v="41536569000"/>
    <n v="460475500"/>
    <n v="7548350000"/>
    <n v="14415000000"/>
    <n v="5540938000"/>
    <n v="60148000000"/>
    <n v="28447281000"/>
    <n v="45100285000"/>
    <n v="0.16999999999999993"/>
    <n v="41997044500"/>
  </r>
  <r>
    <x v="1077"/>
    <s v="91282CHK0"/>
    <s v="Note"/>
    <s v="5-Year"/>
    <n v="3.95"/>
    <n v="4.0190000000000001"/>
    <n v="3.88"/>
    <n v="2.52"/>
    <n v="0"/>
    <n v="108099385000"/>
    <n v="42898324900"/>
    <n v="96747200"/>
    <n v="8447000000"/>
    <n v="11748000000"/>
    <n v="5238260000"/>
    <n v="60180000000"/>
    <n v="29213064900"/>
    <n v="36171385000"/>
    <n v="0.13900000000000023"/>
    <n v="42995072100"/>
  </r>
  <r>
    <x v="1078"/>
    <s v="91282CHJ3"/>
    <s v="Note"/>
    <s v="7-Year"/>
    <n v="3.77"/>
    <n v="3.839"/>
    <n v="3.6"/>
    <n v="2.65"/>
    <n v="0"/>
    <n v="92840985000"/>
    <n v="34969185800"/>
    <n v="30822100"/>
    <n v="5788500800"/>
    <n v="11098300000"/>
    <n v="2846000000"/>
    <n v="48127000000"/>
    <n v="26334685000"/>
    <n v="33615685000"/>
    <n v="0.23899999999999988"/>
    <n v="35000007900"/>
  </r>
  <r>
    <x v="1079"/>
    <s v="91282CHM6"/>
    <s v="Note"/>
    <s v="3-Year"/>
    <n v="4.4749999999999996"/>
    <n v="4.5339999999999998"/>
    <n v="4.25"/>
    <n v="2.88"/>
    <n v="0"/>
    <n v="114919440000"/>
    <n v="39633005100"/>
    <n v="162007500"/>
    <n v="7844280100"/>
    <n v="12016000000"/>
    <n v="4272000000"/>
    <n v="62647000000"/>
    <n v="27516725000"/>
    <n v="40256440000"/>
    <n v="0.28399999999999981"/>
    <n v="39795012600"/>
  </r>
  <r>
    <x v="1080"/>
    <s v="91282CHC8"/>
    <s v="Note"/>
    <s v="9-Year 10-Month"/>
    <n v="3.7749999999999999"/>
    <n v="3.8570000000000002"/>
    <n v="3.73"/>
    <n v="2.5299999999999998"/>
    <n v="0"/>
    <n v="80984320000"/>
    <n v="31963359600"/>
    <n v="36650600"/>
    <n v="6351000000"/>
    <n v="10976000000"/>
    <n v="3961265000"/>
    <n v="43911000000"/>
    <n v="21651094600"/>
    <n v="26097320000"/>
    <n v="0.12700000000000022"/>
    <n v="32000010200"/>
  </r>
  <r>
    <x v="1081"/>
    <s v="912810TR9"/>
    <s v="Bond"/>
    <s v="29-Year 10-Month"/>
    <n v="3.83"/>
    <n v="3.91"/>
    <n v="3.78"/>
    <n v="2.4300000000000002"/>
    <n v="0"/>
    <n v="43768325000"/>
    <n v="17983945000"/>
    <n v="16057300"/>
    <n v="3620700000"/>
    <n v="5570700000"/>
    <n v="1951620000"/>
    <n v="24179000000"/>
    <n v="12411625000"/>
    <n v="14018625000"/>
    <n v="0.13000000000000034"/>
    <n v="18000002300"/>
  </r>
  <r>
    <x v="1082"/>
    <s v="912810TS7"/>
    <s v="Bond"/>
    <s v="19-Year 10-Month"/>
    <n v="3.9649999999999999"/>
    <n v="4.0359999999999996"/>
    <n v="3.92"/>
    <n v="2.68"/>
    <n v="0"/>
    <n v="32026530000"/>
    <n v="11827793000"/>
    <n v="172212400"/>
    <n v="2564000000"/>
    <n v="4689000000"/>
    <n v="1131725000"/>
    <n v="17136000000"/>
    <n v="8132068000"/>
    <n v="10201530000"/>
    <n v="0.11599999999999966"/>
    <n v="12000005400"/>
  </r>
  <r>
    <x v="1083"/>
    <s v="91282CHN4"/>
    <s v="Note"/>
    <s v="2-Year"/>
    <n v="4.76"/>
    <n v="4.8230000000000004"/>
    <n v="4.7"/>
    <n v="2.78"/>
    <n v="0"/>
    <n v="116092220000"/>
    <n v="41253110000"/>
    <n v="641999600"/>
    <n v="8566250000"/>
    <n v="16085000000"/>
    <n v="5688640000"/>
    <n v="58084000000"/>
    <n v="26998220000"/>
    <n v="41923220000"/>
    <n v="0.12300000000000022"/>
    <n v="41895109600"/>
  </r>
  <r>
    <x v="1084"/>
    <s v="91282CHQ7"/>
    <s v="Note"/>
    <s v="5-Year"/>
    <n v="4.0999999999999996"/>
    <n v="4.17"/>
    <n v="4.0599999999999996"/>
    <n v="2.6"/>
    <n v="0"/>
    <n v="111785920000"/>
    <n v="42889723800"/>
    <n v="105324100"/>
    <n v="9489516300"/>
    <n v="17110000000"/>
    <n v="5786900000"/>
    <n v="60053000000"/>
    <n v="27613307500"/>
    <n v="34622920000"/>
    <n v="0.11000000000000032"/>
    <n v="42995047900"/>
  </r>
  <r>
    <x v="1085"/>
    <s v="91282CHR5"/>
    <s v="Note"/>
    <s v="7-Year"/>
    <n v="4.0199999999999996"/>
    <n v="4.0869999999999997"/>
    <n v="3.92"/>
    <n v="2.48"/>
    <n v="0"/>
    <n v="86716825100"/>
    <n v="34951525100"/>
    <n v="48477600"/>
    <n v="5559600000"/>
    <n v="10859600000"/>
    <n v="5011810100"/>
    <n v="47617000100"/>
    <n v="24380115000"/>
    <n v="28240225000"/>
    <n v="0.16699999999999982"/>
    <n v="35000002700"/>
  </r>
  <r>
    <x v="1086"/>
    <s v="91282CHU8"/>
    <s v="Note"/>
    <s v="3-Year"/>
    <n v="4.3550000000000004"/>
    <n v="4.3979999999999997"/>
    <n v="4.2"/>
    <n v="2.9"/>
    <n v="15712741100"/>
    <n v="121326130000"/>
    <n v="41499634100"/>
    <n v="250425700"/>
    <n v="6514000000"/>
    <n v="15012000000"/>
    <n v="4286560000"/>
    <n v="62593000000"/>
    <n v="30699074100"/>
    <n v="43721130000"/>
    <n v="0.19799999999999951"/>
    <n v="57462800900"/>
  </r>
  <r>
    <x v="1087"/>
    <s v="91282CHT1"/>
    <s v="Note"/>
    <s v="10-Year"/>
    <n v="3.9220000000000002"/>
    <n v="3.9990000000000001"/>
    <n v="3.88"/>
    <n v="2.56"/>
    <n v="14216289500"/>
    <n v="97031036400"/>
    <n v="37866146900"/>
    <n v="133873900"/>
    <n v="6928750000"/>
    <n v="13559000000"/>
    <n v="3599155500"/>
    <n v="51197000000"/>
    <n v="27338241400"/>
    <n v="32275036400"/>
    <n v="0.11900000000000022"/>
    <n v="52216310300"/>
  </r>
  <r>
    <x v="1088"/>
    <s v="912810TT5"/>
    <s v="Bond"/>
    <s v="30-Year"/>
    <n v="4.1150000000000002"/>
    <n v="4.1890000000000001"/>
    <n v="4.05"/>
    <n v="2.42"/>
    <n v="8604596200"/>
    <n v="55560849000"/>
    <n v="22955401500"/>
    <n v="44608700"/>
    <n v="4509000000"/>
    <n v="8249000000"/>
    <n v="2875537500"/>
    <n v="29727000000"/>
    <n v="15570864000"/>
    <n v="17584849000"/>
    <n v="0.13900000000000023"/>
    <n v="31604606400"/>
  </r>
  <r>
    <x v="1089"/>
    <s v="912810TU2"/>
    <s v="Bond"/>
    <s v="20-Year"/>
    <n v="4.4269999999999996"/>
    <n v="4.4989999999999997"/>
    <n v="4.3899999999999997"/>
    <n v="2.56"/>
    <n v="1662322000"/>
    <n v="40813055000"/>
    <n v="15885025000"/>
    <n v="114975300"/>
    <n v="3209000000"/>
    <n v="6079000000"/>
    <n v="1802980000"/>
    <n v="21430000000"/>
    <n v="10873045000"/>
    <n v="13304055000"/>
    <n v="0.10899999999999999"/>
    <n v="17662322300"/>
  </r>
  <r>
    <x v="1090"/>
    <s v="91282CHX2"/>
    <s v="Note"/>
    <s v="5-Year"/>
    <n v="4.33"/>
    <n v="4.4000000000000004"/>
    <n v="4.3"/>
    <n v="2.54"/>
    <n v="4779175900"/>
    <n v="116417995000"/>
    <n v="45794512100"/>
    <n v="200589000"/>
    <n v="8359429600"/>
    <n v="15293000000"/>
    <n v="6332040000"/>
    <n v="62341000000"/>
    <n v="31103042500"/>
    <n v="38783995000"/>
    <n v="0.10000000000000053"/>
    <n v="50774277000"/>
  </r>
  <r>
    <x v="1090"/>
    <s v="91282CHV6"/>
    <s v="Note"/>
    <s v="2-Year"/>
    <n v="4.9800000000000004"/>
    <n v="5.024"/>
    <n v="4.9000000000000004"/>
    <n v="2.94"/>
    <n v="4675280800"/>
    <n v="131589450000"/>
    <n v="44147021300"/>
    <n v="748055000"/>
    <n v="8832431300"/>
    <n v="17175000000"/>
    <n v="6614140000"/>
    <n v="69725000000"/>
    <n v="28700450000"/>
    <n v="44689450000"/>
    <n v="0.12399999999999967"/>
    <n v="49570357100"/>
  </r>
  <r>
    <x v="1091"/>
    <s v="91282CHW4"/>
    <s v="Note"/>
    <s v="7-Year"/>
    <n v="4.1550000000000002"/>
    <n v="4.2119999999999997"/>
    <n v="4.0999999999999996"/>
    <n v="2.66"/>
    <n v="3740224600"/>
    <n v="95785320000"/>
    <n v="35931827500"/>
    <n v="68179000"/>
    <n v="5380400000"/>
    <n v="11410400000"/>
    <n v="3512000000"/>
    <n v="51058000000"/>
    <n v="27039427500"/>
    <n v="33316920000"/>
    <n v="0.1120000000000001"/>
    <n v="39740231100"/>
  </r>
  <r>
    <x v="1092"/>
    <s v="91282CHY0"/>
    <s v="Note"/>
    <s v="3-Year"/>
    <n v="4.5970000000000004"/>
    <n v="4.66"/>
    <n v="4.548"/>
    <n v="2.75"/>
    <n v="0"/>
    <n v="120699915000"/>
    <n v="43673039500"/>
    <n v="226993100"/>
    <n v="9643000000"/>
    <n v="16293000000"/>
    <n v="8845124500"/>
    <n v="69802000000"/>
    <n v="25184915000"/>
    <n v="34604915000"/>
    <n v="0.1120000000000001"/>
    <n v="43900032600"/>
  </r>
  <r>
    <x v="1093"/>
    <s v="91282CHT1"/>
    <s v="Note"/>
    <s v="9-Year 11-Month"/>
    <n v="4.2290000000000001"/>
    <n v="4.2889999999999997"/>
    <n v="4.18"/>
    <n v="2.52"/>
    <n v="0"/>
    <n v="88176725000"/>
    <n v="34921465200"/>
    <n v="78576500"/>
    <n v="6955740200"/>
    <n v="12415000000"/>
    <n v="4808000000"/>
    <n v="48795000000"/>
    <n v="23157725000"/>
    <n v="26966725000"/>
    <n v="0.10899999999999999"/>
    <n v="35000041700"/>
  </r>
  <r>
    <x v="1094"/>
    <s v="912810TT5"/>
    <s v="Bond"/>
    <s v="29-Year 11-Month"/>
    <n v="4.2699999999999996"/>
    <n v="4.3449999999999998"/>
    <n v="4.2300000000000004"/>
    <n v="2.46"/>
    <n v="0"/>
    <n v="49204740000"/>
    <n v="19984111000"/>
    <n v="15896500"/>
    <n v="3944100000"/>
    <n v="7400100000"/>
    <n v="3152900000"/>
    <n v="27198000000"/>
    <n v="12887111000"/>
    <n v="14606640000"/>
    <n v="0.11499999999999932"/>
    <n v="20000007500"/>
  </r>
  <r>
    <x v="1095"/>
    <s v="912810TU2"/>
    <s v="Bond"/>
    <s v="19-Year 11-Month"/>
    <n v="4.5380000000000003"/>
    <n v="4.5919999999999996"/>
    <n v="4.47"/>
    <n v="2.74"/>
    <n v="0"/>
    <n v="35514020000"/>
    <n v="12943305000"/>
    <n v="56702300"/>
    <n v="3283000000"/>
    <n v="5624000000"/>
    <n v="1200285000"/>
    <n v="18575000000"/>
    <n v="8460020000"/>
    <n v="11315020000"/>
    <n v="0.12199999999999989"/>
    <n v="13000007300"/>
  </r>
  <r>
    <x v="1096"/>
    <s v="91282CJB8"/>
    <s v="Note"/>
    <s v="2-Year"/>
    <n v="5.03"/>
    <n v="5.085"/>
    <n v="4.95"/>
    <n v="2.73"/>
    <n v="0"/>
    <n v="130093786500"/>
    <n v="47170608500"/>
    <n v="829529300"/>
    <n v="9903340000"/>
    <n v="18210000000"/>
    <n v="6597584500"/>
    <n v="65864000000"/>
    <n v="30669684000"/>
    <n v="46019786500"/>
    <n v="0.13499999999999979"/>
    <n v="48000137800"/>
  </r>
  <r>
    <x v="1097"/>
    <s v="91282CJA0"/>
    <s v="Note"/>
    <s v="5-Year"/>
    <n v="4.5990000000000002"/>
    <n v="4.6589999999999998"/>
    <n v="4.53"/>
    <n v="2.52"/>
    <n v="0"/>
    <n v="123408752000"/>
    <n v="48823560500"/>
    <n v="176489100"/>
    <n v="8602808500"/>
    <n v="16445000000"/>
    <n v="5483000000"/>
    <n v="65466000000"/>
    <n v="34737752000"/>
    <n v="41497752000"/>
    <n v="0.12899999999999956"/>
    <n v="49000049600"/>
  </r>
  <r>
    <x v="1098"/>
    <s v="91282CHZ7"/>
    <s v="Note"/>
    <s v="7-Year"/>
    <n v="4.5999999999999996"/>
    <n v="4.673"/>
    <n v="4.54"/>
    <n v="2.4700000000000002"/>
    <n v="0"/>
    <n v="91127970000"/>
    <n v="36908724400"/>
    <n v="91302100"/>
    <n v="7357413400"/>
    <n v="12043000000"/>
    <n v="5387712500"/>
    <n v="50837000000"/>
    <n v="24163598500"/>
    <n v="28247970000"/>
    <n v="0.13300000000000001"/>
    <n v="37000026500"/>
  </r>
  <r>
    <x v="1099"/>
    <s v="91282CJC6"/>
    <s v="Note"/>
    <s v="3-Year"/>
    <n v="4.67"/>
    <n v="4.74"/>
    <n v="4.63"/>
    <n v="2.56"/>
    <n v="0"/>
    <n v="117637740000"/>
    <n v="45786940000"/>
    <n v="213068300"/>
    <n v="10047400000"/>
    <n v="17053000000"/>
    <n v="10113800000"/>
    <n v="67741000000"/>
    <n v="25625740000"/>
    <n v="32843740000"/>
    <n v="0.11000000000000032"/>
    <n v="46000008300"/>
  </r>
  <r>
    <x v="1100"/>
    <s v="91282CHT1"/>
    <s v="Note"/>
    <s v="9-Year 10-Month"/>
    <n v="4.53"/>
    <n v="4.6100000000000003"/>
    <n v="4.47"/>
    <n v="2.5"/>
    <n v="0"/>
    <n v="87423610000"/>
    <n v="34915937800"/>
    <n v="84114600"/>
    <n v="7300390000"/>
    <n v="12363000000"/>
    <n v="6546677800"/>
    <n v="50894000000"/>
    <n v="21068870000"/>
    <n v="24166610000"/>
    <n v="0.14000000000000057"/>
    <n v="35000052400"/>
  </r>
  <r>
    <x v="1101"/>
    <s v="912810TT5"/>
    <s v="Bond"/>
    <s v="29-Year 10-Month"/>
    <n v="4.74"/>
    <n v="4.8369999999999997"/>
    <n v="4.6500000000000004"/>
    <n v="2.35"/>
    <n v="0"/>
    <n v="46942950000"/>
    <n v="19968020000"/>
    <n v="31982800"/>
    <n v="3335700000"/>
    <n v="6390700000"/>
    <n v="3628070000"/>
    <n v="26176000000"/>
    <n v="13004250000"/>
    <n v="14376250000"/>
    <n v="0.18699999999999939"/>
    <n v="20000002800"/>
  </r>
  <r>
    <x v="1102"/>
    <s v="912810TU2"/>
    <s v="Bond"/>
    <s v="19-Year 10-Month"/>
    <n v="5.1859999999999999"/>
    <n v="5.2450000000000001"/>
    <n v="5.0999999999999996"/>
    <n v="2.59"/>
    <n v="0"/>
    <n v="33530762000"/>
    <n v="12912887000"/>
    <n v="87129300"/>
    <n v="1962912500"/>
    <n v="3778000000"/>
    <n v="1540912500"/>
    <n v="17523000000"/>
    <n v="9409062000"/>
    <n v="12229762000"/>
    <n v="0.14500000000000046"/>
    <n v="13000016300"/>
  </r>
  <r>
    <x v="1103"/>
    <s v="91282CJE2"/>
    <s v="Note"/>
    <s v="2-Year"/>
    <n v="5.01"/>
    <n v="5.0549999999999997"/>
    <n v="4.95"/>
    <n v="2.64"/>
    <n v="0"/>
    <n v="133748750300"/>
    <n v="50334877100"/>
    <n v="665149800"/>
    <n v="10231750000"/>
    <n v="18151000000"/>
    <n v="8872515000"/>
    <n v="68888000000"/>
    <n v="31230612100"/>
    <n v="46709750300"/>
    <n v="0.10499999999999954"/>
    <n v="51000026900"/>
  </r>
  <r>
    <x v="1104"/>
    <s v="91282CJF9"/>
    <s v="Note"/>
    <s v="5-Year"/>
    <n v="4.819"/>
    <n v="4.899"/>
    <n v="4.7300000000000004"/>
    <n v="2.36"/>
    <n v="0"/>
    <n v="122746500000"/>
    <n v="51790231000"/>
    <n v="209796800"/>
    <n v="9884000000"/>
    <n v="16785000000"/>
    <n v="10050000000"/>
    <n v="69020000000"/>
    <n v="31856231000"/>
    <n v="36941500000"/>
    <n v="0.16899999999999959"/>
    <n v="52000027800"/>
  </r>
  <r>
    <x v="1105"/>
    <s v="91282CJG7"/>
    <s v="Note"/>
    <s v="7-Year"/>
    <n v="4.8490000000000002"/>
    <n v="4.9080000000000004"/>
    <n v="4.78"/>
    <n v="2.7"/>
    <n v="0"/>
    <n v="102496510000"/>
    <n v="37746850000"/>
    <n v="253182300"/>
    <n v="6944820000"/>
    <n v="13790100000"/>
    <n v="4145000000"/>
    <n v="55560000000"/>
    <n v="26657030000"/>
    <n v="33146410000"/>
    <n v="0.12800000000000011"/>
    <n v="38000032300"/>
  </r>
  <r>
    <x v="1106"/>
    <s v="91282CJK8"/>
    <s v="Note"/>
    <s v="3-Year"/>
    <n v="4.649"/>
    <n v="4.7009999999999996"/>
    <n v="4.55"/>
    <n v="2.67"/>
    <n v="913430800"/>
    <n v="127563600800"/>
    <n v="47505891200"/>
    <n v="294146500"/>
    <n v="9090010400"/>
    <n v="16273000000"/>
    <n v="7726280000"/>
    <n v="70797000000"/>
    <n v="30689600800"/>
    <n v="40493600800"/>
    <n v="0.1509999999999998"/>
    <n v="48713468500"/>
  </r>
  <r>
    <x v="1107"/>
    <s v="91282CJJ1"/>
    <s v="Note"/>
    <s v="10-Year"/>
    <n v="4.4400000000000004"/>
    <n v="4.5190000000000001"/>
    <n v="4.4000000000000004"/>
    <n v="2.4500000000000002"/>
    <n v="761192300"/>
    <n v="97840042000"/>
    <n v="39731221000"/>
    <n v="268783300"/>
    <n v="6028022000"/>
    <n v="12103022000"/>
    <n v="6000179000"/>
    <n v="54165000000"/>
    <n v="27703020000"/>
    <n v="31572020000"/>
    <n v="0.11899999999999977"/>
    <n v="40761196600"/>
  </r>
  <r>
    <x v="1108"/>
    <s v="912810TV0"/>
    <s v="Bond"/>
    <s v="30-Year"/>
    <n v="4.6500000000000004"/>
    <n v="4.7690000000000001"/>
    <n v="4.59"/>
    <n v="2.2400000000000002"/>
    <n v="456715300"/>
    <n v="53578480000"/>
    <n v="23910420000"/>
    <n v="89597100"/>
    <n v="3625500000"/>
    <n v="6910500000"/>
    <n v="5912940000"/>
    <n v="31037000000"/>
    <n v="14371980000"/>
    <n v="15630980000"/>
    <n v="0.17900000000000027"/>
    <n v="24456732400"/>
  </r>
  <r>
    <x v="1109"/>
    <s v="912810TW8"/>
    <s v="Bond"/>
    <s v="20-Year"/>
    <n v="4.7300000000000004"/>
    <n v="4.78"/>
    <n v="4.68"/>
    <n v="2.58"/>
    <n v="184294600"/>
    <n v="41045201300"/>
    <n v="15831222900"/>
    <n v="168798900"/>
    <n v="2614007000"/>
    <n v="5093007000"/>
    <n v="1505021800"/>
    <n v="21499000000"/>
    <n v="11712194100"/>
    <n v="14453194300"/>
    <n v="0.10000000000000053"/>
    <n v="16184316400"/>
  </r>
  <r>
    <x v="1110"/>
    <s v="91282CJN2"/>
    <s v="Note"/>
    <s v="5-Year"/>
    <n v="4.3650000000000002"/>
    <n v="4.42"/>
    <n v="4.3099999999999996"/>
    <n v="2.46"/>
    <n v="633512900"/>
    <n v="135253890000"/>
    <n v="54800530300"/>
    <n v="199475300"/>
    <n v="9663000000"/>
    <n v="17703000000"/>
    <n v="9233264500"/>
    <n v="75342000000"/>
    <n v="35904265800"/>
    <n v="42208890000"/>
    <n v="0.11000000000000032"/>
    <n v="55633518500"/>
  </r>
  <r>
    <x v="1110"/>
    <s v="91282CJL6"/>
    <s v="Note"/>
    <s v="2-Year"/>
    <n v="4.83"/>
    <n v="4.8869999999999996"/>
    <n v="4.7880000000000003"/>
    <n v="2.54"/>
    <n v="621994500"/>
    <n v="136241380000"/>
    <n v="53293742500"/>
    <n v="706295900"/>
    <n v="12714000000"/>
    <n v="19564000000"/>
    <n v="9998362500"/>
    <n v="72822000000"/>
    <n v="30581380000"/>
    <n v="43855380000"/>
    <n v="9.8999999999999311E-2"/>
    <n v="54622032900"/>
  </r>
  <r>
    <x v="1111"/>
    <s v="91282CJM4"/>
    <s v="Note"/>
    <s v="7-Year"/>
    <n v="4.319"/>
    <n v="4.399"/>
    <n v="4.26"/>
    <n v="2.44"/>
    <n v="449218100"/>
    <n v="94903850000"/>
    <n v="38648325000"/>
    <n v="351689600"/>
    <n v="6125300000"/>
    <n v="11200300000"/>
    <n v="7842475000"/>
    <n v="55665000000"/>
    <n v="24680550000"/>
    <n v="28038550000"/>
    <n v="0.13900000000000023"/>
    <n v="39449232700"/>
  </r>
  <r>
    <x v="1112"/>
    <s v="91282CJJ1"/>
    <s v="Note"/>
    <s v="9-Year 11-Month"/>
    <n v="4.2240000000000002"/>
    <n v="4.2960000000000003"/>
    <n v="4.1500000000000004"/>
    <n v="2.5299999999999998"/>
    <n v="0"/>
    <n v="93488258000"/>
    <n v="36888008000"/>
    <n v="112015400"/>
    <n v="6961000000"/>
    <n v="11836000000"/>
    <n v="6383000000"/>
    <n v="54635000000"/>
    <n v="23544008000"/>
    <n v="27017258000"/>
    <n v="0.14599999999999991"/>
    <n v="37000023400"/>
  </r>
  <r>
    <x v="1112"/>
    <s v="91282CJP7"/>
    <s v="Note"/>
    <s v="3-Year"/>
    <n v="4.43"/>
    <n v="4.49"/>
    <n v="4.3600000000000003"/>
    <n v="2.42"/>
    <n v="0"/>
    <n v="120351910000"/>
    <n v="49555200000"/>
    <n v="244868500"/>
    <n v="10747000000"/>
    <n v="17222000000"/>
    <n v="13002290000"/>
    <n v="69508000000"/>
    <n v="25805910000"/>
    <n v="33621910000"/>
    <n v="0.12999999999999989"/>
    <n v="49800068500"/>
  </r>
  <r>
    <x v="1113"/>
    <s v="912810TV0"/>
    <s v="Bond"/>
    <s v="29-Year 11-Month"/>
    <n v="4.28"/>
    <n v="4.3440000000000003"/>
    <n v="4.2300000000000004"/>
    <n v="2.4300000000000002"/>
    <n v="0"/>
    <n v="50944732000"/>
    <n v="20933494500"/>
    <n v="66507500"/>
    <n v="3621800000"/>
    <n v="6565300000"/>
    <n v="2978000000"/>
    <n v="27871000000"/>
    <n v="14333694500"/>
    <n v="16508432000"/>
    <n v="0.11399999999999988"/>
    <n v="21000002000"/>
  </r>
  <r>
    <x v="1114"/>
    <s v="912810TW8"/>
    <s v="Bond"/>
    <s v="19-Year 11-Month"/>
    <n v="4.1470000000000002"/>
    <n v="4.2130000000000001"/>
    <n v="4.09"/>
    <n v="2.5499999999999998"/>
    <n v="0"/>
    <n v="33021302000"/>
    <n v="12908193900"/>
    <n v="91839100"/>
    <n v="2673000000"/>
    <n v="4295000000"/>
    <n v="1663508000"/>
    <n v="17976500000"/>
    <n v="8571685900"/>
    <n v="10749802000"/>
    <n v="0.12300000000000022"/>
    <n v="13000033000"/>
  </r>
  <r>
    <x v="1115"/>
    <s v="91282CJS1"/>
    <s v="Note"/>
    <s v="2-Year"/>
    <n v="4.2699999999999996"/>
    <n v="4.3140000000000001"/>
    <n v="4.2"/>
    <n v="2.68"/>
    <n v="0"/>
    <n v="151955740000"/>
    <n v="56279769100"/>
    <n v="570289000"/>
    <n v="10981029100"/>
    <n v="19329000000"/>
    <n v="10487000000"/>
    <n v="79028000000"/>
    <n v="34811740000"/>
    <n v="53598740000"/>
    <n v="0.11399999999999988"/>
    <n v="56850058100"/>
  </r>
  <r>
    <x v="1116"/>
    <s v="91282CJR3"/>
    <s v="Note"/>
    <s v="5-Year"/>
    <n v="3.75"/>
    <n v="3.8010000000000002"/>
    <n v="3.415"/>
    <n v="2.5"/>
    <n v="0"/>
    <n v="144857438600"/>
    <n v="57821997000"/>
    <n v="178024100"/>
    <n v="8880942000"/>
    <n v="18089000000"/>
    <n v="8121000000"/>
    <n v="76641000000"/>
    <n v="40820055000"/>
    <n v="50127438600"/>
    <n v="0.38600000000000012"/>
    <n v="58000021100"/>
  </r>
  <r>
    <x v="1117"/>
    <s v="91282CJQ5"/>
    <s v="Note"/>
    <s v="7-Year"/>
    <n v="3.7829999999999999"/>
    <n v="3.859"/>
    <n v="3.5"/>
    <n v="2.5"/>
    <n v="0"/>
    <n v="99659275000"/>
    <n v="39744046800"/>
    <n v="255973200"/>
    <n v="7700236800"/>
    <n v="12608000000"/>
    <n v="6723212500"/>
    <n v="57519000000"/>
    <n v="25320597500"/>
    <n v="29532275000"/>
    <n v="0.35899999999999999"/>
    <n v="40000020000"/>
  </r>
  <r>
    <x v="1118"/>
    <s v="91282CJT9"/>
    <s v="Note"/>
    <s v="3-Year"/>
    <n v="4.0650000000000004"/>
    <n v="4.1050000000000004"/>
    <n v="3.95"/>
    <n v="2.67"/>
    <n v="0"/>
    <n v="138580060000"/>
    <n v="51612844900"/>
    <n v="267211900"/>
    <n v="8692800200"/>
    <n v="17807000000"/>
    <n v="9212502500"/>
    <n v="77457000000"/>
    <n v="33707542200"/>
    <n v="43316060000"/>
    <n v="0.15500000000000025"/>
    <n v="51880056800"/>
  </r>
  <r>
    <x v="1119"/>
    <s v="91282CJJ1"/>
    <s v="Note"/>
    <s v="9-Year 10-Month"/>
    <n v="3.9569999999999999"/>
    <n v="4.024"/>
    <n v="3.9"/>
    <n v="2.56"/>
    <n v="0"/>
    <n v="94794058000"/>
    <n v="36919215500"/>
    <n v="80795700"/>
    <n v="6918000000"/>
    <n v="11793000000"/>
    <n v="5593157500"/>
    <n v="54686000000"/>
    <n v="24408058000"/>
    <n v="28315058000"/>
    <n v="0.12400000000000011"/>
    <n v="37000011200"/>
  </r>
  <r>
    <x v="1120"/>
    <s v="912810TV0"/>
    <s v="Bond"/>
    <s v="29-Year 10-Month"/>
    <n v="4.16"/>
    <n v="4.2290000000000001"/>
    <n v="3.88"/>
    <n v="2.37"/>
    <n v="0"/>
    <n v="49682325000"/>
    <n v="20966180200"/>
    <n v="33826100"/>
    <n v="3712937200"/>
    <n v="6777200000"/>
    <n v="3044118000"/>
    <n v="26898000000"/>
    <n v="14209125000"/>
    <n v="16007125000"/>
    <n v="0.3490000000000002"/>
    <n v="21000006300"/>
  </r>
  <r>
    <x v="1121"/>
    <s v="912810TW8"/>
    <s v="Bond"/>
    <s v="19-Year 10-Month"/>
    <n v="4.3600000000000003"/>
    <n v="4.423"/>
    <n v="4.3"/>
    <n v="2.5299999999999998"/>
    <n v="0"/>
    <n v="32837821000"/>
    <n v="12936321300"/>
    <n v="63689400"/>
    <n v="2653000000"/>
    <n v="4563000000"/>
    <n v="2242000300"/>
    <n v="18347000000"/>
    <n v="8041321000"/>
    <n v="9927821000"/>
    <n v="0.12300000000000022"/>
    <n v="13000010700"/>
  </r>
  <r>
    <x v="1122"/>
    <s v="91282CJV4"/>
    <s v="Note"/>
    <s v="2-Year"/>
    <n v="4.3099999999999996"/>
    <n v="4.3650000000000002"/>
    <n v="4.25"/>
    <n v="2.57"/>
    <n v="0"/>
    <n v="153693045000"/>
    <n v="59460369400"/>
    <n v="539693200"/>
    <n v="11815074400"/>
    <n v="20199000000"/>
    <n v="8817250000"/>
    <n v="80714000000"/>
    <n v="38828045000"/>
    <n v="52780045000"/>
    <n v="0.11500000000000021"/>
    <n v="60000062600"/>
  </r>
  <r>
    <x v="1123"/>
    <s v="91282CJW2"/>
    <s v="Note"/>
    <s v="5-Year"/>
    <n v="3.9790000000000001"/>
    <n v="4.0549999999999997"/>
    <n v="3.9"/>
    <n v="2.31"/>
    <n v="0"/>
    <n v="141001090000"/>
    <n v="60832652500"/>
    <n v="167411100"/>
    <n v="11368500000"/>
    <n v="18519000000"/>
    <n v="12394062500"/>
    <n v="80166000000"/>
    <n v="37070090000"/>
    <n v="42316090000"/>
    <n v="0.1549999999999998"/>
    <n v="61000063600"/>
  </r>
  <r>
    <x v="1124"/>
    <s v="91282CJX0"/>
    <s v="Note"/>
    <s v="7-Year"/>
    <n v="4.0529999999999999"/>
    <n v="4.109"/>
    <n v="3.99"/>
    <n v="2.57"/>
    <n v="0"/>
    <n v="105383685000"/>
    <n v="40839822000"/>
    <n v="160219100"/>
    <n v="6944100000"/>
    <n v="13380100000"/>
    <n v="5692350000"/>
    <n v="57165000000"/>
    <n v="28203372000"/>
    <n v="34838585000"/>
    <n v="0.11899999999999977"/>
    <n v="41000041100"/>
  </r>
  <r>
    <x v="1125"/>
    <s v="91282CKA8"/>
    <s v="Note"/>
    <s v="3-Year"/>
    <n v="4.13"/>
    <n v="4.1689999999999996"/>
    <n v="4.0880000000000001"/>
    <n v="2.58"/>
    <n v="3993698700"/>
    <n v="138995920000"/>
    <n v="53644646000"/>
    <n v="280376200"/>
    <n v="9836976000"/>
    <n v="18723000000"/>
    <n v="8428000000"/>
    <n v="74643000000"/>
    <n v="35379670000"/>
    <n v="45629920000"/>
    <n v="8.0999999999999517E-2"/>
    <n v="57918720900"/>
  </r>
  <r>
    <x v="1126"/>
    <s v="91282CJZ5"/>
    <s v="Note"/>
    <s v="10-Year"/>
    <n v="4.0369999999999999"/>
    <n v="4.093"/>
    <n v="3.98"/>
    <n v="2.56"/>
    <n v="3106210100"/>
    <n v="107217720000"/>
    <n v="41818857500"/>
    <n v="181194400"/>
    <n v="6712161500"/>
    <n v="13103000000"/>
    <n v="5429656000"/>
    <n v="58912800000"/>
    <n v="29677040000"/>
    <n v="35201920000"/>
    <n v="0.11299999999999999"/>
    <n v="45106262000"/>
  </r>
  <r>
    <x v="1127"/>
    <s v="912810TX6"/>
    <s v="Bond"/>
    <s v="30-Year"/>
    <n v="4.3140000000000001"/>
    <n v="4.3600000000000003"/>
    <n v="4.25"/>
    <n v="2.4"/>
    <n v="1848934600"/>
    <n v="59964889000"/>
    <n v="24949794000"/>
    <n v="50220200"/>
    <n v="3616300000"/>
    <n v="7391300000"/>
    <n v="3695172500"/>
    <n v="32417200000"/>
    <n v="17638321500"/>
    <n v="20156389000"/>
    <n v="0.11000000000000032"/>
    <n v="26848948800"/>
  </r>
  <r>
    <x v="1128"/>
    <s v="912810TZ1"/>
    <s v="Bond"/>
    <s v="20-Year"/>
    <n v="4.51"/>
    <n v="4.5949999999999998"/>
    <n v="4.4400000000000004"/>
    <n v="2.39"/>
    <n v="692217100"/>
    <n v="38155845000"/>
    <n v="15846278100"/>
    <n v="153759000"/>
    <n v="3123282500"/>
    <n v="5268000000"/>
    <n v="3360588800"/>
    <n v="22115200000"/>
    <n v="9362406800"/>
    <n v="10772645000"/>
    <n v="0.15499999999999936"/>
    <n v="16692254200"/>
  </r>
  <r>
    <x v="1129"/>
    <s v="91282CKD2"/>
    <s v="Note"/>
    <s v="5-Year"/>
    <n v="4.2480000000000002"/>
    <n v="4.32"/>
    <n v="4.16"/>
    <n v="2.41"/>
    <n v="2768868800"/>
    <n v="154266555000"/>
    <n v="63803007500"/>
    <n v="197040300"/>
    <n v="12541000000"/>
    <n v="21031000000"/>
    <n v="10729452500"/>
    <n v="85734000000"/>
    <n v="40532555000"/>
    <n v="47501555000"/>
    <n v="0.16000000000000014"/>
    <n v="66768916600"/>
  </r>
  <r>
    <x v="1129"/>
    <s v="91282CKB6"/>
    <s v="Note"/>
    <s v="2-Year"/>
    <n v="4.6399999999999997"/>
    <n v="4.6909999999999998"/>
    <n v="4.55"/>
    <n v="2.4900000000000002"/>
    <n v="2725605200"/>
    <n v="156343820000"/>
    <n v="62359886100"/>
    <n v="640224300"/>
    <n v="12538119100"/>
    <n v="21220000000"/>
    <n v="9188000000"/>
    <n v="81694000000"/>
    <n v="40633767000"/>
    <n v="53429820000"/>
    <n v="0.14100000000000001"/>
    <n v="65725715600"/>
  </r>
  <r>
    <x v="1130"/>
    <s v="91282CKC4"/>
    <s v="Note"/>
    <s v="7-Year"/>
    <n v="4.2699999999999996"/>
    <n v="4.327"/>
    <n v="4.2169999999999996"/>
    <n v="2.58"/>
    <n v="1817070100"/>
    <n v="108077285000"/>
    <n v="41845698900"/>
    <n v="154341700"/>
    <n v="6206400000"/>
    <n v="13306400000"/>
    <n v="6527210000"/>
    <n v="60136400000"/>
    <n v="29112088900"/>
    <n v="34634485000"/>
    <n v="0.11000000000000032"/>
    <n v="43817110700"/>
  </r>
  <r>
    <x v="1131"/>
    <s v="91282CKE0"/>
    <s v="Note"/>
    <s v="3-Year"/>
    <n v="4.2069999999999999"/>
    <n v="4.2560000000000002"/>
    <n v="4.1500000000000004"/>
    <n v="2.6"/>
    <n v="0"/>
    <n v="145601615000"/>
    <n v="55785211300"/>
    <n v="214807300"/>
    <n v="8677596300"/>
    <n v="19842000000"/>
    <n v="8032000000"/>
    <n v="76767000000"/>
    <n v="39075615000"/>
    <n v="48992615000"/>
    <n v="0.10599999999999987"/>
    <n v="56000018600"/>
  </r>
  <r>
    <x v="1132"/>
    <s v="91282CJZ5"/>
    <s v="Note"/>
    <s v="9-Year 11-Month"/>
    <n v="4.0999999999999996"/>
    <n v="4.1660000000000004"/>
    <n v="4.03"/>
    <n v="2.5099999999999998"/>
    <n v="0"/>
    <n v="97898385000"/>
    <n v="38924270200"/>
    <n v="75734200"/>
    <n v="7258000000"/>
    <n v="12663000000"/>
    <n v="6641885200"/>
    <n v="56195000000"/>
    <n v="25024385000"/>
    <n v="29040385000"/>
    <n v="0.13600000000000012"/>
    <n v="39000004400"/>
  </r>
  <r>
    <x v="1133"/>
    <s v="912810TX6"/>
    <s v="Bond"/>
    <s v="29-Year 11-Month"/>
    <n v="4.2830000000000004"/>
    <n v="4.3310000000000004"/>
    <n v="4.2300000000000004"/>
    <n v="2.4700000000000002"/>
    <n v="0"/>
    <n v="54359520000"/>
    <n v="21970196800"/>
    <n v="29833700"/>
    <n v="3685400000"/>
    <n v="7251400000"/>
    <n v="3061000000"/>
    <n v="28687000000"/>
    <n v="15223796800"/>
    <n v="18421120000"/>
    <n v="0.10099999999999998"/>
    <n v="22000030500"/>
  </r>
  <r>
    <x v="1134"/>
    <s v="912810TZ1"/>
    <s v="Bond"/>
    <s v="19-Year 11-Month"/>
    <n v="4.4989999999999997"/>
    <n v="4.5419999999999998"/>
    <n v="3.88"/>
    <n v="2.79"/>
    <n v="0"/>
    <n v="36124445000"/>
    <n v="12917060000"/>
    <n v="82964800"/>
    <n v="2216658000"/>
    <n v="4749000000"/>
    <n v="1207300000"/>
    <n v="17989300000"/>
    <n v="9493102000"/>
    <n v="13386145000"/>
    <n v="0.66199999999999992"/>
    <n v="13000024800"/>
  </r>
  <r>
    <x v="1135"/>
    <s v="91282CKH3"/>
    <s v="Note"/>
    <s v="2-Year"/>
    <n v="4.54"/>
    <n v="4.5949999999999998"/>
    <n v="4.47"/>
    <n v="2.62"/>
    <n v="0"/>
    <n v="172161335000"/>
    <n v="65275794600"/>
    <n v="624234100"/>
    <n v="13627000000"/>
    <n v="22577000000"/>
    <n v="8721963600"/>
    <n v="91390000000"/>
    <n v="42926831000"/>
    <n v="58194335000"/>
    <n v="0.125"/>
    <n v="65900028700"/>
  </r>
  <r>
    <x v="1136"/>
    <s v="91282CKG5"/>
    <s v="Note"/>
    <s v="5-Year"/>
    <n v="4.1879999999999997"/>
    <n v="4.2350000000000003"/>
    <n v="4.1100000000000003"/>
    <n v="2.41"/>
    <n v="0"/>
    <n v="161351345000"/>
    <n v="66825255100"/>
    <n v="174794600"/>
    <n v="11236606100"/>
    <n v="21665000000"/>
    <n v="8508056000"/>
    <n v="84620000000"/>
    <n v="47080593000"/>
    <n v="55066345000"/>
    <n v="0.125"/>
    <n v="67000049700"/>
  </r>
  <r>
    <x v="1137"/>
    <s v="91282CKF7"/>
    <s v="Note"/>
    <s v="7-Year"/>
    <n v="4.1349999999999998"/>
    <n v="4.1849999999999996"/>
    <n v="4.07"/>
    <n v="2.61"/>
    <n v="0"/>
    <n v="112285445000"/>
    <n v="42879032000"/>
    <n v="120968600"/>
    <n v="7465300000"/>
    <n v="15290300000"/>
    <n v="5514197000"/>
    <n v="59465400000"/>
    <n v="29899535000"/>
    <n v="37529745000"/>
    <n v="0.11499999999999932"/>
    <n v="43000000600"/>
  </r>
  <r>
    <x v="1138"/>
    <s v="91282CKJ9"/>
    <s v="Note"/>
    <s v="3-Year"/>
    <n v="4.4889999999999999"/>
    <n v="4.548"/>
    <n v="4.43"/>
    <n v="2.5"/>
    <n v="956525500"/>
    <n v="144583805000"/>
    <n v="57734532500"/>
    <n v="260480700"/>
    <n v="11793000000"/>
    <n v="19793000000"/>
    <n v="11148727500"/>
    <n v="82258000000"/>
    <n v="34792805000"/>
    <n v="42532805000"/>
    <n v="0.11800000000000033"/>
    <n v="58951538700"/>
  </r>
  <r>
    <x v="1139"/>
    <s v="91282CJZ5"/>
    <s v="Note"/>
    <s v="9-Year 10-Month"/>
    <n v="4.4649999999999999"/>
    <n v="4.5599999999999996"/>
    <n v="4.4000000000000004"/>
    <n v="2.34"/>
    <n v="643180900"/>
    <n v="91022068000"/>
    <n v="38916968000"/>
    <n v="83129500"/>
    <n v="5540000000"/>
    <n v="11290000000"/>
    <n v="9322650000"/>
    <n v="52929400000"/>
    <n v="24054318000"/>
    <n v="26802668000"/>
    <n v="0.15999999999999925"/>
    <n v="39643278400"/>
  </r>
  <r>
    <x v="1140"/>
    <s v="912810TX6"/>
    <s v="Bond"/>
    <s v="29-Year 10-Month"/>
    <n v="4.6079999999999997"/>
    <n v="4.6710000000000003"/>
    <n v="4.5599999999999996"/>
    <n v="2.37"/>
    <n v="362819900"/>
    <n v="52049250000"/>
    <n v="21977492400"/>
    <n v="22514600"/>
    <n v="4016900000"/>
    <n v="7106900000"/>
    <n v="3810907900"/>
    <n v="28632400000"/>
    <n v="14149684500"/>
    <n v="16309950000"/>
    <n v="0.11100000000000065"/>
    <n v="22362826900"/>
  </r>
  <r>
    <x v="1141"/>
    <s v="912810TZ1"/>
    <s v="Bond"/>
    <s v="19-Year 10-Month"/>
    <n v="4.7699999999999996"/>
    <n v="4.8179999999999996"/>
    <n v="4.7300000000000004"/>
    <n v="2.82"/>
    <n v="61959200"/>
    <n v="36575960000"/>
    <n v="12921538600"/>
    <n v="78479200"/>
    <n v="2094344100"/>
    <n v="5042000000"/>
    <n v="1173948000"/>
    <n v="17918500000"/>
    <n v="9653246500"/>
    <n v="13615460000"/>
    <n v="8.799999999999919E-2"/>
    <n v="13061977000"/>
  </r>
  <r>
    <x v="1142"/>
    <s v="91282CKK6"/>
    <s v="Note"/>
    <s v="2-Year"/>
    <n v="4.8499999999999996"/>
    <n v="4.8979999999999997"/>
    <n v="4.8"/>
    <n v="2.66"/>
    <n v="328860900"/>
    <n v="182416791000"/>
    <n v="67967911000"/>
    <n v="1032098300"/>
    <n v="12709500000"/>
    <n v="22906000000"/>
    <n v="10252620000"/>
    <n v="94527000000"/>
    <n v="45005791000"/>
    <n v="64983791000"/>
    <n v="9.7999999999999865E-2"/>
    <n v="69328870200"/>
  </r>
  <r>
    <x v="1143"/>
    <s v="91282CKP5"/>
    <s v="Note"/>
    <s v="5-Year"/>
    <n v="4.5910000000000002"/>
    <n v="4.6589999999999998"/>
    <n v="4.55"/>
    <n v="2.39"/>
    <n v="333627000"/>
    <n v="166830270000"/>
    <n v="69773519500"/>
    <n v="223501200"/>
    <n v="13426000000"/>
    <n v="22876000000"/>
    <n v="10476530000"/>
    <n v="89819600000"/>
    <n v="45870989500"/>
    <n v="54134670000"/>
    <n v="0.10899999999999999"/>
    <n v="70330647700"/>
  </r>
  <r>
    <x v="1144"/>
    <s v="91282CKN0"/>
    <s v="Note"/>
    <s v="7-Year"/>
    <n v="4.6609999999999996"/>
    <n v="4.7160000000000002"/>
    <n v="4.6100000000000003"/>
    <n v="2.48"/>
    <n v="209708300"/>
    <n v="109052308000"/>
    <n v="43893603000"/>
    <n v="106404200"/>
    <n v="9212500000"/>
    <n v="15688500000"/>
    <n v="6102095000"/>
    <n v="59108800000"/>
    <n v="28579008000"/>
    <n v="34255008000"/>
    <n v="0.10599999999999987"/>
    <n v="44209715500"/>
  </r>
  <r>
    <x v="1145"/>
    <s v="91282CKR1"/>
    <s v="Note"/>
    <s v="3-Year"/>
    <n v="4.55"/>
    <n v="4.6050000000000004"/>
    <n v="4.5"/>
    <n v="2.63"/>
    <n v="7290018100"/>
    <n v="152336134000"/>
    <n v="57695955800"/>
    <n v="299235900"/>
    <n v="11311061800"/>
    <n v="19893000000"/>
    <n v="8580670000"/>
    <n v="83977000000"/>
    <n v="37804224000"/>
    <n v="48466134000"/>
    <n v="0.10500000000000043"/>
    <n v="65285209800"/>
  </r>
  <r>
    <x v="1146"/>
    <s v="91282CKQ3"/>
    <s v="Note"/>
    <s v="10-Year"/>
    <n v="4.4219999999999997"/>
    <n v="4.4829999999999997"/>
    <n v="4.37"/>
    <n v="2.4900000000000002"/>
    <n v="5278978600"/>
    <n v="104234180000"/>
    <n v="41835384000"/>
    <n v="164622200"/>
    <n v="7842000000"/>
    <n v="13677000000"/>
    <n v="6581536000"/>
    <n v="59860000000"/>
    <n v="27411848000"/>
    <n v="30697180000"/>
    <n v="0.11299999999999955"/>
    <n v="47278984800"/>
  </r>
  <r>
    <x v="1147"/>
    <s v="912810UA4"/>
    <s v="Bond"/>
    <s v="30-Year"/>
    <n v="4.585"/>
    <n v="4.6349999999999998"/>
    <n v="4.54"/>
    <n v="2.41"/>
    <n v="3142249100"/>
    <n v="60188346100"/>
    <n v="24970545000"/>
    <n v="29455800"/>
    <n v="4939600000"/>
    <n v="8677600000"/>
    <n v="3834450000"/>
    <n v="31521400000"/>
    <n v="16196495000"/>
    <n v="19989346100"/>
    <n v="9.4999999999999751E-2"/>
    <n v="28142249900"/>
  </r>
  <r>
    <x v="1148"/>
    <s v="912810UB2"/>
    <s v="Bond"/>
    <s v="20-Year"/>
    <n v="4.58"/>
    <n v="4.6349999999999998"/>
    <n v="4.54"/>
    <n v="2.5099999999999998"/>
    <n v="949882800"/>
    <n v="40134310000"/>
    <n v="15916122000"/>
    <n v="83899600"/>
    <n v="3052000000"/>
    <n v="5632000000"/>
    <n v="1601790000"/>
    <n v="21223700000"/>
    <n v="11262332000"/>
    <n v="13278610000"/>
    <n v="9.4999999999999751E-2"/>
    <n v="16949904400"/>
  </r>
  <r>
    <x v="1149"/>
    <s v="91282CKT7"/>
    <s v="Note"/>
    <s v="5-Year"/>
    <n v="4.4800000000000004"/>
    <n v="4.5529999999999999"/>
    <n v="4.38"/>
    <n v="2.2999999999999998"/>
    <n v="4155737600"/>
    <n v="160504455000"/>
    <n v="69825542200"/>
    <n v="174484200"/>
    <n v="10783000000"/>
    <n v="20233000000"/>
    <n v="13630580000"/>
    <n v="89858200000"/>
    <n v="45411962200"/>
    <n v="50413255000"/>
    <n v="0.17300000000000004"/>
    <n v="74155764000"/>
  </r>
  <r>
    <x v="1149"/>
    <s v="91282CKS9"/>
    <s v="Note"/>
    <s v="2-Year"/>
    <n v="4.8499999999999996"/>
    <n v="4.9169999999999998"/>
    <n v="4.74"/>
    <n v="2.41"/>
    <n v="4096369900"/>
    <n v="165295145000"/>
    <n v="68286045000"/>
    <n v="710972800"/>
    <n v="17426000000"/>
    <n v="26651000000"/>
    <n v="11317900000"/>
    <n v="88198000000"/>
    <n v="39542145000"/>
    <n v="50446145000"/>
    <n v="0.1769999999999996"/>
    <n v="73093387700"/>
  </r>
  <r>
    <x v="1150"/>
    <s v="91282CKU4"/>
    <s v="Note"/>
    <s v="7-Year"/>
    <n v="4.59"/>
    <n v="4.6500000000000004"/>
    <n v="4.5199999999999996"/>
    <n v="2.4300000000000002"/>
    <n v="2612177800"/>
    <n v="106686840000"/>
    <n v="43882727000"/>
    <n v="117335600"/>
    <n v="7077000000"/>
    <n v="13527000000"/>
    <n v="7458975000"/>
    <n v="58899000000"/>
    <n v="29346752000"/>
    <n v="34260840000"/>
    <n v="0.13000000000000078"/>
    <n v="46612240400"/>
  </r>
  <r>
    <x v="1151"/>
    <s v="91282CKV2"/>
    <s v="Note"/>
    <s v="3-Year"/>
    <n v="4.59"/>
    <n v="4.6589999999999998"/>
    <n v="4.5"/>
    <n v="2.4300000000000002"/>
    <n v="1876038700"/>
    <n v="140762030000"/>
    <n v="57646532000"/>
    <n v="203488400"/>
    <n v="9166000000"/>
    <n v="17291000000"/>
    <n v="11506705000"/>
    <n v="77870000000"/>
    <n v="36973827000"/>
    <n v="45601030000"/>
    <n v="0.15899999999999981"/>
    <n v="59726059100"/>
  </r>
  <r>
    <x v="1152"/>
    <s v="91282CKQ3"/>
    <s v="Note"/>
    <s v="9-Year 11-Month"/>
    <n v="4.3739999999999997"/>
    <n v="4.4379999999999997"/>
    <n v="4.3410000000000002"/>
    <n v="2.67"/>
    <n v="1261474200"/>
    <n v="104030125000"/>
    <n v="38918545500"/>
    <n v="81580800"/>
    <n v="5375000000"/>
    <n v="11748900000"/>
    <n v="4509473000"/>
    <n v="54099200000"/>
    <n v="29034072500"/>
    <n v="38182025000"/>
    <n v="9.6999999999999531E-2"/>
    <n v="40261600500"/>
  </r>
  <r>
    <x v="1153"/>
    <s v="912810UA4"/>
    <s v="Bond"/>
    <s v="29-Year 11-Month"/>
    <n v="4.3499999999999996"/>
    <n v="4.4029999999999996"/>
    <n v="3.88"/>
    <n v="2.4900000000000002"/>
    <n v="711600800"/>
    <n v="54649807200"/>
    <n v="21967151800"/>
    <n v="32854000"/>
    <n v="3910900000"/>
    <n v="7491900000"/>
    <n v="3009118500"/>
    <n v="28535600000"/>
    <n v="15047133300"/>
    <n v="18622307200"/>
    <n v="0.52299999999999969"/>
    <n v="22711606600"/>
  </r>
  <r>
    <x v="1154"/>
    <s v="912810UB2"/>
    <s v="Bond"/>
    <s v="19-Year 11-Month"/>
    <n v="4.3949999999999996"/>
    <n v="4.452"/>
    <n v="3.88"/>
    <n v="2.74"/>
    <n v="452682200"/>
    <n v="35516080000"/>
    <n v="12955002200"/>
    <n v="45003000"/>
    <n v="2117500000"/>
    <n v="5019000000"/>
    <n v="747000000"/>
    <n v="17870000000"/>
    <n v="10090502200"/>
    <n v="12627080000"/>
    <n v="0.57200000000000006"/>
    <n v="13452687400"/>
  </r>
  <r>
    <x v="1155"/>
    <s v="91282CKY6"/>
    <s v="Note"/>
    <s v="2-Year"/>
    <n v="4.6580000000000004"/>
    <n v="4.7060000000000004"/>
    <n v="4.5"/>
    <n v="2.75"/>
    <n v="2402698100"/>
    <n v="188859460000"/>
    <n v="68070367100"/>
    <n v="629647400"/>
    <n v="14250437100"/>
    <n v="24232000000"/>
    <n v="9178970000"/>
    <n v="101212000000"/>
    <n v="44640960000"/>
    <n v="63415460000"/>
    <n v="0.20600000000000041"/>
    <n v="71102712600"/>
  </r>
  <r>
    <x v="1156"/>
    <s v="91282CKX8"/>
    <s v="Note"/>
    <s v="5-Year"/>
    <n v="4.2709999999999999"/>
    <n v="4.3310000000000004"/>
    <n v="4.2"/>
    <n v="2.35"/>
    <n v="2437519700"/>
    <n v="164565275000"/>
    <n v="69735289700"/>
    <n v="164722000"/>
    <n v="12343250000"/>
    <n v="19769000000"/>
    <n v="9333000000"/>
    <n v="89303000000"/>
    <n v="48059039700"/>
    <n v="55493275000"/>
    <n v="0.13100000000000023"/>
    <n v="72337531400"/>
  </r>
  <r>
    <x v="1157"/>
    <s v="91282CKW0"/>
    <s v="Note"/>
    <s v="7-Year"/>
    <n v="4.2190000000000003"/>
    <n v="4.2759999999999998"/>
    <n v="4.0999999999999996"/>
    <n v="2.58"/>
    <n v="1532155200"/>
    <n v="113502710000"/>
    <n v="43926227600"/>
    <n v="73807400"/>
    <n v="8115517600"/>
    <n v="15409000000"/>
    <n v="5215000000"/>
    <n v="60802000000"/>
    <n v="30595710000"/>
    <n v="37291710000"/>
    <n v="0.17600000000000016"/>
    <n v="45532190200"/>
  </r>
  <r>
    <x v="1158"/>
    <s v="91282CKZ3"/>
    <s v="Note"/>
    <s v="3-Year"/>
    <n v="4.3499999999999996"/>
    <n v="4.399"/>
    <n v="4.3"/>
    <n v="2.67"/>
    <n v="9423495200"/>
    <n v="154185380000"/>
    <n v="57489880000"/>
    <n v="260128600"/>
    <n v="12220717000"/>
    <n v="22148000000"/>
    <n v="8495000000"/>
    <n v="82789000000"/>
    <n v="36774163000"/>
    <n v="49248380000"/>
    <n v="9.9000000000000199E-2"/>
    <n v="67173503800"/>
  </r>
  <r>
    <x v="1159"/>
    <s v="91282CKQ3"/>
    <s v="Note"/>
    <s v="9-Year 10-Month"/>
    <n v="4.218"/>
    <n v="4.2759999999999998"/>
    <n v="4.1769999999999996"/>
    <n v="2.58"/>
    <n v="6336488000"/>
    <n v="100357965000"/>
    <n v="38932816800"/>
    <n v="67262400"/>
    <n v="8122643400"/>
    <n v="14595000000"/>
    <n v="4489600000"/>
    <n v="53149600000"/>
    <n v="26320573400"/>
    <n v="32613365000"/>
    <n v="9.9000000000000199E-2"/>
    <n v="45336567200"/>
  </r>
  <r>
    <x v="1160"/>
    <s v="912810UA4"/>
    <s v="Bond"/>
    <s v="29-Year 10-Month"/>
    <n v="4.327"/>
    <n v="4.4050000000000002"/>
    <n v="4.25"/>
    <n v="2.2999999999999998"/>
    <n v="3574429100"/>
    <n v="50550710000"/>
    <n v="21966950000"/>
    <n v="33053700"/>
    <n v="5132500000"/>
    <n v="8402500000"/>
    <n v="3487264000"/>
    <n v="27524000000"/>
    <n v="13347186000"/>
    <n v="14624210000"/>
    <n v="0.15500000000000025"/>
    <n v="25574432800"/>
  </r>
  <r>
    <x v="1161"/>
    <s v="912810UB2"/>
    <s v="Bond"/>
    <s v="19-Year 10-Month"/>
    <n v="4.4059999999999997"/>
    <n v="4.4660000000000002"/>
    <n v="3.88"/>
    <n v="2.68"/>
    <n v="716779200"/>
    <n v="34850660000"/>
    <n v="12951445600"/>
    <n v="48564300"/>
    <n v="1855000000"/>
    <n v="3880000000"/>
    <n v="1097560000"/>
    <n v="18610000000"/>
    <n v="9998885600"/>
    <n v="12360660000"/>
    <n v="0.5860000000000003"/>
    <n v="13716789100"/>
  </r>
  <r>
    <x v="1162"/>
    <s v="91282CLB5"/>
    <s v="Note"/>
    <s v="2-Year"/>
    <n v="4.3929999999999998"/>
    <n v="4.4340000000000002"/>
    <n v="4"/>
    <n v="2.81"/>
    <n v="3804443800"/>
    <n v="193383375000"/>
    <n v="68226981000"/>
    <n v="673101300"/>
    <n v="9838656000"/>
    <n v="23356000000"/>
    <n v="6149000000"/>
    <n v="95025000000"/>
    <n v="52239325000"/>
    <n v="75002375000"/>
    <n v="0.43400000000000016"/>
    <n v="72704526100"/>
  </r>
  <r>
    <x v="1163"/>
    <s v="91282CLC3"/>
    <s v="Note"/>
    <s v="5-Year"/>
    <n v="4.05"/>
    <n v="4.1210000000000004"/>
    <n v="3.98"/>
    <n v="2.4"/>
    <n v="3859580700"/>
    <n v="167766191000"/>
    <n v="69796241000"/>
    <n v="199781000"/>
    <n v="13108280000"/>
    <n v="22667000000"/>
    <n v="9750770000"/>
    <n v="89151000000"/>
    <n v="46937191000"/>
    <n v="55948191000"/>
    <n v="0.14100000000000046"/>
    <n v="73855602700"/>
  </r>
  <r>
    <x v="1164"/>
    <s v="91282CLD1"/>
    <s v="Note"/>
    <s v="7-Year"/>
    <n v="4.1109999999999998"/>
    <n v="4.1619999999999999"/>
    <n v="4.04"/>
    <n v="2.64"/>
    <n v="2426022000"/>
    <n v="115963095000"/>
    <n v="43919495000"/>
    <n v="80597700"/>
    <n v="7359000000"/>
    <n v="15467500000"/>
    <n v="3895000000"/>
    <n v="59824000000"/>
    <n v="32665495000"/>
    <n v="40671595000"/>
    <n v="0.12199999999999989"/>
    <n v="46426114700"/>
  </r>
  <r>
    <x v="1165"/>
    <s v="91282CLG4"/>
    <s v="Note"/>
    <s v="3-Year"/>
    <n v="3.75"/>
    <n v="3.81"/>
    <n v="2.88"/>
    <n v="2.5499999999999998"/>
    <n v="11030168500"/>
    <n v="147718145000"/>
    <n v="57745565000"/>
    <n v="254449200"/>
    <n v="11696120000"/>
    <n v="20279000000"/>
    <n v="8866300000"/>
    <n v="82526000000"/>
    <n v="37183145000"/>
    <n v="44913145000"/>
    <n v="0.93000000000000016"/>
    <n v="69030182700"/>
  </r>
  <r>
    <x v="1166"/>
    <s v="91282CLF6"/>
    <s v="Note"/>
    <s v="10-Year"/>
    <n v="3.8879999999999999"/>
    <n v="3.96"/>
    <n v="3.6"/>
    <n v="2.3199999999999998"/>
    <n v="7987363300"/>
    <n v="97178090000"/>
    <n v="41874806900"/>
    <n v="125246000"/>
    <n v="6680000000"/>
    <n v="12305000000"/>
    <n v="7486140000"/>
    <n v="54904700000"/>
    <n v="27708666900"/>
    <n v="29968390000"/>
    <n v="0.35999999999999988"/>
    <n v="49987416200"/>
  </r>
  <r>
    <x v="1167"/>
    <s v="912810UC0"/>
    <s v="Bond"/>
    <s v="30-Year"/>
    <n v="4.2249999999999996"/>
    <n v="4.3140000000000001"/>
    <n v="3.88"/>
    <n v="2.31"/>
    <n v="4754382900"/>
    <n v="57566824000"/>
    <n v="24941455500"/>
    <n v="58574600"/>
    <n v="3865900000"/>
    <n v="7495900000"/>
    <n v="4784470000"/>
    <n v="32199000000"/>
    <n v="16291085500"/>
    <n v="17871924000"/>
    <n v="0.43400000000000016"/>
    <n v="29754413000"/>
  </r>
  <r>
    <x v="1168"/>
    <s v="912810UD8"/>
    <s v="Bond"/>
    <s v="20-Year"/>
    <n v="4.0949999999999998"/>
    <n v="4.16"/>
    <n v="2.8879999999999999"/>
    <n v="2.54"/>
    <n v="1272233600"/>
    <n v="40599792000"/>
    <n v="15914882500"/>
    <n v="85124900"/>
    <n v="3067000000"/>
    <n v="5597000000"/>
    <n v="1547625300"/>
    <n v="21614000000"/>
    <n v="11300257200"/>
    <n v="13388792000"/>
    <n v="1.2720000000000002"/>
    <n v="17272241000"/>
  </r>
  <r>
    <x v="1169"/>
    <s v="91282CLH2"/>
    <s v="Note"/>
    <s v="2-Year"/>
    <n v="3.83"/>
    <n v="3.8740000000000001"/>
    <n v="3.5"/>
    <n v="2.68"/>
    <n v="5486507400"/>
    <n v="183910782000"/>
    <n v="68120579300"/>
    <n v="624429400"/>
    <n v="13016500000"/>
    <n v="23263000000"/>
    <n v="8129000000"/>
    <n v="94522000000"/>
    <n v="46975079300"/>
    <n v="66125782000"/>
    <n v="0.37400000000000011"/>
    <n v="74231516100"/>
  </r>
  <r>
    <x v="1170"/>
    <s v="91282CLK5"/>
    <s v="Note"/>
    <s v="5-Year"/>
    <n v="3.59"/>
    <n v="3.645"/>
    <n v="2.6179999999999999"/>
    <n v="2.41"/>
    <n v="5566022000"/>
    <n v="168501125000"/>
    <n v="69728450200"/>
    <n v="166608400"/>
    <n v="11356213700"/>
    <n v="21145000000"/>
    <n v="9184900000"/>
    <n v="89672000000"/>
    <n v="49187336500"/>
    <n v="57684125000"/>
    <n v="1.0270000000000001"/>
    <n v="75461080600"/>
  </r>
  <r>
    <x v="1171"/>
    <s v="91282CLJ8"/>
    <s v="Note"/>
    <s v="7-Year"/>
    <n v="3.71"/>
    <n v="3.77"/>
    <n v="3.65"/>
    <n v="2.5"/>
    <n v="3498642400"/>
    <n v="109823735000"/>
    <n v="43819369000"/>
    <n v="80666300"/>
    <n v="4903085000"/>
    <n v="11000400000"/>
    <n v="6012587500"/>
    <n v="59563000000"/>
    <n v="32903696500"/>
    <n v="39260335000"/>
    <n v="0.12000000000000011"/>
    <n v="47398677700"/>
  </r>
  <r>
    <x v="1172"/>
    <s v="91282CLL3"/>
    <s v="Note"/>
    <s v="3-Year"/>
    <n v="3.403"/>
    <n v="3.44"/>
    <n v="2.88"/>
    <n v="2.66"/>
    <n v="554238500"/>
    <n v="154123830000"/>
    <n v="57711214500"/>
    <n v="188964200"/>
    <n v="6524000000"/>
    <n v="16953000000"/>
    <n v="6031675000"/>
    <n v="78635500000"/>
    <n v="45155539500"/>
    <n v="58535330000"/>
    <n v="0.56000000000000005"/>
    <n v="58454417200"/>
  </r>
  <r>
    <x v="1173"/>
    <s v="91282CLF6"/>
    <s v="Note"/>
    <s v="9-Year 11-Month"/>
    <n v="3.605"/>
    <n v="3.6480000000000001"/>
    <n v="3.45"/>
    <n v="2.64"/>
    <n v="372677600"/>
    <n v="102759315000"/>
    <n v="38933491900"/>
    <n v="66510000"/>
    <n v="5337000000"/>
    <n v="12045000000"/>
    <n v="3988772000"/>
    <n v="54784000000"/>
    <n v="29607719900"/>
    <n v="35930315000"/>
    <n v="0.19799999999999995"/>
    <n v="39372679500"/>
  </r>
  <r>
    <x v="1174"/>
    <s v="912810UC0"/>
    <s v="Bond"/>
    <s v="29-Year 11-Month"/>
    <n v="3.95"/>
    <n v="4.0149999999999997"/>
    <n v="3.88"/>
    <n v="2.38"/>
    <n v="210228400"/>
    <n v="52236765000"/>
    <n v="21968992200"/>
    <n v="31017300"/>
    <n v="3439700000"/>
    <n v="6654700000"/>
    <n v="3440060800"/>
    <n v="28880600000"/>
    <n v="15089231400"/>
    <n v="16701465000"/>
    <n v="0.13499999999999979"/>
    <n v="22210237900"/>
  </r>
  <r>
    <x v="1175"/>
    <s v="912810UD8"/>
    <s v="Bond"/>
    <s v="19-Year 11-Month"/>
    <n v="3.97"/>
    <n v="4.0389999999999997"/>
    <n v="2.88"/>
    <n v="2.5099999999999998"/>
    <n v="268365300"/>
    <n v="32620914000"/>
    <n v="12953251800"/>
    <n v="46777100"/>
    <n v="2109000000"/>
    <n v="4059000000"/>
    <n v="2412422800"/>
    <n v="18327000000"/>
    <n v="8431829000"/>
    <n v="10234914000"/>
    <n v="1.1589999999999998"/>
    <n v="13268394200"/>
  </r>
  <r>
    <x v="1176"/>
    <s v="91282CLP4"/>
    <s v="Note"/>
    <s v="2-Year"/>
    <n v="3.47"/>
    <n v="3.52"/>
    <n v="3.4"/>
    <n v="2.59"/>
    <n v="1424401000"/>
    <n v="177843970000"/>
    <n v="68280226100"/>
    <n v="365020200"/>
    <n v="13393939700"/>
    <n v="22711000000"/>
    <n v="8735885000"/>
    <n v="91130000000"/>
    <n v="46150401400"/>
    <n v="64002970000"/>
    <n v="0.12000000000000011"/>
    <n v="70069647300"/>
  </r>
  <r>
    <x v="1177"/>
    <s v="91282CLN9"/>
    <s v="Note"/>
    <s v="5-Year"/>
    <n v="3.4630000000000001"/>
    <n v="3.5190000000000001"/>
    <n v="3.4079999999999999"/>
    <n v="2.38"/>
    <n v="1445044500"/>
    <n v="166733140000"/>
    <n v="69794407700"/>
    <n v="100702100"/>
    <n v="12723837700"/>
    <n v="22716000000"/>
    <n v="7997870000"/>
    <n v="88030000000"/>
    <n v="49072700000"/>
    <n v="55987140000"/>
    <n v="0.11100000000000021"/>
    <n v="71340154300"/>
  </r>
  <r>
    <x v="1178"/>
    <s v="91282CLM1"/>
    <s v="Note"/>
    <s v="7-Year"/>
    <n v="3.6080000000000001"/>
    <n v="3.6680000000000001"/>
    <n v="3.5"/>
    <n v="2.63"/>
    <n v="908313700"/>
    <n v="115491565000"/>
    <n v="43841525000"/>
    <n v="58475300"/>
    <n v="8880300000"/>
    <n v="16247300000"/>
    <n v="3921320000"/>
    <n v="59656000000"/>
    <n v="31039905000"/>
    <n v="39588265000"/>
    <n v="0.16800000000000015"/>
    <n v="44808314000"/>
  </r>
  <r>
    <x v="1179"/>
    <s v="91282CLQ2"/>
    <s v="Note"/>
    <s v="3-Year"/>
    <n v="3.82"/>
    <n v="3.8780000000000001"/>
    <n v="3.7"/>
    <n v="2.4500000000000002"/>
    <n v="796035000"/>
    <n v="142028100000"/>
    <n v="57802343200"/>
    <n v="192713200"/>
    <n v="13852695000"/>
    <n v="21959000000"/>
    <n v="11080102500"/>
    <n v="79495000000"/>
    <n v="32869545700"/>
    <n v="40574100000"/>
    <n v="0.17799999999999994"/>
    <n v="58791091400"/>
  </r>
  <r>
    <x v="1180"/>
    <s v="91282CLF6"/>
    <s v="Note"/>
    <s v="9-Year 10-Month"/>
    <n v="4.008"/>
    <n v="4.0659999999999998"/>
    <n v="2.88"/>
    <n v="2.48"/>
    <n v="535264800"/>
    <n v="96702265000"/>
    <n v="38928454500"/>
    <n v="71548000"/>
    <n v="3285500000"/>
    <n v="9197000000"/>
    <n v="5421000000"/>
    <n v="52929000000"/>
    <n v="30221954500"/>
    <n v="34576265000"/>
    <n v="1.1859999999999999"/>
    <n v="39535267300"/>
  </r>
  <r>
    <x v="1181"/>
    <s v="912810UC0"/>
    <s v="Bond"/>
    <s v="29-Year 10-Month"/>
    <n v="4.32"/>
    <n v="4.3890000000000002"/>
    <n v="2.88"/>
    <n v="2.5"/>
    <n v="301944200"/>
    <n v="54873730000"/>
    <n v="21973803500"/>
    <n v="26200500"/>
    <n v="1619100000"/>
    <n v="5780100000"/>
    <n v="2671673500"/>
    <n v="28021000000"/>
    <n v="17683030000"/>
    <n v="21072630000"/>
    <n v="1.5090000000000003"/>
    <n v="22301948200"/>
  </r>
  <r>
    <x v="1182"/>
    <s v="912810UD8"/>
    <s v="Bond"/>
    <s v="19-Year 10-Month"/>
    <n v="4.53"/>
    <n v="4.59"/>
    <n v="3.88"/>
    <n v="2.59"/>
    <n v="219291900"/>
    <n v="33618815000"/>
    <n v="12934391000"/>
    <n v="65617100"/>
    <n v="2282000000"/>
    <n v="4632000000"/>
    <n v="1873296000"/>
    <n v="17585000000"/>
    <n v="8779095000"/>
    <n v="11401815000"/>
    <n v="0.71"/>
    <n v="13219300000"/>
  </r>
  <r>
    <x v="1183"/>
    <s v="91282CLR0"/>
    <s v="Note"/>
    <s v="5-Year"/>
    <n v="4.07"/>
    <n v="4.1379999999999999"/>
    <n v="4"/>
    <n v="2.39"/>
    <n v="1180802700"/>
    <n v="167190444000"/>
    <n v="69849599000"/>
    <n v="150409800"/>
    <n v="6617000000"/>
    <n v="16397000000"/>
    <n v="9899215000"/>
    <n v="88615000000"/>
    <n v="53333384000"/>
    <n v="62178444000"/>
    <n v="0.1379999999999999"/>
    <n v="71180811500"/>
  </r>
  <r>
    <x v="1183"/>
    <s v="91282CLS8"/>
    <s v="Note"/>
    <s v="2-Year"/>
    <n v="4.07"/>
    <n v="4.13"/>
    <n v="4"/>
    <n v="2.5"/>
    <n v="1163934100"/>
    <n v="172214220000"/>
    <n v="68468624000"/>
    <n v="531555300"/>
    <n v="16322000000"/>
    <n v="25382000000"/>
    <n v="12274385000"/>
    <n v="92318000000"/>
    <n v="39872239000"/>
    <n v="54514220000"/>
    <n v="0.12999999999999989"/>
    <n v="70164113400"/>
  </r>
  <r>
    <x v="1184"/>
    <s v="91282CLU3"/>
    <s v="Note"/>
    <s v="7-Year"/>
    <n v="4.17"/>
    <n v="4.2149999999999999"/>
    <n v="4.0999999999999996"/>
    <n v="2.74"/>
    <n v="742218800"/>
    <n v="120358515000"/>
    <n v="43924242300"/>
    <n v="75758500"/>
    <n v="9036867500"/>
    <n v="18162100000"/>
    <n v="3279000000"/>
    <n v="59725000000"/>
    <n v="31608374800"/>
    <n v="42471415000"/>
    <n v="0.11500000000000021"/>
    <n v="44742219600"/>
  </r>
  <r>
    <x v="1185"/>
    <s v="91282CLX7"/>
    <s v="Note"/>
    <s v="3-Year"/>
    <n v="4.09"/>
    <n v="4.1520000000000001"/>
    <n v="4"/>
    <n v="2.6"/>
    <n v="14095578800"/>
    <n v="150732440000"/>
    <n v="57778891500"/>
    <n v="221149800"/>
    <n v="5561000000"/>
    <n v="13931000000"/>
    <n v="11412250000"/>
    <n v="83854000000"/>
    <n v="40805641500"/>
    <n v="52947440000"/>
    <n v="0.15200000000000014"/>
    <n v="72095620100"/>
  </r>
  <r>
    <x v="1186"/>
    <s v="91282CLW9"/>
    <s v="Note"/>
    <s v="10-Year"/>
    <n v="4.29"/>
    <n v="4.3470000000000004"/>
    <n v="4.2"/>
    <n v="2.58"/>
    <n v="10207143200"/>
    <n v="108222580000"/>
    <n v="41821963300"/>
    <n v="178052500"/>
    <n v="9879001300"/>
    <n v="17088000000"/>
    <n v="6157382000"/>
    <n v="58364000000"/>
    <n v="25785580000"/>
    <n v="32770580000"/>
    <n v="0.14700000000000024"/>
    <n v="52207159000"/>
  </r>
  <r>
    <x v="1187"/>
    <s v="912810UE6"/>
    <s v="Bond"/>
    <s v="30-Year"/>
    <n v="4.5650000000000004"/>
    <n v="4.6079999999999997"/>
    <n v="4.5"/>
    <n v="2.64"/>
    <n v="6075680500"/>
    <n v="65988370000"/>
    <n v="24945620800"/>
    <n v="54443700"/>
    <n v="6756644800"/>
    <n v="13316900000"/>
    <n v="2540000000"/>
    <n v="32216000000"/>
    <n v="15648976000"/>
    <n v="20455470000"/>
    <n v="0.10799999999999965"/>
    <n v="31075745000"/>
  </r>
  <r>
    <x v="1188"/>
    <s v="912810UF3"/>
    <s v="Bond"/>
    <s v="20-Year"/>
    <n v="4.5999999999999996"/>
    <n v="4.68"/>
    <n v="4.5460000000000003"/>
    <n v="2.34"/>
    <n v="1088290600"/>
    <n v="37311114000"/>
    <n v="15896719500"/>
    <n v="103308000"/>
    <n v="1259057500"/>
    <n v="3524000000"/>
    <n v="3594548000"/>
    <n v="21580000000"/>
    <n v="11043114000"/>
    <n v="12207114000"/>
    <n v="0.13399999999999945"/>
    <n v="17088318100"/>
  </r>
  <r>
    <x v="1189"/>
    <s v="91282CLY5"/>
    <s v="Note"/>
    <s v="2-Year"/>
    <n v="4.2350000000000003"/>
    <n v="4.274"/>
    <n v="4.18"/>
    <n v="2.77"/>
    <n v="4693253400"/>
    <n v="190739377700"/>
    <n v="68278992700"/>
    <n v="616155900"/>
    <n v="13089750000"/>
    <n v="27496000000"/>
    <n v="6283000000"/>
    <n v="96084000000"/>
    <n v="48906242700"/>
    <n v="67159377700"/>
    <n v="9.4000000000000306E-2"/>
    <n v="73588402000"/>
  </r>
  <r>
    <x v="1190"/>
    <s v="91282CMA6"/>
    <s v="Note"/>
    <s v="5-Year"/>
    <n v="4.13"/>
    <n v="4.1970000000000001"/>
    <n v="4.04"/>
    <n v="2.4300000000000002"/>
    <n v="4761271500"/>
    <n v="169996375000"/>
    <n v="69804438500"/>
    <n v="190669400"/>
    <n v="17159250000"/>
    <n v="27496000000"/>
    <n v="7886587500"/>
    <n v="89166000000"/>
    <n v="44758601000"/>
    <n v="53334375000"/>
    <n v="0.15700000000000003"/>
    <n v="74756379400"/>
  </r>
  <r>
    <x v="1191"/>
    <s v="91282CLZ2"/>
    <s v="Note"/>
    <s v="7-Year"/>
    <n v="4.1379999999999999"/>
    <n v="4.1829999999999998"/>
    <n v="3.88"/>
    <n v="2.71"/>
    <n v="2992799200"/>
    <n v="119084629000"/>
    <n v="43900455000"/>
    <n v="99553200"/>
    <n v="11386300000"/>
    <n v="18433400000"/>
    <n v="4383695000"/>
    <n v="63394000000"/>
    <n v="28130460000"/>
    <n v="37257229000"/>
    <n v="0.30299999999999994"/>
    <n v="46992807400"/>
  </r>
  <r>
    <x v="1192"/>
    <s v="91282CMB4"/>
    <s v="Note"/>
    <s v="3-Year"/>
    <n v="4.0679999999999996"/>
    <n v="4.117"/>
    <n v="4"/>
    <n v="2.58"/>
    <n v="415388500"/>
    <n v="149042770000"/>
    <n v="57552170000"/>
    <n v="247925300"/>
    <n v="11919000000"/>
    <n v="20849000000"/>
    <n v="8697800000"/>
    <n v="80367000000"/>
    <n v="36935370000"/>
    <n v="47826770000"/>
    <n v="0.11699999999999999"/>
    <n v="58215483800"/>
  </r>
  <r>
    <x v="1193"/>
    <s v="91282CLW9"/>
    <s v="Note"/>
    <s v="9-Year 11-Month"/>
    <n v="4.1900000000000004"/>
    <n v="4.2350000000000003"/>
    <n v="4.08"/>
    <n v="2.7"/>
    <n v="279312900"/>
    <n v="105097720000"/>
    <n v="38928648400"/>
    <n v="71378700"/>
    <n v="7591500000"/>
    <n v="14707000000"/>
    <n v="4091907500"/>
    <n v="55309000000"/>
    <n v="27245240900"/>
    <n v="35081720000"/>
    <n v="0.15500000000000025"/>
    <n v="39279340000"/>
  </r>
  <r>
    <x v="1194"/>
    <s v="912810UE6"/>
    <s v="Bond"/>
    <s v="29-Year 11-Month"/>
    <n v="4.4749999999999996"/>
    <n v="4.5350000000000001"/>
    <n v="4"/>
    <n v="2.39"/>
    <n v="157561100"/>
    <n v="52562950000"/>
    <n v="21974300000"/>
    <n v="25729000"/>
    <n v="4196900000"/>
    <n v="7241900000"/>
    <n v="3158760000"/>
    <n v="28358000000"/>
    <n v="14618640000"/>
    <n v="16963050000"/>
    <n v="0.53500000000000014"/>
    <n v="22157590100"/>
  </r>
  <r>
    <x v="1195"/>
    <s v="912810UF3"/>
    <s v="Bond"/>
    <s v="19-Year 11-Month"/>
    <n v="4.6219999999999999"/>
    <n v="4.6859999999999999"/>
    <n v="2.88"/>
    <n v="2.5"/>
    <n v="127871300"/>
    <n v="32407770000"/>
    <n v="12922410000"/>
    <n v="77591600"/>
    <n v="2602000000"/>
    <n v="4437000000"/>
    <n v="2313640000"/>
    <n v="17745000000"/>
    <n v="8006770000"/>
    <n v="10225770000"/>
    <n v="1.806"/>
    <n v="13127872900"/>
  </r>
  <r>
    <x v="1196"/>
    <s v="91282CME8"/>
    <s v="Note"/>
    <s v="2-Year"/>
    <n v="4.2850000000000001"/>
    <n v="4.335"/>
    <n v="4"/>
    <n v="2.73"/>
    <n v="678701700"/>
    <n v="187706830000"/>
    <n v="68381385400"/>
    <n v="613634800"/>
    <n v="4546317900"/>
    <n v="14630000000"/>
    <n v="7702120000"/>
    <n v="93767000000"/>
    <n v="56132947500"/>
    <n v="79309830000"/>
    <n v="0.33499999999999996"/>
    <n v="69673721900"/>
  </r>
  <r>
    <x v="1197"/>
    <s v="91282CMD0"/>
    <s v="Note"/>
    <s v="5-Year"/>
    <n v="4.4249999999999998"/>
    <n v="4.4779999999999998"/>
    <n v="4.3"/>
    <n v="2.4"/>
    <n v="688537800"/>
    <n v="167610170000"/>
    <n v="69737933500"/>
    <n v="182128600"/>
    <n v="14125500000"/>
    <n v="24657000000"/>
    <n v="8696335000"/>
    <n v="88626000000"/>
    <n v="46916098500"/>
    <n v="54327170000"/>
    <n v="0.17799999999999994"/>
    <n v="70608599900"/>
  </r>
  <r>
    <x v="1198"/>
    <s v="91282CMC2"/>
    <s v="Note"/>
    <s v="7-Year"/>
    <n v="4.49"/>
    <n v="4.532"/>
    <n v="2.8879999999999999"/>
    <n v="2.76"/>
    <n v="432795200"/>
    <n v="121264490000"/>
    <n v="43890161300"/>
    <n v="110055600"/>
    <n v="1251151800"/>
    <n v="11000600000"/>
    <n v="4069400000"/>
    <n v="59753000000"/>
    <n v="38569609500"/>
    <n v="50510890000"/>
    <n v="1.6440000000000001"/>
    <n v="44433012100"/>
  </r>
  <r>
    <x v="1199"/>
    <s v="91282CMF5"/>
    <s v="Note"/>
    <s v="3-Year"/>
    <n v="4.2859999999999996"/>
    <n v="4.3319999999999999"/>
    <n v="4.2"/>
    <n v="2.62"/>
    <n v="12744830700"/>
    <n v="151505260000"/>
    <n v="57749647500"/>
    <n v="250354100"/>
    <n v="11358000000"/>
    <n v="20003000000"/>
    <n v="11178155000"/>
    <n v="83383000000"/>
    <n v="35213492500"/>
    <n v="48119260000"/>
    <n v="0.13199999999999967"/>
    <n v="70744832300"/>
  </r>
  <r>
    <x v="1200"/>
    <s v="91282CLW9"/>
    <s v="Note"/>
    <s v="9-Year 10-Month"/>
    <n v="4.625"/>
    <n v="4.68"/>
    <n v="4.5330000000000004"/>
    <n v="2.5299999999999998"/>
    <n v="8569799900"/>
    <n v="98521399000"/>
    <n v="38879694200"/>
    <n v="120312100"/>
    <n v="8931395000"/>
    <n v="14517000000"/>
    <n v="6081224800"/>
    <n v="54956000000"/>
    <n v="23867074400"/>
    <n v="29048399000"/>
    <n v="0.14699999999999935"/>
    <n v="47569806200"/>
  </r>
  <r>
    <x v="1201"/>
    <s v="912810UE6"/>
    <s v="Bond"/>
    <s v="29-Year 10-Month"/>
    <n v="4.87"/>
    <n v="4.9130000000000003"/>
    <n v="4.8"/>
    <n v="2.52"/>
    <n v="4834246100"/>
    <n v="55380776000"/>
    <n v="21966493600"/>
    <n v="33508300"/>
    <n v="4549750000"/>
    <n v="8408000000"/>
    <n v="2780512000"/>
    <n v="29376000000"/>
    <n v="14636231600"/>
    <n v="17596776000"/>
    <n v="0.11300000000000043"/>
    <n v="26834248000"/>
  </r>
  <r>
    <x v="1202"/>
    <s v="912810UF3"/>
    <s v="Bond"/>
    <s v="19-Year 10-Month"/>
    <n v="4.8600000000000003"/>
    <n v="4.9000000000000004"/>
    <n v="3.88"/>
    <n v="2.75"/>
    <n v="721881100"/>
    <n v="35659870000"/>
    <n v="12894508000"/>
    <n v="105526500"/>
    <n v="2589724000"/>
    <n v="4859000000"/>
    <n v="1340740000"/>
    <n v="18281000000"/>
    <n v="8964044000"/>
    <n v="12519870000"/>
    <n v="1.0200000000000005"/>
    <n v="13721915600"/>
  </r>
  <r>
    <x v="1203"/>
    <s v="91282CMG3"/>
    <s v="Note"/>
    <s v="5-Year"/>
    <n v="4.2850000000000001"/>
    <n v="4.33"/>
    <n v="4.24"/>
    <n v="2.4"/>
    <n v="3887052100"/>
    <n v="167346569000"/>
    <n v="69613545200"/>
    <n v="306461000"/>
    <n v="18161665000"/>
    <n v="26987000000"/>
    <n v="7738856500"/>
    <n v="87902000000"/>
    <n v="43713023700"/>
    <n v="52457569000"/>
    <n v="8.9999999999999858E-2"/>
    <n v="73807058300"/>
  </r>
  <r>
    <x v="1203"/>
    <s v="91282CMH1"/>
    <s v="Note"/>
    <s v="2-Year"/>
    <n v="4.1680000000000001"/>
    <n v="4.2110000000000003"/>
    <n v="4.09"/>
    <n v="2.66"/>
    <n v="3831522900"/>
    <n v="182290660000"/>
    <n v="68094660000"/>
    <n v="750404400"/>
    <n v="14483500000"/>
    <n v="25638000000"/>
    <n v="9333500000"/>
    <n v="98645000000"/>
    <n v="44277660000"/>
    <n v="58007660000"/>
    <n v="0.12100000000000044"/>
    <n v="72676587300"/>
  </r>
  <r>
    <x v="1204"/>
    <s v="91282CMK4"/>
    <s v="Note"/>
    <s v="7-Year"/>
    <n v="4.41"/>
    <n v="4.4569999999999999"/>
    <n v="4.2699999999999996"/>
    <n v="2.64"/>
    <n v="2443289900"/>
    <n v="115798076800"/>
    <n v="43817575200"/>
    <n v="182440200"/>
    <n v="10105700000"/>
    <n v="18060700000"/>
    <n v="4319098400"/>
    <n v="60268000000"/>
    <n v="29392776800"/>
    <n v="37469376800"/>
    <n v="0.18700000000000028"/>
    <n v="46443305300"/>
  </r>
  <r>
    <x v="1205"/>
    <s v="91282CMN8"/>
    <s v="Note"/>
    <s v="3-Year"/>
    <n v="4.26"/>
    <n v="4.3"/>
    <n v="4.1950000000000003"/>
    <n v="2.79"/>
    <n v="15933366100"/>
    <n v="161075040000"/>
    <n v="57514536800"/>
    <n v="341203900"/>
    <n v="9097500000"/>
    <n v="16587000000"/>
    <n v="5855950000"/>
    <n v="89743000000"/>
    <n v="42561086800"/>
    <n v="54745040000"/>
    <n v="0.10499999999999954"/>
    <n v="73789106800"/>
  </r>
  <r>
    <x v="1206"/>
    <s v="91282CMM0"/>
    <s v="Note"/>
    <s v="10-Year"/>
    <n v="4.5599999999999996"/>
    <n v="4.6319999999999997"/>
    <n v="4.5170000000000003"/>
    <n v="2.48"/>
    <n v="11537954800"/>
    <n v="103873005000"/>
    <n v="41770656300"/>
    <n v="229349600"/>
    <n v="5687000000"/>
    <n v="9437000000"/>
    <n v="6198055000"/>
    <n v="59854000000"/>
    <n v="29885601300"/>
    <n v="34582005000"/>
    <n v="0.11499999999999932"/>
    <n v="53537960700"/>
  </r>
  <r>
    <x v="1207"/>
    <s v="912810UG1"/>
    <s v="Bond"/>
    <s v="30-Year"/>
    <n v="4.68"/>
    <n v="4.7480000000000002"/>
    <n v="4.63"/>
    <n v="2.33"/>
    <n v="6867830200"/>
    <n v="58167337000"/>
    <n v="24956496300"/>
    <n v="43524100"/>
    <n v="4636400000"/>
    <n v="6886400000"/>
    <n v="4078779300"/>
    <n v="32898000000"/>
    <n v="16241317000"/>
    <n v="18382937000"/>
    <n v="0.11800000000000033"/>
    <n v="31867850600"/>
  </r>
  <r>
    <x v="1208"/>
    <s v="912810UJ5"/>
    <s v="Bond"/>
    <s v="20-Year"/>
    <n v="4.7690000000000001"/>
    <n v="4.83"/>
    <n v="4.7"/>
    <n v="2.4300000000000002"/>
    <n v="1612645300"/>
    <n v="38707828000"/>
    <n v="15892978000"/>
    <n v="107066800"/>
    <n v="3100000000"/>
    <n v="4500000000"/>
    <n v="2782530000"/>
    <n v="21276000000"/>
    <n v="10010448000"/>
    <n v="12931828000"/>
    <n v="0.12999999999999989"/>
    <n v="17612690100"/>
  </r>
  <r>
    <x v="1209"/>
    <s v="91282CMP3"/>
    <s v="Note"/>
    <s v="2-Year"/>
    <n v="4.13"/>
    <n v="4.1689999999999996"/>
    <n v="4.07"/>
    <n v="2.56"/>
    <n v="6954533300"/>
    <n v="175983800000"/>
    <n v="68439422200"/>
    <n v="560737200"/>
    <n v="5229432200"/>
    <n v="13472000000"/>
    <n v="4700825000"/>
    <n v="90584000000"/>
    <n v="58509165000"/>
    <n v="71927800000"/>
    <n v="9.8999999999999311E-2"/>
    <n v="75954692700"/>
  </r>
  <r>
    <x v="1210"/>
    <s v="91282CGQ8"/>
    <s v="Note"/>
    <s v="5-Year"/>
    <n v="4.07"/>
    <n v="4.1230000000000002"/>
    <n v="4.0199999999999996"/>
    <n v="2.42"/>
    <n v="7055323500"/>
    <n v="169481713000"/>
    <n v="69797603000"/>
    <n v="197428100"/>
    <n v="10151800000"/>
    <n v="18498000000"/>
    <n v="7390090000"/>
    <n v="89670000000"/>
    <n v="52255713000"/>
    <n v="61313713000"/>
    <n v="0.10300000000000065"/>
    <n v="77050354600"/>
  </r>
  <r>
    <x v="1211"/>
    <s v="91282CMR9"/>
    <s v="Note"/>
    <s v="7-Year"/>
    <n v="4.1479999999999997"/>
    <n v="4.194"/>
    <n v="4"/>
    <n v="2.64"/>
    <n v="4434774800"/>
    <n v="115987587000"/>
    <n v="43915416500"/>
    <n v="84584700"/>
    <n v="11049500000"/>
    <n v="16439000000"/>
    <n v="3856458000"/>
    <n v="63340000000"/>
    <n v="29009458500"/>
    <n v="36208587000"/>
    <n v="0.19399999999999995"/>
    <n v="48434776000"/>
  </r>
  <r>
    <x v="1212"/>
    <s v="91282CMS7"/>
    <s v="Note"/>
    <s v="3-Year"/>
    <n v="3.85"/>
    <n v="3.9079999999999999"/>
    <n v="3.67"/>
    <n v="2.7"/>
    <n v="983095500"/>
    <n v="156256773500"/>
    <n v="57828163100"/>
    <n v="166862700"/>
    <n v="15036243100"/>
    <n v="20176000000"/>
    <n v="6630799500"/>
    <n v="85506000000"/>
    <n v="36161120500"/>
    <n v="50574773500"/>
    <n v="0.23799999999999999"/>
    <n v="58978121300"/>
  </r>
  <r>
    <x v="1213"/>
    <s v="91282CMM0"/>
    <s v="Note"/>
    <s v="9-Year 11-Month"/>
    <n v="4.2649999999999997"/>
    <n v="4.3099999999999996"/>
    <n v="4.2"/>
    <n v="2.59"/>
    <n v="661046900"/>
    <n v="100860107000"/>
    <n v="38912640600"/>
    <n v="87474200"/>
    <n v="7590682000"/>
    <n v="11590000000"/>
    <n v="5089809000"/>
    <n v="56679500000"/>
    <n v="26232149600"/>
    <n v="32590607000"/>
    <n v="0.10999999999999943"/>
    <n v="39661161700"/>
  </r>
  <r>
    <x v="1214"/>
    <s v="912810UG1"/>
    <s v="Bond"/>
    <s v="29-Year 11-Month"/>
    <n v="4.5599999999999996"/>
    <n v="4.6230000000000002"/>
    <n v="4.51"/>
    <n v="2.37"/>
    <n v="372898200"/>
    <n v="52022431000"/>
    <n v="21959626000"/>
    <n v="40399800"/>
    <n v="4974800000"/>
    <n v="7034800000"/>
    <n v="3709140000"/>
    <n v="29381000000"/>
    <n v="13275686000"/>
    <n v="15606631000"/>
    <n v="0.11300000000000043"/>
    <n v="22372924000"/>
  </r>
  <r>
    <x v="1215"/>
    <s v="912810UJ5"/>
    <s v="Bond"/>
    <s v="19-Year 11-Month"/>
    <n v="4.5979999999999999"/>
    <n v="4.6319999999999997"/>
    <n v="3.88"/>
    <n v="2.78"/>
    <n v="383969600"/>
    <n v="36086618000"/>
    <n v="12921252300"/>
    <n v="78757000"/>
    <n v="2888464300"/>
    <n v="4422000000"/>
    <n v="1138000000"/>
    <n v="19493000000"/>
    <n v="8894788000"/>
    <n v="12171618000"/>
    <n v="0.75199999999999978"/>
    <n v="13383978900"/>
  </r>
  <r>
    <x v="1216"/>
    <s v="91282CMV0"/>
    <s v="Note"/>
    <s v="2-Year"/>
    <n v="3.9359999999999999"/>
    <n v="3.984"/>
    <n v="3.88"/>
    <n v="2.66"/>
    <n v="2037992800"/>
    <n v="182770750000"/>
    <n v="68484645300"/>
    <n v="415389200"/>
    <n v="9301395300"/>
    <n v="17323000000"/>
    <n v="7293000000"/>
    <n v="99957500000"/>
    <n v="51890250000"/>
    <n v="65490250000"/>
    <n v="0.10400000000000009"/>
    <n v="70938027300"/>
  </r>
  <r>
    <x v="1217"/>
    <s v="91282CMU2"/>
    <s v="Note"/>
    <s v="5-Year"/>
    <n v="4.04"/>
    <n v="4.0999999999999996"/>
    <n v="3.98"/>
    <n v="2.33"/>
    <n v="2067528900"/>
    <n v="162540829000"/>
    <n v="69765065500"/>
    <n v="134936500"/>
    <n v="7652000000"/>
    <n v="13402000000"/>
    <n v="9204516500"/>
    <n v="88503000000"/>
    <n v="52908549000"/>
    <n v="60635829000"/>
    <n v="0.11999999999999966"/>
    <n v="71967530900"/>
  </r>
  <r>
    <x v="1218"/>
    <s v="91282CMT5"/>
    <s v="Note"/>
    <s v="7-Year"/>
    <n v="4.1769999999999996"/>
    <n v="4.2329999999999997"/>
    <n v="4.0999999999999996"/>
    <n v="2.5299999999999998"/>
    <n v="1299589600"/>
    <n v="111418998000"/>
    <n v="43917667200"/>
    <n v="82344900"/>
    <n v="11476200000"/>
    <n v="15916700000"/>
    <n v="5564015000"/>
    <n v="61585000000"/>
    <n v="26877452200"/>
    <n v="33917298000"/>
    <n v="0.13300000000000001"/>
    <n v="45299601700"/>
  </r>
  <r>
    <x v="1219"/>
    <s v="91282CMW8"/>
    <s v="Note"/>
    <s v="3-Year"/>
    <n v="3.7"/>
    <n v="3.7839999999999998"/>
    <n v="3.64"/>
    <n v="2.4700000000000002"/>
    <n v="9680781300"/>
    <n v="143017540000"/>
    <n v="57790487000"/>
    <n v="104526900"/>
    <n v="3606100000"/>
    <n v="11461600000"/>
    <n v="11979447000"/>
    <n v="80179000000"/>
    <n v="42204940000"/>
    <n v="51376940000"/>
    <n v="0.14399999999999968"/>
    <n v="67575795200"/>
  </r>
  <r>
    <x v="1220"/>
    <s v="91282CMM0"/>
    <s v="Note"/>
    <s v="9-Year 10-Month"/>
    <n v="4.34"/>
    <n v="4.4349999999999996"/>
    <n v="2.88"/>
    <n v="2.67"/>
    <n v="6509490900"/>
    <n v="103847415000"/>
    <n v="38903827000"/>
    <n v="96191800"/>
    <n v="546000000"/>
    <n v="7792000000"/>
    <n v="4162929500"/>
    <n v="52984000000"/>
    <n v="34194897500"/>
    <n v="43071415000"/>
    <n v="1.5549999999999997"/>
    <n v="45509509700"/>
  </r>
  <r>
    <x v="1221"/>
    <s v="912810UG1"/>
    <s v="Bond"/>
    <s v="29-Year 10-Month"/>
    <n v="4.7300000000000004"/>
    <n v="4.8129999999999997"/>
    <n v="3.88"/>
    <n v="2.4300000000000002"/>
    <n v="3672020400"/>
    <n v="53530031500"/>
    <n v="21962662700"/>
    <n v="37353300"/>
    <n v="5671321700"/>
    <n v="9132200000"/>
    <n v="2700788000"/>
    <n v="27925000000"/>
    <n v="13590553000"/>
    <n v="16472831500"/>
    <n v="0.93299999999999983"/>
    <n v="25672036400"/>
  </r>
  <r>
    <x v="1222"/>
    <s v="912810UJ5"/>
    <s v="Bond"/>
    <s v="19-Year 10-Month"/>
    <n v="4.75"/>
    <n v="4.8099999999999996"/>
    <n v="3.88"/>
    <n v="2.63"/>
    <n v="890228100"/>
    <n v="34070634000"/>
    <n v="12883615500"/>
    <n v="116395300"/>
    <n v="1587646500"/>
    <n v="3074000000"/>
    <n v="2189235000"/>
    <n v="18631000000"/>
    <n v="9106734000"/>
    <n v="12365634000"/>
    <n v="0.92999999999999972"/>
    <n v="13890238900"/>
  </r>
  <r>
    <x v="1223"/>
    <s v="91282CMY4"/>
    <s v="Note"/>
    <s v="2-Year"/>
    <n v="3.74"/>
    <n v="3.7949999999999999"/>
    <n v="2.88"/>
    <n v="2.52"/>
    <n v="4725057000"/>
    <n v="173174710000"/>
    <n v="68639526300"/>
    <n v="260484000"/>
    <n v="20646000000"/>
    <n v="26496000000"/>
    <n v="9431826300"/>
    <n v="94566000000"/>
    <n v="38561700000"/>
    <n v="52112710000"/>
    <n v="0.91500000000000004"/>
    <n v="73625067300"/>
  </r>
  <r>
    <x v="1224"/>
    <s v="91282CMZ1"/>
    <s v="Note"/>
    <s v="5-Year"/>
    <n v="3.9279999999999999"/>
    <n v="3.9950000000000001"/>
    <n v="3.8"/>
    <n v="2.41"/>
    <n v="4793536100"/>
    <n v="168300632000"/>
    <n v="69884341800"/>
    <n v="110745200"/>
    <n v="17362633800"/>
    <n v="25521000000"/>
    <n v="7768076000"/>
    <n v="89020000000"/>
    <n v="44753632000"/>
    <n v="53759632000"/>
    <n v="0.19500000000000028"/>
    <n v="74788623100"/>
  </r>
  <r>
    <x v="1225"/>
    <s v="91282CNA5"/>
    <s v="Note"/>
    <s v="7-Year"/>
    <n v="4.0650000000000004"/>
    <n v="4.1230000000000002"/>
    <n v="3.88"/>
    <n v="2.5499999999999998"/>
    <n v="3013079700"/>
    <n v="112301837000"/>
    <n v="43929113000"/>
    <n v="70905900"/>
    <n v="11173500000"/>
    <n v="19467900000"/>
    <n v="6706000000"/>
    <n v="60868000000"/>
    <n v="26049613000"/>
    <n v="31965937000"/>
    <n v="0.24300000000000033"/>
    <n v="47013098600"/>
  </r>
  <r>
    <x v="1226"/>
    <s v="91282CND9"/>
    <s v="Note"/>
    <s v="3-Year"/>
    <n v="3.7690000000000001"/>
    <n v="3.8239999999999998"/>
    <n v="3.69"/>
    <n v="2.56"/>
    <n v="20473592400"/>
    <n v="147993840000"/>
    <n v="57734288000"/>
    <n v="110731100"/>
    <n v="13688000000"/>
    <n v="19388000000"/>
    <n v="8037448000"/>
    <n v="81916000000"/>
    <n v="36008840000"/>
    <n v="46689840000"/>
    <n v="0.1339999999999999"/>
    <n v="78318611500"/>
  </r>
  <r>
    <x v="1227"/>
    <s v="91282CNC1"/>
    <s v="Note"/>
    <s v="10-Year"/>
    <n v="4.2809999999999997"/>
    <n v="4.3419999999999996"/>
    <n v="4.2"/>
    <n v="2.6"/>
    <n v="14825704800"/>
    <n v="109230765000"/>
    <n v="41852615000"/>
    <n v="147392100"/>
    <n v="8321500000"/>
    <n v="13760000000"/>
    <n v="3736150000"/>
    <n v="58676000000"/>
    <n v="29794965000"/>
    <n v="36794765000"/>
    <n v="0.14199999999999946"/>
    <n v="56825711900"/>
  </r>
  <r>
    <x v="1228"/>
    <s v="912810UK2"/>
    <s v="Bond"/>
    <s v="30-Year"/>
    <n v="4.7489999999999997"/>
    <n v="4.819"/>
    <n v="4.6769999999999996"/>
    <n v="2.31"/>
    <n v="8824824300"/>
    <n v="57775443000"/>
    <n v="24916150000"/>
    <n v="83873000"/>
    <n v="6778900000"/>
    <n v="9023900000"/>
    <n v="3467657500"/>
    <n v="31614000000"/>
    <n v="14669592500"/>
    <n v="17137543000"/>
    <n v="0.14200000000000035"/>
    <n v="33824847300"/>
  </r>
  <r>
    <x v="1229"/>
    <s v="912810UL0"/>
    <s v="Bond"/>
    <s v="20-Year"/>
    <n v="4.9740000000000002"/>
    <n v="5.0469999999999997"/>
    <n v="4.9000000000000004"/>
    <n v="2.46"/>
    <n v="2190424200"/>
    <n v="39172912000"/>
    <n v="15784555100"/>
    <n v="215459800"/>
    <n v="2221300000"/>
    <n v="3626300000"/>
    <n v="2669255000"/>
    <n v="22354000000"/>
    <n v="10894000100"/>
    <n v="13192612000"/>
    <n v="0.14699999999999935"/>
    <n v="18190439100"/>
  </r>
  <r>
    <x v="1230"/>
    <s v="91282CNE7"/>
    <s v="Note"/>
    <s v="2-Year"/>
    <n v="3.9"/>
    <n v="3.9550000000000001"/>
    <n v="3.85"/>
    <n v="2.57"/>
    <n v="9446204800"/>
    <n v="176843805000"/>
    <n v="68692183000"/>
    <n v="302821900"/>
    <n v="17986500000"/>
    <n v="25100050000"/>
    <n v="7196928000"/>
    <n v="93152000000"/>
    <n v="43508755000"/>
    <n v="58591755000"/>
    <n v="0.10499999999999998"/>
    <n v="78441209700"/>
  </r>
  <r>
    <x v="1231"/>
    <s v="91282CNG2"/>
    <s v="Note"/>
    <s v="5-Year"/>
    <n v="4.01"/>
    <n v="4.0709999999999997"/>
    <n v="3.94"/>
    <n v="2.39"/>
    <n v="9583106300"/>
    <n v="167252785000"/>
    <n v="69880539000"/>
    <n v="114467200"/>
    <n v="8660750000"/>
    <n v="14995000000"/>
    <n v="6453820000"/>
    <n v="90079000000"/>
    <n v="54765969000"/>
    <n v="62178785000"/>
    <n v="0.13099999999999978"/>
    <n v="79578112500"/>
  </r>
  <r>
    <x v="1232"/>
    <s v="91282CNF4"/>
    <s v="Note"/>
    <s v="7-Year"/>
    <n v="4.1440000000000001"/>
    <n v="4.194"/>
    <n v="4"/>
    <n v="2.69"/>
    <n v="6023666700"/>
    <n v="118405868000"/>
    <n v="43834565500"/>
    <n v="82476800"/>
    <n v="10360571300"/>
    <n v="17404900000"/>
    <n v="2123837500"/>
    <n v="61782000000"/>
    <n v="31350156700"/>
    <n v="39218968000"/>
    <n v="0.19399999999999995"/>
    <n v="49940709000"/>
  </r>
  <r>
    <x v="1233"/>
    <s v="91282CNH0"/>
    <s v="Note"/>
    <s v="3-Year"/>
    <n v="3.919"/>
    <n v="3.972"/>
    <n v="3.87"/>
    <n v="2.52"/>
    <n v="1043064200"/>
    <n v="145779130000"/>
    <n v="57852154000"/>
    <n v="142849200"/>
    <n v="10430000000"/>
    <n v="15358000000"/>
    <n v="8786719000"/>
    <n v="81848000000"/>
    <n v="38635435000"/>
    <n v="48573130000"/>
    <n v="0.10199999999999987"/>
    <n v="59038067400"/>
  </r>
  <r>
    <x v="1234"/>
    <s v="91282CNC1"/>
    <s v="Note"/>
    <s v="9-Year 11-Month"/>
    <n v="4.3780000000000001"/>
    <n v="4.4210000000000003"/>
    <n v="4.32"/>
    <n v="2.52"/>
    <n v="701370600"/>
    <n v="98123554000"/>
    <n v="38875284000"/>
    <n v="124721100"/>
    <n v="7962750000"/>
    <n v="12106000000"/>
    <n v="3483480000"/>
    <n v="52677000000"/>
    <n v="27429054000"/>
    <n v="33340554000"/>
    <n v="0.10099999999999998"/>
    <n v="39701375700"/>
  </r>
  <r>
    <x v="1235"/>
    <s v="912810UK2"/>
    <s v="Bond"/>
    <s v="29-Year 11-Month"/>
    <n v="4.8"/>
    <n v="4.8440000000000003"/>
    <n v="4.7"/>
    <n v="2.4300000000000002"/>
    <n v="395645000"/>
    <n v="53415277000"/>
    <n v="21965397000"/>
    <n v="34615700"/>
    <n v="5145200000"/>
    <n v="7780700000"/>
    <n v="2507004000"/>
    <n v="28344000000"/>
    <n v="14313193000"/>
    <n v="17290577000"/>
    <n v="0.14400000000000013"/>
    <n v="22395657700"/>
  </r>
  <r>
    <x v="1236"/>
    <s v="912810UL0"/>
    <s v="Bond"/>
    <s v="19-Year 11-Month"/>
    <n v="4.88"/>
    <n v="4.9420000000000002"/>
    <n v="3.88"/>
    <n v="2.68"/>
    <n v="1293674900"/>
    <n v="34725112000"/>
    <n v="12912616400"/>
    <n v="87386300"/>
    <n v="2567500000"/>
    <n v="4109000000"/>
    <n v="1727004400"/>
    <n v="18809000000"/>
    <n v="8618112000"/>
    <n v="11807112000"/>
    <n v="1.0620000000000003"/>
    <n v="14293677600"/>
  </r>
  <r>
    <x v="1237"/>
    <s v="91282CNL1"/>
    <s v="Note"/>
    <s v="2-Year"/>
    <n v="3.73"/>
    <n v="3.786"/>
    <n v="3.6"/>
    <n v="2.58"/>
    <n v="6866428500"/>
    <n v="177442495000"/>
    <n v="68694945000"/>
    <n v="300073700"/>
    <n v="18085000000"/>
    <n v="23976000000"/>
    <n v="9048450000"/>
    <n v="99333000000"/>
    <n v="41561495000"/>
    <n v="54133495000"/>
    <n v="0.18599999999999994"/>
    <n v="75861447200"/>
  </r>
  <r>
    <x v="1238"/>
    <s v="91282CNK3"/>
    <s v="Note"/>
    <s v="5-Year"/>
    <n v="3.819"/>
    <n v="3.879"/>
    <n v="3.7"/>
    <n v="2.36"/>
    <n v="6965941900"/>
    <n v="164874972000"/>
    <n v="69900930400"/>
    <n v="94148600"/>
    <n v="17080558400"/>
    <n v="22593800000"/>
    <n v="7608640000"/>
    <n v="88659000000"/>
    <n v="45211732000"/>
    <n v="53622172000"/>
    <n v="0.17899999999999983"/>
    <n v="76961020900"/>
  </r>
  <r>
    <x v="1239"/>
    <s v="91282CNJ6"/>
    <s v="Note"/>
    <s v="7-Year"/>
    <n v="3.96"/>
    <n v="4.0220000000000002"/>
    <n v="3.9"/>
    <n v="2.5299999999999998"/>
    <n v="4378592000"/>
    <n v="111281455000"/>
    <n v="43935954500"/>
    <n v="64045700"/>
    <n v="5104800000"/>
    <n v="10147100000"/>
    <n v="5115112500"/>
    <n v="61679000000"/>
    <n v="33716042000"/>
    <n v="39455355000"/>
    <n v="0.12200000000000033"/>
    <n v="48378592200"/>
  </r>
  <r>
    <x v="1240"/>
    <s v="91282CNM9"/>
    <s v="Note"/>
    <s v="3-Year"/>
    <n v="3.8359999999999999"/>
    <n v="3.891"/>
    <n v="3.7"/>
    <n v="2.5099999999999998"/>
    <n v="6862758600"/>
    <n v="145380070000"/>
    <n v="57844579000"/>
    <n v="150439300"/>
    <n v="16992784000"/>
    <n v="22376000000"/>
    <n v="9549700000"/>
    <n v="81275000000"/>
    <n v="31302095000"/>
    <n v="41729070000"/>
    <n v="0.19099999999999984"/>
    <n v="64857776900"/>
  </r>
  <r>
    <x v="1241"/>
    <s v="91282CNC1"/>
    <s v="Note"/>
    <s v="9-Year 10-Month"/>
    <n v="4.3099999999999996"/>
    <n v="4.3620000000000001"/>
    <n v="4.2"/>
    <n v="2.61"/>
    <n v="4614613500"/>
    <n v="101724256000"/>
    <n v="38897801100"/>
    <n v="102230900"/>
    <n v="9220455100"/>
    <n v="13968000000"/>
    <n v="4229690000"/>
    <n v="56464000000"/>
    <n v="25447656000"/>
    <n v="31292256000"/>
    <n v="0.16199999999999992"/>
    <n v="43614645500"/>
  </r>
  <r>
    <x v="1242"/>
    <s v="912810UK2"/>
    <s v="Bond"/>
    <s v="29-Year 10-Month"/>
    <n v="4.8380000000000001"/>
    <n v="4.8890000000000002"/>
    <n v="3.88"/>
    <n v="2.38"/>
    <n v="2603115300"/>
    <n v="52404715000"/>
    <n v="21973765000"/>
    <n v="26237100"/>
    <n v="6019900000"/>
    <n v="8108900000"/>
    <n v="2816850000"/>
    <n v="28969000000"/>
    <n v="13137015000"/>
    <n v="15326815000"/>
    <n v="1.0090000000000003"/>
    <n v="24603117400"/>
  </r>
  <r>
    <x v="1243"/>
    <s v="912810UL0"/>
    <s v="Bond"/>
    <s v="19-Year 10-Month"/>
    <n v="4.8860000000000001"/>
    <n v="4.9349999999999996"/>
    <n v="3.88"/>
    <n v="2.79"/>
    <n v="885247700"/>
    <n v="36102677000"/>
    <n v="12877685000"/>
    <n v="122325900"/>
    <n v="2814500000"/>
    <n v="5018000000"/>
    <n v="1379975000"/>
    <n v="18877000000"/>
    <n v="8683210000"/>
    <n v="12207677000"/>
    <n v="1.0549999999999997"/>
    <n v="13885258600"/>
  </r>
  <r>
    <x v="1244"/>
    <s v="91282CNN7"/>
    <s v="Note"/>
    <s v="5-Year"/>
    <n v="3.92"/>
    <n v="3.9830000000000001"/>
    <n v="3.8"/>
    <n v="2.31"/>
    <n v="4766718600"/>
    <n v="161873520000"/>
    <n v="69878752400"/>
    <n v="117282000"/>
    <n v="20611000000"/>
    <n v="26298000000"/>
    <n v="8544536000"/>
    <n v="87265000000"/>
    <n v="40723216400"/>
    <n v="48310520000"/>
    <n v="0.18300000000000027"/>
    <n v="74762753000"/>
  </r>
  <r>
    <x v="1244"/>
    <s v="91282CNP2"/>
    <s v="Note"/>
    <s v="2-Year"/>
    <n v="3.87"/>
    <n v="3.92"/>
    <n v="3.8"/>
    <n v="2.62"/>
    <n v="4698622800"/>
    <n v="180334900000"/>
    <n v="68438880500"/>
    <n v="356307900"/>
    <n v="23524063000"/>
    <n v="31113000000"/>
    <n v="7048617500"/>
    <n v="94722000000"/>
    <n v="37866200000"/>
    <n v="54499900000"/>
    <n v="0.12000000000000011"/>
    <n v="73493811200"/>
  </r>
  <r>
    <x v="1245"/>
    <s v="91282CNR8"/>
    <s v="Note"/>
    <s v="7-Year"/>
    <n v="4.0570000000000004"/>
    <n v="4.0919999999999996"/>
    <n v="3.88"/>
    <n v="2.79"/>
    <n v="2996223100"/>
    <n v="122544544000"/>
    <n v="43916977700"/>
    <n v="83485300"/>
    <n v="14789730500"/>
    <n v="24016400000"/>
    <n v="1784000000"/>
    <n v="60366000000"/>
    <n v="27343247200"/>
    <n v="38162144000"/>
    <n v="0.21199999999999974"/>
    <n v="46996686100"/>
  </r>
  <r>
    <x v="1246"/>
    <s v="91282CNU1"/>
    <s v="Note"/>
    <s v="3-Year"/>
    <n v="3.61"/>
    <n v="3.669"/>
    <n v="3.46"/>
    <n v="2.5299999999999998"/>
    <n v="19683688400"/>
    <n v="146330040000"/>
    <n v="57846725000"/>
    <n v="153289100"/>
    <n v="16275135000"/>
    <n v="21043000000"/>
    <n v="10342600000"/>
    <n v="84334000000"/>
    <n v="31228990000"/>
    <n v="40953040000"/>
    <n v="0.20900000000000007"/>
    <n v="77683702500"/>
  </r>
  <r>
    <x v="1247"/>
    <s v="91282CNT4"/>
    <s v="Note"/>
    <s v="10-Year"/>
    <n v="4.1950000000000003"/>
    <n v="4.2549999999999999"/>
    <n v="4.12"/>
    <n v="2.35"/>
    <n v="14253705400"/>
    <n v="98587416000"/>
    <n v="41857544000"/>
    <n v="142568100"/>
    <n v="8210000000"/>
    <n v="12175000000"/>
    <n v="6762778000"/>
    <n v="55568000000"/>
    <n v="26884766000"/>
    <n v="30844416000"/>
    <n v="0.13499999999999979"/>
    <n v="56253817500"/>
  </r>
  <r>
    <x v="1248"/>
    <s v="912810UM8"/>
    <s v="Bond"/>
    <s v="30-Year"/>
    <n v="4.74"/>
    <n v="4.8129999999999997"/>
    <n v="4.6399999999999997"/>
    <n v="2.27"/>
    <n v="8484348400"/>
    <n v="56618887000"/>
    <n v="24960862000"/>
    <n v="39138900"/>
    <n v="5747800000"/>
    <n v="7997800000"/>
    <n v="4356975000"/>
    <n v="32207000000"/>
    <n v="14856087000"/>
    <n v="16414087000"/>
    <n v="0.17300000000000004"/>
    <n v="33484349300"/>
  </r>
  <r>
    <x v="1249"/>
    <s v="912810UN6"/>
    <s v="Bond"/>
    <s v="20-Year"/>
    <n v="4.82"/>
    <n v="4.8760000000000003"/>
    <n v="2.8879999999999999"/>
    <n v="2.54"/>
    <n v="1931037500"/>
    <n v="40468842000"/>
    <n v="15839720000"/>
    <n v="160287800"/>
    <n v="4193000000"/>
    <n v="5850000000"/>
    <n v="2040878000"/>
    <n v="22177000000"/>
    <n v="9605842000"/>
    <n v="12441842000"/>
    <n v="1.9880000000000004"/>
    <n v="17931045300"/>
  </r>
  <r>
    <x v="1250"/>
    <s v="91282CNV9"/>
    <s v="Note"/>
    <s v="2-Year"/>
    <n v="3.6"/>
    <n v="3.641"/>
    <n v="3.5"/>
    <n v="2.69"/>
    <n v="8327599600"/>
    <n v="185064243000"/>
    <n v="68364904200"/>
    <n v="330121100"/>
    <n v="22673100000"/>
    <n v="32884000000"/>
    <n v="6659350000"/>
    <n v="96816000000"/>
    <n v="39032454200"/>
    <n v="55364243000"/>
    <n v="0.14100000000000001"/>
    <n v="77022624900"/>
  </r>
  <r>
    <x v="1251"/>
    <s v="91282CNX5"/>
    <s v="Note"/>
    <s v="5-Year"/>
    <n v="3.6669999999999998"/>
    <n v="3.7240000000000002"/>
    <n v="3.6"/>
    <n v="2.36"/>
    <n v="8448289400"/>
    <n v="165269954000"/>
    <n v="69883850000"/>
    <n v="107007500"/>
    <n v="21480101000"/>
    <n v="26963000000"/>
    <n v="6139000000"/>
    <n v="87871000000"/>
    <n v="42264749000"/>
    <n v="50435954000"/>
    <n v="0.12400000000000011"/>
    <n v="78439146900"/>
  </r>
  <r>
    <x v="1252"/>
    <s v="91282CNW7"/>
    <s v="Note"/>
    <s v="7-Year"/>
    <n v="3.87"/>
    <n v="3.9249999999999998"/>
    <n v="2.88"/>
    <n v="2.4900000000000002"/>
    <n v="5310353300"/>
    <n v="109408835000"/>
    <n v="43904285000"/>
    <n v="95734600"/>
    <n v="5604550000"/>
    <n v="10164300000"/>
    <n v="4297200000"/>
    <n v="60121000000"/>
    <n v="34002535000"/>
    <n v="39123535000"/>
    <n v="1.0449999999999999"/>
    <n v="49310372900"/>
  </r>
  <r>
    <x v="1253"/>
    <s v="91282CNY3"/>
    <s v="Note"/>
    <s v="3-Year"/>
    <n v="3.4449999999999998"/>
    <n v="3.4849999999999999"/>
    <n v="2.88"/>
    <n v="2.73"/>
    <n v="0"/>
    <n v="157913245000"/>
    <n v="57778780200"/>
    <n v="213366000"/>
    <n v="10047772800"/>
    <n v="17365000000"/>
    <n v="4835680000"/>
    <n v="85284000000"/>
    <n v="42895327400"/>
    <n v="55264245000"/>
    <n v="0.60499999999999998"/>
    <n v="57992146200"/>
  </r>
  <r>
    <x v="1254"/>
    <s v="91282CNT4"/>
    <s v="Note"/>
    <s v="9-Year 11-Month"/>
    <n v="3.9860000000000002"/>
    <n v="4.0330000000000004"/>
    <n v="3.9"/>
    <n v="2.65"/>
    <n v="0"/>
    <n v="103227910000"/>
    <n v="38881412000"/>
    <n v="118612500"/>
    <n v="4920500000"/>
    <n v="10467000000"/>
    <n v="1638000000"/>
    <n v="53808000000"/>
    <n v="32322912000"/>
    <n v="38952910000"/>
    <n v="0.13300000000000045"/>
    <n v="39000024500"/>
  </r>
  <r>
    <x v="1255"/>
    <s v="912810UM8"/>
    <s v="Bond"/>
    <s v="29-Year 11-Month"/>
    <n v="4.585"/>
    <n v="4.6509999999999998"/>
    <n v="2.88"/>
    <n v="2.38"/>
    <n v="0"/>
    <n v="52238198000"/>
    <n v="21956149000"/>
    <n v="43851200"/>
    <n v="6150500000"/>
    <n v="8410500000"/>
    <n v="2185951000"/>
    <n v="28338000000"/>
    <n v="13619698000"/>
    <n v="15489698000"/>
    <n v="1.7709999999999999"/>
    <n v="22000000200"/>
  </r>
  <r>
    <x v="1256"/>
    <s v="912810UN6"/>
    <s v="Bond"/>
    <s v="19-Year 11-Month"/>
    <n v="4.5640000000000001"/>
    <n v="4.6130000000000004"/>
    <n v="2.88"/>
    <n v="2.74"/>
    <n v="717838900"/>
    <n v="35576344000"/>
    <n v="12891939200"/>
    <n v="108094900"/>
    <n v="3592431200"/>
    <n v="5281000000"/>
    <n v="976440000"/>
    <n v="19183000000"/>
    <n v="8323068000"/>
    <n v="11112344000"/>
    <n v="1.7330000000000005"/>
    <n v="13717873000"/>
  </r>
  <r>
    <x v="1257"/>
    <s v="91282CPB1"/>
    <s v="Note"/>
    <s v="2-Year"/>
    <n v="3.52"/>
    <n v="3.5710000000000002"/>
    <n v="3.4"/>
    <n v="2.5099999999999998"/>
    <n v="3810068500"/>
    <n v="173060255000"/>
    <n v="68681817300"/>
    <n v="313227000"/>
    <n v="21131182300"/>
    <n v="28009000000"/>
    <n v="7889380000"/>
    <n v="92217000000"/>
    <n v="39661255000"/>
    <n v="52834255000"/>
    <n v="0.17100000000000026"/>
    <n v="72805112800"/>
  </r>
  <r>
    <x v="1258"/>
    <s v="91282CPA3"/>
    <s v="Note"/>
    <s v="5-Year"/>
    <n v="3.6539999999999999"/>
    <n v="3.71"/>
    <n v="3.6"/>
    <n v="2.34"/>
    <n v="3865286900"/>
    <n v="164000354000"/>
    <n v="69898797200"/>
    <n v="96206000"/>
    <n v="20016676800"/>
    <n v="26120000000"/>
    <n v="8347846400"/>
    <n v="89845000000"/>
    <n v="41534274000"/>
    <n v="48035354000"/>
    <n v="0.10999999999999988"/>
    <n v="73860290100"/>
  </r>
  <r>
    <x v="1259"/>
    <s v="91282CNZ0"/>
    <s v="Note"/>
    <s v="7-Year"/>
    <n v="3.895"/>
    <n v="3.9529999999999998"/>
    <n v="3.8"/>
    <n v="2.4"/>
    <n v="2429608900"/>
    <n v="105335796000"/>
    <n v="43943699400"/>
    <n v="56306300"/>
    <n v="13877103400"/>
    <n v="17828200000"/>
    <n v="5275000000"/>
    <n v="58298000000"/>
    <n v="24791596000"/>
    <n v="29209596000"/>
    <n v="0.15300000000000002"/>
    <n v="46429614600"/>
  </r>
  <r>
    <x v="1260"/>
    <s v="91282CPC9"/>
    <s v="Note"/>
    <s v="3-Year"/>
    <n v="3.5339999999999998"/>
    <n v="3.5760000000000001"/>
    <n v="3.4180000000000001"/>
    <n v="2.66"/>
    <n v="1076671700"/>
    <n v="154281860000"/>
    <n v="57841524400"/>
    <n v="153610300"/>
    <n v="15372614400"/>
    <n v="22778000000"/>
    <n v="6203000000"/>
    <n v="82977000000"/>
    <n v="36265910000"/>
    <n v="48526860000"/>
    <n v="0.15799999999999992"/>
    <n v="59071806400"/>
  </r>
  <r>
    <x v="1261"/>
    <s v="91282CNT4"/>
    <s v="Note"/>
    <s v="9-Year 10-Month"/>
    <n v="4.0599999999999996"/>
    <n v="4.117"/>
    <n v="4.01"/>
    <n v="2.48"/>
    <n v="723968800"/>
    <n v="96557481000"/>
    <n v="38921677000"/>
    <n v="78344500"/>
    <n v="9381000000"/>
    <n v="13340000000"/>
    <n v="3539221000"/>
    <n v="52319000000"/>
    <n v="26001456000"/>
    <n v="30898481000"/>
    <n v="0.10700000000000021"/>
    <n v="39723990300"/>
  </r>
  <r>
    <x v="1262"/>
    <s v="912810UM8"/>
    <s v="Bond"/>
    <s v="29-Year 10-Month"/>
    <n v="4.67"/>
    <n v="4.734"/>
    <n v="3.88"/>
    <n v="2.38"/>
    <n v="408392700"/>
    <n v="52369953000"/>
    <n v="21956457500"/>
    <n v="43558500"/>
    <n v="5898400000"/>
    <n v="8085400000"/>
    <n v="1901737000"/>
    <n v="27868000000"/>
    <n v="14156320500"/>
    <n v="16416553000"/>
    <n v="0.85400000000000009"/>
    <n v="22408408700"/>
  </r>
  <r>
    <x v="1263"/>
    <s v="912810UN6"/>
    <s v="Bond"/>
    <s v="19-Year 10-Month"/>
    <n v="4.4640000000000004"/>
    <n v="4.5060000000000002"/>
    <n v="3.88"/>
    <n v="2.73"/>
    <n v="746486500"/>
    <n v="35477274000"/>
    <n v="12934036100"/>
    <n v="65975000"/>
    <n v="3405962100"/>
    <n v="5082000000"/>
    <n v="1298000000"/>
    <n v="18704000000"/>
    <n v="8230074000"/>
    <n v="11691274000"/>
    <n v="0.62600000000000033"/>
    <n v="13746497600"/>
  </r>
  <r>
    <x v="1264"/>
    <s v="91282CPD7"/>
    <s v="Note"/>
    <s v="5-Year"/>
    <n v="3.5750000000000002"/>
    <n v="3.625"/>
    <n v="3.52"/>
    <n v="2.38"/>
    <n v="4019543200"/>
    <n v="166511617000"/>
    <n v="69902036000"/>
    <n v="90171500"/>
    <n v="16701250000"/>
    <n v="23166000000"/>
    <n v="6480750000"/>
    <n v="89335000000"/>
    <n v="46720036000"/>
    <n v="54010617000"/>
    <n v="0.10499999999999998"/>
    <n v="74011750700"/>
  </r>
  <r>
    <x v="1264"/>
    <s v="91282CPE5"/>
    <s v="Note"/>
    <s v="2-Year"/>
    <n v="3.4529999999999998"/>
    <n v="3.504"/>
    <n v="3.4"/>
    <n v="2.59"/>
    <n v="3962121200"/>
    <n v="178176194000"/>
    <n v="68473624000"/>
    <n v="321391600"/>
    <n v="23809000000"/>
    <n v="31681000000"/>
    <n v="7928260000"/>
    <n v="95869000000"/>
    <n v="36736364000"/>
    <n v="50626194000"/>
    <n v="0.10400000000000009"/>
    <n v="72757136800"/>
  </r>
  <r>
    <x v="1265"/>
    <s v="91282CPF2"/>
    <s v="Note"/>
    <s v="7-Year"/>
    <n v="3.7349999999999999"/>
    <n v="3.79"/>
    <n v="3.63"/>
    <n v="2.46"/>
    <n v="2526570100"/>
    <n v="108060857000"/>
    <n v="43954857700"/>
    <n v="45181300"/>
    <n v="12239397000"/>
    <n v="17324100000"/>
    <n v="5777731000"/>
    <n v="60065000000"/>
    <n v="25937729700"/>
    <n v="30671757000"/>
    <n v="0.16000000000000014"/>
    <n v="46526609100"/>
  </r>
  <r>
    <x v="1266"/>
    <s v="91282CPK1"/>
    <s v="Note"/>
    <s v="3-Year"/>
    <n v="3.54"/>
    <n v="3.5790000000000002"/>
    <n v="3.48"/>
    <n v="2.85"/>
    <n v="9033593800"/>
    <n v="165015820000"/>
    <n v="57743491600"/>
    <n v="156624000"/>
    <n v="15775500000"/>
    <n v="23870000000"/>
    <n v="5611000000"/>
    <n v="91183000000"/>
    <n v="36356991600"/>
    <n v="49962820000"/>
    <n v="9.9000000000000199E-2"/>
    <n v="66933709400"/>
  </r>
  <r>
    <x v="1267"/>
    <s v="91282CPJ4"/>
    <s v="Note"/>
    <s v="10-Year"/>
    <n v="4.0279999999999996"/>
    <n v="4.0739999999999998"/>
    <n v="3.96"/>
    <n v="2.4300000000000002"/>
    <n v="6541567900"/>
    <n v="102025085000"/>
    <n v="41857012200"/>
    <n v="143047000"/>
    <n v="9439000000"/>
    <n v="13485000000"/>
    <n v="4374668000"/>
    <n v="56267000000"/>
    <n v="28043344200"/>
    <n v="32273085000"/>
    <n v="0.11399999999999988"/>
    <n v="48541627100"/>
  </r>
  <r>
    <x v="1268"/>
    <s v="912810UP1"/>
    <s v="Bond"/>
    <s v="30-Year"/>
    <n v="4.63"/>
    <n v="4.694"/>
    <n v="4.57"/>
    <n v="2.29"/>
    <n v="3893790400"/>
    <n v="57316798000"/>
    <n v="24946422000"/>
    <n v="53588500"/>
    <n v="3617560000"/>
    <n v="5952800000"/>
    <n v="3619824000"/>
    <n v="31791000000"/>
    <n v="17709038000"/>
    <n v="19572998000"/>
    <n v="0.12399999999999967"/>
    <n v="28893800900"/>
  </r>
  <r>
    <x v="1269"/>
    <s v="912810UQ9"/>
    <s v="Bond"/>
    <s v="20-Year"/>
    <n v="4.6500000000000004"/>
    <n v="4.7060000000000004"/>
    <n v="2.88"/>
    <n v="2.41"/>
    <n v="1829631800"/>
    <n v="38397118000"/>
    <n v="15901105500"/>
    <n v="98896700"/>
    <n v="4634500000"/>
    <n v="6224500000"/>
    <n v="1809987500"/>
    <n v="20706000000"/>
    <n v="9456618000"/>
    <n v="11466618000"/>
    <n v="1.8260000000000005"/>
    <n v="17829634000"/>
  </r>
  <r>
    <x v="1270"/>
    <s v="91282CPL9"/>
    <s v="Note"/>
    <s v="2-Year"/>
    <n v="3.4340000000000002"/>
    <n v="3.4889999999999999"/>
    <n v="3.38"/>
    <n v="2.68"/>
    <n v="7890287400"/>
    <n v="184922656000"/>
    <n v="68711131300"/>
    <n v="284004200"/>
    <n v="21123896800"/>
    <n v="28289000000"/>
    <n v="7684000000"/>
    <n v="99816000000"/>
    <n v="39903234500"/>
    <n v="56817656000"/>
    <n v="0.10899999999999999"/>
    <n v="76885422900"/>
  </r>
  <r>
    <x v="1271"/>
    <s v="91282CPN5"/>
    <s v="Note"/>
    <s v="5-Year"/>
    <n v="3.5150000000000001"/>
    <n v="3.5619999999999998"/>
    <n v="3.46"/>
    <n v="2.41"/>
    <n v="8004639400"/>
    <n v="168769022000"/>
    <n v="69800167000"/>
    <n v="94877200"/>
    <n v="19272500000"/>
    <n v="26234000000"/>
    <n v="7704745000"/>
    <n v="89849000000"/>
    <n v="42822922000"/>
    <n v="52686022000"/>
    <n v="0.10199999999999987"/>
    <n v="77899683600"/>
  </r>
  <r>
    <x v="1272"/>
    <s v="91282CPM7"/>
    <s v="Note"/>
    <s v="7-Year"/>
    <n v="3.7149999999999999"/>
    <n v="3.7810000000000001"/>
    <n v="2.88"/>
    <n v="2.46"/>
    <n v="5031487500"/>
    <n v="108114572000"/>
    <n v="43940026900"/>
    <n v="60006900"/>
    <n v="13302179000"/>
    <n v="18297300000"/>
    <n v="5744480000"/>
    <n v="60849000000"/>
    <n v="24893367900"/>
    <n v="28968272000"/>
    <n v="0.90100000000000025"/>
    <n v="49031521300"/>
  </r>
  <r>
    <x v="1273"/>
    <s v="91282CPP0"/>
    <s v="Note"/>
    <s v="3-Year"/>
    <n v="3.57"/>
    <n v="3.6139999999999999"/>
    <n v="1.8879999999999999"/>
    <n v="2.64"/>
    <n v="0"/>
    <n v="152872480000"/>
    <n v="57719315000"/>
    <n v="175752800"/>
    <n v="10967232500"/>
    <n v="17572000000"/>
    <n v="5211475000"/>
    <n v="82923000000"/>
    <n v="41540607500"/>
    <n v="52377480000"/>
    <n v="1.726"/>
    <n v="57895067800"/>
  </r>
  <r>
    <x v="1274"/>
    <s v="91282CPJ4"/>
    <s v="Note"/>
    <s v="9-Year 11-Month"/>
    <n v="4.12"/>
    <n v="4.1749999999999998"/>
    <n v="4.07"/>
    <n v="2.5499999999999998"/>
    <n v="0"/>
    <n v="99355816000"/>
    <n v="38904926000"/>
    <n v="95122600"/>
    <n v="8153500000"/>
    <n v="12729000000"/>
    <n v="3426225000"/>
    <n v="54856500000"/>
    <n v="27325201000"/>
    <n v="31770316000"/>
    <n v="0.10499999999999954"/>
    <n v="390000486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16D82F-F888-4393-A16D-9FEEF5CC6185}" name="SOMABids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Date">
  <location ref="A3:B93" firstHeaderRow="1" firstDataRow="1" firstDataCol="1"/>
  <pivotFields count="24">
    <pivotField axis="axisRow" numFmtId="14" showAll="0">
      <items count="127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axis="axisRow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20">
        <item sd="0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sd="0" x="19"/>
      </items>
    </pivotField>
    <pivotField dataField="1" dragToRow="0" dragToCol="0" dragToPage="0" showAll="0" defaultSubtotal="0"/>
  </pivotFields>
  <rowFields count="4">
    <field x="22"/>
    <field x="21"/>
    <field x="20"/>
    <field x="0"/>
  </rowFields>
  <rowItems count="90">
    <i>
      <x v="1"/>
    </i>
    <i r="1">
      <x v="2"/>
    </i>
    <i r="1">
      <x v="3"/>
    </i>
    <i r="1">
      <x v="4"/>
    </i>
    <i>
      <x v="2"/>
    </i>
    <i r="1">
      <x v="1"/>
    </i>
    <i r="1">
      <x v="2"/>
    </i>
    <i r="1">
      <x v="3"/>
    </i>
    <i r="1">
      <x v="4"/>
    </i>
    <i>
      <x v="3"/>
    </i>
    <i r="1">
      <x v="1"/>
    </i>
    <i r="1">
      <x v="2"/>
    </i>
    <i r="1">
      <x v="3"/>
    </i>
    <i r="1">
      <x v="4"/>
    </i>
    <i>
      <x v="4"/>
    </i>
    <i r="1">
      <x v="1"/>
    </i>
    <i r="1">
      <x v="2"/>
    </i>
    <i r="1">
      <x v="3"/>
    </i>
    <i r="1">
      <x v="4"/>
    </i>
    <i>
      <x v="5"/>
    </i>
    <i r="1">
      <x v="1"/>
    </i>
    <i r="1">
      <x v="2"/>
    </i>
    <i r="1">
      <x v="3"/>
    </i>
    <i r="1">
      <x v="4"/>
    </i>
    <i>
      <x v="6"/>
    </i>
    <i r="1">
      <x v="1"/>
    </i>
    <i r="1">
      <x v="2"/>
    </i>
    <i r="1">
      <x v="3"/>
    </i>
    <i r="1">
      <x v="4"/>
    </i>
    <i>
      <x v="7"/>
    </i>
    <i r="1">
      <x v="1"/>
    </i>
    <i r="1">
      <x v="2"/>
    </i>
    <i r="1">
      <x v="3"/>
    </i>
    <i r="1">
      <x v="4"/>
    </i>
    <i>
      <x v="8"/>
    </i>
    <i r="1">
      <x v="1"/>
    </i>
    <i r="1">
      <x v="2"/>
    </i>
    <i r="1">
      <x v="3"/>
    </i>
    <i r="1">
      <x v="4"/>
    </i>
    <i>
      <x v="9"/>
    </i>
    <i r="1">
      <x v="1"/>
    </i>
    <i r="1">
      <x v="2"/>
    </i>
    <i r="1">
      <x v="3"/>
    </i>
    <i r="1">
      <x v="4"/>
    </i>
    <i>
      <x v="10"/>
    </i>
    <i r="1">
      <x v="1"/>
    </i>
    <i r="1">
      <x v="2"/>
    </i>
    <i r="1">
      <x v="3"/>
    </i>
    <i r="1">
      <x v="4"/>
    </i>
    <i>
      <x v="11"/>
    </i>
    <i r="1">
      <x v="1"/>
    </i>
    <i r="1">
      <x v="2"/>
    </i>
    <i r="1">
      <x v="3"/>
    </i>
    <i r="1">
      <x v="4"/>
    </i>
    <i>
      <x v="12"/>
    </i>
    <i r="1">
      <x v="1"/>
    </i>
    <i r="1">
      <x v="2"/>
    </i>
    <i r="1">
      <x v="3"/>
    </i>
    <i r="1">
      <x v="4"/>
    </i>
    <i>
      <x v="13"/>
    </i>
    <i r="1">
      <x v="1"/>
    </i>
    <i r="1">
      <x v="2"/>
    </i>
    <i r="1">
      <x v="3"/>
    </i>
    <i r="1">
      <x v="4"/>
    </i>
    <i>
      <x v="14"/>
    </i>
    <i r="1">
      <x v="1"/>
    </i>
    <i r="1">
      <x v="2"/>
    </i>
    <i r="1">
      <x v="3"/>
    </i>
    <i r="1">
      <x v="4"/>
    </i>
    <i>
      <x v="15"/>
    </i>
    <i r="1">
      <x v="1"/>
    </i>
    <i r="1">
      <x v="2"/>
    </i>
    <i r="1">
      <x v="3"/>
    </i>
    <i r="1">
      <x v="4"/>
    </i>
    <i>
      <x v="16"/>
    </i>
    <i r="1">
      <x v="1"/>
    </i>
    <i r="1">
      <x v="2"/>
    </i>
    <i r="1">
      <x v="3"/>
    </i>
    <i r="1">
      <x v="4"/>
    </i>
    <i>
      <x v="17"/>
    </i>
    <i r="1">
      <x v="1"/>
    </i>
    <i r="1">
      <x v="2"/>
    </i>
    <i r="1">
      <x v="3"/>
    </i>
    <i r="1">
      <x v="4"/>
    </i>
    <i>
      <x v="18"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Average of SOMA Proportion" fld="23" subtotal="average" baseField="22" baseItem="1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B1CD0D-C7CF-4952-BB11-E7BA6AF2093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Date">
  <location ref="A3:B16" firstHeaderRow="1" firstDataRow="1" firstDataCol="1"/>
  <pivotFields count="24">
    <pivotField axis="axisRow" numFmtId="14" showAll="0">
      <items count="1276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h="1" x="282"/>
        <item h="1" x="283"/>
        <item h="1" x="284"/>
        <item h="1" x="285"/>
        <item h="1" x="286"/>
        <item h="1" x="287"/>
        <item h="1" x="288"/>
        <item h="1" x="289"/>
        <item h="1" x="290"/>
        <item h="1" x="291"/>
        <item h="1" x="292"/>
        <item h="1" x="293"/>
        <item h="1" x="294"/>
        <item h="1" x="295"/>
        <item h="1" x="296"/>
        <item h="1" x="297"/>
        <item h="1" x="298"/>
        <item h="1" x="299"/>
        <item h="1" x="300"/>
        <item h="1" x="301"/>
        <item h="1" x="302"/>
        <item h="1" x="303"/>
        <item h="1" x="304"/>
        <item h="1" x="305"/>
        <item h="1" x="306"/>
        <item h="1" x="307"/>
        <item h="1" x="308"/>
        <item h="1" x="309"/>
        <item h="1" x="310"/>
        <item h="1" x="311"/>
        <item h="1" x="312"/>
        <item h="1" x="313"/>
        <item h="1" x="314"/>
        <item h="1" x="315"/>
        <item h="1" x="316"/>
        <item h="1" x="317"/>
        <item h="1" x="318"/>
        <item h="1" x="319"/>
        <item h="1" x="320"/>
        <item h="1" x="321"/>
        <item h="1" x="322"/>
        <item h="1" x="323"/>
        <item h="1" x="324"/>
        <item h="1" x="325"/>
        <item h="1" x="326"/>
        <item h="1" x="327"/>
        <item h="1" x="328"/>
        <item h="1" x="329"/>
        <item h="1" x="330"/>
        <item h="1" x="331"/>
        <item h="1" x="332"/>
        <item h="1" x="333"/>
        <item h="1" x="334"/>
        <item h="1" x="335"/>
        <item h="1" x="336"/>
        <item h="1" x="337"/>
        <item h="1" x="338"/>
        <item h="1" x="339"/>
        <item h="1" x="340"/>
        <item h="1" x="341"/>
        <item h="1" x="342"/>
        <item h="1" x="343"/>
        <item h="1" x="344"/>
        <item h="1" x="345"/>
        <item h="1" x="346"/>
        <item h="1" x="347"/>
        <item h="1" x="348"/>
        <item h="1" x="349"/>
        <item h="1" x="350"/>
        <item h="1" x="351"/>
        <item h="1" x="352"/>
        <item h="1" x="353"/>
        <item h="1" x="354"/>
        <item h="1" x="355"/>
        <item h="1" x="356"/>
        <item h="1" x="357"/>
        <item h="1" x="358"/>
        <item h="1" x="359"/>
        <item h="1" x="360"/>
        <item h="1" x="361"/>
        <item h="1" x="362"/>
        <item h="1" x="363"/>
        <item h="1" x="364"/>
        <item h="1" x="365"/>
        <item h="1" x="366"/>
        <item h="1" x="367"/>
        <item h="1" x="368"/>
        <item h="1" x="369"/>
        <item h="1" x="370"/>
        <item h="1" x="371"/>
        <item h="1" x="372"/>
        <item h="1" x="373"/>
        <item h="1" x="374"/>
        <item h="1" x="375"/>
        <item h="1" x="376"/>
        <item h="1" x="377"/>
        <item h="1" x="378"/>
        <item h="1" x="379"/>
        <item h="1" x="380"/>
        <item h="1" x="381"/>
        <item h="1" x="382"/>
        <item h="1" x="383"/>
        <item h="1" x="384"/>
        <item h="1" x="385"/>
        <item h="1" x="386"/>
        <item h="1" x="387"/>
        <item h="1" x="388"/>
        <item h="1" x="389"/>
        <item h="1" x="390"/>
        <item h="1" x="391"/>
        <item h="1" x="392"/>
        <item h="1" x="393"/>
        <item h="1" x="394"/>
        <item h="1" x="395"/>
        <item h="1" x="396"/>
        <item h="1" x="397"/>
        <item h="1" x="398"/>
        <item h="1" x="399"/>
        <item h="1" x="400"/>
        <item h="1" x="401"/>
        <item h="1" x="402"/>
        <item h="1" x="403"/>
        <item h="1" x="404"/>
        <item h="1" x="405"/>
        <item h="1" x="406"/>
        <item h="1" x="407"/>
        <item h="1" x="408"/>
        <item h="1" x="409"/>
        <item h="1" x="410"/>
        <item h="1" x="411"/>
        <item h="1" x="412"/>
        <item h="1" x="413"/>
        <item h="1" x="414"/>
        <item h="1" x="415"/>
        <item h="1" x="416"/>
        <item h="1" x="417"/>
        <item h="1" x="418"/>
        <item h="1" x="419"/>
        <item h="1" x="420"/>
        <item h="1" x="421"/>
        <item h="1" x="422"/>
        <item h="1" x="423"/>
        <item h="1" x="424"/>
        <item h="1" x="425"/>
        <item h="1" x="426"/>
        <item h="1" x="427"/>
        <item h="1" x="428"/>
        <item h="1" x="429"/>
        <item h="1" x="430"/>
        <item h="1" x="431"/>
        <item h="1" x="432"/>
        <item h="1" x="433"/>
        <item h="1" x="434"/>
        <item h="1" x="435"/>
        <item h="1" x="436"/>
        <item h="1" x="437"/>
        <item h="1" x="438"/>
        <item h="1" x="439"/>
        <item h="1" x="440"/>
        <item h="1" x="441"/>
        <item h="1" x="442"/>
        <item h="1" x="443"/>
        <item h="1" x="444"/>
        <item h="1" x="445"/>
        <item h="1" x="446"/>
        <item h="1" x="447"/>
        <item h="1" x="448"/>
        <item h="1" x="449"/>
        <item h="1" x="450"/>
        <item h="1" x="451"/>
        <item h="1" x="452"/>
        <item h="1" x="453"/>
        <item h="1" x="454"/>
        <item h="1" x="455"/>
        <item h="1" x="456"/>
        <item h="1" x="457"/>
        <item h="1" x="458"/>
        <item h="1" x="459"/>
        <item h="1" x="460"/>
        <item h="1" x="461"/>
        <item h="1" x="462"/>
        <item h="1" x="463"/>
        <item h="1" x="464"/>
        <item h="1" x="465"/>
        <item h="1" x="466"/>
        <item h="1" x="467"/>
        <item h="1" x="468"/>
        <item h="1" x="469"/>
        <item h="1" x="470"/>
        <item h="1" x="471"/>
        <item h="1" x="472"/>
        <item h="1" x="473"/>
        <item h="1" x="474"/>
        <item h="1" x="475"/>
        <item h="1" x="476"/>
        <item h="1" x="477"/>
        <item h="1" x="478"/>
        <item h="1" x="479"/>
        <item h="1" x="480"/>
        <item h="1" x="481"/>
        <item h="1" x="482"/>
        <item h="1" x="483"/>
        <item h="1" x="484"/>
        <item h="1" x="485"/>
        <item h="1" x="486"/>
        <item h="1" x="487"/>
        <item h="1" x="488"/>
        <item h="1" x="489"/>
        <item h="1" x="490"/>
        <item h="1" x="491"/>
        <item h="1" x="492"/>
        <item h="1" x="493"/>
        <item h="1" x="494"/>
        <item h="1" x="495"/>
        <item h="1" x="496"/>
        <item h="1" x="497"/>
        <item h="1" x="498"/>
        <item h="1" x="499"/>
        <item h="1" x="500"/>
        <item h="1" x="501"/>
        <item h="1" x="502"/>
        <item h="1" x="503"/>
        <item h="1" x="504"/>
        <item h="1" x="505"/>
        <item h="1" x="506"/>
        <item h="1" x="507"/>
        <item h="1" x="508"/>
        <item h="1" x="509"/>
        <item h="1" x="510"/>
        <item h="1" x="511"/>
        <item h="1" x="512"/>
        <item h="1" x="513"/>
        <item h="1" x="514"/>
        <item h="1" x="515"/>
        <item h="1" x="516"/>
        <item h="1" x="517"/>
        <item h="1" x="518"/>
        <item h="1" x="519"/>
        <item h="1" x="520"/>
        <item h="1" x="521"/>
        <item h="1" x="522"/>
        <item h="1" x="523"/>
        <item h="1" x="524"/>
        <item h="1" x="525"/>
        <item h="1" x="526"/>
        <item h="1" x="527"/>
        <item h="1" x="528"/>
        <item h="1" x="529"/>
        <item h="1" x="530"/>
        <item h="1" x="531"/>
        <item h="1" x="532"/>
        <item h="1" x="533"/>
        <item h="1" x="534"/>
        <item h="1" x="535"/>
        <item h="1" x="536"/>
        <item h="1" x="537"/>
        <item h="1" x="538"/>
        <item h="1" x="539"/>
        <item h="1" x="540"/>
        <item h="1" x="541"/>
        <item h="1" x="542"/>
        <item h="1" x="543"/>
        <item h="1" x="544"/>
        <item h="1" x="545"/>
        <item h="1" x="546"/>
        <item h="1" x="547"/>
        <item h="1" x="548"/>
        <item h="1" x="549"/>
        <item h="1" x="550"/>
        <item h="1" x="551"/>
        <item h="1" x="552"/>
        <item h="1" x="553"/>
        <item h="1" x="554"/>
        <item h="1" x="555"/>
        <item h="1" x="556"/>
        <item h="1" x="557"/>
        <item h="1" x="558"/>
        <item h="1" x="559"/>
        <item h="1" x="560"/>
        <item h="1" x="561"/>
        <item h="1" x="562"/>
        <item h="1" x="563"/>
        <item h="1" x="564"/>
        <item h="1" x="565"/>
        <item h="1" x="566"/>
        <item h="1" x="567"/>
        <item h="1" x="568"/>
        <item h="1" x="569"/>
        <item h="1" x="570"/>
        <item h="1" x="571"/>
        <item h="1" x="572"/>
        <item h="1" x="573"/>
        <item h="1" x="574"/>
        <item h="1" x="575"/>
        <item h="1" x="576"/>
        <item h="1" x="577"/>
        <item h="1" x="578"/>
        <item h="1" x="579"/>
        <item h="1" x="580"/>
        <item h="1" x="581"/>
        <item h="1" x="582"/>
        <item h="1" x="583"/>
        <item h="1" x="584"/>
        <item h="1" x="585"/>
        <item h="1" x="586"/>
        <item h="1" x="587"/>
        <item h="1" x="588"/>
        <item h="1" x="589"/>
        <item h="1" x="590"/>
        <item h="1" x="591"/>
        <item h="1" x="592"/>
        <item h="1" x="593"/>
        <item h="1" x="594"/>
        <item h="1" x="595"/>
        <item h="1" x="596"/>
        <item h="1" x="597"/>
        <item h="1" x="598"/>
        <item h="1" x="599"/>
        <item h="1" x="600"/>
        <item h="1" x="601"/>
        <item h="1" x="602"/>
        <item h="1" x="603"/>
        <item h="1" x="604"/>
        <item h="1" x="605"/>
        <item h="1" x="606"/>
        <item h="1" x="607"/>
        <item h="1" x="608"/>
        <item h="1" x="609"/>
        <item h="1" x="610"/>
        <item h="1" x="611"/>
        <item h="1" x="612"/>
        <item h="1" x="613"/>
        <item h="1" x="614"/>
        <item h="1" x="615"/>
        <item h="1" x="616"/>
        <item h="1" x="617"/>
        <item h="1" x="618"/>
        <item h="1" x="619"/>
        <item h="1" x="620"/>
        <item h="1" x="621"/>
        <item h="1" x="622"/>
        <item h="1" x="623"/>
        <item h="1" x="624"/>
        <item h="1" x="625"/>
        <item h="1" x="626"/>
        <item h="1" x="627"/>
        <item h="1" x="628"/>
        <item h="1" x="629"/>
        <item h="1" x="630"/>
        <item h="1" x="631"/>
        <item h="1" x="632"/>
        <item h="1" x="633"/>
        <item h="1" x="634"/>
        <item h="1" x="635"/>
        <item h="1" x="636"/>
        <item h="1" x="637"/>
        <item h="1" x="638"/>
        <item h="1" x="639"/>
        <item h="1" x="640"/>
        <item h="1" x="641"/>
        <item h="1" x="642"/>
        <item h="1" x="643"/>
        <item h="1" x="644"/>
        <item h="1" x="645"/>
        <item h="1" x="646"/>
        <item h="1" x="647"/>
        <item h="1" x="648"/>
        <item h="1" x="649"/>
        <item h="1" x="650"/>
        <item h="1" x="651"/>
        <item h="1" x="652"/>
        <item h="1" x="653"/>
        <item h="1" x="654"/>
        <item h="1" x="655"/>
        <item h="1" x="656"/>
        <item h="1" x="657"/>
        <item h="1" x="658"/>
        <item h="1" x="659"/>
        <item h="1" x="660"/>
        <item h="1" x="661"/>
        <item h="1" x="662"/>
        <item h="1" x="663"/>
        <item h="1" x="664"/>
        <item h="1" x="665"/>
        <item h="1" x="666"/>
        <item h="1" x="667"/>
        <item h="1" x="668"/>
        <item h="1" x="669"/>
        <item h="1" x="670"/>
        <item h="1" x="671"/>
        <item h="1" x="672"/>
        <item h="1" x="673"/>
        <item h="1" x="674"/>
        <item h="1" x="675"/>
        <item h="1" x="676"/>
        <item h="1" x="677"/>
        <item h="1" x="678"/>
        <item h="1" x="679"/>
        <item h="1" x="680"/>
        <item h="1" x="681"/>
        <item h="1" x="682"/>
        <item h="1" x="683"/>
        <item h="1" x="684"/>
        <item h="1" x="685"/>
        <item h="1" x="686"/>
        <item h="1" x="687"/>
        <item h="1" x="688"/>
        <item h="1" x="689"/>
        <item h="1" x="690"/>
        <item h="1" x="691"/>
        <item h="1" x="692"/>
        <item h="1" x="693"/>
        <item h="1" x="694"/>
        <item h="1" x="695"/>
        <item h="1" x="696"/>
        <item h="1" x="697"/>
        <item h="1" x="698"/>
        <item h="1" x="699"/>
        <item h="1" x="700"/>
        <item h="1" x="701"/>
        <item h="1" x="702"/>
        <item h="1" x="703"/>
        <item h="1" x="704"/>
        <item h="1" x="705"/>
        <item h="1" x="706"/>
        <item h="1" x="707"/>
        <item h="1" x="708"/>
        <item h="1" x="709"/>
        <item h="1" x="710"/>
        <item h="1" x="711"/>
        <item h="1" x="712"/>
        <item h="1" x="713"/>
        <item h="1" x="714"/>
        <item h="1" x="715"/>
        <item h="1" x="716"/>
        <item h="1" x="717"/>
        <item h="1" x="718"/>
        <item h="1" x="719"/>
        <item h="1" x="720"/>
        <item h="1" x="721"/>
        <item h="1" x="722"/>
        <item h="1" x="723"/>
        <item h="1" x="724"/>
        <item h="1" x="725"/>
        <item h="1" x="726"/>
        <item h="1" x="727"/>
        <item h="1" x="728"/>
        <item h="1" x="729"/>
        <item h="1" x="730"/>
        <item h="1" x="731"/>
        <item h="1" x="732"/>
        <item h="1" x="733"/>
        <item h="1" x="734"/>
        <item h="1" x="735"/>
        <item h="1" x="736"/>
        <item h="1" x="737"/>
        <item h="1" x="738"/>
        <item h="1" x="739"/>
        <item h="1" x="740"/>
        <item h="1" x="741"/>
        <item h="1" x="742"/>
        <item h="1" x="743"/>
        <item h="1" x="744"/>
        <item h="1" x="745"/>
        <item h="1" x="746"/>
        <item h="1" x="747"/>
        <item h="1" x="748"/>
        <item h="1" x="749"/>
        <item h="1" x="750"/>
        <item h="1" x="751"/>
        <item h="1" x="752"/>
        <item h="1" x="753"/>
        <item h="1" x="754"/>
        <item h="1" x="755"/>
        <item h="1" x="756"/>
        <item h="1" x="757"/>
        <item h="1" x="758"/>
        <item h="1" x="759"/>
        <item h="1" x="760"/>
        <item h="1" x="761"/>
        <item h="1" x="762"/>
        <item h="1" x="763"/>
        <item h="1" x="764"/>
        <item h="1" x="765"/>
        <item h="1" x="766"/>
        <item h="1" x="767"/>
        <item h="1" x="768"/>
        <item h="1" x="769"/>
        <item h="1" x="770"/>
        <item h="1" x="771"/>
        <item h="1" x="772"/>
        <item h="1" x="773"/>
        <item h="1" x="774"/>
        <item h="1" x="775"/>
        <item h="1" x="776"/>
        <item h="1" x="777"/>
        <item h="1" x="778"/>
        <item h="1" x="779"/>
        <item h="1" x="780"/>
        <item h="1" x="781"/>
        <item h="1" x="782"/>
        <item h="1" x="783"/>
        <item h="1" x="784"/>
        <item h="1" x="785"/>
        <item h="1" x="786"/>
        <item h="1" x="787"/>
        <item h="1" x="788"/>
        <item h="1" x="789"/>
        <item h="1" x="790"/>
        <item h="1" x="791"/>
        <item h="1" x="792"/>
        <item h="1" x="793"/>
        <item h="1" x="794"/>
        <item h="1" x="795"/>
        <item h="1" x="796"/>
        <item h="1" x="797"/>
        <item h="1" x="798"/>
        <item h="1" x="799"/>
        <item h="1" x="800"/>
        <item h="1" x="801"/>
        <item h="1" x="802"/>
        <item h="1" x="803"/>
        <item h="1" x="804"/>
        <item h="1" x="805"/>
        <item h="1" x="806"/>
        <item h="1" x="807"/>
        <item h="1" x="808"/>
        <item h="1" x="809"/>
        <item h="1" x="810"/>
        <item h="1" x="811"/>
        <item h="1" x="812"/>
        <item h="1" x="813"/>
        <item h="1" x="814"/>
        <item h="1" x="815"/>
        <item h="1" x="816"/>
        <item h="1" x="817"/>
        <item h="1" x="818"/>
        <item h="1" x="819"/>
        <item h="1" x="820"/>
        <item h="1" x="821"/>
        <item h="1" x="822"/>
        <item h="1" x="823"/>
        <item h="1" x="824"/>
        <item h="1" x="825"/>
        <item h="1" x="826"/>
        <item h="1" x="827"/>
        <item h="1" x="828"/>
        <item h="1" x="829"/>
        <item h="1" x="830"/>
        <item h="1" x="831"/>
        <item h="1" x="832"/>
        <item h="1" x="833"/>
        <item h="1" x="834"/>
        <item h="1" x="835"/>
        <item h="1" x="836"/>
        <item h="1" x="837"/>
        <item h="1" x="838"/>
        <item h="1" x="839"/>
        <item h="1" x="840"/>
        <item h="1" x="841"/>
        <item h="1" x="842"/>
        <item h="1" x="843"/>
        <item h="1" x="844"/>
        <item h="1" x="845"/>
        <item h="1" x="846"/>
        <item h="1" x="847"/>
        <item h="1" x="848"/>
        <item h="1" x="849"/>
        <item h="1" x="850"/>
        <item h="1" x="851"/>
        <item h="1" x="852"/>
        <item h="1" x="853"/>
        <item h="1" x="854"/>
        <item h="1" x="855"/>
        <item h="1" x="856"/>
        <item h="1" x="857"/>
        <item h="1" x="858"/>
        <item h="1" x="859"/>
        <item h="1" x="860"/>
        <item h="1" x="861"/>
        <item h="1" x="862"/>
        <item h="1" x="863"/>
        <item h="1" x="864"/>
        <item h="1" x="865"/>
        <item h="1" x="866"/>
        <item h="1" x="867"/>
        <item h="1" x="868"/>
        <item h="1" x="869"/>
        <item h="1" x="870"/>
        <item h="1" x="871"/>
        <item h="1" x="872"/>
        <item h="1" x="873"/>
        <item h="1" x="874"/>
        <item h="1" x="875"/>
        <item h="1" x="876"/>
        <item h="1" x="877"/>
        <item h="1" x="878"/>
        <item h="1" x="879"/>
        <item h="1" x="880"/>
        <item h="1" x="881"/>
        <item h="1" x="882"/>
        <item h="1" x="883"/>
        <item h="1" x="884"/>
        <item h="1" x="885"/>
        <item h="1" x="886"/>
        <item h="1" x="887"/>
        <item h="1" x="888"/>
        <item h="1" x="889"/>
        <item h="1" x="890"/>
        <item h="1" x="891"/>
        <item h="1" x="892"/>
        <item h="1" x="893"/>
        <item h="1" x="894"/>
        <item h="1" x="895"/>
        <item h="1" x="896"/>
        <item h="1" x="897"/>
        <item h="1" x="898"/>
        <item h="1" x="899"/>
        <item h="1" x="900"/>
        <item h="1" x="901"/>
        <item h="1" x="902"/>
        <item h="1" x="903"/>
        <item h="1" x="904"/>
        <item h="1" x="905"/>
        <item h="1" x="906"/>
        <item h="1" x="907"/>
        <item h="1" x="908"/>
        <item h="1" x="909"/>
        <item h="1" x="910"/>
        <item h="1" x="911"/>
        <item h="1" x="912"/>
        <item h="1" x="913"/>
        <item h="1" x="914"/>
        <item h="1" x="915"/>
        <item h="1" x="916"/>
        <item h="1" x="917"/>
        <item h="1" x="918"/>
        <item h="1" x="919"/>
        <item h="1" x="920"/>
        <item h="1" x="921"/>
        <item h="1" x="922"/>
        <item h="1" x="923"/>
        <item h="1" x="924"/>
        <item h="1" x="925"/>
        <item h="1" x="926"/>
        <item h="1" x="927"/>
        <item h="1" x="928"/>
        <item h="1" x="929"/>
        <item h="1" x="930"/>
        <item h="1" x="931"/>
        <item h="1" x="932"/>
        <item h="1" x="933"/>
        <item h="1" x="934"/>
        <item h="1" x="935"/>
        <item h="1" x="936"/>
        <item h="1" x="937"/>
        <item h="1" x="938"/>
        <item h="1" x="939"/>
        <item h="1" x="940"/>
        <item h="1" x="941"/>
        <item h="1" x="942"/>
        <item h="1" x="943"/>
        <item h="1" x="944"/>
        <item h="1" x="945"/>
        <item h="1" x="946"/>
        <item h="1" x="947"/>
        <item h="1" x="948"/>
        <item h="1" x="949"/>
        <item h="1" x="950"/>
        <item h="1" x="951"/>
        <item h="1" x="952"/>
        <item h="1" x="953"/>
        <item h="1" x="954"/>
        <item h="1" x="955"/>
        <item h="1" x="956"/>
        <item h="1" x="957"/>
        <item h="1" x="958"/>
        <item h="1" x="959"/>
        <item h="1" x="960"/>
        <item h="1" x="961"/>
        <item h="1" x="962"/>
        <item h="1" x="963"/>
        <item h="1" x="964"/>
        <item h="1" x="965"/>
        <item h="1" x="966"/>
        <item h="1" x="967"/>
        <item h="1" x="968"/>
        <item h="1" x="969"/>
        <item h="1" x="970"/>
        <item h="1" x="971"/>
        <item h="1" x="972"/>
        <item h="1" x="973"/>
        <item h="1" x="974"/>
        <item h="1" x="975"/>
        <item h="1" x="976"/>
        <item h="1" x="977"/>
        <item h="1" x="978"/>
        <item h="1" x="979"/>
        <item h="1" x="980"/>
        <item h="1" x="981"/>
        <item h="1" x="982"/>
        <item h="1" x="983"/>
        <item h="1" x="984"/>
        <item h="1" x="985"/>
        <item h="1" x="986"/>
        <item h="1" x="987"/>
        <item h="1" x="988"/>
        <item h="1" x="989"/>
        <item h="1" x="990"/>
        <item h="1" x="991"/>
        <item h="1" x="992"/>
        <item h="1" x="993"/>
        <item h="1" x="994"/>
        <item h="1" x="995"/>
        <item h="1" x="996"/>
        <item h="1" x="997"/>
        <item h="1" x="998"/>
        <item h="1" x="999"/>
        <item h="1" x="1000"/>
        <item h="1" x="1001"/>
        <item h="1" x="1002"/>
        <item h="1" x="1003"/>
        <item h="1" x="1004"/>
        <item h="1" x="1005"/>
        <item h="1" x="1006"/>
        <item h="1" x="1007"/>
        <item h="1" x="1008"/>
        <item h="1" x="1009"/>
        <item h="1" x="1010"/>
        <item h="1" x="1011"/>
        <item h="1" x="1012"/>
        <item h="1" x="1013"/>
        <item h="1" x="1014"/>
        <item h="1" x="1015"/>
        <item h="1" x="1016"/>
        <item h="1" x="1017"/>
        <item h="1" x="1018"/>
        <item h="1" x="1019"/>
        <item h="1" x="1020"/>
        <item h="1" x="1021"/>
        <item h="1" x="1022"/>
        <item h="1" x="1023"/>
        <item h="1" x="1024"/>
        <item h="1" x="1025"/>
        <item h="1" x="1026"/>
        <item h="1" x="1027"/>
        <item h="1" x="1028"/>
        <item h="1" x="1029"/>
        <item h="1" x="1030"/>
        <item h="1" x="1031"/>
        <item h="1" x="1032"/>
        <item h="1" x="1033"/>
        <item h="1" x="1034"/>
        <item h="1" x="1035"/>
        <item h="1" x="1036"/>
        <item h="1" x="1037"/>
        <item h="1" x="1038"/>
        <item h="1" x="1039"/>
        <item h="1" x="1040"/>
        <item h="1" x="1041"/>
        <item h="1" x="1042"/>
        <item h="1" x="1043"/>
        <item h="1" x="1044"/>
        <item h="1" x="1045"/>
        <item h="1" x="1046"/>
        <item h="1" x="1047"/>
        <item h="1" x="1048"/>
        <item h="1" x="1049"/>
        <item h="1" x="1050"/>
        <item h="1" x="1051"/>
        <item h="1" x="1052"/>
        <item h="1" x="1053"/>
        <item h="1" x="1054"/>
        <item h="1" x="1055"/>
        <item h="1" x="1056"/>
        <item h="1" x="1057"/>
        <item h="1" x="1058"/>
        <item h="1" x="1059"/>
        <item h="1" x="1060"/>
        <item h="1" x="1061"/>
        <item h="1" x="1062"/>
        <item h="1" x="1063"/>
        <item h="1" x="1064"/>
        <item h="1" x="1065"/>
        <item h="1" x="1066"/>
        <item h="1" x="1067"/>
        <item h="1" x="1068"/>
        <item h="1" x="1069"/>
        <item h="1" x="1070"/>
        <item h="1" x="1071"/>
        <item h="1" x="1072"/>
        <item h="1" x="1073"/>
        <item h="1" x="1074"/>
        <item h="1" x="1075"/>
        <item h="1" x="1076"/>
        <item h="1" x="1077"/>
        <item h="1" x="1078"/>
        <item h="1" x="1079"/>
        <item h="1" x="1080"/>
        <item h="1" x="1081"/>
        <item h="1" x="1082"/>
        <item h="1" x="1083"/>
        <item h="1" x="1084"/>
        <item h="1" x="1085"/>
        <item h="1" x="1086"/>
        <item h="1" x="1087"/>
        <item h="1" x="1088"/>
        <item h="1" x="1089"/>
        <item h="1" x="1090"/>
        <item h="1" x="1091"/>
        <item h="1" x="1092"/>
        <item h="1" x="1093"/>
        <item h="1" x="1094"/>
        <item h="1" x="1095"/>
        <item h="1" x="1096"/>
        <item h="1" x="1097"/>
        <item h="1" x="1098"/>
        <item h="1" x="1099"/>
        <item h="1" x="1100"/>
        <item h="1" x="1101"/>
        <item h="1" x="1102"/>
        <item h="1" x="1103"/>
        <item h="1" x="1104"/>
        <item h="1" x="1105"/>
        <item h="1" x="1106"/>
        <item h="1" x="1107"/>
        <item h="1" x="1108"/>
        <item h="1" x="1109"/>
        <item h="1" x="1110"/>
        <item h="1" x="1111"/>
        <item h="1" x="1112"/>
        <item h="1" x="1113"/>
        <item h="1" x="1114"/>
        <item h="1" x="1115"/>
        <item h="1" x="1116"/>
        <item h="1" x="1117"/>
        <item h="1" x="1118"/>
        <item h="1" x="1119"/>
        <item h="1" x="1120"/>
        <item h="1" x="1121"/>
        <item h="1" x="1122"/>
        <item h="1" x="1123"/>
        <item h="1" x="1124"/>
        <item h="1" x="1125"/>
        <item h="1" x="1126"/>
        <item h="1" x="1127"/>
        <item h="1" x="1128"/>
        <item h="1" x="1129"/>
        <item h="1" x="1130"/>
        <item h="1" x="1131"/>
        <item h="1" x="1132"/>
        <item h="1" x="1133"/>
        <item h="1" x="1134"/>
        <item h="1" x="1135"/>
        <item h="1" x="1136"/>
        <item h="1" x="1137"/>
        <item h="1" x="1138"/>
        <item h="1" x="1139"/>
        <item h="1" x="1140"/>
        <item h="1" x="1141"/>
        <item h="1" x="1142"/>
        <item h="1" x="1143"/>
        <item h="1" x="1144"/>
        <item h="1" x="1145"/>
        <item h="1" x="1146"/>
        <item h="1" x="1147"/>
        <item h="1" x="1148"/>
        <item h="1" x="1149"/>
        <item h="1" x="1150"/>
        <item h="1" x="1151"/>
        <item h="1" x="1152"/>
        <item h="1" x="1153"/>
        <item h="1" x="1154"/>
        <item h="1" x="1155"/>
        <item h="1" x="1156"/>
        <item h="1" x="1157"/>
        <item h="1" x="1158"/>
        <item h="1" x="1159"/>
        <item h="1" x="1160"/>
        <item h="1" x="1161"/>
        <item h="1" x="1162"/>
        <item h="1" x="1163"/>
        <item h="1" x="1164"/>
        <item h="1" x="1165"/>
        <item h="1" x="1166"/>
        <item h="1" x="1167"/>
        <item h="1" x="1168"/>
        <item h="1" x="1169"/>
        <item h="1" x="1170"/>
        <item h="1" x="1171"/>
        <item h="1" x="1172"/>
        <item h="1" x="1173"/>
        <item h="1" x="1174"/>
        <item h="1" x="1175"/>
        <item h="1" x="1176"/>
        <item h="1" x="1177"/>
        <item h="1" x="1178"/>
        <item h="1" x="1179"/>
        <item h="1" x="1180"/>
        <item h="1" x="1181"/>
        <item h="1" x="1182"/>
        <item h="1" x="1183"/>
        <item h="1" x="1184"/>
        <item h="1" x="1185"/>
        <item h="1" x="1186"/>
        <item h="1" x="1187"/>
        <item h="1" x="1188"/>
        <item h="1" x="1189"/>
        <item h="1" x="1190"/>
        <item h="1" x="1191"/>
        <item h="1" x="1192"/>
        <item h="1" x="1193"/>
        <item h="1" x="1194"/>
        <item h="1" x="1195"/>
        <item h="1" x="1196"/>
        <item h="1" x="1197"/>
        <item h="1"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h="1" x="1273"/>
        <item h="1" x="127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x="1"/>
        <item x="2"/>
        <item x="3"/>
        <item x="4"/>
        <item sd="0" x="5"/>
      </items>
    </pivotField>
    <pivotField axis="axisRow" showAll="0" defaultSubtotal="0">
      <items count="20">
        <item h="1" sd="0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x="18"/>
        <item h="1" sd="0" x="19"/>
      </items>
    </pivotField>
    <pivotField dragToRow="0" dragToCol="0" dragToPage="0" showAll="0" defaultSubtotal="0"/>
  </pivotFields>
  <rowFields count="3">
    <field x="22"/>
    <field x="20"/>
    <field x="0"/>
  </rowFields>
  <rowItems count="13">
    <i>
      <x v="18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Items count="1">
    <i/>
  </colItems>
  <dataFields count="1">
    <dataField name="Sum of soma_accepted" fld="8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FBB7E8-ED78-4BB6-BC26-F1DE4C925320}" name="AuctionData" displayName="AuctionData" ref="A1:T1320" totalsRowShown="0">
  <autoFilter ref="A1:T1320" xr:uid="{FCFBB7E8-ED78-4BB6-BC26-F1DE4C925320}"/>
  <sortState xmlns:xlrd2="http://schemas.microsoft.com/office/spreadsheetml/2017/richdata2" ref="A2:S1320">
    <sortCondition ref="A1:A1320"/>
  </sortState>
  <tableColumns count="20">
    <tableColumn id="1" xr3:uid="{0C423AB7-B072-438A-91E5-03BEB50E24B7}" name="auction_date" dataDxfId="12"/>
    <tableColumn id="2" xr3:uid="{EBC5DAB7-86CF-45DC-A81D-94DA12723A3A}" name="cusip"/>
    <tableColumn id="3" xr3:uid="{12CD7BC0-BC55-4761-BEE3-714A05C77A16}" name="security_type"/>
    <tableColumn id="4" xr3:uid="{5CDF8DDE-7E86-4974-9689-74912A23C9F9}" name="security_term"/>
    <tableColumn id="5" xr3:uid="{AE987B77-59C3-410D-A87C-DF38A9A4BB4F}" name="med_yield"/>
    <tableColumn id="6" xr3:uid="{FB130037-E3E4-45C6-8186-B1CE90C37340}" name="high_yield"/>
    <tableColumn id="7" xr3:uid="{D7B0C64B-CF8D-4C18-B237-63E11858B067}" name="low_yield"/>
    <tableColumn id="8" xr3:uid="{DFD75B54-5735-48EA-9008-961525F33683}" name="bid_to_cover_ratio"/>
    <tableColumn id="9" xr3:uid="{F90D59A0-DE89-4E76-B085-16C94CA3435F}" name="soma_accepted" dataDxfId="11"/>
    <tableColumn id="10" xr3:uid="{E9125794-D9D7-4C0D-B9DE-E12701F00D93}" name="comp_tendered" dataDxfId="10"/>
    <tableColumn id="11" xr3:uid="{BE576B19-67CC-475F-B178-9333C246375E}" name="comp_accepted" dataDxfId="9"/>
    <tableColumn id="12" xr3:uid="{F215F8C3-55FB-4B69-B0F6-D7D350470427}" name="noncomp_accepted" dataDxfId="8"/>
    <tableColumn id="13" xr3:uid="{45F5F07B-A4A7-46F1-AA68-2A2458F92ED3}" name="direct_bidder_accepted" dataDxfId="7"/>
    <tableColumn id="14" xr3:uid="{1D82E964-C4D4-4DD7-B351-AD6F3B091206}" name="direct_bidder_tendered" dataDxfId="6"/>
    <tableColumn id="15" xr3:uid="{F8A3EFD8-5C4D-4D1F-A173-FBAF846C7172}" name="primary_dealer_accepted" dataDxfId="5"/>
    <tableColumn id="16" xr3:uid="{2CA37499-A8FA-489C-B00B-7794E07094FD}" name="primary_dealer_tendered" dataDxfId="4"/>
    <tableColumn id="17" xr3:uid="{3D6A160A-B6AE-4BB0-81B1-39A0F360AA0F}" name="indirect_bidder_accepted" dataDxfId="3"/>
    <tableColumn id="18" xr3:uid="{E201153F-1C40-475C-B16B-4335264957BB}" name="indirect_bidder_tendered" dataDxfId="2"/>
    <tableColumn id="19" xr3:uid="{15152FEC-CCEE-44F8-AF42-F2689184324C}" name="yield spread" dataDxfId="1">
      <calculatedColumnFormula>SUM($F2,-$G2)</calculatedColumnFormula>
    </tableColumn>
    <tableColumn id="20" xr3:uid="{48A448C0-82A2-449D-B720-FD723C93D95A}" name="issued" dataDxfId="0">
      <calculatedColumnFormula>SUM(I2,K2,L2)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673D2-5DED-4B63-8E79-DB7B5B6925B6}">
  <dimension ref="A1:T1320"/>
  <sheetViews>
    <sheetView tabSelected="1" topLeftCell="A14" workbookViewId="0">
      <selection activeCell="C28" sqref="C28"/>
    </sheetView>
  </sheetViews>
  <sheetFormatPr defaultRowHeight="14.4" x14ac:dyDescent="0.3"/>
  <cols>
    <col min="1" max="1" width="13.6640625" customWidth="1"/>
    <col min="2" max="2" width="11.33203125" bestFit="1" customWidth="1"/>
    <col min="3" max="3" width="14" customWidth="1"/>
    <col min="4" max="4" width="15.44140625" bestFit="1" customWidth="1"/>
    <col min="5" max="5" width="15.109375" customWidth="1"/>
    <col min="6" max="6" width="11.21875" customWidth="1"/>
    <col min="7" max="7" width="10.6640625" customWidth="1"/>
    <col min="8" max="8" width="18.109375" customWidth="1"/>
    <col min="9" max="9" width="17.44140625" bestFit="1" customWidth="1"/>
    <col min="10" max="10" width="18.44140625" bestFit="1" customWidth="1"/>
    <col min="11" max="11" width="17.44140625" bestFit="1" customWidth="1"/>
    <col min="12" max="12" width="19.33203125" customWidth="1"/>
    <col min="13" max="13" width="22.88671875" customWidth="1"/>
    <col min="14" max="14" width="22.5546875" customWidth="1"/>
    <col min="15" max="15" width="24.21875" customWidth="1"/>
    <col min="16" max="16" width="23.88671875" customWidth="1"/>
    <col min="17" max="17" width="24.44140625" customWidth="1"/>
    <col min="18" max="18" width="24.109375" customWidth="1"/>
    <col min="20" max="20" width="17.441406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1021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1020</v>
      </c>
      <c r="T1" t="s">
        <v>1022</v>
      </c>
    </row>
    <row r="2" spans="1:20" x14ac:dyDescent="0.3">
      <c r="A2" s="1">
        <v>39561</v>
      </c>
      <c r="B2" t="s">
        <v>20</v>
      </c>
      <c r="C2" t="s">
        <v>18</v>
      </c>
      <c r="D2" t="s">
        <v>21</v>
      </c>
      <c r="E2">
        <v>2.19</v>
      </c>
      <c r="F2">
        <v>2.2250000000000001</v>
      </c>
      <c r="G2">
        <v>2.1469999999999998</v>
      </c>
      <c r="H2">
        <v>2.21</v>
      </c>
      <c r="I2" s="2">
        <v>2751815900</v>
      </c>
      <c r="J2" s="2">
        <v>65661000000</v>
      </c>
      <c r="K2" s="2">
        <v>29428870000</v>
      </c>
      <c r="L2" s="2">
        <v>546207900</v>
      </c>
      <c r="M2" s="2">
        <v>161000000</v>
      </c>
      <c r="N2" s="2">
        <v>286000000</v>
      </c>
      <c r="O2" s="2">
        <v>19370870000</v>
      </c>
      <c r="P2" s="2">
        <v>52638000000</v>
      </c>
      <c r="Q2" s="2">
        <v>9897000000</v>
      </c>
      <c r="R2" s="2">
        <v>12737000000</v>
      </c>
      <c r="S2" s="2">
        <f t="shared" ref="S2:S65" si="0">SUM($F2,-$G2)</f>
        <v>7.8000000000000291E-2</v>
      </c>
      <c r="T2" s="2">
        <f t="shared" ref="T2:T65" si="1">SUM(I2,K2,L2)</f>
        <v>32726893800</v>
      </c>
    </row>
    <row r="3" spans="1:20" x14ac:dyDescent="0.3">
      <c r="A3" s="1">
        <v>39562</v>
      </c>
      <c r="B3" t="s">
        <v>17</v>
      </c>
      <c r="C3" t="s">
        <v>18</v>
      </c>
      <c r="D3" t="s">
        <v>19</v>
      </c>
      <c r="E3">
        <v>3.09</v>
      </c>
      <c r="F3">
        <v>3.1589999999999998</v>
      </c>
      <c r="G3">
        <v>3.02</v>
      </c>
      <c r="H3">
        <v>1.65</v>
      </c>
      <c r="I3" s="2">
        <v>1742816600</v>
      </c>
      <c r="J3" s="2">
        <v>31306500000</v>
      </c>
      <c r="K3" s="2">
        <v>18925850000</v>
      </c>
      <c r="L3" s="2">
        <v>49155700</v>
      </c>
      <c r="M3" s="2">
        <v>34000000</v>
      </c>
      <c r="N3" s="2">
        <v>34000000</v>
      </c>
      <c r="O3" s="2">
        <v>13429350000</v>
      </c>
      <c r="P3" s="2">
        <v>25810000000</v>
      </c>
      <c r="Q3" s="2">
        <v>5462500000</v>
      </c>
      <c r="R3" s="2">
        <v>5462500000</v>
      </c>
      <c r="S3" s="2">
        <f t="shared" si="0"/>
        <v>0.13899999999999979</v>
      </c>
      <c r="T3" s="2">
        <f t="shared" si="1"/>
        <v>20717822300</v>
      </c>
    </row>
    <row r="4" spans="1:20" x14ac:dyDescent="0.3">
      <c r="A4" s="1">
        <v>39575</v>
      </c>
      <c r="B4" t="s">
        <v>25</v>
      </c>
      <c r="C4" t="s">
        <v>18</v>
      </c>
      <c r="D4" t="s">
        <v>26</v>
      </c>
      <c r="E4">
        <v>3.883</v>
      </c>
      <c r="F4">
        <v>3.9369999999999998</v>
      </c>
      <c r="G4">
        <v>3.82</v>
      </c>
      <c r="H4">
        <v>2.21</v>
      </c>
      <c r="I4" s="2">
        <v>8076923000</v>
      </c>
      <c r="J4" s="2">
        <v>32810110000</v>
      </c>
      <c r="K4" s="2">
        <v>14726166500</v>
      </c>
      <c r="L4" s="2">
        <v>148836300</v>
      </c>
      <c r="M4" s="2">
        <v>127110000</v>
      </c>
      <c r="N4" s="2">
        <v>132110000</v>
      </c>
      <c r="O4" s="2">
        <v>10423056500</v>
      </c>
      <c r="P4" s="2">
        <v>28302000000</v>
      </c>
      <c r="Q4" s="2">
        <v>4176000000</v>
      </c>
      <c r="R4" s="2">
        <v>4376000000</v>
      </c>
      <c r="S4" s="2">
        <f t="shared" si="0"/>
        <v>0.11699999999999999</v>
      </c>
      <c r="T4" s="2">
        <f t="shared" si="1"/>
        <v>22951925800</v>
      </c>
    </row>
    <row r="5" spans="1:20" x14ac:dyDescent="0.3">
      <c r="A5" s="1">
        <v>39576</v>
      </c>
      <c r="B5" t="s">
        <v>22</v>
      </c>
      <c r="C5" t="s">
        <v>23</v>
      </c>
      <c r="D5" t="s">
        <v>24</v>
      </c>
      <c r="E5">
        <v>4.5640000000000001</v>
      </c>
      <c r="F5">
        <v>4.5990000000000002</v>
      </c>
      <c r="G5">
        <v>4.5</v>
      </c>
      <c r="H5">
        <v>2.69</v>
      </c>
      <c r="I5" s="2">
        <v>3230769200</v>
      </c>
      <c r="J5" s="2">
        <v>16139600000</v>
      </c>
      <c r="K5" s="2">
        <v>5972882500</v>
      </c>
      <c r="L5" s="2">
        <v>27118000</v>
      </c>
      <c r="M5" s="2">
        <v>64000000</v>
      </c>
      <c r="N5" s="2">
        <v>69000000</v>
      </c>
      <c r="O5" s="2">
        <v>5153282500</v>
      </c>
      <c r="P5" s="2">
        <v>14476000000</v>
      </c>
      <c r="Q5" s="2">
        <v>755600000</v>
      </c>
      <c r="R5" s="2">
        <v>1594600000</v>
      </c>
      <c r="S5" s="2">
        <f t="shared" si="0"/>
        <v>9.9000000000000199E-2</v>
      </c>
      <c r="T5" s="2">
        <f t="shared" si="1"/>
        <v>9230769700</v>
      </c>
    </row>
    <row r="6" spans="1:20" x14ac:dyDescent="0.3">
      <c r="A6" s="1">
        <v>39596</v>
      </c>
      <c r="B6" t="s">
        <v>27</v>
      </c>
      <c r="C6" t="s">
        <v>18</v>
      </c>
      <c r="D6" t="s">
        <v>21</v>
      </c>
      <c r="E6">
        <v>2.59</v>
      </c>
      <c r="F6">
        <v>2.64</v>
      </c>
      <c r="G6">
        <v>2.5499999999999998</v>
      </c>
      <c r="H6">
        <v>2.2799999999999998</v>
      </c>
      <c r="I6" s="2">
        <v>2405496800</v>
      </c>
      <c r="J6" s="2">
        <v>67530000000</v>
      </c>
      <c r="K6" s="2">
        <v>29207840000</v>
      </c>
      <c r="L6" s="2">
        <v>767183300</v>
      </c>
      <c r="M6" s="2">
        <v>270000000</v>
      </c>
      <c r="N6" s="2">
        <v>395000000</v>
      </c>
      <c r="O6" s="2">
        <v>22386840000</v>
      </c>
      <c r="P6" s="2">
        <v>60369000000</v>
      </c>
      <c r="Q6" s="2">
        <v>6551000000</v>
      </c>
      <c r="R6" s="2">
        <v>6766000000</v>
      </c>
      <c r="S6" s="2">
        <f t="shared" si="0"/>
        <v>9.0000000000000302E-2</v>
      </c>
      <c r="T6" s="2">
        <f t="shared" si="1"/>
        <v>32380520100</v>
      </c>
    </row>
    <row r="7" spans="1:20" x14ac:dyDescent="0.3">
      <c r="A7" s="1">
        <v>39597</v>
      </c>
      <c r="B7" t="s">
        <v>28</v>
      </c>
      <c r="C7" t="s">
        <v>18</v>
      </c>
      <c r="D7" t="s">
        <v>19</v>
      </c>
      <c r="E7">
        <v>3.4649999999999999</v>
      </c>
      <c r="F7">
        <v>3.52</v>
      </c>
      <c r="G7">
        <v>3.39</v>
      </c>
      <c r="H7">
        <v>1.84</v>
      </c>
      <c r="I7" s="2">
        <v>1523481200</v>
      </c>
      <c r="J7" s="2">
        <v>34772010000</v>
      </c>
      <c r="K7" s="2">
        <v>18856982000</v>
      </c>
      <c r="L7" s="2">
        <v>118078600</v>
      </c>
      <c r="M7" s="2">
        <v>148010000</v>
      </c>
      <c r="N7" s="2">
        <v>173010000</v>
      </c>
      <c r="O7" s="2">
        <v>15604972000</v>
      </c>
      <c r="P7" s="2">
        <v>31495000000</v>
      </c>
      <c r="Q7" s="2">
        <v>3104000000</v>
      </c>
      <c r="R7" s="2">
        <v>3104000000</v>
      </c>
      <c r="S7" s="2">
        <f t="shared" si="0"/>
        <v>0.12999999999999989</v>
      </c>
      <c r="T7" s="2">
        <f t="shared" si="1"/>
        <v>20498541800</v>
      </c>
    </row>
    <row r="8" spans="1:20" x14ac:dyDescent="0.3">
      <c r="A8" s="1">
        <v>39611</v>
      </c>
      <c r="B8" t="s">
        <v>25</v>
      </c>
      <c r="C8" t="s">
        <v>18</v>
      </c>
      <c r="D8" t="s">
        <v>29</v>
      </c>
      <c r="E8">
        <v>4.1790000000000003</v>
      </c>
      <c r="F8">
        <v>4.2249999999999996</v>
      </c>
      <c r="G8">
        <v>4.149</v>
      </c>
      <c r="H8">
        <v>2.33</v>
      </c>
      <c r="I8" s="2">
        <v>0</v>
      </c>
      <c r="J8" s="2">
        <v>25582500000</v>
      </c>
      <c r="K8" s="2">
        <v>10970043500</v>
      </c>
      <c r="L8" s="2">
        <v>29973400</v>
      </c>
      <c r="M8" s="2">
        <v>50000000</v>
      </c>
      <c r="N8" s="2">
        <v>190000000</v>
      </c>
      <c r="O8" s="2">
        <v>9397222500</v>
      </c>
      <c r="P8" s="2">
        <v>23715000000</v>
      </c>
      <c r="Q8" s="2">
        <v>1522821000</v>
      </c>
      <c r="R8" s="2">
        <v>1677500000</v>
      </c>
      <c r="S8" s="2">
        <f t="shared" si="0"/>
        <v>7.5999999999999623E-2</v>
      </c>
      <c r="T8" s="2">
        <f t="shared" si="1"/>
        <v>11000016900</v>
      </c>
    </row>
    <row r="9" spans="1:20" x14ac:dyDescent="0.3">
      <c r="A9" s="1">
        <v>39623</v>
      </c>
      <c r="B9" t="s">
        <v>30</v>
      </c>
      <c r="C9" t="s">
        <v>18</v>
      </c>
      <c r="D9" t="s">
        <v>21</v>
      </c>
      <c r="E9">
        <v>2.899</v>
      </c>
      <c r="F9">
        <v>2.9220000000000002</v>
      </c>
      <c r="G9">
        <v>2.85</v>
      </c>
      <c r="H9">
        <v>2.64</v>
      </c>
      <c r="I9" s="2">
        <v>3216480000</v>
      </c>
      <c r="J9" s="2">
        <v>78563350000</v>
      </c>
      <c r="K9" s="2">
        <v>29276775000</v>
      </c>
      <c r="L9" s="2">
        <v>696276200</v>
      </c>
      <c r="M9" s="2">
        <v>125000000</v>
      </c>
      <c r="N9" s="2">
        <v>765000000</v>
      </c>
      <c r="O9" s="2">
        <v>20821025000</v>
      </c>
      <c r="P9" s="2">
        <v>64325000000</v>
      </c>
      <c r="Q9" s="2">
        <v>8330750000</v>
      </c>
      <c r="R9" s="2">
        <v>13473350000</v>
      </c>
      <c r="S9" s="2">
        <f t="shared" si="0"/>
        <v>7.2000000000000064E-2</v>
      </c>
      <c r="T9" s="2">
        <f t="shared" si="1"/>
        <v>33189531200</v>
      </c>
    </row>
    <row r="10" spans="1:20" x14ac:dyDescent="0.3">
      <c r="A10" s="1">
        <v>39625</v>
      </c>
      <c r="B10" t="s">
        <v>31</v>
      </c>
      <c r="C10" t="s">
        <v>18</v>
      </c>
      <c r="D10" t="s">
        <v>19</v>
      </c>
      <c r="E10">
        <v>3.4089999999999998</v>
      </c>
      <c r="F10">
        <v>3.44</v>
      </c>
      <c r="G10">
        <v>3.35</v>
      </c>
      <c r="H10">
        <v>2.48</v>
      </c>
      <c r="I10" s="2">
        <v>2144320000</v>
      </c>
      <c r="J10" s="2">
        <v>49474000000</v>
      </c>
      <c r="K10" s="2">
        <v>19884070700</v>
      </c>
      <c r="L10" s="2">
        <v>91006000</v>
      </c>
      <c r="M10" s="2">
        <v>58347000</v>
      </c>
      <c r="N10" s="2">
        <v>230000000</v>
      </c>
      <c r="O10" s="2">
        <v>15608313700</v>
      </c>
      <c r="P10" s="2">
        <v>41973000000</v>
      </c>
      <c r="Q10" s="2">
        <v>4217410000</v>
      </c>
      <c r="R10" s="2">
        <v>7271000000</v>
      </c>
      <c r="S10" s="2">
        <f t="shared" si="0"/>
        <v>8.9999999999999858E-2</v>
      </c>
      <c r="T10" s="2">
        <f t="shared" si="1"/>
        <v>22119396700</v>
      </c>
    </row>
    <row r="11" spans="1:20" x14ac:dyDescent="0.3">
      <c r="A11" s="1">
        <v>39652</v>
      </c>
      <c r="B11" t="s">
        <v>33</v>
      </c>
      <c r="C11" t="s">
        <v>18</v>
      </c>
      <c r="D11" t="s">
        <v>21</v>
      </c>
      <c r="E11">
        <v>2.77</v>
      </c>
      <c r="F11">
        <v>2.82</v>
      </c>
      <c r="G11">
        <v>2.74</v>
      </c>
      <c r="H11">
        <v>2.42</v>
      </c>
      <c r="I11" s="2">
        <v>3414989000</v>
      </c>
      <c r="J11" s="2">
        <v>74264583000</v>
      </c>
      <c r="K11" s="2">
        <v>30151708000</v>
      </c>
      <c r="L11" s="2">
        <v>823328600</v>
      </c>
      <c r="M11" s="2">
        <v>309714000</v>
      </c>
      <c r="N11" s="2">
        <v>443499000</v>
      </c>
      <c r="O11" s="2">
        <v>18728964000</v>
      </c>
      <c r="P11" s="2">
        <v>61496484000</v>
      </c>
      <c r="Q11" s="2">
        <v>11113030000</v>
      </c>
      <c r="R11" s="2">
        <v>12324600000</v>
      </c>
      <c r="S11" s="2">
        <f t="shared" si="0"/>
        <v>7.9999999999999627E-2</v>
      </c>
      <c r="T11" s="2">
        <f t="shared" si="1"/>
        <v>34390025600</v>
      </c>
    </row>
    <row r="12" spans="1:20" x14ac:dyDescent="0.3">
      <c r="A12" s="1">
        <v>39653</v>
      </c>
      <c r="B12" t="s">
        <v>32</v>
      </c>
      <c r="C12" t="s">
        <v>18</v>
      </c>
      <c r="D12" t="s">
        <v>19</v>
      </c>
      <c r="E12">
        <v>3.39</v>
      </c>
      <c r="F12">
        <v>3.44</v>
      </c>
      <c r="G12">
        <v>3.35</v>
      </c>
      <c r="H12">
        <v>2.46</v>
      </c>
      <c r="I12" s="2">
        <v>2313379500</v>
      </c>
      <c r="J12" s="2">
        <v>51493947000</v>
      </c>
      <c r="K12" s="2">
        <v>20875472000</v>
      </c>
      <c r="L12" s="2">
        <v>99611400</v>
      </c>
      <c r="M12" s="2">
        <v>187525000</v>
      </c>
      <c r="N12" s="2">
        <v>237525000</v>
      </c>
      <c r="O12" s="2">
        <v>13787525000</v>
      </c>
      <c r="P12" s="2">
        <v>44121000000</v>
      </c>
      <c r="Q12" s="2">
        <v>6900422000</v>
      </c>
      <c r="R12" s="2">
        <v>7135422000</v>
      </c>
      <c r="S12" s="2">
        <f t="shared" si="0"/>
        <v>8.9999999999999858E-2</v>
      </c>
      <c r="T12" s="2">
        <f t="shared" si="1"/>
        <v>23288462900</v>
      </c>
    </row>
    <row r="13" spans="1:20" x14ac:dyDescent="0.3">
      <c r="A13" s="1">
        <v>39666</v>
      </c>
      <c r="B13" t="s">
        <v>35</v>
      </c>
      <c r="C13" t="s">
        <v>18</v>
      </c>
      <c r="D13" t="s">
        <v>26</v>
      </c>
      <c r="E13">
        <v>4.05</v>
      </c>
      <c r="F13">
        <v>4.0750000000000002</v>
      </c>
      <c r="G13">
        <v>3.95</v>
      </c>
      <c r="H13">
        <v>2.61</v>
      </c>
      <c r="I13" s="2">
        <v>6337630900</v>
      </c>
      <c r="J13" s="2">
        <v>44223250000</v>
      </c>
      <c r="K13" s="2">
        <v>16856805000</v>
      </c>
      <c r="L13" s="2">
        <v>118204900</v>
      </c>
      <c r="M13" s="2">
        <v>98005000</v>
      </c>
      <c r="N13" s="2">
        <v>152000000</v>
      </c>
      <c r="O13" s="2">
        <v>11019800000</v>
      </c>
      <c r="P13" s="2">
        <v>35795250000</v>
      </c>
      <c r="Q13" s="2">
        <v>5739000000</v>
      </c>
      <c r="R13" s="2">
        <v>8276000000</v>
      </c>
      <c r="S13" s="2">
        <f t="shared" si="0"/>
        <v>0.125</v>
      </c>
      <c r="T13" s="2">
        <f t="shared" si="1"/>
        <v>23312640800</v>
      </c>
    </row>
    <row r="14" spans="1:20" x14ac:dyDescent="0.3">
      <c r="A14" s="1">
        <v>39667</v>
      </c>
      <c r="B14" t="s">
        <v>34</v>
      </c>
      <c r="C14" t="s">
        <v>23</v>
      </c>
      <c r="D14" s="4" t="s">
        <v>24</v>
      </c>
      <c r="E14">
        <v>4.585</v>
      </c>
      <c r="F14">
        <v>4.609</v>
      </c>
      <c r="G14">
        <v>4.55</v>
      </c>
      <c r="H14">
        <v>2.4</v>
      </c>
      <c r="I14" s="2">
        <v>3728018100</v>
      </c>
      <c r="J14" s="2">
        <v>23958500000</v>
      </c>
      <c r="K14" s="2">
        <v>9960769000</v>
      </c>
      <c r="L14" s="2">
        <v>39274000</v>
      </c>
      <c r="M14" s="2">
        <v>0</v>
      </c>
      <c r="N14" s="2">
        <v>61000000</v>
      </c>
      <c r="O14" s="2">
        <v>5688969000</v>
      </c>
      <c r="P14" s="2">
        <v>17381600000</v>
      </c>
      <c r="Q14" s="2">
        <v>4271800000</v>
      </c>
      <c r="R14" s="2">
        <v>6515900000</v>
      </c>
      <c r="S14" s="2">
        <f t="shared" si="0"/>
        <v>5.9000000000000163E-2</v>
      </c>
      <c r="T14" s="2">
        <f t="shared" si="1"/>
        <v>13728061100</v>
      </c>
    </row>
    <row r="15" spans="1:20" x14ac:dyDescent="0.3">
      <c r="A15" s="1">
        <v>39687</v>
      </c>
      <c r="B15" t="s">
        <v>37</v>
      </c>
      <c r="C15" t="s">
        <v>18</v>
      </c>
      <c r="D15" t="s">
        <v>21</v>
      </c>
      <c r="E15">
        <v>2.33</v>
      </c>
      <c r="F15">
        <v>2.38</v>
      </c>
      <c r="G15">
        <v>2.2679999999999998</v>
      </c>
      <c r="H15">
        <v>2.1800000000000002</v>
      </c>
      <c r="I15" s="2">
        <v>2668760300</v>
      </c>
      <c r="J15" s="2">
        <v>69000950000</v>
      </c>
      <c r="K15" s="2">
        <v>31222735000</v>
      </c>
      <c r="L15" s="2">
        <v>752320500</v>
      </c>
      <c r="M15" s="2">
        <v>339722500</v>
      </c>
      <c r="N15" s="2">
        <v>511000000</v>
      </c>
      <c r="O15" s="2">
        <v>21662462500</v>
      </c>
      <c r="P15" s="2">
        <v>58414400000</v>
      </c>
      <c r="Q15" s="2">
        <v>9220550000</v>
      </c>
      <c r="R15" s="2">
        <v>10075550000</v>
      </c>
      <c r="S15" s="2">
        <f t="shared" si="0"/>
        <v>0.1120000000000001</v>
      </c>
      <c r="T15" s="2">
        <f t="shared" si="1"/>
        <v>34643815800</v>
      </c>
    </row>
    <row r="16" spans="1:20" x14ac:dyDescent="0.3">
      <c r="A16" s="1">
        <v>39688</v>
      </c>
      <c r="B16" t="s">
        <v>36</v>
      </c>
      <c r="C16" t="s">
        <v>18</v>
      </c>
      <c r="D16" t="s">
        <v>19</v>
      </c>
      <c r="E16">
        <v>3.07</v>
      </c>
      <c r="F16">
        <v>3.129</v>
      </c>
      <c r="G16">
        <v>3</v>
      </c>
      <c r="H16">
        <v>2.14</v>
      </c>
      <c r="I16" s="2">
        <v>1834772700</v>
      </c>
      <c r="J16" s="2">
        <v>46925000000</v>
      </c>
      <c r="K16" s="2">
        <v>21850760000</v>
      </c>
      <c r="L16" s="2">
        <v>124263600</v>
      </c>
      <c r="M16" s="2">
        <v>145000000</v>
      </c>
      <c r="N16" s="2">
        <v>175000000</v>
      </c>
      <c r="O16" s="2">
        <v>15184760000</v>
      </c>
      <c r="P16" s="2">
        <v>40106000000</v>
      </c>
      <c r="Q16" s="2">
        <v>6521000000</v>
      </c>
      <c r="R16" s="2">
        <v>6644000000</v>
      </c>
      <c r="S16" s="2">
        <f t="shared" si="0"/>
        <v>0.129</v>
      </c>
      <c r="T16" s="2">
        <f t="shared" si="1"/>
        <v>23809796300</v>
      </c>
    </row>
    <row r="17" spans="1:20" x14ac:dyDescent="0.3">
      <c r="A17" s="1">
        <v>39702</v>
      </c>
      <c r="B17" t="s">
        <v>35</v>
      </c>
      <c r="C17" t="s">
        <v>18</v>
      </c>
      <c r="D17" t="s">
        <v>29</v>
      </c>
      <c r="E17">
        <v>3.5920000000000001</v>
      </c>
      <c r="F17">
        <v>3.6280000000000001</v>
      </c>
      <c r="G17">
        <v>3.55</v>
      </c>
      <c r="H17">
        <v>2.5099999999999998</v>
      </c>
      <c r="I17" s="2">
        <v>1467000000</v>
      </c>
      <c r="J17" s="2">
        <v>30097000000</v>
      </c>
      <c r="K17" s="2">
        <v>11961320000</v>
      </c>
      <c r="L17" s="2">
        <v>38689300</v>
      </c>
      <c r="M17" s="2">
        <v>64500000</v>
      </c>
      <c r="N17" s="2">
        <v>119500000</v>
      </c>
      <c r="O17" s="2">
        <v>8740320000</v>
      </c>
      <c r="P17" s="2">
        <v>25741000000</v>
      </c>
      <c r="Q17" s="2">
        <v>3156500000</v>
      </c>
      <c r="R17" s="2">
        <v>4236500000</v>
      </c>
      <c r="S17" s="2">
        <f t="shared" si="0"/>
        <v>7.8000000000000291E-2</v>
      </c>
      <c r="T17" s="2">
        <f t="shared" si="1"/>
        <v>13467009300</v>
      </c>
    </row>
    <row r="18" spans="1:20" x14ac:dyDescent="0.3">
      <c r="A18" s="1">
        <v>39715</v>
      </c>
      <c r="B18" t="s">
        <v>39</v>
      </c>
      <c r="C18" t="s">
        <v>18</v>
      </c>
      <c r="D18" t="s">
        <v>21</v>
      </c>
      <c r="E18">
        <v>2.0499999999999998</v>
      </c>
      <c r="F18">
        <v>2.1150000000000002</v>
      </c>
      <c r="G18">
        <v>1.99</v>
      </c>
      <c r="H18">
        <v>2.21</v>
      </c>
      <c r="I18" s="2">
        <v>3150451800</v>
      </c>
      <c r="J18" s="2">
        <v>74572625000</v>
      </c>
      <c r="K18" s="2">
        <v>33329705000</v>
      </c>
      <c r="L18" s="2">
        <v>645328300</v>
      </c>
      <c r="M18" s="2">
        <v>2955000000</v>
      </c>
      <c r="N18" s="2">
        <v>3100000000</v>
      </c>
      <c r="O18" s="2">
        <v>21068080000</v>
      </c>
      <c r="P18" s="2">
        <v>59447000000</v>
      </c>
      <c r="Q18" s="2">
        <v>9306625000</v>
      </c>
      <c r="R18" s="2">
        <v>12025625000</v>
      </c>
      <c r="S18" s="2">
        <f t="shared" si="0"/>
        <v>0.12500000000000022</v>
      </c>
      <c r="T18" s="2">
        <f t="shared" si="1"/>
        <v>37125485100</v>
      </c>
    </row>
    <row r="19" spans="1:20" x14ac:dyDescent="0.3">
      <c r="A19" s="1">
        <v>39716</v>
      </c>
      <c r="B19" t="s">
        <v>38</v>
      </c>
      <c r="C19" t="s">
        <v>18</v>
      </c>
      <c r="D19" t="s">
        <v>19</v>
      </c>
      <c r="E19">
        <v>3</v>
      </c>
      <c r="F19">
        <v>3.129</v>
      </c>
      <c r="G19">
        <v>2.85</v>
      </c>
      <c r="H19">
        <v>1.91</v>
      </c>
      <c r="I19" s="2">
        <v>2223848200</v>
      </c>
      <c r="J19" s="2">
        <v>45672150000</v>
      </c>
      <c r="K19" s="2">
        <v>23869830000</v>
      </c>
      <c r="L19" s="2">
        <v>105170900</v>
      </c>
      <c r="M19" s="2">
        <v>113100000</v>
      </c>
      <c r="N19" s="2">
        <v>148100000</v>
      </c>
      <c r="O19" s="2">
        <v>17364680000</v>
      </c>
      <c r="P19" s="2">
        <v>39132000000</v>
      </c>
      <c r="Q19" s="2">
        <v>6392050000</v>
      </c>
      <c r="R19" s="2">
        <v>6392050000</v>
      </c>
      <c r="S19" s="2">
        <f t="shared" si="0"/>
        <v>0.27899999999999991</v>
      </c>
      <c r="T19" s="2">
        <f t="shared" si="1"/>
        <v>26198849100</v>
      </c>
    </row>
    <row r="20" spans="1:20" x14ac:dyDescent="0.3">
      <c r="A20" s="1">
        <v>39729</v>
      </c>
      <c r="B20" t="s">
        <v>44</v>
      </c>
      <c r="C20" t="s">
        <v>18</v>
      </c>
      <c r="D20" t="s">
        <v>45</v>
      </c>
      <c r="E20">
        <v>2.899</v>
      </c>
      <c r="F20">
        <v>3.31</v>
      </c>
      <c r="G20">
        <v>2.78</v>
      </c>
      <c r="H20">
        <v>1.22</v>
      </c>
      <c r="I20" s="2">
        <v>0</v>
      </c>
      <c r="J20" s="2">
        <v>12154900000</v>
      </c>
      <c r="K20" s="2">
        <v>10000000000</v>
      </c>
      <c r="L20" s="2">
        <v>0</v>
      </c>
      <c r="M20" s="2">
        <v>10000000</v>
      </c>
      <c r="N20" s="2">
        <v>10000000</v>
      </c>
      <c r="O20" s="2">
        <v>8080100000</v>
      </c>
      <c r="P20" s="2">
        <v>10235000000</v>
      </c>
      <c r="Q20" s="2">
        <v>1909900000</v>
      </c>
      <c r="R20" s="2">
        <v>1909900000</v>
      </c>
      <c r="S20" s="2">
        <f t="shared" si="0"/>
        <v>0.53000000000000025</v>
      </c>
      <c r="T20" s="2">
        <f t="shared" si="1"/>
        <v>10000000000</v>
      </c>
    </row>
    <row r="21" spans="1:20" x14ac:dyDescent="0.3">
      <c r="A21" s="1">
        <v>39729</v>
      </c>
      <c r="B21" t="s">
        <v>46</v>
      </c>
      <c r="C21" t="s">
        <v>18</v>
      </c>
      <c r="D21" t="s">
        <v>47</v>
      </c>
      <c r="E21">
        <v>3.29</v>
      </c>
      <c r="F21">
        <v>3.44</v>
      </c>
      <c r="G21">
        <v>3.145</v>
      </c>
      <c r="H21">
        <v>2.11</v>
      </c>
      <c r="I21" s="2">
        <v>0</v>
      </c>
      <c r="J21" s="2">
        <v>21142302000</v>
      </c>
      <c r="K21" s="2">
        <v>10000012000</v>
      </c>
      <c r="L21" s="2">
        <v>2000</v>
      </c>
      <c r="M21" s="2">
        <v>10000000</v>
      </c>
      <c r="N21" s="2">
        <v>40000000</v>
      </c>
      <c r="O21" s="2">
        <v>6469255000</v>
      </c>
      <c r="P21" s="2">
        <v>15272255000</v>
      </c>
      <c r="Q21" s="2">
        <v>3520757000</v>
      </c>
      <c r="R21" s="2">
        <v>5830047000</v>
      </c>
      <c r="S21" s="2">
        <f t="shared" si="0"/>
        <v>0.29499999999999993</v>
      </c>
      <c r="T21" s="2">
        <f t="shared" si="1"/>
        <v>10000014000</v>
      </c>
    </row>
    <row r="22" spans="1:20" x14ac:dyDescent="0.3">
      <c r="A22" s="1">
        <v>39730</v>
      </c>
      <c r="B22" t="s">
        <v>42</v>
      </c>
      <c r="C22" t="s">
        <v>18</v>
      </c>
      <c r="D22" t="s">
        <v>43</v>
      </c>
      <c r="E22">
        <v>3.7189999999999999</v>
      </c>
      <c r="F22">
        <v>3.79</v>
      </c>
      <c r="G22">
        <v>3.64</v>
      </c>
      <c r="H22">
        <v>2.31</v>
      </c>
      <c r="I22" s="2">
        <v>0</v>
      </c>
      <c r="J22" s="2">
        <v>23084950000</v>
      </c>
      <c r="K22" s="2">
        <v>9998736000</v>
      </c>
      <c r="L22" s="2">
        <v>1439000</v>
      </c>
      <c r="M22" s="2">
        <v>66000000</v>
      </c>
      <c r="N22" s="2">
        <v>81000000</v>
      </c>
      <c r="O22" s="2">
        <v>6108974000</v>
      </c>
      <c r="P22" s="2">
        <v>16665000000</v>
      </c>
      <c r="Q22" s="2">
        <v>3823762000</v>
      </c>
      <c r="R22" s="2">
        <v>6338950000</v>
      </c>
      <c r="S22" s="2">
        <f t="shared" si="0"/>
        <v>0.14999999999999991</v>
      </c>
      <c r="T22" s="2">
        <f t="shared" si="1"/>
        <v>10000175000</v>
      </c>
    </row>
    <row r="23" spans="1:20" x14ac:dyDescent="0.3">
      <c r="A23" s="1">
        <v>39730</v>
      </c>
      <c r="B23" t="s">
        <v>40</v>
      </c>
      <c r="C23" t="s">
        <v>18</v>
      </c>
      <c r="D23" t="s">
        <v>41</v>
      </c>
      <c r="E23">
        <v>3.15</v>
      </c>
      <c r="F23">
        <v>3.2280000000000002</v>
      </c>
      <c r="G23">
        <v>2.4</v>
      </c>
      <c r="H23">
        <v>2.37</v>
      </c>
      <c r="I23" s="2">
        <v>0</v>
      </c>
      <c r="J23" s="2">
        <v>23731100000</v>
      </c>
      <c r="K23" s="2">
        <v>9997768000</v>
      </c>
      <c r="L23" s="2">
        <v>2233000</v>
      </c>
      <c r="M23" s="2">
        <v>30000000</v>
      </c>
      <c r="N23" s="2">
        <v>68500000</v>
      </c>
      <c r="O23" s="2">
        <v>7655000000</v>
      </c>
      <c r="P23" s="2">
        <v>18142000000</v>
      </c>
      <c r="Q23" s="2">
        <v>2312768000</v>
      </c>
      <c r="R23" s="2">
        <v>5520600000</v>
      </c>
      <c r="S23" s="2">
        <f t="shared" si="0"/>
        <v>0.82800000000000029</v>
      </c>
      <c r="T23" s="2">
        <f t="shared" si="1"/>
        <v>10000001000</v>
      </c>
    </row>
    <row r="24" spans="1:20" x14ac:dyDescent="0.3">
      <c r="A24" s="1">
        <v>39749</v>
      </c>
      <c r="B24" t="s">
        <v>49</v>
      </c>
      <c r="C24" t="s">
        <v>18</v>
      </c>
      <c r="D24" t="s">
        <v>21</v>
      </c>
      <c r="E24">
        <v>1.575</v>
      </c>
      <c r="F24">
        <v>1.6</v>
      </c>
      <c r="G24">
        <v>1.4</v>
      </c>
      <c r="H24">
        <v>2.4900000000000002</v>
      </c>
      <c r="I24" s="2">
        <v>1506428000</v>
      </c>
      <c r="J24" s="2">
        <v>84055060000</v>
      </c>
      <c r="K24" s="2">
        <v>33446785500</v>
      </c>
      <c r="L24" s="2">
        <v>528747800</v>
      </c>
      <c r="M24" s="2">
        <v>50000000</v>
      </c>
      <c r="N24" s="2">
        <v>590000000</v>
      </c>
      <c r="O24" s="2">
        <v>19355480000</v>
      </c>
      <c r="P24" s="2">
        <v>59925000000</v>
      </c>
      <c r="Q24" s="2">
        <v>14041305500</v>
      </c>
      <c r="R24" s="2">
        <v>23540060000</v>
      </c>
      <c r="S24" s="2">
        <f t="shared" si="0"/>
        <v>0.20000000000000018</v>
      </c>
      <c r="T24" s="2">
        <f t="shared" si="1"/>
        <v>35481961300</v>
      </c>
    </row>
    <row r="25" spans="1:20" x14ac:dyDescent="0.3">
      <c r="A25" s="1">
        <v>39751</v>
      </c>
      <c r="B25" t="s">
        <v>48</v>
      </c>
      <c r="C25" t="s">
        <v>18</v>
      </c>
      <c r="D25" t="s">
        <v>19</v>
      </c>
      <c r="E25">
        <v>2.7589999999999999</v>
      </c>
      <c r="F25">
        <v>2.8250000000000002</v>
      </c>
      <c r="G25">
        <v>2.57</v>
      </c>
      <c r="H25">
        <v>2.2799999999999998</v>
      </c>
      <c r="I25" s="2">
        <v>1063360800</v>
      </c>
      <c r="J25" s="2">
        <v>54442715000</v>
      </c>
      <c r="K25" s="2">
        <v>23792725000</v>
      </c>
      <c r="L25" s="2">
        <v>82283800</v>
      </c>
      <c r="M25" s="2">
        <v>3401000000</v>
      </c>
      <c r="N25" s="2">
        <v>4636000000</v>
      </c>
      <c r="O25" s="2">
        <v>13657720000</v>
      </c>
      <c r="P25" s="2">
        <v>41230215000</v>
      </c>
      <c r="Q25" s="2">
        <v>6734005000</v>
      </c>
      <c r="R25" s="2">
        <v>8576500000</v>
      </c>
      <c r="S25" s="2">
        <f t="shared" si="0"/>
        <v>0.25500000000000034</v>
      </c>
      <c r="T25" s="2">
        <f t="shared" si="1"/>
        <v>24938369600</v>
      </c>
    </row>
    <row r="26" spans="1:20" x14ac:dyDescent="0.3">
      <c r="A26" s="1">
        <v>39762</v>
      </c>
      <c r="B26" t="s">
        <v>51</v>
      </c>
      <c r="C26" t="s">
        <v>18</v>
      </c>
      <c r="D26" t="s">
        <v>52</v>
      </c>
      <c r="E26">
        <v>1.7430000000000001</v>
      </c>
      <c r="F26">
        <v>1.8</v>
      </c>
      <c r="G26">
        <v>1.6</v>
      </c>
      <c r="H26">
        <v>3.07</v>
      </c>
      <c r="I26" s="2">
        <v>4443096500</v>
      </c>
      <c r="J26" s="2">
        <v>76785000000</v>
      </c>
      <c r="K26" s="2">
        <v>24954841500</v>
      </c>
      <c r="L26" s="2">
        <v>20200000</v>
      </c>
      <c r="M26" s="2">
        <v>317159000</v>
      </c>
      <c r="N26" s="2">
        <v>4735000000</v>
      </c>
      <c r="O26" s="2">
        <v>15639695000</v>
      </c>
      <c r="P26" s="2">
        <v>48788000000</v>
      </c>
      <c r="Q26" s="2">
        <v>8997987500</v>
      </c>
      <c r="R26" s="2">
        <v>23262000000</v>
      </c>
      <c r="S26" s="2">
        <f t="shared" si="0"/>
        <v>0.19999999999999996</v>
      </c>
      <c r="T26" s="2">
        <f t="shared" si="1"/>
        <v>29418138000</v>
      </c>
    </row>
    <row r="27" spans="1:20" x14ac:dyDescent="0.3">
      <c r="A27" s="1">
        <v>39764</v>
      </c>
      <c r="B27" t="s">
        <v>50</v>
      </c>
      <c r="C27" t="s">
        <v>18</v>
      </c>
      <c r="D27" t="s">
        <v>26</v>
      </c>
      <c r="E27">
        <v>3.71</v>
      </c>
      <c r="F27">
        <v>3.7829999999999999</v>
      </c>
      <c r="G27">
        <v>3.55</v>
      </c>
      <c r="H27">
        <v>2.2000000000000002</v>
      </c>
      <c r="I27" s="2">
        <v>3554477000</v>
      </c>
      <c r="J27" s="2">
        <v>43763121600</v>
      </c>
      <c r="K27" s="2">
        <v>19756461600</v>
      </c>
      <c r="L27" s="2">
        <v>198538600</v>
      </c>
      <c r="M27" s="2">
        <v>928340000</v>
      </c>
      <c r="N27" s="2">
        <v>1247000000</v>
      </c>
      <c r="O27" s="2">
        <v>11722000000</v>
      </c>
      <c r="P27" s="2">
        <v>32822000000</v>
      </c>
      <c r="Q27" s="2">
        <v>7106121600</v>
      </c>
      <c r="R27" s="2">
        <v>9694121600</v>
      </c>
      <c r="S27" s="2">
        <f t="shared" si="0"/>
        <v>0.2330000000000001</v>
      </c>
      <c r="T27" s="2">
        <f t="shared" si="1"/>
        <v>23509477200</v>
      </c>
    </row>
    <row r="28" spans="1:20" x14ac:dyDescent="0.3">
      <c r="A28" s="1">
        <v>39765</v>
      </c>
      <c r="B28" t="s">
        <v>34</v>
      </c>
      <c r="C28" t="s">
        <v>23</v>
      </c>
      <c r="D28" t="s">
        <v>53</v>
      </c>
      <c r="E28">
        <v>4.2039999999999997</v>
      </c>
      <c r="F28">
        <v>4.3099999999999996</v>
      </c>
      <c r="G28">
        <v>4.0949999999999998</v>
      </c>
      <c r="H28">
        <v>2.0699999999999998</v>
      </c>
      <c r="I28" s="2">
        <v>1777238500</v>
      </c>
      <c r="J28" s="2">
        <v>20693250000</v>
      </c>
      <c r="K28" s="2">
        <v>9978306000</v>
      </c>
      <c r="L28" s="2">
        <v>21737800</v>
      </c>
      <c r="M28" s="2">
        <v>453000000</v>
      </c>
      <c r="N28" s="2">
        <v>688000000</v>
      </c>
      <c r="O28" s="2">
        <v>7709200000</v>
      </c>
      <c r="P28" s="2">
        <v>15706000000</v>
      </c>
      <c r="Q28" s="2">
        <v>1816106000</v>
      </c>
      <c r="R28" s="2">
        <v>4299250000</v>
      </c>
      <c r="S28" s="2">
        <f t="shared" si="0"/>
        <v>0.21499999999999986</v>
      </c>
      <c r="T28" s="2">
        <f t="shared" si="1"/>
        <v>11777282300</v>
      </c>
    </row>
    <row r="29" spans="1:20" x14ac:dyDescent="0.3">
      <c r="A29" s="1">
        <v>39776</v>
      </c>
      <c r="B29" t="s">
        <v>55</v>
      </c>
      <c r="C29" t="s">
        <v>18</v>
      </c>
      <c r="D29" t="s">
        <v>21</v>
      </c>
      <c r="E29">
        <v>1.1850000000000001</v>
      </c>
      <c r="F29">
        <v>1.2689999999999999</v>
      </c>
      <c r="G29">
        <v>1.034</v>
      </c>
      <c r="H29">
        <v>2.08</v>
      </c>
      <c r="I29" s="2">
        <v>2518952600</v>
      </c>
      <c r="J29" s="2">
        <v>74403000000</v>
      </c>
      <c r="K29" s="2">
        <v>35568565000</v>
      </c>
      <c r="L29" s="2">
        <v>431446700</v>
      </c>
      <c r="M29" s="2">
        <v>507000000</v>
      </c>
      <c r="N29" s="2">
        <v>602000000</v>
      </c>
      <c r="O29" s="2">
        <v>22657565000</v>
      </c>
      <c r="P29" s="2">
        <v>59122000000</v>
      </c>
      <c r="Q29" s="2">
        <v>12404000000</v>
      </c>
      <c r="R29" s="2">
        <v>14679000000</v>
      </c>
      <c r="S29" s="2">
        <f t="shared" si="0"/>
        <v>0.23499999999999988</v>
      </c>
      <c r="T29" s="2">
        <f t="shared" si="1"/>
        <v>38518964300</v>
      </c>
    </row>
    <row r="30" spans="1:20" x14ac:dyDescent="0.3">
      <c r="A30" s="1">
        <v>39777</v>
      </c>
      <c r="B30" t="s">
        <v>54</v>
      </c>
      <c r="C30" t="s">
        <v>18</v>
      </c>
      <c r="D30" t="s">
        <v>19</v>
      </c>
      <c r="E30">
        <v>2.0960000000000001</v>
      </c>
      <c r="F30">
        <v>2.11</v>
      </c>
      <c r="G30">
        <v>1.98</v>
      </c>
      <c r="H30">
        <v>2.44</v>
      </c>
      <c r="I30" s="2">
        <v>1819243400</v>
      </c>
      <c r="J30" s="2">
        <v>63335690000</v>
      </c>
      <c r="K30" s="2">
        <v>25898772000</v>
      </c>
      <c r="L30" s="2">
        <v>101401200</v>
      </c>
      <c r="M30" s="2">
        <v>475000000</v>
      </c>
      <c r="N30" s="2">
        <v>762000000</v>
      </c>
      <c r="O30" s="2">
        <v>15777434000</v>
      </c>
      <c r="P30" s="2">
        <v>49535000000</v>
      </c>
      <c r="Q30" s="2">
        <v>9646338000</v>
      </c>
      <c r="R30" s="2">
        <v>13038690000</v>
      </c>
      <c r="S30" s="2">
        <f t="shared" si="0"/>
        <v>0.12999999999999989</v>
      </c>
      <c r="T30" s="2">
        <f t="shared" si="1"/>
        <v>27819416600</v>
      </c>
    </row>
    <row r="31" spans="1:20" x14ac:dyDescent="0.3">
      <c r="A31" s="1">
        <v>39792</v>
      </c>
      <c r="B31" t="s">
        <v>56</v>
      </c>
      <c r="C31" t="s">
        <v>18</v>
      </c>
      <c r="D31" t="s">
        <v>52</v>
      </c>
      <c r="E31">
        <v>1.149</v>
      </c>
      <c r="F31">
        <v>1.2450000000000001</v>
      </c>
      <c r="G31">
        <v>0.96</v>
      </c>
      <c r="H31">
        <v>2.15</v>
      </c>
      <c r="I31" s="2">
        <v>841463700</v>
      </c>
      <c r="J31" s="2">
        <v>60219000000</v>
      </c>
      <c r="K31" s="2">
        <v>27943565000</v>
      </c>
      <c r="L31" s="2">
        <v>56487800</v>
      </c>
      <c r="M31" s="2">
        <v>71500000</v>
      </c>
      <c r="N31" s="2">
        <v>166500000</v>
      </c>
      <c r="O31" s="2">
        <v>18020085000</v>
      </c>
      <c r="P31" s="2">
        <v>48897000000</v>
      </c>
      <c r="Q31" s="2">
        <v>9851980000</v>
      </c>
      <c r="R31" s="2">
        <v>11155500000</v>
      </c>
      <c r="S31" s="2">
        <f t="shared" si="0"/>
        <v>0.28500000000000014</v>
      </c>
      <c r="T31" s="2">
        <f t="shared" si="1"/>
        <v>28841516500</v>
      </c>
    </row>
    <row r="32" spans="1:20" x14ac:dyDescent="0.3">
      <c r="A32" s="1">
        <v>39793</v>
      </c>
      <c r="B32" t="s">
        <v>50</v>
      </c>
      <c r="C32" t="s">
        <v>18</v>
      </c>
      <c r="D32" t="s">
        <v>29</v>
      </c>
      <c r="E32">
        <v>2.59</v>
      </c>
      <c r="F32">
        <v>2.67</v>
      </c>
      <c r="G32">
        <v>2</v>
      </c>
      <c r="H32">
        <v>2.44</v>
      </c>
      <c r="I32" s="2">
        <v>480836300</v>
      </c>
      <c r="J32" s="2">
        <v>38980650000</v>
      </c>
      <c r="K32" s="2">
        <v>15926599600</v>
      </c>
      <c r="L32" s="2">
        <v>33421000</v>
      </c>
      <c r="M32" s="2">
        <v>29000000</v>
      </c>
      <c r="N32" s="2">
        <v>125000000</v>
      </c>
      <c r="O32" s="2">
        <v>13868908000</v>
      </c>
      <c r="P32" s="2">
        <v>34341000000</v>
      </c>
      <c r="Q32" s="2">
        <v>2028691600</v>
      </c>
      <c r="R32" s="2">
        <v>4514650000</v>
      </c>
      <c r="S32" s="2">
        <f t="shared" si="0"/>
        <v>0.66999999999999993</v>
      </c>
      <c r="T32" s="2">
        <f t="shared" si="1"/>
        <v>16440856900</v>
      </c>
    </row>
    <row r="33" spans="1:20" x14ac:dyDescent="0.3">
      <c r="A33" s="1">
        <v>39804</v>
      </c>
      <c r="B33" t="s">
        <v>58</v>
      </c>
      <c r="C33" t="s">
        <v>18</v>
      </c>
      <c r="D33" t="s">
        <v>21</v>
      </c>
      <c r="E33">
        <v>0.83399999999999996</v>
      </c>
      <c r="F33">
        <v>0.92200000000000004</v>
      </c>
      <c r="G33">
        <v>0.75</v>
      </c>
      <c r="H33">
        <v>2.13</v>
      </c>
      <c r="I33" s="2">
        <v>2773313700</v>
      </c>
      <c r="J33" s="2">
        <v>80581525000</v>
      </c>
      <c r="K33" s="2">
        <v>37656575000</v>
      </c>
      <c r="L33" s="2">
        <v>343445600</v>
      </c>
      <c r="M33" s="2">
        <v>519000000</v>
      </c>
      <c r="N33" s="2">
        <v>529000000</v>
      </c>
      <c r="O33" s="2">
        <v>25685050000</v>
      </c>
      <c r="P33" s="2">
        <v>65446000000</v>
      </c>
      <c r="Q33" s="2">
        <v>11452525000</v>
      </c>
      <c r="R33" s="2">
        <v>14606525000</v>
      </c>
      <c r="S33" s="2">
        <f t="shared" si="0"/>
        <v>0.17200000000000004</v>
      </c>
      <c r="T33" s="2">
        <f t="shared" si="1"/>
        <v>40773334300</v>
      </c>
    </row>
    <row r="34" spans="1:20" x14ac:dyDescent="0.3">
      <c r="A34" s="1">
        <v>39805</v>
      </c>
      <c r="B34" t="s">
        <v>57</v>
      </c>
      <c r="C34" t="s">
        <v>18</v>
      </c>
      <c r="D34" t="s">
        <v>19</v>
      </c>
      <c r="E34">
        <v>1.4590000000000001</v>
      </c>
      <c r="F34">
        <v>1.5389999999999999</v>
      </c>
      <c r="G34">
        <v>1.3</v>
      </c>
      <c r="H34">
        <v>2.06</v>
      </c>
      <c r="I34" s="2">
        <v>2043494300</v>
      </c>
      <c r="J34" s="2">
        <v>57779921000</v>
      </c>
      <c r="K34" s="2">
        <v>27963357900</v>
      </c>
      <c r="L34" s="2">
        <v>36648000</v>
      </c>
      <c r="M34" s="2">
        <v>2102000000</v>
      </c>
      <c r="N34" s="2">
        <v>2232000000</v>
      </c>
      <c r="O34" s="2">
        <v>19002266000</v>
      </c>
      <c r="P34" s="2">
        <v>42503821000</v>
      </c>
      <c r="Q34" s="2">
        <v>6859091900</v>
      </c>
      <c r="R34" s="2">
        <v>13044100000</v>
      </c>
      <c r="S34" s="2">
        <f t="shared" si="0"/>
        <v>0.23899999999999988</v>
      </c>
      <c r="T34" s="2">
        <f t="shared" si="1"/>
        <v>30043500200</v>
      </c>
    </row>
    <row r="35" spans="1:20" x14ac:dyDescent="0.3">
      <c r="A35" s="1">
        <v>39820</v>
      </c>
      <c r="B35" t="s">
        <v>60</v>
      </c>
      <c r="C35" t="s">
        <v>18</v>
      </c>
      <c r="D35" t="s">
        <v>52</v>
      </c>
      <c r="E35">
        <v>1.1200000000000001</v>
      </c>
      <c r="F35">
        <v>1.2</v>
      </c>
      <c r="G35">
        <v>1</v>
      </c>
      <c r="H35">
        <v>2.21</v>
      </c>
      <c r="I35" s="2">
        <v>2483518900</v>
      </c>
      <c r="J35" s="2">
        <v>66244800000</v>
      </c>
      <c r="K35" s="2">
        <v>29965038000</v>
      </c>
      <c r="L35" s="2">
        <v>35015500</v>
      </c>
      <c r="M35" s="2">
        <v>312000000</v>
      </c>
      <c r="N35" s="2">
        <v>507000000</v>
      </c>
      <c r="O35" s="2">
        <v>21259128000</v>
      </c>
      <c r="P35" s="2">
        <v>55359000000</v>
      </c>
      <c r="Q35" s="2">
        <v>8393910000</v>
      </c>
      <c r="R35" s="2">
        <v>10378800000</v>
      </c>
      <c r="S35" s="2">
        <f t="shared" si="0"/>
        <v>0.19999999999999996</v>
      </c>
      <c r="T35" s="2">
        <f t="shared" si="1"/>
        <v>32483572400</v>
      </c>
    </row>
    <row r="36" spans="1:20" x14ac:dyDescent="0.3">
      <c r="A36" s="1">
        <v>39821</v>
      </c>
      <c r="B36" t="s">
        <v>50</v>
      </c>
      <c r="C36" t="s">
        <v>18</v>
      </c>
      <c r="D36" t="s">
        <v>59</v>
      </c>
      <c r="E36">
        <v>2.3490000000000002</v>
      </c>
      <c r="F36">
        <v>2.419</v>
      </c>
      <c r="G36">
        <v>1.99</v>
      </c>
      <c r="H36">
        <v>2.59</v>
      </c>
      <c r="I36" s="2">
        <v>1324543300</v>
      </c>
      <c r="J36" s="2">
        <v>41393300000</v>
      </c>
      <c r="K36" s="2">
        <v>15993300000</v>
      </c>
      <c r="L36" s="2">
        <v>6736000</v>
      </c>
      <c r="M36" s="2">
        <v>16000000</v>
      </c>
      <c r="N36" s="2">
        <v>226000000</v>
      </c>
      <c r="O36" s="2">
        <v>13141000000</v>
      </c>
      <c r="P36" s="2">
        <v>34352000000</v>
      </c>
      <c r="Q36" s="2">
        <v>2836300000</v>
      </c>
      <c r="R36" s="2">
        <v>6815300000</v>
      </c>
      <c r="S36" s="2">
        <f t="shared" si="0"/>
        <v>0.42900000000000005</v>
      </c>
      <c r="T36" s="2">
        <f t="shared" si="1"/>
        <v>17324579300</v>
      </c>
    </row>
    <row r="37" spans="1:20" x14ac:dyDescent="0.3">
      <c r="A37" s="1">
        <v>39840</v>
      </c>
      <c r="B37" t="s">
        <v>61</v>
      </c>
      <c r="C37" t="s">
        <v>18</v>
      </c>
      <c r="D37" t="s">
        <v>21</v>
      </c>
      <c r="E37">
        <v>0.871</v>
      </c>
      <c r="F37">
        <v>0.92500000000000004</v>
      </c>
      <c r="G37">
        <v>0.78300000000000003</v>
      </c>
      <c r="H37">
        <v>2.69</v>
      </c>
      <c r="I37" s="2">
        <v>1697793800</v>
      </c>
      <c r="J37" s="2">
        <v>107216450000</v>
      </c>
      <c r="K37" s="2">
        <v>39578255000</v>
      </c>
      <c r="L37" s="2">
        <v>421822600</v>
      </c>
      <c r="M37" s="2">
        <v>1118000000</v>
      </c>
      <c r="N37" s="2">
        <v>1555000000</v>
      </c>
      <c r="O37" s="2">
        <v>24753395000</v>
      </c>
      <c r="P37" s="2">
        <v>85279000000</v>
      </c>
      <c r="Q37" s="2">
        <v>13706860000</v>
      </c>
      <c r="R37" s="2">
        <v>20382450000</v>
      </c>
      <c r="S37" s="2">
        <f t="shared" si="0"/>
        <v>0.14200000000000002</v>
      </c>
      <c r="T37" s="2">
        <f t="shared" si="1"/>
        <v>41697871400</v>
      </c>
    </row>
    <row r="38" spans="1:20" x14ac:dyDescent="0.3">
      <c r="A38" s="1">
        <v>39842</v>
      </c>
      <c r="B38" t="s">
        <v>62</v>
      </c>
      <c r="C38" t="s">
        <v>18</v>
      </c>
      <c r="D38" t="s">
        <v>19</v>
      </c>
      <c r="E38">
        <v>1.74</v>
      </c>
      <c r="F38">
        <v>1.82</v>
      </c>
      <c r="G38">
        <v>1.59</v>
      </c>
      <c r="H38">
        <v>1.98</v>
      </c>
      <c r="I38" s="2">
        <v>1273345200</v>
      </c>
      <c r="J38" s="2">
        <v>59226000000</v>
      </c>
      <c r="K38" s="2">
        <v>29965005000</v>
      </c>
      <c r="L38" s="2">
        <v>35041800</v>
      </c>
      <c r="M38" s="2">
        <v>368000000</v>
      </c>
      <c r="N38" s="2">
        <v>373000000</v>
      </c>
      <c r="O38" s="2">
        <v>19147959000</v>
      </c>
      <c r="P38" s="2">
        <v>47261000000</v>
      </c>
      <c r="Q38" s="2">
        <v>10449046000</v>
      </c>
      <c r="R38" s="2">
        <v>11592000000</v>
      </c>
      <c r="S38" s="2">
        <f t="shared" si="0"/>
        <v>0.22999999999999998</v>
      </c>
      <c r="T38" s="2">
        <f t="shared" si="1"/>
        <v>31273392000</v>
      </c>
    </row>
    <row r="39" spans="1:20" x14ac:dyDescent="0.3">
      <c r="A39" s="1">
        <v>39854</v>
      </c>
      <c r="B39" t="s">
        <v>66</v>
      </c>
      <c r="C39" t="s">
        <v>18</v>
      </c>
      <c r="D39" t="s">
        <v>52</v>
      </c>
      <c r="E39">
        <v>1.373</v>
      </c>
      <c r="F39">
        <v>1.419</v>
      </c>
      <c r="G39">
        <v>1.3</v>
      </c>
      <c r="H39">
        <v>2.67</v>
      </c>
      <c r="I39" s="2">
        <v>1629450200</v>
      </c>
      <c r="J39" s="2">
        <v>85457986000</v>
      </c>
      <c r="K39" s="2">
        <v>31902414500</v>
      </c>
      <c r="L39" s="2">
        <v>97592500</v>
      </c>
      <c r="M39" s="2">
        <v>360486000</v>
      </c>
      <c r="N39" s="2">
        <v>705486000</v>
      </c>
      <c r="O39" s="2">
        <v>17259410000</v>
      </c>
      <c r="P39" s="2">
        <v>58323000000</v>
      </c>
      <c r="Q39" s="2">
        <v>14282518500</v>
      </c>
      <c r="R39" s="2">
        <v>26429500000</v>
      </c>
      <c r="S39" s="2">
        <f t="shared" si="0"/>
        <v>0.11899999999999999</v>
      </c>
      <c r="T39" s="2">
        <f t="shared" si="1"/>
        <v>33629457200</v>
      </c>
    </row>
    <row r="40" spans="1:20" x14ac:dyDescent="0.3">
      <c r="A40" s="1">
        <v>39855</v>
      </c>
      <c r="B40" t="s">
        <v>63</v>
      </c>
      <c r="C40" t="s">
        <v>18</v>
      </c>
      <c r="D40" t="s">
        <v>26</v>
      </c>
      <c r="E40">
        <v>2.71</v>
      </c>
      <c r="F40">
        <v>2.8180000000000001</v>
      </c>
      <c r="G40">
        <v>2.5</v>
      </c>
      <c r="H40">
        <v>2.21</v>
      </c>
      <c r="I40" s="2">
        <v>1069326500</v>
      </c>
      <c r="J40" s="2">
        <v>46457062000</v>
      </c>
      <c r="K40" s="2">
        <v>20946467000</v>
      </c>
      <c r="L40" s="2">
        <v>53535900</v>
      </c>
      <c r="M40" s="2">
        <v>380800000</v>
      </c>
      <c r="N40" s="2">
        <v>610800000</v>
      </c>
      <c r="O40" s="2">
        <v>12651550000</v>
      </c>
      <c r="P40" s="2">
        <v>34788000000</v>
      </c>
      <c r="Q40" s="2">
        <v>7914117000</v>
      </c>
      <c r="R40" s="2">
        <v>11058262000</v>
      </c>
      <c r="S40" s="2">
        <f t="shared" si="0"/>
        <v>0.31800000000000006</v>
      </c>
      <c r="T40" s="2">
        <f t="shared" si="1"/>
        <v>22069329400</v>
      </c>
    </row>
    <row r="41" spans="1:20" x14ac:dyDescent="0.3">
      <c r="A41" s="1">
        <v>39856</v>
      </c>
      <c r="B41" t="s">
        <v>64</v>
      </c>
      <c r="C41" t="s">
        <v>23</v>
      </c>
      <c r="D41" t="s">
        <v>65</v>
      </c>
      <c r="E41">
        <v>3.415</v>
      </c>
      <c r="F41">
        <v>3.54</v>
      </c>
      <c r="G41">
        <v>3.3</v>
      </c>
      <c r="H41">
        <v>2.02</v>
      </c>
      <c r="I41" s="2">
        <v>712884300</v>
      </c>
      <c r="J41" s="2">
        <v>28247025000</v>
      </c>
      <c r="K41" s="2">
        <v>13967376000</v>
      </c>
      <c r="L41" s="2">
        <v>32642800</v>
      </c>
      <c r="M41" s="2">
        <v>2297000000</v>
      </c>
      <c r="N41" s="2">
        <v>2618000000</v>
      </c>
      <c r="O41" s="2">
        <v>6932003500</v>
      </c>
      <c r="P41" s="2">
        <v>20134000000</v>
      </c>
      <c r="Q41" s="2">
        <v>4738372500</v>
      </c>
      <c r="R41" s="2">
        <v>5495025000</v>
      </c>
      <c r="S41" s="2">
        <f t="shared" si="0"/>
        <v>0.24000000000000021</v>
      </c>
      <c r="T41" s="2">
        <f t="shared" si="1"/>
        <v>14712903100</v>
      </c>
    </row>
    <row r="42" spans="1:20" x14ac:dyDescent="0.3">
      <c r="A42" s="1">
        <v>39868</v>
      </c>
      <c r="B42" t="s">
        <v>70</v>
      </c>
      <c r="C42" t="s">
        <v>18</v>
      </c>
      <c r="D42" t="s">
        <v>21</v>
      </c>
      <c r="E42">
        <v>0.9</v>
      </c>
      <c r="F42">
        <v>0.96099999999999997</v>
      </c>
      <c r="G42">
        <v>0.79</v>
      </c>
      <c r="H42">
        <v>2.63</v>
      </c>
      <c r="I42" s="2">
        <v>2142704300</v>
      </c>
      <c r="J42" s="2">
        <v>104885450000</v>
      </c>
      <c r="K42" s="2">
        <v>39593441000</v>
      </c>
      <c r="L42" s="2">
        <v>406599000</v>
      </c>
      <c r="M42" s="2">
        <v>1313000000</v>
      </c>
      <c r="N42" s="2">
        <v>2308000000</v>
      </c>
      <c r="O42" s="2">
        <v>27141991000</v>
      </c>
      <c r="P42" s="2">
        <v>82084000000</v>
      </c>
      <c r="Q42" s="2">
        <v>11138450000</v>
      </c>
      <c r="R42" s="2">
        <v>20493450000</v>
      </c>
      <c r="S42" s="2">
        <f t="shared" si="0"/>
        <v>0.17099999999999993</v>
      </c>
      <c r="T42" s="2">
        <f t="shared" si="1"/>
        <v>42142744300</v>
      </c>
    </row>
    <row r="43" spans="1:20" x14ac:dyDescent="0.3">
      <c r="A43" s="1">
        <v>39869</v>
      </c>
      <c r="B43" t="s">
        <v>69</v>
      </c>
      <c r="C43" t="s">
        <v>18</v>
      </c>
      <c r="D43" t="s">
        <v>19</v>
      </c>
      <c r="E43">
        <v>1.9370000000000001</v>
      </c>
      <c r="F43">
        <v>1.9850000000000001</v>
      </c>
      <c r="G43">
        <v>1.8</v>
      </c>
      <c r="H43">
        <v>2.21</v>
      </c>
      <c r="I43" s="2">
        <v>1714163400</v>
      </c>
      <c r="J43" s="2">
        <v>70661100000</v>
      </c>
      <c r="K43" s="2">
        <v>31948853000</v>
      </c>
      <c r="L43" s="2">
        <v>51194700</v>
      </c>
      <c r="M43" s="2">
        <v>505000000</v>
      </c>
      <c r="N43" s="2">
        <v>985000000</v>
      </c>
      <c r="O43" s="2">
        <v>15820743000</v>
      </c>
      <c r="P43" s="2">
        <v>50976000000</v>
      </c>
      <c r="Q43" s="2">
        <v>15623110000</v>
      </c>
      <c r="R43" s="2">
        <v>18700100000</v>
      </c>
      <c r="S43" s="2">
        <f t="shared" si="0"/>
        <v>0.18500000000000005</v>
      </c>
      <c r="T43" s="2">
        <f t="shared" si="1"/>
        <v>33714211100</v>
      </c>
    </row>
    <row r="44" spans="1:20" x14ac:dyDescent="0.3">
      <c r="A44" s="1">
        <v>39870</v>
      </c>
      <c r="B44" t="s">
        <v>67</v>
      </c>
      <c r="C44" t="s">
        <v>18</v>
      </c>
      <c r="D44" t="s">
        <v>68</v>
      </c>
      <c r="E44">
        <v>2.67</v>
      </c>
      <c r="F44">
        <v>2.7480000000000002</v>
      </c>
      <c r="G44">
        <v>2.5</v>
      </c>
      <c r="H44">
        <v>2.11</v>
      </c>
      <c r="I44" s="2">
        <v>1178487300</v>
      </c>
      <c r="J44" s="2">
        <v>46206825000</v>
      </c>
      <c r="K44" s="2">
        <v>21893019000</v>
      </c>
      <c r="L44" s="2">
        <v>6988300</v>
      </c>
      <c r="M44" s="2">
        <v>804494000</v>
      </c>
      <c r="N44" s="2">
        <v>1096000000</v>
      </c>
      <c r="O44" s="2">
        <v>12616000000</v>
      </c>
      <c r="P44" s="2">
        <v>35031000000</v>
      </c>
      <c r="Q44" s="2">
        <v>8472525000</v>
      </c>
      <c r="R44" s="2">
        <v>10079825000</v>
      </c>
      <c r="S44" s="2">
        <f t="shared" si="0"/>
        <v>0.24800000000000022</v>
      </c>
      <c r="T44" s="2">
        <f t="shared" si="1"/>
        <v>23078494600</v>
      </c>
    </row>
    <row r="45" spans="1:20" x14ac:dyDescent="0.3">
      <c r="A45" s="1">
        <v>39882</v>
      </c>
      <c r="B45" t="s">
        <v>71</v>
      </c>
      <c r="C45" t="s">
        <v>18</v>
      </c>
      <c r="D45" t="s">
        <v>52</v>
      </c>
      <c r="E45">
        <v>1.419</v>
      </c>
      <c r="F45">
        <v>1.4890000000000001</v>
      </c>
      <c r="G45">
        <v>1.33</v>
      </c>
      <c r="H45">
        <v>2.2599999999999998</v>
      </c>
      <c r="I45" s="2">
        <v>604714400</v>
      </c>
      <c r="J45" s="2">
        <v>76855400000</v>
      </c>
      <c r="K45" s="2">
        <v>33900571000</v>
      </c>
      <c r="L45" s="2">
        <v>99457500</v>
      </c>
      <c r="M45" s="2">
        <v>617000000</v>
      </c>
      <c r="N45" s="2">
        <v>1017000000</v>
      </c>
      <c r="O45" s="2">
        <v>19636050000</v>
      </c>
      <c r="P45" s="2">
        <v>58047000000</v>
      </c>
      <c r="Q45" s="2">
        <v>13647521000</v>
      </c>
      <c r="R45" s="2">
        <v>17791400000</v>
      </c>
      <c r="S45" s="2">
        <f t="shared" si="0"/>
        <v>0.15900000000000003</v>
      </c>
      <c r="T45" s="2">
        <f t="shared" si="1"/>
        <v>34604742900</v>
      </c>
    </row>
    <row r="46" spans="1:20" x14ac:dyDescent="0.3">
      <c r="A46" s="1">
        <v>39883</v>
      </c>
      <c r="B46" t="s">
        <v>63</v>
      </c>
      <c r="C46" t="s">
        <v>18</v>
      </c>
      <c r="D46" t="s">
        <v>29</v>
      </c>
      <c r="E46">
        <v>2.98</v>
      </c>
      <c r="F46">
        <v>3.0430000000000001</v>
      </c>
      <c r="G46">
        <v>2.75</v>
      </c>
      <c r="H46">
        <v>2.14</v>
      </c>
      <c r="I46" s="2">
        <v>320142800</v>
      </c>
      <c r="J46" s="2">
        <v>38327300000</v>
      </c>
      <c r="K46" s="2">
        <v>17875180000</v>
      </c>
      <c r="L46" s="2">
        <v>24828700</v>
      </c>
      <c r="M46" s="2">
        <v>559000000</v>
      </c>
      <c r="N46" s="2">
        <v>722000000</v>
      </c>
      <c r="O46" s="2">
        <v>13052880000</v>
      </c>
      <c r="P46" s="2">
        <v>31773000000</v>
      </c>
      <c r="Q46" s="2">
        <v>4263300000</v>
      </c>
      <c r="R46" s="2">
        <v>5832300000</v>
      </c>
      <c r="S46" s="2">
        <f t="shared" si="0"/>
        <v>0.29300000000000015</v>
      </c>
      <c r="T46" s="2">
        <f t="shared" si="1"/>
        <v>18220151500</v>
      </c>
    </row>
    <row r="47" spans="1:20" x14ac:dyDescent="0.3">
      <c r="A47" s="1">
        <v>39884</v>
      </c>
      <c r="B47" t="s">
        <v>64</v>
      </c>
      <c r="C47" t="s">
        <v>23</v>
      </c>
      <c r="D47" t="s">
        <v>72</v>
      </c>
      <c r="E47">
        <v>3.597</v>
      </c>
      <c r="F47">
        <v>3.64</v>
      </c>
      <c r="G47">
        <v>3.49</v>
      </c>
      <c r="H47">
        <v>2.4</v>
      </c>
      <c r="I47" s="2">
        <v>195642800</v>
      </c>
      <c r="J47" s="2">
        <v>26416450000</v>
      </c>
      <c r="K47" s="2">
        <v>10997479600</v>
      </c>
      <c r="L47" s="2">
        <v>2543800</v>
      </c>
      <c r="M47" s="2">
        <v>1076174800</v>
      </c>
      <c r="N47" s="2">
        <v>1280000000</v>
      </c>
      <c r="O47" s="2">
        <v>4841875600</v>
      </c>
      <c r="P47" s="2">
        <v>17917000000</v>
      </c>
      <c r="Q47" s="2">
        <v>5079429200</v>
      </c>
      <c r="R47" s="2">
        <v>7219450000</v>
      </c>
      <c r="S47" s="2">
        <f t="shared" si="0"/>
        <v>0.14999999999999991</v>
      </c>
      <c r="T47" s="2">
        <f t="shared" si="1"/>
        <v>11195666200</v>
      </c>
    </row>
    <row r="48" spans="1:20" x14ac:dyDescent="0.3">
      <c r="A48" s="1">
        <v>39896</v>
      </c>
      <c r="B48" t="s">
        <v>75</v>
      </c>
      <c r="C48" t="s">
        <v>18</v>
      </c>
      <c r="D48" t="s">
        <v>21</v>
      </c>
      <c r="E48">
        <v>0.9</v>
      </c>
      <c r="F48">
        <v>0.94899999999999995</v>
      </c>
      <c r="G48">
        <v>0.84199999999999997</v>
      </c>
      <c r="H48">
        <v>2.71</v>
      </c>
      <c r="I48" s="2">
        <v>1895984600</v>
      </c>
      <c r="J48" s="2">
        <v>107823100000</v>
      </c>
      <c r="K48" s="2">
        <v>39545860000</v>
      </c>
      <c r="L48" s="2">
        <v>454231200</v>
      </c>
      <c r="M48" s="2">
        <v>875500000</v>
      </c>
      <c r="N48" s="2">
        <v>1960500000</v>
      </c>
      <c r="O48" s="2">
        <v>17659800000</v>
      </c>
      <c r="P48" s="2">
        <v>76813000000</v>
      </c>
      <c r="Q48" s="2">
        <v>21010560000</v>
      </c>
      <c r="R48" s="2">
        <v>29049600000</v>
      </c>
      <c r="S48" s="2">
        <f t="shared" si="0"/>
        <v>0.10699999999999998</v>
      </c>
      <c r="T48" s="2">
        <f t="shared" si="1"/>
        <v>41896075800</v>
      </c>
    </row>
    <row r="49" spans="1:20" x14ac:dyDescent="0.3">
      <c r="A49" s="1">
        <v>39897</v>
      </c>
      <c r="B49" t="s">
        <v>74</v>
      </c>
      <c r="C49" t="s">
        <v>18</v>
      </c>
      <c r="D49" t="s">
        <v>19</v>
      </c>
      <c r="E49">
        <v>1.75</v>
      </c>
      <c r="F49">
        <v>1.849</v>
      </c>
      <c r="G49">
        <v>1.49</v>
      </c>
      <c r="H49">
        <v>2.02</v>
      </c>
      <c r="I49" s="2">
        <v>1611586800</v>
      </c>
      <c r="J49" s="2">
        <v>68757500000</v>
      </c>
      <c r="K49" s="2">
        <v>33954814000</v>
      </c>
      <c r="L49" s="2">
        <v>45246000</v>
      </c>
      <c r="M49" s="2">
        <v>512000000</v>
      </c>
      <c r="N49" s="2">
        <v>867000000</v>
      </c>
      <c r="O49" s="2">
        <v>23268020000</v>
      </c>
      <c r="P49" s="2">
        <v>56395000000</v>
      </c>
      <c r="Q49" s="2">
        <v>10174794000</v>
      </c>
      <c r="R49" s="2">
        <v>11495500000</v>
      </c>
      <c r="S49" s="2">
        <f t="shared" si="0"/>
        <v>0.35899999999999999</v>
      </c>
      <c r="T49" s="2">
        <f t="shared" si="1"/>
        <v>35611646800</v>
      </c>
    </row>
    <row r="50" spans="1:20" x14ac:dyDescent="0.3">
      <c r="A50" s="1">
        <v>39898</v>
      </c>
      <c r="B50" t="s">
        <v>73</v>
      </c>
      <c r="C50" t="s">
        <v>18</v>
      </c>
      <c r="D50" t="s">
        <v>68</v>
      </c>
      <c r="E50">
        <v>2.3119999999999998</v>
      </c>
      <c r="F50">
        <v>2.3839999999999999</v>
      </c>
      <c r="G50">
        <v>2</v>
      </c>
      <c r="H50">
        <v>2.52</v>
      </c>
      <c r="I50" s="2">
        <v>1137590600</v>
      </c>
      <c r="J50" s="2">
        <v>60410200000</v>
      </c>
      <c r="K50" s="2">
        <v>23889315000</v>
      </c>
      <c r="L50" s="2">
        <v>10703000</v>
      </c>
      <c r="M50" s="2">
        <v>1825000000</v>
      </c>
      <c r="N50" s="2">
        <v>2144000000</v>
      </c>
      <c r="O50" s="2">
        <v>15366115000</v>
      </c>
      <c r="P50" s="2">
        <v>48824000000</v>
      </c>
      <c r="Q50" s="2">
        <v>6698200000</v>
      </c>
      <c r="R50" s="2">
        <v>9442200000</v>
      </c>
      <c r="S50" s="2">
        <f t="shared" si="0"/>
        <v>0.3839999999999999</v>
      </c>
      <c r="T50" s="2">
        <f t="shared" si="1"/>
        <v>25037608600</v>
      </c>
    </row>
    <row r="51" spans="1:20" x14ac:dyDescent="0.3">
      <c r="A51" s="1">
        <v>39911</v>
      </c>
      <c r="B51" t="s">
        <v>76</v>
      </c>
      <c r="C51" t="s">
        <v>18</v>
      </c>
      <c r="D51" t="s">
        <v>52</v>
      </c>
      <c r="E51">
        <v>1.33</v>
      </c>
      <c r="F51">
        <v>1.385</v>
      </c>
      <c r="G51">
        <v>1.19</v>
      </c>
      <c r="H51">
        <v>2.42</v>
      </c>
      <c r="I51" s="2">
        <v>557034000</v>
      </c>
      <c r="J51" s="2">
        <v>84498500000</v>
      </c>
      <c r="K51" s="2">
        <v>34961475000</v>
      </c>
      <c r="L51" s="2">
        <v>38525600</v>
      </c>
      <c r="M51" s="2">
        <v>1046000000</v>
      </c>
      <c r="N51" s="2">
        <v>1876000000</v>
      </c>
      <c r="O51" s="2">
        <v>20464100000</v>
      </c>
      <c r="P51" s="2">
        <v>65890000000</v>
      </c>
      <c r="Q51" s="2">
        <v>13451375000</v>
      </c>
      <c r="R51" s="2">
        <v>16732500000</v>
      </c>
      <c r="S51" s="2">
        <f t="shared" si="0"/>
        <v>0.19500000000000006</v>
      </c>
      <c r="T51" s="2">
        <f t="shared" si="1"/>
        <v>35557034600</v>
      </c>
    </row>
    <row r="52" spans="1:20" x14ac:dyDescent="0.3">
      <c r="A52" s="1">
        <v>39912</v>
      </c>
      <c r="B52" t="s">
        <v>63</v>
      </c>
      <c r="C52" t="s">
        <v>18</v>
      </c>
      <c r="D52" t="s">
        <v>59</v>
      </c>
      <c r="E52">
        <v>2.879</v>
      </c>
      <c r="F52">
        <v>2.95</v>
      </c>
      <c r="G52">
        <v>2.5499999999999998</v>
      </c>
      <c r="H52">
        <v>2.4900000000000002</v>
      </c>
      <c r="I52" s="2">
        <v>286474500</v>
      </c>
      <c r="J52" s="2">
        <v>44771400000</v>
      </c>
      <c r="K52" s="2">
        <v>17879604800</v>
      </c>
      <c r="L52" s="2">
        <v>20452900</v>
      </c>
      <c r="M52" s="2">
        <v>770000000</v>
      </c>
      <c r="N52" s="2">
        <v>2050000000</v>
      </c>
      <c r="O52" s="2">
        <v>12873024000</v>
      </c>
      <c r="P52" s="2">
        <v>35036000000</v>
      </c>
      <c r="Q52" s="2">
        <v>4236580800</v>
      </c>
      <c r="R52" s="2">
        <v>7685400000</v>
      </c>
      <c r="S52" s="2">
        <f t="shared" si="0"/>
        <v>0.40000000000000036</v>
      </c>
      <c r="T52" s="2">
        <f t="shared" si="1"/>
        <v>18186532200</v>
      </c>
    </row>
    <row r="53" spans="1:20" x14ac:dyDescent="0.3">
      <c r="A53" s="1">
        <v>39930</v>
      </c>
      <c r="B53" t="s">
        <v>78</v>
      </c>
      <c r="C53" t="s">
        <v>18</v>
      </c>
      <c r="D53" t="s">
        <v>21</v>
      </c>
      <c r="E53">
        <v>0.89</v>
      </c>
      <c r="F53">
        <v>0.94899999999999995</v>
      </c>
      <c r="G53">
        <v>0.78</v>
      </c>
      <c r="H53">
        <v>2.72</v>
      </c>
      <c r="I53" s="2">
        <v>1386100700</v>
      </c>
      <c r="J53" s="2">
        <v>108466000000</v>
      </c>
      <c r="K53" s="2">
        <v>39588797900</v>
      </c>
      <c r="L53" s="2">
        <v>411322000</v>
      </c>
      <c r="M53" s="2">
        <v>2183300000</v>
      </c>
      <c r="N53" s="2">
        <v>5870000000</v>
      </c>
      <c r="O53" s="2">
        <v>26041143000</v>
      </c>
      <c r="P53" s="2">
        <v>85362000000</v>
      </c>
      <c r="Q53" s="2">
        <v>11364354900</v>
      </c>
      <c r="R53" s="2">
        <v>17234000000</v>
      </c>
      <c r="S53" s="2">
        <f t="shared" si="0"/>
        <v>0.16899999999999993</v>
      </c>
      <c r="T53" s="2">
        <f t="shared" si="1"/>
        <v>41386220600</v>
      </c>
    </row>
    <row r="54" spans="1:20" x14ac:dyDescent="0.3">
      <c r="A54" s="1">
        <v>39931</v>
      </c>
      <c r="B54" t="s">
        <v>77</v>
      </c>
      <c r="C54" t="s">
        <v>18</v>
      </c>
      <c r="D54" t="s">
        <v>19</v>
      </c>
      <c r="E54">
        <v>1.869</v>
      </c>
      <c r="F54">
        <v>1.94</v>
      </c>
      <c r="G54">
        <v>1.74</v>
      </c>
      <c r="H54">
        <v>2.2200000000000002</v>
      </c>
      <c r="I54" s="2">
        <v>1212837900</v>
      </c>
      <c r="J54" s="2">
        <v>77510800000</v>
      </c>
      <c r="K54" s="2">
        <v>34962557000</v>
      </c>
      <c r="L54" s="2">
        <v>37565500</v>
      </c>
      <c r="M54" s="2">
        <v>800000000</v>
      </c>
      <c r="N54" s="2">
        <v>2435000000</v>
      </c>
      <c r="O54" s="2">
        <v>23402400000</v>
      </c>
      <c r="P54" s="2">
        <v>60863000000</v>
      </c>
      <c r="Q54" s="2">
        <v>10760157000</v>
      </c>
      <c r="R54" s="2">
        <v>14212800000</v>
      </c>
      <c r="S54" s="2">
        <f t="shared" si="0"/>
        <v>0.19999999999999996</v>
      </c>
      <c r="T54" s="2">
        <f t="shared" si="1"/>
        <v>36212960400</v>
      </c>
    </row>
    <row r="55" spans="1:20" x14ac:dyDescent="0.3">
      <c r="A55" s="1">
        <v>39932</v>
      </c>
      <c r="B55" t="s">
        <v>79</v>
      </c>
      <c r="C55" t="s">
        <v>18</v>
      </c>
      <c r="D55" t="s">
        <v>68</v>
      </c>
      <c r="E55">
        <v>2.5499999999999998</v>
      </c>
      <c r="F55">
        <v>2.63</v>
      </c>
      <c r="G55">
        <v>2.4</v>
      </c>
      <c r="H55">
        <v>2.2799999999999998</v>
      </c>
      <c r="I55" s="2">
        <v>900965300</v>
      </c>
      <c r="J55" s="2">
        <v>59314900000</v>
      </c>
      <c r="K55" s="2">
        <v>25992912000</v>
      </c>
      <c r="L55" s="2">
        <v>7168800</v>
      </c>
      <c r="M55" s="2">
        <v>865876500</v>
      </c>
      <c r="N55" s="2">
        <v>2231000000</v>
      </c>
      <c r="O55" s="2">
        <v>16552566500</v>
      </c>
      <c r="P55" s="2">
        <v>46605900000</v>
      </c>
      <c r="Q55" s="2">
        <v>8574469000</v>
      </c>
      <c r="R55" s="2">
        <v>10478000000</v>
      </c>
      <c r="S55" s="2">
        <f t="shared" si="0"/>
        <v>0.22999999999999998</v>
      </c>
      <c r="T55" s="2">
        <f t="shared" si="1"/>
        <v>26901046100</v>
      </c>
    </row>
    <row r="56" spans="1:20" x14ac:dyDescent="0.3">
      <c r="A56" s="1">
        <v>39938</v>
      </c>
      <c r="B56" t="s">
        <v>82</v>
      </c>
      <c r="C56" t="s">
        <v>18</v>
      </c>
      <c r="D56" t="s">
        <v>52</v>
      </c>
      <c r="E56">
        <v>1.42</v>
      </c>
      <c r="F56">
        <v>1.4730000000000001</v>
      </c>
      <c r="G56">
        <v>1.26</v>
      </c>
      <c r="H56">
        <v>2.66</v>
      </c>
      <c r="I56" s="2">
        <v>6191338900</v>
      </c>
      <c r="J56" s="2">
        <v>92840010000</v>
      </c>
      <c r="K56" s="2">
        <v>34795260000</v>
      </c>
      <c r="L56" s="2">
        <v>204770300</v>
      </c>
      <c r="M56" s="2">
        <v>2118000000</v>
      </c>
      <c r="N56" s="2">
        <v>4393000000</v>
      </c>
      <c r="O56" s="2">
        <v>19708750000</v>
      </c>
      <c r="P56" s="2">
        <v>72414000000</v>
      </c>
      <c r="Q56" s="2">
        <v>12968510000</v>
      </c>
      <c r="R56" s="2">
        <v>16033010000</v>
      </c>
      <c r="S56" s="2">
        <f t="shared" si="0"/>
        <v>0.21300000000000008</v>
      </c>
      <c r="T56" s="2">
        <f t="shared" si="1"/>
        <v>41191369200</v>
      </c>
    </row>
    <row r="57" spans="1:20" x14ac:dyDescent="0.3">
      <c r="A57" s="1">
        <v>39939</v>
      </c>
      <c r="B57" t="s">
        <v>81</v>
      </c>
      <c r="C57" t="s">
        <v>18</v>
      </c>
      <c r="D57" t="s">
        <v>26</v>
      </c>
      <c r="E57">
        <v>3.1389999999999998</v>
      </c>
      <c r="F57">
        <v>3.19</v>
      </c>
      <c r="G57">
        <v>2.9</v>
      </c>
      <c r="H57">
        <v>2.4700000000000002</v>
      </c>
      <c r="I57" s="2">
        <v>3891698600</v>
      </c>
      <c r="J57" s="2">
        <v>54268500000</v>
      </c>
      <c r="K57" s="2">
        <v>21826802000</v>
      </c>
      <c r="L57" s="2">
        <v>73306700</v>
      </c>
      <c r="M57" s="2">
        <v>943500000</v>
      </c>
      <c r="N57" s="2">
        <v>2168500000</v>
      </c>
      <c r="O57" s="2">
        <v>13915275000</v>
      </c>
      <c r="P57" s="2">
        <v>41974000000</v>
      </c>
      <c r="Q57" s="2">
        <v>6968027000</v>
      </c>
      <c r="R57" s="2">
        <v>10126000000</v>
      </c>
      <c r="S57" s="2">
        <f t="shared" si="0"/>
        <v>0.29000000000000004</v>
      </c>
      <c r="T57" s="2">
        <f t="shared" si="1"/>
        <v>25791807300</v>
      </c>
    </row>
    <row r="58" spans="1:20" x14ac:dyDescent="0.3">
      <c r="A58" s="1">
        <v>39940</v>
      </c>
      <c r="B58" t="s">
        <v>80</v>
      </c>
      <c r="C58" t="s">
        <v>23</v>
      </c>
      <c r="D58" t="s">
        <v>65</v>
      </c>
      <c r="E58">
        <v>4.1849999999999996</v>
      </c>
      <c r="F58">
        <v>4.2880000000000003</v>
      </c>
      <c r="G58">
        <v>4.0860000000000003</v>
      </c>
      <c r="H58">
        <v>2.14</v>
      </c>
      <c r="I58" s="2">
        <v>2476535500</v>
      </c>
      <c r="J58" s="2">
        <v>29886400000</v>
      </c>
      <c r="K58" s="2">
        <v>13980550000</v>
      </c>
      <c r="L58" s="2">
        <v>19452200</v>
      </c>
      <c r="M58" s="2">
        <v>574000000</v>
      </c>
      <c r="N58" s="2">
        <v>844000000</v>
      </c>
      <c r="O58" s="2">
        <v>8798150000</v>
      </c>
      <c r="P58" s="2">
        <v>23791000000</v>
      </c>
      <c r="Q58" s="2">
        <v>4608400000</v>
      </c>
      <c r="R58" s="2">
        <v>5251400000</v>
      </c>
      <c r="S58" s="2">
        <f t="shared" si="0"/>
        <v>0.20199999999999996</v>
      </c>
      <c r="T58" s="2">
        <f t="shared" si="1"/>
        <v>16476537700</v>
      </c>
    </row>
    <row r="59" spans="1:20" x14ac:dyDescent="0.3">
      <c r="A59" s="1">
        <v>39959</v>
      </c>
      <c r="B59" t="s">
        <v>85</v>
      </c>
      <c r="C59" t="s">
        <v>18</v>
      </c>
      <c r="D59" t="s">
        <v>21</v>
      </c>
      <c r="E59">
        <v>0.91</v>
      </c>
      <c r="F59">
        <v>0.94</v>
      </c>
      <c r="G59">
        <v>0.79</v>
      </c>
      <c r="H59">
        <v>2.94</v>
      </c>
      <c r="I59" s="2">
        <v>1378373900</v>
      </c>
      <c r="J59" s="2">
        <v>116979295000</v>
      </c>
      <c r="K59" s="2">
        <v>39476822600</v>
      </c>
      <c r="L59" s="2">
        <v>523288700</v>
      </c>
      <c r="M59" s="2">
        <v>894489600</v>
      </c>
      <c r="N59" s="2">
        <v>3518420000</v>
      </c>
      <c r="O59" s="2">
        <v>17106963000</v>
      </c>
      <c r="P59" s="2">
        <v>78549000000</v>
      </c>
      <c r="Q59" s="2">
        <v>21475370000</v>
      </c>
      <c r="R59" s="2">
        <v>34911875000</v>
      </c>
      <c r="S59" s="2">
        <f t="shared" si="0"/>
        <v>0.14999999999999991</v>
      </c>
      <c r="T59" s="2">
        <f t="shared" si="1"/>
        <v>41378485200</v>
      </c>
    </row>
    <row r="60" spans="1:20" x14ac:dyDescent="0.3">
      <c r="A60" s="1">
        <v>39960</v>
      </c>
      <c r="B60" t="s">
        <v>84</v>
      </c>
      <c r="C60" t="s">
        <v>18</v>
      </c>
      <c r="D60" t="s">
        <v>19</v>
      </c>
      <c r="E60">
        <v>2.2490000000000001</v>
      </c>
      <c r="F60">
        <v>2.31</v>
      </c>
      <c r="G60">
        <v>2</v>
      </c>
      <c r="H60">
        <v>2.3199999999999998</v>
      </c>
      <c r="I60" s="2">
        <v>1206077100</v>
      </c>
      <c r="J60" s="2">
        <v>81182250000</v>
      </c>
      <c r="K60" s="2">
        <v>34889037200</v>
      </c>
      <c r="L60" s="2">
        <v>111003400</v>
      </c>
      <c r="M60" s="2">
        <v>977497000</v>
      </c>
      <c r="N60" s="2">
        <v>2718000000</v>
      </c>
      <c r="O60" s="2">
        <v>18474882500</v>
      </c>
      <c r="P60" s="2">
        <v>56669000000</v>
      </c>
      <c r="Q60" s="2">
        <v>15436657700</v>
      </c>
      <c r="R60" s="2">
        <v>21795250000</v>
      </c>
      <c r="S60" s="2">
        <f t="shared" si="0"/>
        <v>0.31000000000000005</v>
      </c>
      <c r="T60" s="2">
        <f t="shared" si="1"/>
        <v>36206117700</v>
      </c>
    </row>
    <row r="61" spans="1:20" x14ac:dyDescent="0.3">
      <c r="A61" s="1">
        <v>39961</v>
      </c>
      <c r="B61" t="s">
        <v>83</v>
      </c>
      <c r="C61" t="s">
        <v>18</v>
      </c>
      <c r="D61" t="s">
        <v>68</v>
      </c>
      <c r="E61">
        <v>3.2</v>
      </c>
      <c r="F61">
        <v>3.3</v>
      </c>
      <c r="G61">
        <v>2.69</v>
      </c>
      <c r="H61">
        <v>2.2599999999999998</v>
      </c>
      <c r="I61" s="2">
        <v>895943000</v>
      </c>
      <c r="J61" s="2">
        <v>58711200000</v>
      </c>
      <c r="K61" s="2">
        <v>25982373600</v>
      </c>
      <c r="L61" s="2">
        <v>17678900</v>
      </c>
      <c r="M61" s="2">
        <v>905349600</v>
      </c>
      <c r="N61" s="2">
        <v>3219000000</v>
      </c>
      <c r="O61" s="2">
        <v>16507104000</v>
      </c>
      <c r="P61" s="2">
        <v>44645000000</v>
      </c>
      <c r="Q61" s="2">
        <v>8569920000</v>
      </c>
      <c r="R61" s="2">
        <v>10847200000</v>
      </c>
      <c r="S61" s="2">
        <f t="shared" si="0"/>
        <v>0.60999999999999988</v>
      </c>
      <c r="T61" s="2">
        <f t="shared" si="1"/>
        <v>26895995500</v>
      </c>
    </row>
    <row r="62" spans="1:20" x14ac:dyDescent="0.3">
      <c r="A62" s="1">
        <v>39973</v>
      </c>
      <c r="B62" t="s">
        <v>86</v>
      </c>
      <c r="C62" t="s">
        <v>18</v>
      </c>
      <c r="D62" t="s">
        <v>52</v>
      </c>
      <c r="E62">
        <v>1.9039999999999999</v>
      </c>
      <c r="F62">
        <v>1.96</v>
      </c>
      <c r="G62">
        <v>1.8</v>
      </c>
      <c r="H62">
        <v>2.82</v>
      </c>
      <c r="I62" s="2">
        <v>369923200</v>
      </c>
      <c r="J62" s="2">
        <v>98600700000</v>
      </c>
      <c r="K62" s="2">
        <v>34908089900</v>
      </c>
      <c r="L62" s="2">
        <v>92042400</v>
      </c>
      <c r="M62" s="2">
        <v>5507039900</v>
      </c>
      <c r="N62" s="2">
        <v>13551700000</v>
      </c>
      <c r="O62" s="2">
        <v>14126160000</v>
      </c>
      <c r="P62" s="2">
        <v>65740000000</v>
      </c>
      <c r="Q62" s="2">
        <v>15274890000</v>
      </c>
      <c r="R62" s="2">
        <v>19309000000</v>
      </c>
      <c r="S62" s="2">
        <f t="shared" si="0"/>
        <v>0.15999999999999992</v>
      </c>
      <c r="T62" s="2">
        <f t="shared" si="1"/>
        <v>35370055500</v>
      </c>
    </row>
    <row r="63" spans="1:20" x14ac:dyDescent="0.3">
      <c r="A63" s="1">
        <v>39974</v>
      </c>
      <c r="B63" t="s">
        <v>81</v>
      </c>
      <c r="C63" t="s">
        <v>18</v>
      </c>
      <c r="D63" t="s">
        <v>29</v>
      </c>
      <c r="E63">
        <v>3.915</v>
      </c>
      <c r="F63">
        <v>3.99</v>
      </c>
      <c r="G63">
        <v>3.85</v>
      </c>
      <c r="H63">
        <v>2.62</v>
      </c>
      <c r="I63" s="2">
        <v>200815300</v>
      </c>
      <c r="J63" s="2">
        <v>49688500000</v>
      </c>
      <c r="K63" s="2">
        <v>18826264500</v>
      </c>
      <c r="L63" s="2">
        <v>73776100</v>
      </c>
      <c r="M63" s="2">
        <v>1737550000</v>
      </c>
      <c r="N63" s="2">
        <v>6296000000</v>
      </c>
      <c r="O63" s="2">
        <v>10640935000</v>
      </c>
      <c r="P63" s="2">
        <v>35897000000</v>
      </c>
      <c r="Q63" s="2">
        <v>6447779500</v>
      </c>
      <c r="R63" s="2">
        <v>7495500000</v>
      </c>
      <c r="S63" s="2">
        <f t="shared" si="0"/>
        <v>0.14000000000000012</v>
      </c>
      <c r="T63" s="2">
        <f t="shared" si="1"/>
        <v>19100855900</v>
      </c>
    </row>
    <row r="64" spans="1:20" x14ac:dyDescent="0.3">
      <c r="A64" s="1">
        <v>39975</v>
      </c>
      <c r="B64" t="s">
        <v>80</v>
      </c>
      <c r="C64" t="s">
        <v>23</v>
      </c>
      <c r="D64" t="s">
        <v>72</v>
      </c>
      <c r="E64">
        <v>4.6840000000000002</v>
      </c>
      <c r="F64">
        <v>4.72</v>
      </c>
      <c r="G64">
        <v>4.5990000000000002</v>
      </c>
      <c r="H64">
        <v>2.68</v>
      </c>
      <c r="I64" s="2">
        <v>116261500</v>
      </c>
      <c r="J64" s="2">
        <v>29430275000</v>
      </c>
      <c r="K64" s="2">
        <v>10980344000</v>
      </c>
      <c r="L64" s="2">
        <v>19664200</v>
      </c>
      <c r="M64" s="2">
        <v>643000000</v>
      </c>
      <c r="N64" s="2">
        <v>2967000000</v>
      </c>
      <c r="O64" s="2">
        <v>4953403000</v>
      </c>
      <c r="P64" s="2">
        <v>17631500000</v>
      </c>
      <c r="Q64" s="2">
        <v>5383941000</v>
      </c>
      <c r="R64" s="2">
        <v>8831775000</v>
      </c>
      <c r="S64" s="2">
        <f t="shared" si="0"/>
        <v>0.12099999999999955</v>
      </c>
      <c r="T64" s="2">
        <f t="shared" si="1"/>
        <v>11116269700</v>
      </c>
    </row>
    <row r="65" spans="1:20" x14ac:dyDescent="0.3">
      <c r="A65" s="1">
        <v>39987</v>
      </c>
      <c r="B65" t="s">
        <v>89</v>
      </c>
      <c r="C65" t="s">
        <v>18</v>
      </c>
      <c r="D65" t="s">
        <v>21</v>
      </c>
      <c r="E65">
        <v>1.119</v>
      </c>
      <c r="F65">
        <v>1.151</v>
      </c>
      <c r="G65">
        <v>1.03</v>
      </c>
      <c r="H65">
        <v>3.19</v>
      </c>
      <c r="I65" s="2">
        <v>1161613200</v>
      </c>
      <c r="J65" s="2">
        <v>127100970000</v>
      </c>
      <c r="K65" s="2">
        <v>39544341000</v>
      </c>
      <c r="L65" s="2">
        <v>455682500</v>
      </c>
      <c r="M65" s="2">
        <v>1389841000</v>
      </c>
      <c r="N65" s="2">
        <v>8769841000</v>
      </c>
      <c r="O65" s="2">
        <v>10970000000</v>
      </c>
      <c r="P65" s="2">
        <v>81171000000</v>
      </c>
      <c r="Q65" s="2">
        <v>27184500000</v>
      </c>
      <c r="R65" s="2">
        <v>37160129000</v>
      </c>
      <c r="S65" s="2">
        <f t="shared" si="0"/>
        <v>0.121</v>
      </c>
      <c r="T65" s="2">
        <f t="shared" si="1"/>
        <v>41161636700</v>
      </c>
    </row>
    <row r="66" spans="1:20" x14ac:dyDescent="0.3">
      <c r="A66" s="1">
        <v>39988</v>
      </c>
      <c r="B66" t="s">
        <v>88</v>
      </c>
      <c r="C66" t="s">
        <v>18</v>
      </c>
      <c r="D66" t="s">
        <v>19</v>
      </c>
      <c r="E66">
        <v>2.6190000000000002</v>
      </c>
      <c r="F66">
        <v>2.7</v>
      </c>
      <c r="G66">
        <v>2.59</v>
      </c>
      <c r="H66">
        <v>2.58</v>
      </c>
      <c r="I66" s="2">
        <v>1074492000</v>
      </c>
      <c r="J66" s="2">
        <v>95237500000</v>
      </c>
      <c r="K66" s="2">
        <v>36893034700</v>
      </c>
      <c r="L66" s="2">
        <v>107079600</v>
      </c>
      <c r="M66" s="2">
        <v>1080000000</v>
      </c>
      <c r="N66" s="2">
        <v>6284000000</v>
      </c>
      <c r="O66" s="2">
        <v>12646590000</v>
      </c>
      <c r="P66" s="2">
        <v>59737000000</v>
      </c>
      <c r="Q66" s="2">
        <v>23166444700</v>
      </c>
      <c r="R66" s="2">
        <v>29216500000</v>
      </c>
      <c r="S66" s="2">
        <f t="shared" ref="S66:S129" si="2">SUM($F66,-$G66)</f>
        <v>0.11000000000000032</v>
      </c>
      <c r="T66" s="2">
        <f t="shared" ref="T66:T129" si="3">SUM(I66,K66,L66)</f>
        <v>38074606300</v>
      </c>
    </row>
    <row r="67" spans="1:20" x14ac:dyDescent="0.3">
      <c r="A67" s="1">
        <v>39989</v>
      </c>
      <c r="B67" t="s">
        <v>87</v>
      </c>
      <c r="C67" t="s">
        <v>18</v>
      </c>
      <c r="D67" t="s">
        <v>68</v>
      </c>
      <c r="E67">
        <v>3.3</v>
      </c>
      <c r="F67">
        <v>3.3290000000000002</v>
      </c>
      <c r="G67">
        <v>3.2490000000000001</v>
      </c>
      <c r="H67">
        <v>2.82</v>
      </c>
      <c r="I67" s="2">
        <v>784088800</v>
      </c>
      <c r="J67" s="2">
        <v>75995084000</v>
      </c>
      <c r="K67" s="2">
        <v>26984837500</v>
      </c>
      <c r="L67" s="2">
        <v>15194700</v>
      </c>
      <c r="M67" s="2">
        <v>590009000</v>
      </c>
      <c r="N67" s="2">
        <v>4932084000</v>
      </c>
      <c r="O67" s="2">
        <v>8269877500</v>
      </c>
      <c r="P67" s="2">
        <v>46061000000</v>
      </c>
      <c r="Q67" s="2">
        <v>18124951000</v>
      </c>
      <c r="R67" s="2">
        <v>25002000000</v>
      </c>
      <c r="S67" s="2">
        <f t="shared" si="2"/>
        <v>8.0000000000000071E-2</v>
      </c>
      <c r="T67" s="2">
        <f t="shared" si="3"/>
        <v>27784121000</v>
      </c>
    </row>
    <row r="68" spans="1:20" x14ac:dyDescent="0.3">
      <c r="A68" s="1">
        <v>40001</v>
      </c>
      <c r="B68" t="s">
        <v>90</v>
      </c>
      <c r="C68" t="s">
        <v>18</v>
      </c>
      <c r="D68" t="s">
        <v>52</v>
      </c>
      <c r="E68">
        <v>1.43</v>
      </c>
      <c r="F68">
        <v>1.5189999999999999</v>
      </c>
      <c r="G68">
        <v>1.37</v>
      </c>
      <c r="H68">
        <v>2.62</v>
      </c>
      <c r="I68" s="2">
        <v>591644000</v>
      </c>
      <c r="J68" s="2">
        <v>91499465000</v>
      </c>
      <c r="K68" s="2">
        <v>34927421000</v>
      </c>
      <c r="L68" s="2">
        <v>72642800</v>
      </c>
      <c r="M68" s="2">
        <v>2604370000</v>
      </c>
      <c r="N68" s="2">
        <v>6764665000</v>
      </c>
      <c r="O68" s="2">
        <v>13444941000</v>
      </c>
      <c r="P68" s="2">
        <v>61366000000</v>
      </c>
      <c r="Q68" s="2">
        <v>18878110000</v>
      </c>
      <c r="R68" s="2">
        <v>23368800000</v>
      </c>
      <c r="S68" s="2">
        <f t="shared" si="2"/>
        <v>0.1489999999999998</v>
      </c>
      <c r="T68" s="2">
        <f t="shared" si="3"/>
        <v>35591707800</v>
      </c>
    </row>
    <row r="69" spans="1:20" x14ac:dyDescent="0.3">
      <c r="A69" s="1">
        <v>40002</v>
      </c>
      <c r="B69" t="s">
        <v>81</v>
      </c>
      <c r="C69" t="s">
        <v>18</v>
      </c>
      <c r="D69" t="s">
        <v>59</v>
      </c>
      <c r="E69">
        <v>3.34</v>
      </c>
      <c r="F69">
        <v>3.3650000000000002</v>
      </c>
      <c r="G69">
        <v>3.282</v>
      </c>
      <c r="H69">
        <v>3.28</v>
      </c>
      <c r="I69" s="2">
        <v>321178000</v>
      </c>
      <c r="J69" s="2">
        <v>62302729000</v>
      </c>
      <c r="K69" s="2">
        <v>18907580000</v>
      </c>
      <c r="L69" s="2">
        <v>42780400</v>
      </c>
      <c r="M69" s="2">
        <v>2463374400</v>
      </c>
      <c r="N69" s="2">
        <v>4499629000</v>
      </c>
      <c r="O69" s="2">
        <v>8134800000</v>
      </c>
      <c r="P69" s="2">
        <v>40548000000</v>
      </c>
      <c r="Q69" s="2">
        <v>8309405600</v>
      </c>
      <c r="R69" s="2">
        <v>17255100000</v>
      </c>
      <c r="S69" s="2">
        <f t="shared" si="2"/>
        <v>8.3000000000000185E-2</v>
      </c>
      <c r="T69" s="2">
        <f t="shared" si="3"/>
        <v>19271538400</v>
      </c>
    </row>
    <row r="70" spans="1:20" x14ac:dyDescent="0.3">
      <c r="A70" s="1">
        <v>40003</v>
      </c>
      <c r="B70" t="s">
        <v>80</v>
      </c>
      <c r="C70" t="s">
        <v>23</v>
      </c>
      <c r="D70" t="s">
        <v>91</v>
      </c>
      <c r="E70">
        <v>4.2300000000000004</v>
      </c>
      <c r="F70">
        <v>4.3029999999999999</v>
      </c>
      <c r="G70">
        <v>4.1500000000000004</v>
      </c>
      <c r="H70">
        <v>2.36</v>
      </c>
      <c r="I70" s="2">
        <v>185945200</v>
      </c>
      <c r="J70" s="2">
        <v>25927500000</v>
      </c>
      <c r="K70" s="2">
        <v>10993568000</v>
      </c>
      <c r="L70" s="2">
        <v>6441600</v>
      </c>
      <c r="M70" s="2">
        <v>271000000</v>
      </c>
      <c r="N70" s="2">
        <v>1104000000</v>
      </c>
      <c r="O70" s="2">
        <v>5202788000</v>
      </c>
      <c r="P70" s="2">
        <v>17006000000</v>
      </c>
      <c r="Q70" s="2">
        <v>5519780000</v>
      </c>
      <c r="R70" s="2">
        <v>7817500000</v>
      </c>
      <c r="S70" s="2">
        <f t="shared" si="2"/>
        <v>0.15299999999999958</v>
      </c>
      <c r="T70" s="2">
        <f t="shared" si="3"/>
        <v>11185954800</v>
      </c>
    </row>
    <row r="71" spans="1:20" x14ac:dyDescent="0.3">
      <c r="A71" s="1">
        <v>40022</v>
      </c>
      <c r="B71" t="s">
        <v>94</v>
      </c>
      <c r="C71" t="s">
        <v>18</v>
      </c>
      <c r="D71" t="s">
        <v>21</v>
      </c>
      <c r="E71">
        <v>1.0389999999999999</v>
      </c>
      <c r="F71">
        <v>1.08</v>
      </c>
      <c r="G71">
        <v>0.95</v>
      </c>
      <c r="H71">
        <v>2.75</v>
      </c>
      <c r="I71" s="2">
        <v>1052108900</v>
      </c>
      <c r="J71" s="2">
        <v>115146000000</v>
      </c>
      <c r="K71" s="2">
        <v>41534490500</v>
      </c>
      <c r="L71" s="2">
        <v>440705700</v>
      </c>
      <c r="M71" s="2">
        <v>1708134000</v>
      </c>
      <c r="N71" s="2">
        <v>3067000000</v>
      </c>
      <c r="O71" s="2">
        <v>26131402500</v>
      </c>
      <c r="P71" s="2">
        <v>91537000000</v>
      </c>
      <c r="Q71" s="2">
        <v>13694954000</v>
      </c>
      <c r="R71" s="2">
        <v>20542000000</v>
      </c>
      <c r="S71" s="2">
        <f t="shared" si="2"/>
        <v>0.13000000000000012</v>
      </c>
      <c r="T71" s="2">
        <f t="shared" si="3"/>
        <v>43027305100</v>
      </c>
    </row>
    <row r="72" spans="1:20" x14ac:dyDescent="0.3">
      <c r="A72" s="1">
        <v>40023</v>
      </c>
      <c r="B72" t="s">
        <v>93</v>
      </c>
      <c r="C72" t="s">
        <v>18</v>
      </c>
      <c r="D72" t="s">
        <v>19</v>
      </c>
      <c r="E72">
        <v>2.59</v>
      </c>
      <c r="F72">
        <v>2.6890000000000001</v>
      </c>
      <c r="G72">
        <v>2</v>
      </c>
      <c r="H72">
        <v>1.92</v>
      </c>
      <c r="I72" s="2">
        <v>976958100</v>
      </c>
      <c r="J72" s="2">
        <v>74860000000</v>
      </c>
      <c r="K72" s="2">
        <v>38844750000</v>
      </c>
      <c r="L72" s="2">
        <v>130296700</v>
      </c>
      <c r="M72" s="2">
        <v>658000000</v>
      </c>
      <c r="N72" s="2">
        <v>1068000000</v>
      </c>
      <c r="O72" s="2">
        <v>23923750000</v>
      </c>
      <c r="P72" s="2">
        <v>57014000000</v>
      </c>
      <c r="Q72" s="2">
        <v>14263000000</v>
      </c>
      <c r="R72" s="2">
        <v>16778000000</v>
      </c>
      <c r="S72" s="2">
        <f t="shared" si="2"/>
        <v>0.68900000000000006</v>
      </c>
      <c r="T72" s="2">
        <f t="shared" si="3"/>
        <v>39952004800</v>
      </c>
    </row>
    <row r="73" spans="1:20" x14ac:dyDescent="0.3">
      <c r="A73" s="1">
        <v>40024</v>
      </c>
      <c r="B73" t="s">
        <v>92</v>
      </c>
      <c r="C73" t="s">
        <v>18</v>
      </c>
      <c r="D73" t="s">
        <v>68</v>
      </c>
      <c r="E73">
        <v>3.2869999999999999</v>
      </c>
      <c r="F73">
        <v>3.3690000000000002</v>
      </c>
      <c r="G73">
        <v>3.21</v>
      </c>
      <c r="H73">
        <v>2.63</v>
      </c>
      <c r="I73" s="2">
        <v>701405800</v>
      </c>
      <c r="J73" s="2">
        <v>73521500000</v>
      </c>
      <c r="K73" s="2">
        <v>27935407500</v>
      </c>
      <c r="L73" s="2">
        <v>49593600</v>
      </c>
      <c r="M73" s="2">
        <v>432000000</v>
      </c>
      <c r="N73" s="2">
        <v>723000000</v>
      </c>
      <c r="O73" s="2">
        <v>10047907500</v>
      </c>
      <c r="P73" s="2">
        <v>47960000000</v>
      </c>
      <c r="Q73" s="2">
        <v>17455500000</v>
      </c>
      <c r="R73" s="2">
        <v>24838500000</v>
      </c>
      <c r="S73" s="2">
        <f t="shared" si="2"/>
        <v>0.15900000000000025</v>
      </c>
      <c r="T73" s="2">
        <f t="shared" si="3"/>
        <v>28686406900</v>
      </c>
    </row>
    <row r="74" spans="1:20" x14ac:dyDescent="0.3">
      <c r="A74" s="1">
        <v>40036</v>
      </c>
      <c r="B74" t="s">
        <v>97</v>
      </c>
      <c r="C74" t="s">
        <v>18</v>
      </c>
      <c r="D74" t="s">
        <v>52</v>
      </c>
      <c r="E74">
        <v>1.7270000000000001</v>
      </c>
      <c r="F74">
        <v>1.78</v>
      </c>
      <c r="G74">
        <v>1.6</v>
      </c>
      <c r="H74">
        <v>2.89</v>
      </c>
      <c r="I74" s="2">
        <v>5714620000</v>
      </c>
      <c r="J74" s="2">
        <v>106737000000</v>
      </c>
      <c r="K74" s="2">
        <v>36745210000</v>
      </c>
      <c r="L74" s="2">
        <v>204836100</v>
      </c>
      <c r="M74" s="2">
        <v>750270000</v>
      </c>
      <c r="N74" s="2">
        <v>1282000000</v>
      </c>
      <c r="O74" s="2">
        <v>13038640000</v>
      </c>
      <c r="P74" s="2">
        <v>73320000000</v>
      </c>
      <c r="Q74" s="2">
        <v>22956300000</v>
      </c>
      <c r="R74" s="2">
        <v>32135000000</v>
      </c>
      <c r="S74" s="2">
        <f t="shared" si="2"/>
        <v>0.17999999999999994</v>
      </c>
      <c r="T74" s="2">
        <f t="shared" si="3"/>
        <v>42664666100</v>
      </c>
    </row>
    <row r="75" spans="1:20" x14ac:dyDescent="0.3">
      <c r="A75" s="1">
        <v>40037</v>
      </c>
      <c r="B75" t="s">
        <v>96</v>
      </c>
      <c r="C75" t="s">
        <v>18</v>
      </c>
      <c r="D75" t="s">
        <v>26</v>
      </c>
      <c r="E75">
        <v>3.6360000000000001</v>
      </c>
      <c r="F75">
        <v>3.734</v>
      </c>
      <c r="G75">
        <v>3.55</v>
      </c>
      <c r="H75">
        <v>2.4900000000000002</v>
      </c>
      <c r="I75" s="2">
        <v>3552331200</v>
      </c>
      <c r="J75" s="2">
        <v>57024710000</v>
      </c>
      <c r="K75" s="2">
        <v>22761570000</v>
      </c>
      <c r="L75" s="2">
        <v>138447700</v>
      </c>
      <c r="M75" s="2">
        <v>478000000</v>
      </c>
      <c r="N75" s="2">
        <v>988000000</v>
      </c>
      <c r="O75" s="2">
        <v>11873000000</v>
      </c>
      <c r="P75" s="2">
        <v>41563000000</v>
      </c>
      <c r="Q75" s="2">
        <v>10410570000</v>
      </c>
      <c r="R75" s="2">
        <v>14473710000</v>
      </c>
      <c r="S75" s="2">
        <f t="shared" si="2"/>
        <v>0.18400000000000016</v>
      </c>
      <c r="T75" s="2">
        <f t="shared" si="3"/>
        <v>26452348900</v>
      </c>
    </row>
    <row r="76" spans="1:20" x14ac:dyDescent="0.3">
      <c r="A76" s="1">
        <v>40038</v>
      </c>
      <c r="B76" t="s">
        <v>95</v>
      </c>
      <c r="C76" t="s">
        <v>23</v>
      </c>
      <c r="D76" t="s">
        <v>65</v>
      </c>
      <c r="E76">
        <v>4.4800000000000004</v>
      </c>
      <c r="F76">
        <v>4.5410000000000004</v>
      </c>
      <c r="G76">
        <v>4.3920000000000003</v>
      </c>
      <c r="H76">
        <v>2.54</v>
      </c>
      <c r="I76" s="2">
        <v>2316737800</v>
      </c>
      <c r="J76" s="2">
        <v>38010500000</v>
      </c>
      <c r="K76" s="2">
        <v>14978455000</v>
      </c>
      <c r="L76" s="2">
        <v>21546500</v>
      </c>
      <c r="M76" s="2">
        <v>1323000000</v>
      </c>
      <c r="N76" s="2">
        <v>1497000000</v>
      </c>
      <c r="O76" s="2">
        <v>6457770000</v>
      </c>
      <c r="P76" s="2">
        <v>24169000000</v>
      </c>
      <c r="Q76" s="2">
        <v>7197685000</v>
      </c>
      <c r="R76" s="2">
        <v>12344500000</v>
      </c>
      <c r="S76" s="2">
        <f t="shared" si="2"/>
        <v>0.14900000000000002</v>
      </c>
      <c r="T76" s="2">
        <f t="shared" si="3"/>
        <v>17316739300</v>
      </c>
    </row>
    <row r="77" spans="1:20" x14ac:dyDescent="0.3">
      <c r="A77" s="1">
        <v>40050</v>
      </c>
      <c r="B77" t="s">
        <v>100</v>
      </c>
      <c r="C77" t="s">
        <v>18</v>
      </c>
      <c r="D77" t="s">
        <v>21</v>
      </c>
      <c r="E77">
        <v>1.06</v>
      </c>
      <c r="F77">
        <v>1.119</v>
      </c>
      <c r="G77">
        <v>0.95</v>
      </c>
      <c r="H77">
        <v>2.68</v>
      </c>
      <c r="I77" s="2">
        <v>1263977800</v>
      </c>
      <c r="J77" s="2">
        <v>112074310000</v>
      </c>
      <c r="K77" s="2">
        <v>41419804000</v>
      </c>
      <c r="L77" s="2">
        <v>530202500</v>
      </c>
      <c r="M77" s="2">
        <v>1440000000</v>
      </c>
      <c r="N77" s="2">
        <v>2492000000</v>
      </c>
      <c r="O77" s="2">
        <v>19527960000</v>
      </c>
      <c r="P77" s="2">
        <v>81556000000</v>
      </c>
      <c r="Q77" s="2">
        <v>20451844000</v>
      </c>
      <c r="R77" s="2">
        <v>28026310000</v>
      </c>
      <c r="S77" s="2">
        <f t="shared" si="2"/>
        <v>0.16900000000000004</v>
      </c>
      <c r="T77" s="2">
        <f t="shared" si="3"/>
        <v>43213984300</v>
      </c>
    </row>
    <row r="78" spans="1:20" x14ac:dyDescent="0.3">
      <c r="A78" s="1">
        <v>40051</v>
      </c>
      <c r="B78" t="s">
        <v>99</v>
      </c>
      <c r="C78" t="s">
        <v>18</v>
      </c>
      <c r="D78" t="s">
        <v>19</v>
      </c>
      <c r="E78">
        <v>2.419</v>
      </c>
      <c r="F78">
        <v>2.4940000000000002</v>
      </c>
      <c r="G78">
        <v>2.31</v>
      </c>
      <c r="H78">
        <v>2.5099999999999998</v>
      </c>
      <c r="I78" s="2">
        <v>1173693500</v>
      </c>
      <c r="J78" s="2">
        <v>97560200000</v>
      </c>
      <c r="K78" s="2">
        <v>38864475000</v>
      </c>
      <c r="L78" s="2">
        <v>135527900</v>
      </c>
      <c r="M78" s="2">
        <v>1142000000</v>
      </c>
      <c r="N78" s="2">
        <v>1857000000</v>
      </c>
      <c r="O78" s="2">
        <v>15790275000</v>
      </c>
      <c r="P78" s="2">
        <v>67077000000</v>
      </c>
      <c r="Q78" s="2">
        <v>21932200000</v>
      </c>
      <c r="R78" s="2">
        <v>28626200000</v>
      </c>
      <c r="S78" s="2">
        <f t="shared" si="2"/>
        <v>0.18400000000000016</v>
      </c>
      <c r="T78" s="2">
        <f t="shared" si="3"/>
        <v>40173696400</v>
      </c>
    </row>
    <row r="79" spans="1:20" x14ac:dyDescent="0.3">
      <c r="A79" s="1">
        <v>40052</v>
      </c>
      <c r="B79" t="s">
        <v>98</v>
      </c>
      <c r="C79" t="s">
        <v>18</v>
      </c>
      <c r="D79" t="s">
        <v>68</v>
      </c>
      <c r="E79">
        <v>3.0139999999999998</v>
      </c>
      <c r="F79">
        <v>3.0920000000000001</v>
      </c>
      <c r="G79">
        <v>2.97</v>
      </c>
      <c r="H79">
        <v>2.74</v>
      </c>
      <c r="I79" s="2">
        <v>842651700</v>
      </c>
      <c r="J79" s="2">
        <v>76669550000</v>
      </c>
      <c r="K79" s="2">
        <v>27947089000</v>
      </c>
      <c r="L79" s="2">
        <v>52942500</v>
      </c>
      <c r="M79" s="2">
        <v>575000000</v>
      </c>
      <c r="N79" s="2">
        <v>1305000000</v>
      </c>
      <c r="O79" s="2">
        <v>10270000000</v>
      </c>
      <c r="P79" s="2">
        <v>51360000000</v>
      </c>
      <c r="Q79" s="2">
        <v>17102089000</v>
      </c>
      <c r="R79" s="2">
        <v>24004550000</v>
      </c>
      <c r="S79" s="2">
        <f t="shared" si="2"/>
        <v>0.12199999999999989</v>
      </c>
      <c r="T79" s="2">
        <f t="shared" si="3"/>
        <v>28842683200</v>
      </c>
    </row>
    <row r="80" spans="1:20" x14ac:dyDescent="0.3">
      <c r="A80" s="1">
        <v>40064</v>
      </c>
      <c r="B80" t="s">
        <v>101</v>
      </c>
      <c r="C80" t="s">
        <v>18</v>
      </c>
      <c r="D80" t="s">
        <v>52</v>
      </c>
      <c r="E80">
        <v>1.43</v>
      </c>
      <c r="F80">
        <v>1.4870000000000001</v>
      </c>
      <c r="G80">
        <v>1.35</v>
      </c>
      <c r="H80">
        <v>3.02</v>
      </c>
      <c r="I80" s="2">
        <v>80342900</v>
      </c>
      <c r="J80" s="2">
        <v>114756400000</v>
      </c>
      <c r="K80" s="2">
        <v>37819000000</v>
      </c>
      <c r="L80" s="2">
        <v>81006300</v>
      </c>
      <c r="M80" s="2">
        <v>1236800000</v>
      </c>
      <c r="N80" s="2">
        <v>2366800000</v>
      </c>
      <c r="O80" s="2">
        <v>16073600000</v>
      </c>
      <c r="P80" s="2">
        <v>81049000000</v>
      </c>
      <c r="Q80" s="2">
        <v>20508600000</v>
      </c>
      <c r="R80" s="2">
        <v>31340600000</v>
      </c>
      <c r="S80" s="2">
        <f t="shared" si="2"/>
        <v>0.13700000000000001</v>
      </c>
      <c r="T80" s="2">
        <f t="shared" si="3"/>
        <v>37980349200</v>
      </c>
    </row>
    <row r="81" spans="1:20" x14ac:dyDescent="0.3">
      <c r="A81" s="1">
        <v>40065</v>
      </c>
      <c r="B81" t="s">
        <v>96</v>
      </c>
      <c r="C81" t="s">
        <v>18</v>
      </c>
      <c r="D81" t="s">
        <v>29</v>
      </c>
      <c r="E81">
        <v>3.45</v>
      </c>
      <c r="F81">
        <v>3.51</v>
      </c>
      <c r="G81">
        <v>3.34</v>
      </c>
      <c r="H81">
        <v>2.77</v>
      </c>
      <c r="I81" s="2">
        <v>42285700</v>
      </c>
      <c r="J81" s="2">
        <v>55270500000</v>
      </c>
      <c r="K81" s="2">
        <v>19854240000</v>
      </c>
      <c r="L81" s="2">
        <v>45776500</v>
      </c>
      <c r="M81" s="2">
        <v>545760000</v>
      </c>
      <c r="N81" s="2">
        <v>1319000000</v>
      </c>
      <c r="O81" s="2">
        <v>8319200000</v>
      </c>
      <c r="P81" s="2">
        <v>38592000000</v>
      </c>
      <c r="Q81" s="2">
        <v>10989280000</v>
      </c>
      <c r="R81" s="2">
        <v>15359500000</v>
      </c>
      <c r="S81" s="2">
        <f t="shared" si="2"/>
        <v>0.16999999999999993</v>
      </c>
      <c r="T81" s="2">
        <f t="shared" si="3"/>
        <v>19942302200</v>
      </c>
    </row>
    <row r="82" spans="1:20" x14ac:dyDescent="0.3">
      <c r="A82" s="1">
        <v>40066</v>
      </c>
      <c r="B82" t="s">
        <v>95</v>
      </c>
      <c r="C82" t="s">
        <v>23</v>
      </c>
      <c r="D82" t="s">
        <v>72</v>
      </c>
      <c r="E82">
        <v>4.21</v>
      </c>
      <c r="F82">
        <v>4.2380000000000004</v>
      </c>
      <c r="G82">
        <v>4.0999999999999996</v>
      </c>
      <c r="H82">
        <v>2.92</v>
      </c>
      <c r="I82" s="2">
        <v>25371400</v>
      </c>
      <c r="J82" s="2">
        <v>34971900000</v>
      </c>
      <c r="K82" s="2">
        <v>11980450000</v>
      </c>
      <c r="L82" s="2">
        <v>19613600</v>
      </c>
      <c r="M82" s="2">
        <v>239000000</v>
      </c>
      <c r="N82" s="2">
        <v>728000000</v>
      </c>
      <c r="O82" s="2">
        <v>6174000000</v>
      </c>
      <c r="P82" s="2">
        <v>22547000000</v>
      </c>
      <c r="Q82" s="2">
        <v>5567450000</v>
      </c>
      <c r="R82" s="2">
        <v>11696900000</v>
      </c>
      <c r="S82" s="2">
        <f t="shared" si="2"/>
        <v>0.13800000000000079</v>
      </c>
      <c r="T82" s="2">
        <f t="shared" si="3"/>
        <v>12025435000</v>
      </c>
    </row>
    <row r="83" spans="1:20" x14ac:dyDescent="0.3">
      <c r="A83" s="1">
        <v>40078</v>
      </c>
      <c r="B83" t="s">
        <v>103</v>
      </c>
      <c r="C83" t="s">
        <v>18</v>
      </c>
      <c r="D83" t="s">
        <v>21</v>
      </c>
      <c r="E83">
        <v>0.99</v>
      </c>
      <c r="F83">
        <v>1.034</v>
      </c>
      <c r="G83">
        <v>0.92</v>
      </c>
      <c r="H83">
        <v>3.23</v>
      </c>
      <c r="I83" s="2">
        <v>761655200</v>
      </c>
      <c r="J83" s="2">
        <v>138305650000</v>
      </c>
      <c r="K83" s="2">
        <v>42466030000</v>
      </c>
      <c r="L83" s="2">
        <v>433978000</v>
      </c>
      <c r="M83" s="2">
        <v>5025000000</v>
      </c>
      <c r="N83" s="2">
        <v>8880000000</v>
      </c>
      <c r="O83" s="2">
        <v>18261380000</v>
      </c>
      <c r="P83" s="2">
        <v>95562000000</v>
      </c>
      <c r="Q83" s="2">
        <v>19179650000</v>
      </c>
      <c r="R83" s="2">
        <v>33863650000</v>
      </c>
      <c r="S83" s="2">
        <f t="shared" si="2"/>
        <v>0.11399999999999999</v>
      </c>
      <c r="T83" s="2">
        <f t="shared" si="3"/>
        <v>43661663200</v>
      </c>
    </row>
    <row r="84" spans="1:20" x14ac:dyDescent="0.3">
      <c r="A84" s="1">
        <v>40079</v>
      </c>
      <c r="B84" t="s">
        <v>102</v>
      </c>
      <c r="C84" t="s">
        <v>18</v>
      </c>
      <c r="D84" t="s">
        <v>19</v>
      </c>
      <c r="E84">
        <v>2.39</v>
      </c>
      <c r="F84">
        <v>2.4700000000000002</v>
      </c>
      <c r="G84">
        <v>2.2949999999999999</v>
      </c>
      <c r="H84">
        <v>2.4</v>
      </c>
      <c r="I84" s="2">
        <v>708516400</v>
      </c>
      <c r="J84" s="2">
        <v>95814600000</v>
      </c>
      <c r="K84" s="2">
        <v>39832906800</v>
      </c>
      <c r="L84" s="2">
        <v>117122600</v>
      </c>
      <c r="M84" s="2">
        <v>4333000000</v>
      </c>
      <c r="N84" s="2">
        <v>5198000000</v>
      </c>
      <c r="O84" s="2">
        <v>17650206800</v>
      </c>
      <c r="P84" s="2">
        <v>68081000000</v>
      </c>
      <c r="Q84" s="2">
        <v>17849700000</v>
      </c>
      <c r="R84" s="2">
        <v>22535600000</v>
      </c>
      <c r="S84" s="2">
        <f t="shared" si="2"/>
        <v>0.17500000000000027</v>
      </c>
      <c r="T84" s="2">
        <f t="shared" si="3"/>
        <v>40658545800</v>
      </c>
    </row>
    <row r="85" spans="1:20" x14ac:dyDescent="0.3">
      <c r="A85" s="1">
        <v>40080</v>
      </c>
      <c r="B85" t="s">
        <v>104</v>
      </c>
      <c r="C85" t="s">
        <v>18</v>
      </c>
      <c r="D85" t="s">
        <v>68</v>
      </c>
      <c r="E85">
        <v>2.9369999999999998</v>
      </c>
      <c r="F85">
        <v>3.0049999999999999</v>
      </c>
      <c r="G85">
        <v>2.85</v>
      </c>
      <c r="H85">
        <v>2.79</v>
      </c>
      <c r="I85" s="2">
        <v>513674400</v>
      </c>
      <c r="J85" s="2">
        <v>80779700000</v>
      </c>
      <c r="K85" s="2">
        <v>28960497000</v>
      </c>
      <c r="L85" s="2">
        <v>39507000</v>
      </c>
      <c r="M85" s="2">
        <v>1823022000</v>
      </c>
      <c r="N85" s="2">
        <v>4018000000</v>
      </c>
      <c r="O85" s="2">
        <v>9270220000</v>
      </c>
      <c r="P85" s="2">
        <v>53660000000</v>
      </c>
      <c r="Q85" s="2">
        <v>17867255000</v>
      </c>
      <c r="R85" s="2">
        <v>23101700000</v>
      </c>
      <c r="S85" s="2">
        <f t="shared" si="2"/>
        <v>0.1549999999999998</v>
      </c>
      <c r="T85" s="2">
        <f t="shared" si="3"/>
        <v>29513678400</v>
      </c>
    </row>
    <row r="86" spans="1:20" x14ac:dyDescent="0.3">
      <c r="A86" s="1">
        <v>40092</v>
      </c>
      <c r="B86" t="s">
        <v>105</v>
      </c>
      <c r="C86" t="s">
        <v>18</v>
      </c>
      <c r="D86" t="s">
        <v>52</v>
      </c>
      <c r="E86">
        <v>1.387</v>
      </c>
      <c r="F86">
        <v>1.4450000000000001</v>
      </c>
      <c r="G86">
        <v>1.32</v>
      </c>
      <c r="H86">
        <v>2.76</v>
      </c>
      <c r="I86" s="2">
        <v>305000200</v>
      </c>
      <c r="J86" s="2">
        <v>107453600000</v>
      </c>
      <c r="K86" s="2">
        <v>38828362000</v>
      </c>
      <c r="L86" s="2">
        <v>71644800</v>
      </c>
      <c r="M86" s="2">
        <v>4242196000</v>
      </c>
      <c r="N86" s="2">
        <v>6442000000</v>
      </c>
      <c r="O86" s="2">
        <v>15537960000</v>
      </c>
      <c r="P86" s="2">
        <v>75454000000</v>
      </c>
      <c r="Q86" s="2">
        <v>19048206000</v>
      </c>
      <c r="R86" s="2">
        <v>25557600000</v>
      </c>
      <c r="S86" s="2">
        <f t="shared" si="2"/>
        <v>0.125</v>
      </c>
      <c r="T86" s="2">
        <f t="shared" si="3"/>
        <v>39205007000</v>
      </c>
    </row>
    <row r="87" spans="1:20" x14ac:dyDescent="0.3">
      <c r="A87" s="1">
        <v>40093</v>
      </c>
      <c r="B87" t="s">
        <v>96</v>
      </c>
      <c r="C87" t="s">
        <v>18</v>
      </c>
      <c r="D87" t="s">
        <v>59</v>
      </c>
      <c r="E87">
        <v>3.1669999999999998</v>
      </c>
      <c r="F87">
        <v>3.21</v>
      </c>
      <c r="G87">
        <v>3.09</v>
      </c>
      <c r="H87">
        <v>3.01</v>
      </c>
      <c r="I87" s="2">
        <v>156410200</v>
      </c>
      <c r="J87" s="2">
        <v>60122600000</v>
      </c>
      <c r="K87" s="2">
        <v>19858112000</v>
      </c>
      <c r="L87" s="2">
        <v>41921000</v>
      </c>
      <c r="M87" s="2">
        <v>1008038500</v>
      </c>
      <c r="N87" s="2">
        <v>2892400000</v>
      </c>
      <c r="O87" s="2">
        <v>9430311500</v>
      </c>
      <c r="P87" s="2">
        <v>42932100000</v>
      </c>
      <c r="Q87" s="2">
        <v>9419762000</v>
      </c>
      <c r="R87" s="2">
        <v>14298100000</v>
      </c>
      <c r="S87" s="2">
        <f t="shared" si="2"/>
        <v>0.12000000000000011</v>
      </c>
      <c r="T87" s="2">
        <f t="shared" si="3"/>
        <v>20056443200</v>
      </c>
    </row>
    <row r="88" spans="1:20" x14ac:dyDescent="0.3">
      <c r="A88" s="1">
        <v>40094</v>
      </c>
      <c r="B88" t="s">
        <v>95</v>
      </c>
      <c r="C88" t="s">
        <v>23</v>
      </c>
      <c r="D88" t="s">
        <v>91</v>
      </c>
      <c r="E88">
        <v>3.93</v>
      </c>
      <c r="F88">
        <v>4.0090000000000003</v>
      </c>
      <c r="G88">
        <v>3.8250000000000002</v>
      </c>
      <c r="H88">
        <v>2.37</v>
      </c>
      <c r="I88" s="2">
        <v>93846100</v>
      </c>
      <c r="J88" s="2">
        <v>28422100000</v>
      </c>
      <c r="K88" s="2">
        <v>11981124000</v>
      </c>
      <c r="L88" s="2">
        <v>18882700</v>
      </c>
      <c r="M88" s="2">
        <v>1022000000</v>
      </c>
      <c r="N88" s="2">
        <v>1510000000</v>
      </c>
      <c r="O88" s="2">
        <v>6825259000</v>
      </c>
      <c r="P88" s="2">
        <v>20657000000</v>
      </c>
      <c r="Q88" s="2">
        <v>4133865000</v>
      </c>
      <c r="R88" s="2">
        <v>6255100000</v>
      </c>
      <c r="S88" s="2">
        <f t="shared" si="2"/>
        <v>0.18400000000000016</v>
      </c>
      <c r="T88" s="2">
        <f t="shared" si="3"/>
        <v>12093852800</v>
      </c>
    </row>
    <row r="89" spans="1:20" x14ac:dyDescent="0.3">
      <c r="A89" s="1">
        <v>40113</v>
      </c>
      <c r="B89" t="s">
        <v>108</v>
      </c>
      <c r="C89" t="s">
        <v>18</v>
      </c>
      <c r="D89" t="s">
        <v>21</v>
      </c>
      <c r="E89">
        <v>0.98</v>
      </c>
      <c r="F89">
        <v>1.02</v>
      </c>
      <c r="G89">
        <v>0.8</v>
      </c>
      <c r="H89">
        <v>3.63</v>
      </c>
      <c r="I89" s="2">
        <v>1084753400</v>
      </c>
      <c r="J89" s="2">
        <v>159338050000</v>
      </c>
      <c r="K89" s="2">
        <v>43463337100</v>
      </c>
      <c r="L89" s="2">
        <v>437129800</v>
      </c>
      <c r="M89" s="2">
        <v>11360316100</v>
      </c>
      <c r="N89" s="2">
        <v>14854000000</v>
      </c>
      <c r="O89" s="2">
        <v>12783446000</v>
      </c>
      <c r="P89" s="2">
        <v>103942000000</v>
      </c>
      <c r="Q89" s="2">
        <v>19319575000</v>
      </c>
      <c r="R89" s="2">
        <v>40542050000</v>
      </c>
      <c r="S89" s="2">
        <f t="shared" si="2"/>
        <v>0.21999999999999997</v>
      </c>
      <c r="T89" s="2">
        <f t="shared" si="3"/>
        <v>44985220300</v>
      </c>
    </row>
    <row r="90" spans="1:20" x14ac:dyDescent="0.3">
      <c r="A90" s="1">
        <v>40114</v>
      </c>
      <c r="B90" t="s">
        <v>107</v>
      </c>
      <c r="C90" t="s">
        <v>18</v>
      </c>
      <c r="D90" t="s">
        <v>19</v>
      </c>
      <c r="E90">
        <v>2.2999999999999998</v>
      </c>
      <c r="F90">
        <v>2.3879999999999999</v>
      </c>
      <c r="G90">
        <v>2.14</v>
      </c>
      <c r="H90">
        <v>2.63</v>
      </c>
      <c r="I90" s="2">
        <v>1010792700</v>
      </c>
      <c r="J90" s="2">
        <v>107783600000</v>
      </c>
      <c r="K90" s="2">
        <v>40878005000</v>
      </c>
      <c r="L90" s="2">
        <v>121996500</v>
      </c>
      <c r="M90" s="2">
        <v>1218000000</v>
      </c>
      <c r="N90" s="2">
        <v>2928000000</v>
      </c>
      <c r="O90" s="2">
        <v>17278405000</v>
      </c>
      <c r="P90" s="2">
        <v>76066000000</v>
      </c>
      <c r="Q90" s="2">
        <v>22381600000</v>
      </c>
      <c r="R90" s="2">
        <v>28789600000</v>
      </c>
      <c r="S90" s="2">
        <f t="shared" si="2"/>
        <v>0.24799999999999978</v>
      </c>
      <c r="T90" s="2">
        <f t="shared" si="3"/>
        <v>42010794200</v>
      </c>
    </row>
    <row r="91" spans="1:20" x14ac:dyDescent="0.3">
      <c r="A91" s="1">
        <v>40115</v>
      </c>
      <c r="B91" t="s">
        <v>106</v>
      </c>
      <c r="C91" t="s">
        <v>18</v>
      </c>
      <c r="D91" t="s">
        <v>68</v>
      </c>
      <c r="E91">
        <v>3.02</v>
      </c>
      <c r="F91">
        <v>3.141</v>
      </c>
      <c r="G91">
        <v>2.85</v>
      </c>
      <c r="H91">
        <v>2.65</v>
      </c>
      <c r="I91" s="2">
        <v>764257900</v>
      </c>
      <c r="J91" s="2">
        <v>82172200000</v>
      </c>
      <c r="K91" s="2">
        <v>30966150000</v>
      </c>
      <c r="L91" s="2">
        <v>33855000</v>
      </c>
      <c r="M91" s="2">
        <v>1119000000</v>
      </c>
      <c r="N91" s="2">
        <v>1894000000</v>
      </c>
      <c r="O91" s="2">
        <v>11476950000</v>
      </c>
      <c r="P91" s="2">
        <v>58143000000</v>
      </c>
      <c r="Q91" s="2">
        <v>18370200000</v>
      </c>
      <c r="R91" s="2">
        <v>22135200000</v>
      </c>
      <c r="S91" s="2">
        <f t="shared" si="2"/>
        <v>0.29099999999999993</v>
      </c>
      <c r="T91" s="2">
        <f t="shared" si="3"/>
        <v>31764262900</v>
      </c>
    </row>
    <row r="92" spans="1:20" x14ac:dyDescent="0.3">
      <c r="A92" s="1">
        <v>40126</v>
      </c>
      <c r="B92" t="s">
        <v>110</v>
      </c>
      <c r="C92" t="s">
        <v>18</v>
      </c>
      <c r="D92" t="s">
        <v>52</v>
      </c>
      <c r="E92">
        <v>1.37</v>
      </c>
      <c r="F92">
        <v>1.4039999999999999</v>
      </c>
      <c r="G92">
        <v>1.25</v>
      </c>
      <c r="H92">
        <v>3.33</v>
      </c>
      <c r="I92" s="2">
        <v>4973253400</v>
      </c>
      <c r="J92" s="2">
        <v>132947600000</v>
      </c>
      <c r="K92" s="2">
        <v>39724600000</v>
      </c>
      <c r="L92" s="2">
        <v>175856200</v>
      </c>
      <c r="M92" s="2">
        <v>2993000000</v>
      </c>
      <c r="N92" s="2">
        <v>9115000000</v>
      </c>
      <c r="O92" s="2">
        <v>9501700000</v>
      </c>
      <c r="P92" s="2">
        <v>85851700000</v>
      </c>
      <c r="Q92" s="2">
        <v>27229900000</v>
      </c>
      <c r="R92" s="2">
        <v>37980900000</v>
      </c>
      <c r="S92" s="2">
        <f t="shared" si="2"/>
        <v>0.15399999999999991</v>
      </c>
      <c r="T92" s="2">
        <f t="shared" si="3"/>
        <v>44873709600</v>
      </c>
    </row>
    <row r="93" spans="1:20" x14ac:dyDescent="0.3">
      <c r="A93" s="1">
        <v>40127</v>
      </c>
      <c r="B93" t="s">
        <v>111</v>
      </c>
      <c r="C93" t="s">
        <v>18</v>
      </c>
      <c r="D93" t="s">
        <v>26</v>
      </c>
      <c r="E93">
        <v>3.42</v>
      </c>
      <c r="F93">
        <v>3.47</v>
      </c>
      <c r="G93">
        <v>3.25</v>
      </c>
      <c r="H93">
        <v>2.81</v>
      </c>
      <c r="I93" s="2">
        <v>3108283300</v>
      </c>
      <c r="J93" s="2">
        <v>69928600000</v>
      </c>
      <c r="K93" s="2">
        <v>24794093800</v>
      </c>
      <c r="L93" s="2">
        <v>106016800</v>
      </c>
      <c r="M93" s="2">
        <v>1120124500</v>
      </c>
      <c r="N93" s="2">
        <v>2731000000</v>
      </c>
      <c r="O93" s="2">
        <v>11942474000</v>
      </c>
      <c r="P93" s="2">
        <v>49503000000</v>
      </c>
      <c r="Q93" s="2">
        <v>11731495300</v>
      </c>
      <c r="R93" s="2">
        <v>17694600000</v>
      </c>
      <c r="S93" s="2">
        <f t="shared" si="2"/>
        <v>0.2200000000000002</v>
      </c>
      <c r="T93" s="2">
        <f t="shared" si="3"/>
        <v>28008393900</v>
      </c>
    </row>
    <row r="94" spans="1:20" x14ac:dyDescent="0.3">
      <c r="A94" s="1">
        <v>40129</v>
      </c>
      <c r="B94" t="s">
        <v>109</v>
      </c>
      <c r="C94" t="s">
        <v>23</v>
      </c>
      <c r="D94" t="s">
        <v>65</v>
      </c>
      <c r="E94">
        <v>4.3879999999999999</v>
      </c>
      <c r="F94">
        <v>4.4690000000000003</v>
      </c>
      <c r="G94">
        <v>4.2839999999999998</v>
      </c>
      <c r="H94">
        <v>2.2599999999999998</v>
      </c>
      <c r="I94" s="2">
        <v>1989301300</v>
      </c>
      <c r="J94" s="2">
        <v>36122450000</v>
      </c>
      <c r="K94" s="2">
        <v>15972237100</v>
      </c>
      <c r="L94" s="2">
        <v>27765700</v>
      </c>
      <c r="M94" s="2">
        <v>1932180100</v>
      </c>
      <c r="N94" s="2">
        <v>2475000000</v>
      </c>
      <c r="O94" s="2">
        <v>7009957000</v>
      </c>
      <c r="P94" s="2">
        <v>24912350000</v>
      </c>
      <c r="Q94" s="2">
        <v>7030100000</v>
      </c>
      <c r="R94" s="2">
        <v>8735100000</v>
      </c>
      <c r="S94" s="2">
        <f t="shared" si="2"/>
        <v>0.1850000000000005</v>
      </c>
      <c r="T94" s="2">
        <f t="shared" si="3"/>
        <v>17989304100</v>
      </c>
    </row>
    <row r="95" spans="1:20" x14ac:dyDescent="0.3">
      <c r="A95" s="1">
        <v>40140</v>
      </c>
      <c r="B95" t="s">
        <v>113</v>
      </c>
      <c r="C95" t="s">
        <v>18</v>
      </c>
      <c r="D95" t="s">
        <v>21</v>
      </c>
      <c r="E95">
        <v>0.77</v>
      </c>
      <c r="F95">
        <v>0.80200000000000005</v>
      </c>
      <c r="G95">
        <v>0.65500000000000003</v>
      </c>
      <c r="H95">
        <v>3.16</v>
      </c>
      <c r="I95" s="2">
        <v>1321280900</v>
      </c>
      <c r="J95" s="2">
        <v>138468070000</v>
      </c>
      <c r="K95" s="2">
        <v>43483420000</v>
      </c>
      <c r="L95" s="2">
        <v>416622200</v>
      </c>
      <c r="M95" s="2">
        <v>2037000000</v>
      </c>
      <c r="N95" s="2">
        <v>5337000000</v>
      </c>
      <c r="O95" s="2">
        <v>22082350000</v>
      </c>
      <c r="P95" s="2">
        <v>99237000000</v>
      </c>
      <c r="Q95" s="2">
        <v>19364070000</v>
      </c>
      <c r="R95" s="2">
        <v>33894070000</v>
      </c>
      <c r="S95" s="2">
        <f t="shared" si="2"/>
        <v>0.14700000000000002</v>
      </c>
      <c r="T95" s="2">
        <f t="shared" si="3"/>
        <v>45221323100</v>
      </c>
    </row>
    <row r="96" spans="1:20" x14ac:dyDescent="0.3">
      <c r="A96" s="1">
        <v>40141</v>
      </c>
      <c r="B96" t="s">
        <v>112</v>
      </c>
      <c r="C96" t="s">
        <v>18</v>
      </c>
      <c r="D96" t="s">
        <v>19</v>
      </c>
      <c r="E96">
        <v>2.1</v>
      </c>
      <c r="F96">
        <v>2.1749999999999998</v>
      </c>
      <c r="G96">
        <v>1.94</v>
      </c>
      <c r="H96">
        <v>2.81</v>
      </c>
      <c r="I96" s="2">
        <v>1261222600</v>
      </c>
      <c r="J96" s="2">
        <v>117872100000</v>
      </c>
      <c r="K96" s="2">
        <v>41831884000</v>
      </c>
      <c r="L96" s="2">
        <v>118188500</v>
      </c>
      <c r="M96" s="2">
        <v>1198000000</v>
      </c>
      <c r="N96" s="2">
        <v>5160000000</v>
      </c>
      <c r="O96" s="2">
        <v>15146360000</v>
      </c>
      <c r="P96" s="2">
        <v>77754000000</v>
      </c>
      <c r="Q96" s="2">
        <v>25487524000</v>
      </c>
      <c r="R96" s="2">
        <v>34958100000</v>
      </c>
      <c r="S96" s="2">
        <f t="shared" si="2"/>
        <v>0.23499999999999988</v>
      </c>
      <c r="T96" s="2">
        <f t="shared" si="3"/>
        <v>43211295100</v>
      </c>
    </row>
    <row r="97" spans="1:20" x14ac:dyDescent="0.3">
      <c r="A97" s="1">
        <v>40142</v>
      </c>
      <c r="B97" t="s">
        <v>114</v>
      </c>
      <c r="C97" t="s">
        <v>18</v>
      </c>
      <c r="D97" t="s">
        <v>68</v>
      </c>
      <c r="E97">
        <v>2.75</v>
      </c>
      <c r="F97">
        <v>2.835</v>
      </c>
      <c r="G97">
        <v>2.65</v>
      </c>
      <c r="H97">
        <v>2.76</v>
      </c>
      <c r="I97" s="2">
        <v>960931500</v>
      </c>
      <c r="J97" s="2">
        <v>88241700000</v>
      </c>
      <c r="K97" s="2">
        <v>31976388000</v>
      </c>
      <c r="L97" s="2">
        <v>23657800</v>
      </c>
      <c r="M97" s="2">
        <v>3073000000</v>
      </c>
      <c r="N97" s="2">
        <v>4730000000</v>
      </c>
      <c r="O97" s="2">
        <v>8922950000</v>
      </c>
      <c r="P97" s="2">
        <v>57753000000</v>
      </c>
      <c r="Q97" s="2">
        <v>19980438000</v>
      </c>
      <c r="R97" s="2">
        <v>25758700000</v>
      </c>
      <c r="S97" s="2">
        <f t="shared" si="2"/>
        <v>0.18500000000000005</v>
      </c>
      <c r="T97" s="2">
        <f t="shared" si="3"/>
        <v>32960977300</v>
      </c>
    </row>
    <row r="98" spans="1:20" x14ac:dyDescent="0.3">
      <c r="A98" s="1">
        <v>40155</v>
      </c>
      <c r="B98" t="s">
        <v>115</v>
      </c>
      <c r="C98" t="s">
        <v>18</v>
      </c>
      <c r="D98" t="s">
        <v>52</v>
      </c>
      <c r="E98">
        <v>1.167</v>
      </c>
      <c r="F98">
        <v>1.2230000000000001</v>
      </c>
      <c r="G98">
        <v>1.03</v>
      </c>
      <c r="H98">
        <v>2.98</v>
      </c>
      <c r="I98" s="2">
        <v>215135200</v>
      </c>
      <c r="J98" s="2">
        <v>119155500000</v>
      </c>
      <c r="K98" s="2">
        <v>39825400000</v>
      </c>
      <c r="L98" s="2">
        <v>74604000</v>
      </c>
      <c r="M98" s="2">
        <v>1173000000</v>
      </c>
      <c r="N98" s="2">
        <v>4021000000</v>
      </c>
      <c r="O98" s="2">
        <v>14407200000</v>
      </c>
      <c r="P98" s="2">
        <v>83102000000</v>
      </c>
      <c r="Q98" s="2">
        <v>24245200000</v>
      </c>
      <c r="R98" s="2">
        <v>32032500000</v>
      </c>
      <c r="S98" s="2">
        <f t="shared" si="2"/>
        <v>0.19300000000000006</v>
      </c>
      <c r="T98" s="2">
        <f t="shared" si="3"/>
        <v>40115139200</v>
      </c>
    </row>
    <row r="99" spans="1:20" x14ac:dyDescent="0.3">
      <c r="A99" s="1">
        <v>40156</v>
      </c>
      <c r="B99" t="s">
        <v>111</v>
      </c>
      <c r="C99" t="s">
        <v>18</v>
      </c>
      <c r="D99" t="s">
        <v>29</v>
      </c>
      <c r="E99">
        <v>3.36</v>
      </c>
      <c r="F99">
        <v>3.448</v>
      </c>
      <c r="G99">
        <v>3.3</v>
      </c>
      <c r="H99">
        <v>2.62</v>
      </c>
      <c r="I99" s="2">
        <v>112945900</v>
      </c>
      <c r="J99" s="2">
        <v>55017600000</v>
      </c>
      <c r="K99" s="2">
        <v>20954820000</v>
      </c>
      <c r="L99" s="2">
        <v>45201400</v>
      </c>
      <c r="M99" s="2">
        <v>1875000000</v>
      </c>
      <c r="N99" s="2">
        <v>2755000000</v>
      </c>
      <c r="O99" s="2">
        <v>11766020000</v>
      </c>
      <c r="P99" s="2">
        <v>39146000000</v>
      </c>
      <c r="Q99" s="2">
        <v>7313800000</v>
      </c>
      <c r="R99" s="2">
        <v>13116600000</v>
      </c>
      <c r="S99" s="2">
        <f t="shared" si="2"/>
        <v>0.14800000000000013</v>
      </c>
      <c r="T99" s="2">
        <f t="shared" si="3"/>
        <v>21112967300</v>
      </c>
    </row>
    <row r="100" spans="1:20" x14ac:dyDescent="0.3">
      <c r="A100" s="1">
        <v>40157</v>
      </c>
      <c r="B100" t="s">
        <v>109</v>
      </c>
      <c r="C100" t="s">
        <v>23</v>
      </c>
      <c r="D100" t="s">
        <v>72</v>
      </c>
      <c r="E100">
        <v>4.42</v>
      </c>
      <c r="F100">
        <v>4.5199999999999996</v>
      </c>
      <c r="G100">
        <v>4.3099999999999996</v>
      </c>
      <c r="H100">
        <v>2.4500000000000002</v>
      </c>
      <c r="I100" s="2">
        <v>69918900</v>
      </c>
      <c r="J100" s="2">
        <v>31812260000</v>
      </c>
      <c r="K100" s="2">
        <v>12981895000</v>
      </c>
      <c r="L100" s="2">
        <v>18139500</v>
      </c>
      <c r="M100" s="2">
        <v>902062000</v>
      </c>
      <c r="N100" s="2">
        <v>1993000000</v>
      </c>
      <c r="O100" s="2">
        <v>6866426000</v>
      </c>
      <c r="P100" s="2">
        <v>22818000000</v>
      </c>
      <c r="Q100" s="2">
        <v>5213407000</v>
      </c>
      <c r="R100" s="2">
        <v>7001260000</v>
      </c>
      <c r="S100" s="2">
        <f t="shared" si="2"/>
        <v>0.20999999999999996</v>
      </c>
      <c r="T100" s="2">
        <f t="shared" si="3"/>
        <v>13069953400</v>
      </c>
    </row>
    <row r="101" spans="1:20" x14ac:dyDescent="0.3">
      <c r="A101" s="1">
        <v>40175</v>
      </c>
      <c r="B101" t="s">
        <v>118</v>
      </c>
      <c r="C101" t="s">
        <v>18</v>
      </c>
      <c r="D101" t="s">
        <v>21</v>
      </c>
      <c r="E101">
        <v>1.04</v>
      </c>
      <c r="F101">
        <v>1.089</v>
      </c>
      <c r="G101">
        <v>0.96299999999999997</v>
      </c>
      <c r="H101">
        <v>2.91</v>
      </c>
      <c r="I101" s="2">
        <v>1304048200</v>
      </c>
      <c r="J101" s="2">
        <v>127656700000</v>
      </c>
      <c r="K101" s="2">
        <v>43627860000</v>
      </c>
      <c r="L101" s="2">
        <v>372184500</v>
      </c>
      <c r="M101" s="2">
        <v>8494000000</v>
      </c>
      <c r="N101" s="2">
        <v>12039000000</v>
      </c>
      <c r="O101" s="2">
        <v>19954360000</v>
      </c>
      <c r="P101" s="2">
        <v>92180000000</v>
      </c>
      <c r="Q101" s="2">
        <v>15179500000</v>
      </c>
      <c r="R101" s="2">
        <v>23437700000</v>
      </c>
      <c r="S101" s="2">
        <f t="shared" si="2"/>
        <v>0.126</v>
      </c>
      <c r="T101" s="2">
        <f t="shared" si="3"/>
        <v>45304092700</v>
      </c>
    </row>
    <row r="102" spans="1:20" x14ac:dyDescent="0.3">
      <c r="A102" s="1">
        <v>40176</v>
      </c>
      <c r="B102" t="s">
        <v>117</v>
      </c>
      <c r="C102" t="s">
        <v>18</v>
      </c>
      <c r="D102" t="s">
        <v>19</v>
      </c>
      <c r="E102">
        <v>2.6</v>
      </c>
      <c r="F102">
        <v>2.665</v>
      </c>
      <c r="G102">
        <v>2.5379999999999998</v>
      </c>
      <c r="H102">
        <v>2.59</v>
      </c>
      <c r="I102" s="2">
        <v>1244773200</v>
      </c>
      <c r="J102" s="2">
        <v>108574100000</v>
      </c>
      <c r="K102" s="2">
        <v>41890770000</v>
      </c>
      <c r="L102" s="2">
        <v>109266500</v>
      </c>
      <c r="M102" s="2">
        <v>5457370000</v>
      </c>
      <c r="N102" s="2">
        <v>7101000000</v>
      </c>
      <c r="O102" s="2">
        <v>17995580000</v>
      </c>
      <c r="P102" s="2">
        <v>75720000000</v>
      </c>
      <c r="Q102" s="2">
        <v>18437820000</v>
      </c>
      <c r="R102" s="2">
        <v>25753100000</v>
      </c>
      <c r="S102" s="2">
        <f t="shared" si="2"/>
        <v>0.12700000000000022</v>
      </c>
      <c r="T102" s="2">
        <f t="shared" si="3"/>
        <v>43244809700</v>
      </c>
    </row>
    <row r="103" spans="1:20" x14ac:dyDescent="0.3">
      <c r="A103" s="1">
        <v>40177</v>
      </c>
      <c r="B103" t="s">
        <v>116</v>
      </c>
      <c r="C103" t="s">
        <v>18</v>
      </c>
      <c r="D103" t="s">
        <v>68</v>
      </c>
      <c r="E103">
        <v>3.29</v>
      </c>
      <c r="F103">
        <v>3.3450000000000002</v>
      </c>
      <c r="G103">
        <v>3.2</v>
      </c>
      <c r="H103">
        <v>2.72</v>
      </c>
      <c r="I103" s="2">
        <v>948398600</v>
      </c>
      <c r="J103" s="2">
        <v>86860452000</v>
      </c>
      <c r="K103" s="2">
        <v>31947974000</v>
      </c>
      <c r="L103" s="2">
        <v>52063100</v>
      </c>
      <c r="M103" s="2">
        <v>2113784500</v>
      </c>
      <c r="N103" s="2">
        <v>3901000000</v>
      </c>
      <c r="O103" s="2">
        <v>15563767500</v>
      </c>
      <c r="P103" s="2">
        <v>63093000000</v>
      </c>
      <c r="Q103" s="2">
        <v>14270422000</v>
      </c>
      <c r="R103" s="2">
        <v>19866452000</v>
      </c>
      <c r="S103" s="2">
        <f t="shared" si="2"/>
        <v>0.14500000000000002</v>
      </c>
      <c r="T103" s="2">
        <f t="shared" si="3"/>
        <v>32948435700</v>
      </c>
    </row>
    <row r="104" spans="1:20" x14ac:dyDescent="0.3">
      <c r="A104" s="1">
        <v>40190</v>
      </c>
      <c r="B104" t="s">
        <v>119</v>
      </c>
      <c r="C104" t="s">
        <v>18</v>
      </c>
      <c r="D104" t="s">
        <v>52</v>
      </c>
      <c r="E104">
        <v>1.452</v>
      </c>
      <c r="F104">
        <v>1.49</v>
      </c>
      <c r="G104">
        <v>1.3879999999999999</v>
      </c>
      <c r="H104">
        <v>2.98</v>
      </c>
      <c r="I104" s="2">
        <v>1553093000</v>
      </c>
      <c r="J104" s="2">
        <v>118934400000</v>
      </c>
      <c r="K104" s="2">
        <v>39918320000</v>
      </c>
      <c r="L104" s="2">
        <v>81871000</v>
      </c>
      <c r="M104" s="2">
        <v>9342000000</v>
      </c>
      <c r="N104" s="2">
        <v>15229000000</v>
      </c>
      <c r="O104" s="2">
        <v>15406200000</v>
      </c>
      <c r="P104" s="2">
        <v>82866000000</v>
      </c>
      <c r="Q104" s="2">
        <v>15170120000</v>
      </c>
      <c r="R104" s="2">
        <v>20839400000</v>
      </c>
      <c r="S104" s="2">
        <f t="shared" si="2"/>
        <v>0.10200000000000009</v>
      </c>
      <c r="T104" s="2">
        <f t="shared" si="3"/>
        <v>41553284000</v>
      </c>
    </row>
    <row r="105" spans="1:20" x14ac:dyDescent="0.3">
      <c r="A105" s="1">
        <v>40191</v>
      </c>
      <c r="B105" t="s">
        <v>111</v>
      </c>
      <c r="C105" t="s">
        <v>18</v>
      </c>
      <c r="D105" t="s">
        <v>59</v>
      </c>
      <c r="E105">
        <v>3.7</v>
      </c>
      <c r="F105">
        <v>3.754</v>
      </c>
      <c r="G105">
        <v>3.6179999999999999</v>
      </c>
      <c r="H105">
        <v>3</v>
      </c>
      <c r="I105" s="2">
        <v>815373700</v>
      </c>
      <c r="J105" s="2">
        <v>62752620000</v>
      </c>
      <c r="K105" s="2">
        <v>20833507500</v>
      </c>
      <c r="L105" s="2">
        <v>66506500</v>
      </c>
      <c r="M105" s="2">
        <v>3606000000</v>
      </c>
      <c r="N105" s="2">
        <v>7165000000</v>
      </c>
      <c r="O105" s="2">
        <v>11182387500</v>
      </c>
      <c r="P105" s="2">
        <v>44168000000</v>
      </c>
      <c r="Q105" s="2">
        <v>6045120000</v>
      </c>
      <c r="R105" s="2">
        <v>11419620000</v>
      </c>
      <c r="S105" s="2">
        <f t="shared" si="2"/>
        <v>0.13600000000000012</v>
      </c>
      <c r="T105" s="2">
        <f t="shared" si="3"/>
        <v>21715387700</v>
      </c>
    </row>
    <row r="106" spans="1:20" x14ac:dyDescent="0.3">
      <c r="A106" s="1">
        <v>40192</v>
      </c>
      <c r="B106" t="s">
        <v>109</v>
      </c>
      <c r="C106" t="s">
        <v>23</v>
      </c>
      <c r="D106" t="s">
        <v>91</v>
      </c>
      <c r="E106">
        <v>4.6070000000000002</v>
      </c>
      <c r="F106">
        <v>4.6399999999999997</v>
      </c>
      <c r="G106">
        <v>4.5</v>
      </c>
      <c r="H106">
        <v>2.68</v>
      </c>
      <c r="I106" s="2">
        <v>504755100</v>
      </c>
      <c r="J106" s="2">
        <v>34876450000</v>
      </c>
      <c r="K106" s="2">
        <v>12982574200</v>
      </c>
      <c r="L106" s="2">
        <v>17459900</v>
      </c>
      <c r="M106" s="2">
        <v>636337600</v>
      </c>
      <c r="N106" s="2">
        <v>2404100000</v>
      </c>
      <c r="O106" s="2">
        <v>7058196500</v>
      </c>
      <c r="P106" s="2">
        <v>23876300000</v>
      </c>
      <c r="Q106" s="2">
        <v>5288040100</v>
      </c>
      <c r="R106" s="2">
        <v>8596050000</v>
      </c>
      <c r="S106" s="2">
        <f t="shared" si="2"/>
        <v>0.13999999999999968</v>
      </c>
      <c r="T106" s="2">
        <f t="shared" si="3"/>
        <v>13504789200</v>
      </c>
    </row>
    <row r="107" spans="1:20" x14ac:dyDescent="0.3">
      <c r="A107" s="1">
        <v>40204</v>
      </c>
      <c r="B107" t="s">
        <v>121</v>
      </c>
      <c r="C107" t="s">
        <v>18</v>
      </c>
      <c r="D107" t="s">
        <v>21</v>
      </c>
      <c r="E107">
        <v>0.83799999999999997</v>
      </c>
      <c r="F107">
        <v>0.88</v>
      </c>
      <c r="G107">
        <v>0.73799999999999999</v>
      </c>
      <c r="H107">
        <v>3.13</v>
      </c>
      <c r="I107" s="2">
        <v>716982800</v>
      </c>
      <c r="J107" s="2">
        <v>137039000000</v>
      </c>
      <c r="K107" s="2">
        <v>43494455000</v>
      </c>
      <c r="L107" s="2">
        <v>455599800</v>
      </c>
      <c r="M107" s="2">
        <v>4685395000</v>
      </c>
      <c r="N107" s="2">
        <v>10496000000</v>
      </c>
      <c r="O107" s="2">
        <v>20057085000</v>
      </c>
      <c r="P107" s="2">
        <v>94501000000</v>
      </c>
      <c r="Q107" s="2">
        <v>18751975000</v>
      </c>
      <c r="R107" s="2">
        <v>32042000000</v>
      </c>
      <c r="S107" s="2">
        <f t="shared" si="2"/>
        <v>0.14200000000000002</v>
      </c>
      <c r="T107" s="2">
        <f t="shared" si="3"/>
        <v>44667037600</v>
      </c>
    </row>
    <row r="108" spans="1:20" x14ac:dyDescent="0.3">
      <c r="A108" s="1">
        <v>40205</v>
      </c>
      <c r="B108" t="s">
        <v>120</v>
      </c>
      <c r="C108" t="s">
        <v>18</v>
      </c>
      <c r="D108" t="s">
        <v>19</v>
      </c>
      <c r="E108">
        <v>2.3199999999999998</v>
      </c>
      <c r="F108">
        <v>2.37</v>
      </c>
      <c r="G108">
        <v>2.25</v>
      </c>
      <c r="H108">
        <v>2.8</v>
      </c>
      <c r="I108" s="2">
        <v>684392400</v>
      </c>
      <c r="J108" s="2">
        <v>117652900000</v>
      </c>
      <c r="K108" s="2">
        <v>41895838000</v>
      </c>
      <c r="L108" s="2">
        <v>104171400</v>
      </c>
      <c r="M108" s="2">
        <v>3119790500</v>
      </c>
      <c r="N108" s="2">
        <v>8471500000</v>
      </c>
      <c r="O108" s="2">
        <v>16585545000</v>
      </c>
      <c r="P108" s="2">
        <v>80610000000</v>
      </c>
      <c r="Q108" s="2">
        <v>22190502500</v>
      </c>
      <c r="R108" s="2">
        <v>28571400000</v>
      </c>
      <c r="S108" s="2">
        <f t="shared" si="2"/>
        <v>0.12000000000000011</v>
      </c>
      <c r="T108" s="2">
        <f t="shared" si="3"/>
        <v>42684401800</v>
      </c>
    </row>
    <row r="109" spans="1:20" x14ac:dyDescent="0.3">
      <c r="A109" s="1">
        <v>40206</v>
      </c>
      <c r="B109" t="s">
        <v>122</v>
      </c>
      <c r="C109" t="s">
        <v>18</v>
      </c>
      <c r="D109" t="s">
        <v>68</v>
      </c>
      <c r="E109">
        <v>3.09</v>
      </c>
      <c r="F109">
        <v>3.1269999999999998</v>
      </c>
      <c r="G109">
        <v>2.97</v>
      </c>
      <c r="H109">
        <v>2.85</v>
      </c>
      <c r="I109" s="2">
        <v>521441800</v>
      </c>
      <c r="J109" s="2">
        <v>91316375000</v>
      </c>
      <c r="K109" s="2">
        <v>31976347000</v>
      </c>
      <c r="L109" s="2">
        <v>23676900</v>
      </c>
      <c r="M109" s="2">
        <v>3775300000</v>
      </c>
      <c r="N109" s="2">
        <v>8400300000</v>
      </c>
      <c r="O109" s="2">
        <v>11874660000</v>
      </c>
      <c r="P109" s="2">
        <v>61448000000</v>
      </c>
      <c r="Q109" s="2">
        <v>16326387000</v>
      </c>
      <c r="R109" s="2">
        <v>21468075000</v>
      </c>
      <c r="S109" s="2">
        <f t="shared" si="2"/>
        <v>0.15699999999999958</v>
      </c>
      <c r="T109" s="2">
        <f t="shared" si="3"/>
        <v>32521465700</v>
      </c>
    </row>
    <row r="110" spans="1:20" x14ac:dyDescent="0.3">
      <c r="A110" s="1">
        <v>40218</v>
      </c>
      <c r="B110" t="s">
        <v>125</v>
      </c>
      <c r="C110" t="s">
        <v>18</v>
      </c>
      <c r="D110" t="s">
        <v>52</v>
      </c>
      <c r="E110">
        <v>1.3069999999999999</v>
      </c>
      <c r="F110">
        <v>1.377</v>
      </c>
      <c r="G110">
        <v>1.2</v>
      </c>
      <c r="H110">
        <v>2.83</v>
      </c>
      <c r="I110" s="2">
        <v>4491922600</v>
      </c>
      <c r="J110" s="2">
        <v>113008800000</v>
      </c>
      <c r="K110" s="2">
        <v>39793300000</v>
      </c>
      <c r="L110" s="2">
        <v>156714800</v>
      </c>
      <c r="M110" s="2">
        <v>4009000000</v>
      </c>
      <c r="N110" s="2">
        <v>12393000000</v>
      </c>
      <c r="O110" s="2">
        <v>15416500000</v>
      </c>
      <c r="P110" s="2">
        <v>76918000000</v>
      </c>
      <c r="Q110" s="2">
        <v>20367800000</v>
      </c>
      <c r="R110" s="2">
        <v>23697800000</v>
      </c>
      <c r="S110" s="2">
        <f t="shared" si="2"/>
        <v>0.17700000000000005</v>
      </c>
      <c r="T110" s="2">
        <f t="shared" si="3"/>
        <v>44441937400</v>
      </c>
    </row>
    <row r="111" spans="1:20" x14ac:dyDescent="0.3">
      <c r="A111" s="1">
        <v>40219</v>
      </c>
      <c r="B111" t="s">
        <v>124</v>
      </c>
      <c r="C111" t="s">
        <v>18</v>
      </c>
      <c r="D111" t="s">
        <v>26</v>
      </c>
      <c r="E111">
        <v>3.64</v>
      </c>
      <c r="F111">
        <v>3.6920000000000002</v>
      </c>
      <c r="G111">
        <v>3.5369999999999999</v>
      </c>
      <c r="H111">
        <v>2.67</v>
      </c>
      <c r="I111" s="2">
        <v>2807451500</v>
      </c>
      <c r="J111" s="2">
        <v>66593200000</v>
      </c>
      <c r="K111" s="2">
        <v>24755125000</v>
      </c>
      <c r="L111" s="2">
        <v>119881500</v>
      </c>
      <c r="M111" s="2">
        <v>3219000000</v>
      </c>
      <c r="N111" s="2">
        <v>7289000000</v>
      </c>
      <c r="O111" s="2">
        <v>13320000000</v>
      </c>
      <c r="P111" s="2">
        <v>46900000000</v>
      </c>
      <c r="Q111" s="2">
        <v>8216125000</v>
      </c>
      <c r="R111" s="2">
        <v>12404200000</v>
      </c>
      <c r="S111" s="2">
        <f t="shared" si="2"/>
        <v>0.15500000000000025</v>
      </c>
      <c r="T111" s="2">
        <f t="shared" si="3"/>
        <v>27682458000</v>
      </c>
    </row>
    <row r="112" spans="1:20" x14ac:dyDescent="0.3">
      <c r="A112" s="1">
        <v>40220</v>
      </c>
      <c r="B112" t="s">
        <v>123</v>
      </c>
      <c r="C112" t="s">
        <v>23</v>
      </c>
      <c r="D112" t="s">
        <v>65</v>
      </c>
      <c r="E112">
        <v>4.6399999999999997</v>
      </c>
      <c r="F112">
        <v>4.72</v>
      </c>
      <c r="G112">
        <v>4.5359999999999996</v>
      </c>
      <c r="H112">
        <v>2.36</v>
      </c>
      <c r="I112" s="2">
        <v>1796768900</v>
      </c>
      <c r="J112" s="2">
        <v>37738200000</v>
      </c>
      <c r="K112" s="2">
        <v>15980095700</v>
      </c>
      <c r="L112" s="2">
        <v>19911300</v>
      </c>
      <c r="M112" s="2">
        <v>3847481400</v>
      </c>
      <c r="N112" s="2">
        <v>5918250000</v>
      </c>
      <c r="O112" s="2">
        <v>7573590500</v>
      </c>
      <c r="P112" s="2">
        <v>25232000000</v>
      </c>
      <c r="Q112" s="2">
        <v>4559023800</v>
      </c>
      <c r="R112" s="2">
        <v>6587950000</v>
      </c>
      <c r="S112" s="2">
        <f t="shared" si="2"/>
        <v>0.18400000000000016</v>
      </c>
      <c r="T112" s="2">
        <f t="shared" si="3"/>
        <v>17796775900</v>
      </c>
    </row>
    <row r="113" spans="1:20" x14ac:dyDescent="0.3">
      <c r="A113" s="1">
        <v>40232</v>
      </c>
      <c r="B113" t="s">
        <v>128</v>
      </c>
      <c r="C113" t="s">
        <v>18</v>
      </c>
      <c r="D113" t="s">
        <v>21</v>
      </c>
      <c r="E113">
        <v>0.86499999999999999</v>
      </c>
      <c r="F113">
        <v>0.89500000000000002</v>
      </c>
      <c r="G113">
        <v>0.8</v>
      </c>
      <c r="H113">
        <v>3.33</v>
      </c>
      <c r="I113" s="2">
        <v>1081378100</v>
      </c>
      <c r="J113" s="2">
        <v>146130000000</v>
      </c>
      <c r="K113" s="2">
        <v>43558832500</v>
      </c>
      <c r="L113" s="2">
        <v>391172800</v>
      </c>
      <c r="M113" s="2">
        <v>3572000000</v>
      </c>
      <c r="N113" s="2">
        <v>14289000000</v>
      </c>
      <c r="O113" s="2">
        <v>16654832500</v>
      </c>
      <c r="P113" s="2">
        <v>96000000000</v>
      </c>
      <c r="Q113" s="2">
        <v>23332000000</v>
      </c>
      <c r="R113" s="2">
        <v>35841000000</v>
      </c>
      <c r="S113" s="2">
        <f t="shared" si="2"/>
        <v>9.4999999999999973E-2</v>
      </c>
      <c r="T113" s="2">
        <f t="shared" si="3"/>
        <v>45031383400</v>
      </c>
    </row>
    <row r="114" spans="1:20" x14ac:dyDescent="0.3">
      <c r="A114" s="1">
        <v>40233</v>
      </c>
      <c r="B114" t="s">
        <v>127</v>
      </c>
      <c r="C114" t="s">
        <v>18</v>
      </c>
      <c r="D114" t="s">
        <v>19</v>
      </c>
      <c r="E114">
        <v>2.3479999999999999</v>
      </c>
      <c r="F114">
        <v>2.395</v>
      </c>
      <c r="G114">
        <v>2.2799999999999998</v>
      </c>
      <c r="H114">
        <v>2.75</v>
      </c>
      <c r="I114" s="2">
        <v>1032224300</v>
      </c>
      <c r="J114" s="2">
        <v>115212780000</v>
      </c>
      <c r="K114" s="2">
        <v>41822967500</v>
      </c>
      <c r="L114" s="2">
        <v>127068100</v>
      </c>
      <c r="M114" s="2">
        <v>5373195000</v>
      </c>
      <c r="N114" s="2">
        <v>13141780000</v>
      </c>
      <c r="O114" s="2">
        <v>19580565000</v>
      </c>
      <c r="P114" s="2">
        <v>80105000000</v>
      </c>
      <c r="Q114" s="2">
        <v>16869207500</v>
      </c>
      <c r="R114" s="2">
        <v>21966000000</v>
      </c>
      <c r="S114" s="2">
        <f t="shared" si="2"/>
        <v>0.11500000000000021</v>
      </c>
      <c r="T114" s="2">
        <f t="shared" si="3"/>
        <v>42982259900</v>
      </c>
    </row>
    <row r="115" spans="1:20" x14ac:dyDescent="0.3">
      <c r="A115" s="1">
        <v>40234</v>
      </c>
      <c r="B115" t="s">
        <v>126</v>
      </c>
      <c r="C115" t="s">
        <v>18</v>
      </c>
      <c r="D115" t="s">
        <v>68</v>
      </c>
      <c r="E115">
        <v>3.05</v>
      </c>
      <c r="F115">
        <v>3.0779999999999998</v>
      </c>
      <c r="G115">
        <v>2.9</v>
      </c>
      <c r="H115">
        <v>2.98</v>
      </c>
      <c r="I115" s="2">
        <v>786456600</v>
      </c>
      <c r="J115" s="2">
        <v>95384980000</v>
      </c>
      <c r="K115" s="2">
        <v>31964824000</v>
      </c>
      <c r="L115" s="2">
        <v>35188700</v>
      </c>
      <c r="M115" s="2">
        <v>5505680000</v>
      </c>
      <c r="N115" s="2">
        <v>12482680000</v>
      </c>
      <c r="O115" s="2">
        <v>13569000000</v>
      </c>
      <c r="P115" s="2">
        <v>65176000000</v>
      </c>
      <c r="Q115" s="2">
        <v>12890144000</v>
      </c>
      <c r="R115" s="2">
        <v>17726300000</v>
      </c>
      <c r="S115" s="2">
        <f t="shared" si="2"/>
        <v>0.17799999999999994</v>
      </c>
      <c r="T115" s="2">
        <f t="shared" si="3"/>
        <v>32786469300</v>
      </c>
    </row>
    <row r="116" spans="1:20" x14ac:dyDescent="0.3">
      <c r="A116" s="1">
        <v>40246</v>
      </c>
      <c r="B116" t="s">
        <v>129</v>
      </c>
      <c r="C116" t="s">
        <v>18</v>
      </c>
      <c r="D116" t="s">
        <v>52</v>
      </c>
      <c r="E116">
        <v>1.403</v>
      </c>
      <c r="F116">
        <v>1.4370000000000001</v>
      </c>
      <c r="G116">
        <v>1.34</v>
      </c>
      <c r="H116">
        <v>3.13</v>
      </c>
      <c r="I116" s="2">
        <v>473243300</v>
      </c>
      <c r="J116" s="2">
        <v>124898700000</v>
      </c>
      <c r="K116" s="2">
        <v>39829538000</v>
      </c>
      <c r="L116" s="2">
        <v>70478000</v>
      </c>
      <c r="M116" s="2">
        <v>4119000000</v>
      </c>
      <c r="N116" s="2">
        <v>13571000000</v>
      </c>
      <c r="O116" s="2">
        <v>15060338000</v>
      </c>
      <c r="P116" s="2">
        <v>84038000000</v>
      </c>
      <c r="Q116" s="2">
        <v>20650200000</v>
      </c>
      <c r="R116" s="2">
        <v>27289700000</v>
      </c>
      <c r="S116" s="2">
        <f t="shared" si="2"/>
        <v>9.6999999999999975E-2</v>
      </c>
      <c r="T116" s="2">
        <f t="shared" si="3"/>
        <v>40373259300</v>
      </c>
    </row>
    <row r="117" spans="1:20" x14ac:dyDescent="0.3">
      <c r="A117" s="1">
        <v>40247</v>
      </c>
      <c r="B117" t="s">
        <v>124</v>
      </c>
      <c r="C117" t="s">
        <v>18</v>
      </c>
      <c r="D117" t="s">
        <v>29</v>
      </c>
      <c r="E117">
        <v>3.7</v>
      </c>
      <c r="F117">
        <v>3.7349999999999999</v>
      </c>
      <c r="G117">
        <v>3.6360000000000001</v>
      </c>
      <c r="H117">
        <v>3.45</v>
      </c>
      <c r="I117" s="2">
        <v>248452700</v>
      </c>
      <c r="J117" s="2">
        <v>72295990000</v>
      </c>
      <c r="K117" s="2">
        <v>20829510800</v>
      </c>
      <c r="L117" s="2">
        <v>70503000</v>
      </c>
      <c r="M117" s="2">
        <v>3653110800</v>
      </c>
      <c r="N117" s="2">
        <v>8401000000</v>
      </c>
      <c r="O117" s="2">
        <v>9857410000</v>
      </c>
      <c r="P117" s="2">
        <v>49661000000</v>
      </c>
      <c r="Q117" s="2">
        <v>7318990000</v>
      </c>
      <c r="R117" s="2">
        <v>14233990000</v>
      </c>
      <c r="S117" s="2">
        <f t="shared" si="2"/>
        <v>9.8999999999999755E-2</v>
      </c>
      <c r="T117" s="2">
        <f t="shared" si="3"/>
        <v>21148466500</v>
      </c>
    </row>
    <row r="118" spans="1:20" x14ac:dyDescent="0.3">
      <c r="A118" s="1">
        <v>40248</v>
      </c>
      <c r="B118" t="s">
        <v>123</v>
      </c>
      <c r="C118" t="s">
        <v>23</v>
      </c>
      <c r="D118" t="s">
        <v>72</v>
      </c>
      <c r="E118">
        <v>4.6449999999999996</v>
      </c>
      <c r="F118">
        <v>4.6790000000000003</v>
      </c>
      <c r="G118">
        <v>4.58</v>
      </c>
      <c r="H118">
        <v>2.89</v>
      </c>
      <c r="I118" s="2">
        <v>153804000</v>
      </c>
      <c r="J118" s="2">
        <v>37595800000</v>
      </c>
      <c r="K118" s="2">
        <v>12978916000</v>
      </c>
      <c r="L118" s="2">
        <v>21087100</v>
      </c>
      <c r="M118" s="2">
        <v>3848000000</v>
      </c>
      <c r="N118" s="2">
        <v>6576000000</v>
      </c>
      <c r="O118" s="2">
        <v>6026600000</v>
      </c>
      <c r="P118" s="2">
        <v>24033200000</v>
      </c>
      <c r="Q118" s="2">
        <v>3104316000</v>
      </c>
      <c r="R118" s="2">
        <v>6986600000</v>
      </c>
      <c r="S118" s="2">
        <f t="shared" si="2"/>
        <v>9.9000000000000199E-2</v>
      </c>
      <c r="T118" s="2">
        <f t="shared" si="3"/>
        <v>13153807100</v>
      </c>
    </row>
    <row r="119" spans="1:20" x14ac:dyDescent="0.3">
      <c r="A119" s="1">
        <v>40260</v>
      </c>
      <c r="B119" t="s">
        <v>131</v>
      </c>
      <c r="C119" t="s">
        <v>18</v>
      </c>
      <c r="D119" t="s">
        <v>21</v>
      </c>
      <c r="E119">
        <v>0.96</v>
      </c>
      <c r="F119">
        <v>1</v>
      </c>
      <c r="G119">
        <v>0.89100000000000001</v>
      </c>
      <c r="H119">
        <v>3</v>
      </c>
      <c r="I119" s="2">
        <v>1488393700</v>
      </c>
      <c r="J119" s="2">
        <v>131644400000</v>
      </c>
      <c r="K119" s="2">
        <v>43517432000</v>
      </c>
      <c r="L119" s="2">
        <v>457708900</v>
      </c>
      <c r="M119" s="2">
        <v>6007064000</v>
      </c>
      <c r="N119" s="2">
        <v>16129000000</v>
      </c>
      <c r="O119" s="2">
        <v>22374000000</v>
      </c>
      <c r="P119" s="2">
        <v>92660000000</v>
      </c>
      <c r="Q119" s="2">
        <v>15136368000</v>
      </c>
      <c r="R119" s="2">
        <v>22855400000</v>
      </c>
      <c r="S119" s="2">
        <f t="shared" si="2"/>
        <v>0.10899999999999999</v>
      </c>
      <c r="T119" s="2">
        <f t="shared" si="3"/>
        <v>45463534600</v>
      </c>
    </row>
    <row r="120" spans="1:20" x14ac:dyDescent="0.3">
      <c r="A120" s="1">
        <v>40261</v>
      </c>
      <c r="B120" t="s">
        <v>130</v>
      </c>
      <c r="C120" t="s">
        <v>18</v>
      </c>
      <c r="D120" t="s">
        <v>19</v>
      </c>
      <c r="E120">
        <v>2.5390000000000001</v>
      </c>
      <c r="F120">
        <v>2.605</v>
      </c>
      <c r="G120">
        <v>2.4500000000000002</v>
      </c>
      <c r="H120">
        <v>2.5499999999999998</v>
      </c>
      <c r="I120" s="2">
        <v>1420739300</v>
      </c>
      <c r="J120" s="2">
        <v>107078830000</v>
      </c>
      <c r="K120" s="2">
        <v>41854341000</v>
      </c>
      <c r="L120" s="2">
        <v>120693600</v>
      </c>
      <c r="M120" s="2">
        <v>4502000000</v>
      </c>
      <c r="N120" s="2">
        <v>10927000000</v>
      </c>
      <c r="O120" s="2">
        <v>20754661000</v>
      </c>
      <c r="P120" s="2">
        <v>77256000000</v>
      </c>
      <c r="Q120" s="2">
        <v>16597680000</v>
      </c>
      <c r="R120" s="2">
        <v>18895830000</v>
      </c>
      <c r="S120" s="2">
        <f t="shared" si="2"/>
        <v>0.1549999999999998</v>
      </c>
      <c r="T120" s="2">
        <f t="shared" si="3"/>
        <v>43395773900</v>
      </c>
    </row>
    <row r="121" spans="1:20" x14ac:dyDescent="0.3">
      <c r="A121" s="1">
        <v>40262</v>
      </c>
      <c r="B121" t="s">
        <v>132</v>
      </c>
      <c r="C121" t="s">
        <v>18</v>
      </c>
      <c r="D121" t="s">
        <v>68</v>
      </c>
      <c r="E121">
        <v>3.2890000000000001</v>
      </c>
      <c r="F121">
        <v>3.3740000000000001</v>
      </c>
      <c r="G121">
        <v>3.2290000000000001</v>
      </c>
      <c r="H121">
        <v>2.61</v>
      </c>
      <c r="I121" s="2">
        <v>1082468000</v>
      </c>
      <c r="J121" s="2">
        <v>83323100000</v>
      </c>
      <c r="K121" s="2">
        <v>31954140000</v>
      </c>
      <c r="L121" s="2">
        <v>45864700</v>
      </c>
      <c r="M121" s="2">
        <v>2593000000</v>
      </c>
      <c r="N121" s="2">
        <v>7968000000</v>
      </c>
      <c r="O121" s="2">
        <v>15982000000</v>
      </c>
      <c r="P121" s="2">
        <v>59057000000</v>
      </c>
      <c r="Q121" s="2">
        <v>13379140000</v>
      </c>
      <c r="R121" s="2">
        <v>16298100000</v>
      </c>
      <c r="S121" s="2">
        <f t="shared" si="2"/>
        <v>0.14500000000000002</v>
      </c>
      <c r="T121" s="2">
        <f t="shared" si="3"/>
        <v>33082472700</v>
      </c>
    </row>
    <row r="122" spans="1:20" x14ac:dyDescent="0.3">
      <c r="A122" s="1">
        <v>40274</v>
      </c>
      <c r="B122" t="s">
        <v>133</v>
      </c>
      <c r="C122" t="s">
        <v>18</v>
      </c>
      <c r="D122" t="s">
        <v>52</v>
      </c>
      <c r="E122">
        <v>1.72</v>
      </c>
      <c r="F122">
        <v>1.776</v>
      </c>
      <c r="G122">
        <v>1.67</v>
      </c>
      <c r="H122">
        <v>3.1</v>
      </c>
      <c r="I122" s="2">
        <v>2928158500</v>
      </c>
      <c r="J122" s="2">
        <v>123957400100</v>
      </c>
      <c r="K122" s="2">
        <v>39941588000</v>
      </c>
      <c r="L122" s="2">
        <v>58414700</v>
      </c>
      <c r="M122" s="2">
        <v>4293188000</v>
      </c>
      <c r="N122" s="2">
        <v>13848000000</v>
      </c>
      <c r="O122" s="2">
        <v>14780000000</v>
      </c>
      <c r="P122" s="2">
        <v>80000000100</v>
      </c>
      <c r="Q122" s="2">
        <v>20868400000</v>
      </c>
      <c r="R122" s="2">
        <v>30109400000</v>
      </c>
      <c r="S122" s="2">
        <f t="shared" si="2"/>
        <v>0.10600000000000009</v>
      </c>
      <c r="T122" s="2">
        <f t="shared" si="3"/>
        <v>42928161200</v>
      </c>
    </row>
    <row r="123" spans="1:20" x14ac:dyDescent="0.3">
      <c r="A123" s="1">
        <v>40275</v>
      </c>
      <c r="B123" t="s">
        <v>124</v>
      </c>
      <c r="C123" t="s">
        <v>18</v>
      </c>
      <c r="D123" t="s">
        <v>59</v>
      </c>
      <c r="E123">
        <v>3.8740000000000001</v>
      </c>
      <c r="F123">
        <v>3.9</v>
      </c>
      <c r="G123">
        <v>3.82</v>
      </c>
      <c r="H123">
        <v>3.72</v>
      </c>
      <c r="I123" s="2">
        <v>1537283200</v>
      </c>
      <c r="J123" s="2">
        <v>77973340100</v>
      </c>
      <c r="K123" s="2">
        <v>20897524100</v>
      </c>
      <c r="L123" s="2">
        <v>102734600</v>
      </c>
      <c r="M123" s="2">
        <v>3410825200</v>
      </c>
      <c r="N123" s="2">
        <v>10336000000</v>
      </c>
      <c r="O123" s="2">
        <v>8477492000</v>
      </c>
      <c r="P123" s="2">
        <v>48756000100</v>
      </c>
      <c r="Q123" s="2">
        <v>9009206900</v>
      </c>
      <c r="R123" s="2">
        <v>18881340000</v>
      </c>
      <c r="S123" s="2">
        <f t="shared" si="2"/>
        <v>8.0000000000000071E-2</v>
      </c>
      <c r="T123" s="2">
        <f t="shared" si="3"/>
        <v>22537541900</v>
      </c>
    </row>
    <row r="124" spans="1:20" x14ac:dyDescent="0.3">
      <c r="A124" s="1">
        <v>40276</v>
      </c>
      <c r="B124" t="s">
        <v>123</v>
      </c>
      <c r="C124" t="s">
        <v>23</v>
      </c>
      <c r="D124" t="s">
        <v>91</v>
      </c>
      <c r="E124">
        <v>4.7279999999999998</v>
      </c>
      <c r="F124">
        <v>4.7699999999999996</v>
      </c>
      <c r="G124">
        <v>4.6500000000000004</v>
      </c>
      <c r="H124">
        <v>2.73</v>
      </c>
      <c r="I124" s="2">
        <v>951651500</v>
      </c>
      <c r="J124" s="2">
        <v>35459400100</v>
      </c>
      <c r="K124" s="2">
        <v>12986601600</v>
      </c>
      <c r="L124" s="2">
        <v>13408700</v>
      </c>
      <c r="M124" s="2">
        <v>3308597600</v>
      </c>
      <c r="N124" s="2">
        <v>5791000000</v>
      </c>
      <c r="O124" s="2">
        <v>4893032000</v>
      </c>
      <c r="P124" s="2">
        <v>21535400100</v>
      </c>
      <c r="Q124" s="2">
        <v>4784972000</v>
      </c>
      <c r="R124" s="2">
        <v>8133000000</v>
      </c>
      <c r="S124" s="2">
        <f t="shared" si="2"/>
        <v>0.11999999999999922</v>
      </c>
      <c r="T124" s="2">
        <f t="shared" si="3"/>
        <v>13951661800</v>
      </c>
    </row>
    <row r="125" spans="1:20" x14ac:dyDescent="0.3">
      <c r="A125" s="1">
        <v>40295</v>
      </c>
      <c r="B125" t="s">
        <v>136</v>
      </c>
      <c r="C125" t="s">
        <v>18</v>
      </c>
      <c r="D125" t="s">
        <v>21</v>
      </c>
      <c r="E125">
        <v>0.98</v>
      </c>
      <c r="F125">
        <v>1.024</v>
      </c>
      <c r="G125">
        <v>0.91</v>
      </c>
      <c r="H125">
        <v>3.03</v>
      </c>
      <c r="I125" s="2">
        <v>938604100</v>
      </c>
      <c r="J125" s="2">
        <v>132661500000</v>
      </c>
      <c r="K125" s="2">
        <v>43531285000</v>
      </c>
      <c r="L125" s="2">
        <v>468743700</v>
      </c>
      <c r="M125" s="2">
        <v>9315000000</v>
      </c>
      <c r="N125" s="2">
        <v>19247000000</v>
      </c>
      <c r="O125" s="2">
        <v>20704660000</v>
      </c>
      <c r="P125" s="2">
        <v>93473000000</v>
      </c>
      <c r="Q125" s="2">
        <v>13511625000</v>
      </c>
      <c r="R125" s="2">
        <v>19941500000</v>
      </c>
      <c r="S125" s="2">
        <f t="shared" si="2"/>
        <v>0.11399999999999999</v>
      </c>
      <c r="T125" s="2">
        <f t="shared" si="3"/>
        <v>44938632800</v>
      </c>
    </row>
    <row r="126" spans="1:20" x14ac:dyDescent="0.3">
      <c r="A126" s="1">
        <v>40296</v>
      </c>
      <c r="B126" t="s">
        <v>135</v>
      </c>
      <c r="C126" t="s">
        <v>18</v>
      </c>
      <c r="D126" t="s">
        <v>19</v>
      </c>
      <c r="E126">
        <v>2.488</v>
      </c>
      <c r="F126">
        <v>2.54</v>
      </c>
      <c r="G126">
        <v>2.42</v>
      </c>
      <c r="H126">
        <v>2.75</v>
      </c>
      <c r="I126" s="2">
        <v>895940000</v>
      </c>
      <c r="J126" s="2">
        <v>115289600000</v>
      </c>
      <c r="K126" s="2">
        <v>41872392000</v>
      </c>
      <c r="L126" s="2">
        <v>127631300</v>
      </c>
      <c r="M126" s="2">
        <v>6001056000</v>
      </c>
      <c r="N126" s="2">
        <v>14077000000</v>
      </c>
      <c r="O126" s="2">
        <v>15385280000</v>
      </c>
      <c r="P126" s="2">
        <v>75944000000</v>
      </c>
      <c r="Q126" s="2">
        <v>20486056000</v>
      </c>
      <c r="R126" s="2">
        <v>25268600000</v>
      </c>
      <c r="S126" s="2">
        <f t="shared" si="2"/>
        <v>0.12000000000000011</v>
      </c>
      <c r="T126" s="2">
        <f t="shared" si="3"/>
        <v>42895963300</v>
      </c>
    </row>
    <row r="127" spans="1:20" x14ac:dyDescent="0.3">
      <c r="A127" s="1">
        <v>40297</v>
      </c>
      <c r="B127" t="s">
        <v>134</v>
      </c>
      <c r="C127" t="s">
        <v>18</v>
      </c>
      <c r="D127" t="s">
        <v>68</v>
      </c>
      <c r="E127">
        <v>3.14</v>
      </c>
      <c r="F127">
        <v>3.21</v>
      </c>
      <c r="G127">
        <v>3.0960000000000001</v>
      </c>
      <c r="H127">
        <v>2.82</v>
      </c>
      <c r="I127" s="2">
        <v>682620900</v>
      </c>
      <c r="J127" s="2">
        <v>90290500000</v>
      </c>
      <c r="K127" s="2">
        <v>31964144200</v>
      </c>
      <c r="L127" s="2">
        <v>35896800</v>
      </c>
      <c r="M127" s="2">
        <v>3902316200</v>
      </c>
      <c r="N127" s="2">
        <v>10124000000</v>
      </c>
      <c r="O127" s="2">
        <v>9041842500</v>
      </c>
      <c r="P127" s="2">
        <v>56654000000</v>
      </c>
      <c r="Q127" s="2">
        <v>19019985500</v>
      </c>
      <c r="R127" s="2">
        <v>23512500000</v>
      </c>
      <c r="S127" s="2">
        <f t="shared" si="2"/>
        <v>0.11399999999999988</v>
      </c>
      <c r="T127" s="2">
        <f t="shared" si="3"/>
        <v>32682661900</v>
      </c>
    </row>
    <row r="128" spans="1:20" x14ac:dyDescent="0.3">
      <c r="A128" s="1">
        <v>40309</v>
      </c>
      <c r="B128" t="s">
        <v>139</v>
      </c>
      <c r="C128" t="s">
        <v>18</v>
      </c>
      <c r="D128" t="s">
        <v>52</v>
      </c>
      <c r="E128">
        <v>1.37</v>
      </c>
      <c r="F128">
        <v>1.4139999999999999</v>
      </c>
      <c r="G128">
        <v>1.3069999999999999</v>
      </c>
      <c r="H128">
        <v>3.27</v>
      </c>
      <c r="I128" s="2">
        <v>3311833500</v>
      </c>
      <c r="J128" s="2">
        <v>123890700000</v>
      </c>
      <c r="K128" s="2">
        <v>37773880000</v>
      </c>
      <c r="L128" s="2">
        <v>226150000</v>
      </c>
      <c r="M128" s="2">
        <v>6246000000</v>
      </c>
      <c r="N128" s="2">
        <v>15226000000</v>
      </c>
      <c r="O128" s="2">
        <v>12361080000</v>
      </c>
      <c r="P128" s="2">
        <v>82437000000</v>
      </c>
      <c r="Q128" s="2">
        <v>19166800000</v>
      </c>
      <c r="R128" s="2">
        <v>26227700000</v>
      </c>
      <c r="S128" s="2">
        <f t="shared" si="2"/>
        <v>0.10699999999999998</v>
      </c>
      <c r="T128" s="2">
        <f t="shared" si="3"/>
        <v>41311863500</v>
      </c>
    </row>
    <row r="129" spans="1:20" x14ac:dyDescent="0.3">
      <c r="A129" s="1">
        <v>40310</v>
      </c>
      <c r="B129" t="s">
        <v>138</v>
      </c>
      <c r="C129" t="s">
        <v>18</v>
      </c>
      <c r="D129" t="s">
        <v>26</v>
      </c>
      <c r="E129">
        <v>3.51</v>
      </c>
      <c r="F129">
        <v>3.548</v>
      </c>
      <c r="G129">
        <v>3.4380000000000002</v>
      </c>
      <c r="H129">
        <v>2.96</v>
      </c>
      <c r="I129" s="2">
        <v>2091684300</v>
      </c>
      <c r="J129" s="2">
        <v>70910200000</v>
      </c>
      <c r="K129" s="2">
        <v>23862765500</v>
      </c>
      <c r="L129" s="2">
        <v>137237300</v>
      </c>
      <c r="M129" s="2">
        <v>5955682500</v>
      </c>
      <c r="N129" s="2">
        <v>11269500000</v>
      </c>
      <c r="O129" s="2">
        <v>7919637500</v>
      </c>
      <c r="P129" s="2">
        <v>44086000000</v>
      </c>
      <c r="Q129" s="2">
        <v>9987445500</v>
      </c>
      <c r="R129" s="2">
        <v>15554700000</v>
      </c>
      <c r="S129" s="2">
        <f t="shared" si="2"/>
        <v>0.10999999999999988</v>
      </c>
      <c r="T129" s="2">
        <f t="shared" si="3"/>
        <v>26091687100</v>
      </c>
    </row>
    <row r="130" spans="1:20" x14ac:dyDescent="0.3">
      <c r="A130" s="1">
        <v>40311</v>
      </c>
      <c r="B130" t="s">
        <v>137</v>
      </c>
      <c r="C130" t="s">
        <v>23</v>
      </c>
      <c r="D130" t="s">
        <v>65</v>
      </c>
      <c r="E130">
        <v>4.4379999999999997</v>
      </c>
      <c r="F130">
        <v>4.49</v>
      </c>
      <c r="G130">
        <v>4.3559999999999999</v>
      </c>
      <c r="H130">
        <v>2.6</v>
      </c>
      <c r="I130" s="2">
        <v>1394456200</v>
      </c>
      <c r="J130" s="2">
        <v>41560850000</v>
      </c>
      <c r="K130" s="2">
        <v>15970444200</v>
      </c>
      <c r="L130" s="2">
        <v>29612400</v>
      </c>
      <c r="M130" s="2">
        <v>3486721000</v>
      </c>
      <c r="N130" s="2">
        <v>5775000000</v>
      </c>
      <c r="O130" s="2">
        <v>7291263000</v>
      </c>
      <c r="P130" s="2">
        <v>27201000000</v>
      </c>
      <c r="Q130" s="2">
        <v>5192460200</v>
      </c>
      <c r="R130" s="2">
        <v>8584850000</v>
      </c>
      <c r="S130" s="2">
        <f t="shared" ref="S130:S193" si="4">SUM($F130,-$G130)</f>
        <v>0.13400000000000034</v>
      </c>
      <c r="T130" s="2">
        <f t="shared" ref="T130:T193" si="5">SUM(I130,K130,L130)</f>
        <v>17394512800</v>
      </c>
    </row>
    <row r="131" spans="1:20" x14ac:dyDescent="0.3">
      <c r="A131" s="1">
        <v>40323</v>
      </c>
      <c r="B131" t="s">
        <v>142</v>
      </c>
      <c r="C131" t="s">
        <v>18</v>
      </c>
      <c r="D131" t="s">
        <v>21</v>
      </c>
      <c r="E131">
        <v>0.73</v>
      </c>
      <c r="F131">
        <v>0.76900000000000002</v>
      </c>
      <c r="G131">
        <v>0.66</v>
      </c>
      <c r="H131">
        <v>2.93</v>
      </c>
      <c r="I131" s="2">
        <v>912662600</v>
      </c>
      <c r="J131" s="2">
        <v>122532000000</v>
      </c>
      <c r="K131" s="2">
        <v>41515725000</v>
      </c>
      <c r="L131" s="2">
        <v>484409600</v>
      </c>
      <c r="M131" s="2">
        <v>6300030000</v>
      </c>
      <c r="N131" s="2">
        <v>15752000000</v>
      </c>
      <c r="O131" s="2">
        <v>20178610000</v>
      </c>
      <c r="P131" s="2">
        <v>87502500000</v>
      </c>
      <c r="Q131" s="2">
        <v>15037085000</v>
      </c>
      <c r="R131" s="2">
        <v>19277500000</v>
      </c>
      <c r="S131" s="2">
        <f t="shared" si="4"/>
        <v>0.10899999999999999</v>
      </c>
      <c r="T131" s="2">
        <f t="shared" si="5"/>
        <v>42912797200</v>
      </c>
    </row>
    <row r="132" spans="1:20" x14ac:dyDescent="0.3">
      <c r="A132" s="1">
        <v>40324</v>
      </c>
      <c r="B132" t="s">
        <v>141</v>
      </c>
      <c r="C132" t="s">
        <v>18</v>
      </c>
      <c r="D132" t="s">
        <v>19</v>
      </c>
      <c r="E132">
        <v>2.0699999999999998</v>
      </c>
      <c r="F132">
        <v>2.13</v>
      </c>
      <c r="G132">
        <v>1.98</v>
      </c>
      <c r="H132">
        <v>2.71</v>
      </c>
      <c r="I132" s="2">
        <v>869202400</v>
      </c>
      <c r="J132" s="2">
        <v>108222674000</v>
      </c>
      <c r="K132" s="2">
        <v>39854633000</v>
      </c>
      <c r="L132" s="2">
        <v>145377000</v>
      </c>
      <c r="M132" s="2">
        <v>5985060000</v>
      </c>
      <c r="N132" s="2">
        <v>13997000000</v>
      </c>
      <c r="O132" s="2">
        <v>17702442500</v>
      </c>
      <c r="P132" s="2">
        <v>72999500000</v>
      </c>
      <c r="Q132" s="2">
        <v>16167130500</v>
      </c>
      <c r="R132" s="2">
        <v>21226174000</v>
      </c>
      <c r="S132" s="2">
        <f t="shared" si="4"/>
        <v>0.14999999999999991</v>
      </c>
      <c r="T132" s="2">
        <f t="shared" si="5"/>
        <v>40869212400</v>
      </c>
    </row>
    <row r="133" spans="1:20" x14ac:dyDescent="0.3">
      <c r="A133" s="1">
        <v>40325</v>
      </c>
      <c r="B133" t="s">
        <v>140</v>
      </c>
      <c r="C133" t="s">
        <v>18</v>
      </c>
      <c r="D133" t="s">
        <v>68</v>
      </c>
      <c r="E133">
        <v>2.75</v>
      </c>
      <c r="F133">
        <v>2.8149999999999999</v>
      </c>
      <c r="G133">
        <v>2.6819999999999999</v>
      </c>
      <c r="H133">
        <v>2.88</v>
      </c>
      <c r="I133" s="2">
        <v>673631800</v>
      </c>
      <c r="J133" s="2">
        <v>89287650000</v>
      </c>
      <c r="K133" s="2">
        <v>30970053000</v>
      </c>
      <c r="L133" s="2">
        <v>29954200</v>
      </c>
      <c r="M133" s="2">
        <v>3520298000</v>
      </c>
      <c r="N133" s="2">
        <v>10822750000</v>
      </c>
      <c r="O133" s="2">
        <v>11622279000</v>
      </c>
      <c r="P133" s="2">
        <v>58316000000</v>
      </c>
      <c r="Q133" s="2">
        <v>15827476000</v>
      </c>
      <c r="R133" s="2">
        <v>20148900000</v>
      </c>
      <c r="S133" s="2">
        <f t="shared" si="4"/>
        <v>0.13300000000000001</v>
      </c>
      <c r="T133" s="2">
        <f t="shared" si="5"/>
        <v>31673639000</v>
      </c>
    </row>
    <row r="134" spans="1:20" x14ac:dyDescent="0.3">
      <c r="A134" s="1">
        <v>40337</v>
      </c>
      <c r="B134" t="s">
        <v>143</v>
      </c>
      <c r="C134" t="s">
        <v>18</v>
      </c>
      <c r="D134" t="s">
        <v>52</v>
      </c>
      <c r="E134">
        <v>1.1890000000000001</v>
      </c>
      <c r="F134">
        <v>1.22</v>
      </c>
      <c r="G134">
        <v>1.0980000000000001</v>
      </c>
      <c r="H134">
        <v>3.23</v>
      </c>
      <c r="I134" s="2">
        <v>207771500</v>
      </c>
      <c r="J134" s="2">
        <v>116224500000</v>
      </c>
      <c r="K134" s="2">
        <v>35923890000</v>
      </c>
      <c r="L134" s="2">
        <v>76111500</v>
      </c>
      <c r="M134" s="2">
        <v>5856387500</v>
      </c>
      <c r="N134" s="2">
        <v>14574000000</v>
      </c>
      <c r="O134" s="2">
        <v>13286840000</v>
      </c>
      <c r="P134" s="2">
        <v>75542000000</v>
      </c>
      <c r="Q134" s="2">
        <v>16780662500</v>
      </c>
      <c r="R134" s="2">
        <v>26108500000</v>
      </c>
      <c r="S134" s="2">
        <f t="shared" si="4"/>
        <v>0.12199999999999989</v>
      </c>
      <c r="T134" s="2">
        <f t="shared" si="5"/>
        <v>36207773000</v>
      </c>
    </row>
    <row r="135" spans="1:20" x14ac:dyDescent="0.3">
      <c r="A135" s="1">
        <v>40338</v>
      </c>
      <c r="B135" t="s">
        <v>138</v>
      </c>
      <c r="C135" t="s">
        <v>18</v>
      </c>
      <c r="D135" t="s">
        <v>29</v>
      </c>
      <c r="E135">
        <v>3.1989999999999998</v>
      </c>
      <c r="F135">
        <v>3.242</v>
      </c>
      <c r="G135">
        <v>3.0960000000000001</v>
      </c>
      <c r="H135">
        <v>3.24</v>
      </c>
      <c r="I135" s="2">
        <v>121200000</v>
      </c>
      <c r="J135" s="2">
        <v>68024700000</v>
      </c>
      <c r="K135" s="2">
        <v>20953737500</v>
      </c>
      <c r="L135" s="2">
        <v>46310700</v>
      </c>
      <c r="M135" s="2">
        <v>2825300000</v>
      </c>
      <c r="N135" s="2">
        <v>8822300000</v>
      </c>
      <c r="O135" s="2">
        <v>9714750000</v>
      </c>
      <c r="P135" s="2">
        <v>44799000000</v>
      </c>
      <c r="Q135" s="2">
        <v>8413687500</v>
      </c>
      <c r="R135" s="2">
        <v>14403400000</v>
      </c>
      <c r="S135" s="2">
        <f t="shared" si="4"/>
        <v>0.14599999999999991</v>
      </c>
      <c r="T135" s="2">
        <f t="shared" si="5"/>
        <v>21121248200</v>
      </c>
    </row>
    <row r="136" spans="1:20" x14ac:dyDescent="0.3">
      <c r="A136" s="1">
        <v>40339</v>
      </c>
      <c r="B136" t="s">
        <v>137</v>
      </c>
      <c r="C136" t="s">
        <v>23</v>
      </c>
      <c r="D136" t="s">
        <v>72</v>
      </c>
      <c r="E136">
        <v>4.1399999999999997</v>
      </c>
      <c r="F136">
        <v>4.1820000000000004</v>
      </c>
      <c r="G136">
        <v>4.08</v>
      </c>
      <c r="H136">
        <v>2.87</v>
      </c>
      <c r="I136" s="2">
        <v>75028500</v>
      </c>
      <c r="J136" s="2">
        <v>37308400000</v>
      </c>
      <c r="K136" s="2">
        <v>12974030000</v>
      </c>
      <c r="L136" s="2">
        <v>25970900</v>
      </c>
      <c r="M136" s="2">
        <v>2634420000</v>
      </c>
      <c r="N136" s="2">
        <v>5325000000</v>
      </c>
      <c r="O136" s="2">
        <v>5665010000</v>
      </c>
      <c r="P136" s="2">
        <v>24463800000</v>
      </c>
      <c r="Q136" s="2">
        <v>4674600000</v>
      </c>
      <c r="R136" s="2">
        <v>7519600000</v>
      </c>
      <c r="S136" s="2">
        <f t="shared" si="4"/>
        <v>0.10200000000000031</v>
      </c>
      <c r="T136" s="2">
        <f t="shared" si="5"/>
        <v>13075029400</v>
      </c>
    </row>
    <row r="137" spans="1:20" x14ac:dyDescent="0.3">
      <c r="A137" s="1">
        <v>40351</v>
      </c>
      <c r="B137" t="s">
        <v>144</v>
      </c>
      <c r="C137" t="s">
        <v>18</v>
      </c>
      <c r="D137" t="s">
        <v>21</v>
      </c>
      <c r="E137">
        <v>0.72</v>
      </c>
      <c r="F137">
        <v>0.73799999999999999</v>
      </c>
      <c r="G137">
        <v>0.64700000000000002</v>
      </c>
      <c r="H137">
        <v>3.45</v>
      </c>
      <c r="I137" s="2">
        <v>1157955700</v>
      </c>
      <c r="J137" s="2">
        <v>137716600000</v>
      </c>
      <c r="K137" s="2">
        <v>39567560000</v>
      </c>
      <c r="L137" s="2">
        <v>432579900</v>
      </c>
      <c r="M137" s="2">
        <v>8427620000</v>
      </c>
      <c r="N137" s="2">
        <v>20782000000</v>
      </c>
      <c r="O137" s="2">
        <v>14748340000</v>
      </c>
      <c r="P137" s="2">
        <v>88936000000</v>
      </c>
      <c r="Q137" s="2">
        <v>16391600000</v>
      </c>
      <c r="R137" s="2">
        <v>27998600000</v>
      </c>
      <c r="S137" s="2">
        <f t="shared" si="4"/>
        <v>9.099999999999997E-2</v>
      </c>
      <c r="T137" s="2">
        <f t="shared" si="5"/>
        <v>41158095600</v>
      </c>
    </row>
    <row r="138" spans="1:20" x14ac:dyDescent="0.3">
      <c r="A138" s="1">
        <v>40352</v>
      </c>
      <c r="B138" t="s">
        <v>146</v>
      </c>
      <c r="C138" t="s">
        <v>18</v>
      </c>
      <c r="D138" t="s">
        <v>19</v>
      </c>
      <c r="E138">
        <v>1.925</v>
      </c>
      <c r="F138">
        <v>1.9950000000000001</v>
      </c>
      <c r="G138">
        <v>1.8</v>
      </c>
      <c r="H138">
        <v>2.58</v>
      </c>
      <c r="I138" s="2">
        <v>1100057700</v>
      </c>
      <c r="J138" s="2">
        <v>97842300000</v>
      </c>
      <c r="K138" s="2">
        <v>37876066000</v>
      </c>
      <c r="L138" s="2">
        <v>124038300</v>
      </c>
      <c r="M138" s="2">
        <v>4044180000</v>
      </c>
      <c r="N138" s="2">
        <v>10315000000</v>
      </c>
      <c r="O138" s="2">
        <v>20742070000</v>
      </c>
      <c r="P138" s="2">
        <v>70757000000</v>
      </c>
      <c r="Q138" s="2">
        <v>13089816000</v>
      </c>
      <c r="R138" s="2">
        <v>16770300000</v>
      </c>
      <c r="S138" s="2">
        <f t="shared" si="4"/>
        <v>0.19500000000000006</v>
      </c>
      <c r="T138" s="2">
        <f t="shared" si="5"/>
        <v>39100162000</v>
      </c>
    </row>
    <row r="139" spans="1:20" x14ac:dyDescent="0.3">
      <c r="A139" s="1">
        <v>40353</v>
      </c>
      <c r="B139" t="s">
        <v>145</v>
      </c>
      <c r="C139" t="s">
        <v>18</v>
      </c>
      <c r="D139" t="s">
        <v>68</v>
      </c>
      <c r="E139">
        <v>2.5299999999999998</v>
      </c>
      <c r="F139">
        <v>2.5750000000000002</v>
      </c>
      <c r="G139">
        <v>2.3849999999999998</v>
      </c>
      <c r="H139">
        <v>3.01</v>
      </c>
      <c r="I139" s="2">
        <v>868466600</v>
      </c>
      <c r="J139" s="2">
        <v>90403100000</v>
      </c>
      <c r="K139" s="2">
        <v>29973625600</v>
      </c>
      <c r="L139" s="2">
        <v>26385900</v>
      </c>
      <c r="M139" s="2">
        <v>2942845000</v>
      </c>
      <c r="N139" s="2">
        <v>8835000000</v>
      </c>
      <c r="O139" s="2">
        <v>11745208000</v>
      </c>
      <c r="P139" s="2">
        <v>59967000000</v>
      </c>
      <c r="Q139" s="2">
        <v>15285572600</v>
      </c>
      <c r="R139" s="2">
        <v>21601100000</v>
      </c>
      <c r="S139" s="2">
        <f t="shared" si="4"/>
        <v>0.19000000000000039</v>
      </c>
      <c r="T139" s="2">
        <f t="shared" si="5"/>
        <v>30868478100</v>
      </c>
    </row>
    <row r="140" spans="1:20" x14ac:dyDescent="0.3">
      <c r="A140" s="1">
        <v>40371</v>
      </c>
      <c r="B140" t="s">
        <v>147</v>
      </c>
      <c r="C140" t="s">
        <v>18</v>
      </c>
      <c r="D140" t="s">
        <v>52</v>
      </c>
      <c r="E140">
        <v>1.0189999999999999</v>
      </c>
      <c r="F140">
        <v>1.0549999999999999</v>
      </c>
      <c r="G140">
        <v>0.94699999999999995</v>
      </c>
      <c r="H140">
        <v>3.2</v>
      </c>
      <c r="I140" s="2">
        <v>9938400</v>
      </c>
      <c r="J140" s="2">
        <v>111770450000</v>
      </c>
      <c r="K140" s="2">
        <v>34940227000</v>
      </c>
      <c r="L140" s="2">
        <v>59821700</v>
      </c>
      <c r="M140" s="2">
        <v>4984150000</v>
      </c>
      <c r="N140" s="2">
        <v>10967000000</v>
      </c>
      <c r="O140" s="2">
        <v>15760547500</v>
      </c>
      <c r="P140" s="2">
        <v>79865000000</v>
      </c>
      <c r="Q140" s="2">
        <v>14195529500</v>
      </c>
      <c r="R140" s="2">
        <v>20938450000</v>
      </c>
      <c r="S140" s="2">
        <f t="shared" si="4"/>
        <v>0.10799999999999998</v>
      </c>
      <c r="T140" s="2">
        <f t="shared" si="5"/>
        <v>35009987100</v>
      </c>
    </row>
    <row r="141" spans="1:20" x14ac:dyDescent="0.3">
      <c r="A141" s="1">
        <v>40372</v>
      </c>
      <c r="B141" t="s">
        <v>138</v>
      </c>
      <c r="C141" t="s">
        <v>18</v>
      </c>
      <c r="D141" t="s">
        <v>59</v>
      </c>
      <c r="E141">
        <v>3.0710000000000002</v>
      </c>
      <c r="F141">
        <v>3.1190000000000002</v>
      </c>
      <c r="G141">
        <v>2.97</v>
      </c>
      <c r="H141">
        <v>3.09</v>
      </c>
      <c r="I141" s="2">
        <v>5962900</v>
      </c>
      <c r="J141" s="2">
        <v>64944450000</v>
      </c>
      <c r="K141" s="2">
        <v>20951325500</v>
      </c>
      <c r="L141" s="2">
        <v>48677100</v>
      </c>
      <c r="M141" s="2">
        <v>2048000000</v>
      </c>
      <c r="N141" s="2">
        <v>6795000000</v>
      </c>
      <c r="O141" s="2">
        <v>10175802500</v>
      </c>
      <c r="P141" s="2">
        <v>44941000000</v>
      </c>
      <c r="Q141" s="2">
        <v>8727523000</v>
      </c>
      <c r="R141" s="2">
        <v>13208450000</v>
      </c>
      <c r="S141" s="2">
        <f t="shared" si="4"/>
        <v>0.14900000000000002</v>
      </c>
      <c r="T141" s="2">
        <f t="shared" si="5"/>
        <v>21005965500</v>
      </c>
    </row>
    <row r="142" spans="1:20" x14ac:dyDescent="0.3">
      <c r="A142" s="1">
        <v>40373</v>
      </c>
      <c r="B142" t="s">
        <v>137</v>
      </c>
      <c r="C142" t="s">
        <v>23</v>
      </c>
      <c r="D142" t="s">
        <v>91</v>
      </c>
      <c r="E142">
        <v>4.0389999999999997</v>
      </c>
      <c r="F142">
        <v>4.08</v>
      </c>
      <c r="G142">
        <v>3.97</v>
      </c>
      <c r="H142">
        <v>2.89</v>
      </c>
      <c r="I142" s="2">
        <v>3691300</v>
      </c>
      <c r="J142" s="2">
        <v>37619800000</v>
      </c>
      <c r="K142" s="2">
        <v>12985141500</v>
      </c>
      <c r="L142" s="2">
        <v>14874300</v>
      </c>
      <c r="M142" s="2">
        <v>2093261500</v>
      </c>
      <c r="N142" s="2">
        <v>4795300000</v>
      </c>
      <c r="O142" s="2">
        <v>6030859900</v>
      </c>
      <c r="P142" s="2">
        <v>24090300000</v>
      </c>
      <c r="Q142" s="2">
        <v>4861020100</v>
      </c>
      <c r="R142" s="2">
        <v>8734200000</v>
      </c>
      <c r="S142" s="2">
        <f t="shared" si="4"/>
        <v>0.10999999999999988</v>
      </c>
      <c r="T142" s="2">
        <f t="shared" si="5"/>
        <v>13003707100</v>
      </c>
    </row>
    <row r="143" spans="1:20" x14ac:dyDescent="0.3">
      <c r="A143" s="1">
        <v>40386</v>
      </c>
      <c r="B143" t="s">
        <v>149</v>
      </c>
      <c r="C143" t="s">
        <v>18</v>
      </c>
      <c r="D143" t="s">
        <v>21</v>
      </c>
      <c r="E143">
        <v>0.63900000000000001</v>
      </c>
      <c r="F143">
        <v>0.66500000000000004</v>
      </c>
      <c r="G143">
        <v>0.56999999999999995</v>
      </c>
      <c r="H143">
        <v>3.33</v>
      </c>
      <c r="I143" s="2">
        <v>1247784500</v>
      </c>
      <c r="J143" s="2">
        <v>125944600000</v>
      </c>
      <c r="K143" s="2">
        <v>37477680000</v>
      </c>
      <c r="L143" s="2">
        <v>522435700</v>
      </c>
      <c r="M143" s="2">
        <v>5055000000</v>
      </c>
      <c r="N143" s="2">
        <v>16800500000</v>
      </c>
      <c r="O143" s="2">
        <v>20121012500</v>
      </c>
      <c r="P143" s="2">
        <v>90565000000</v>
      </c>
      <c r="Q143" s="2">
        <v>12301667500</v>
      </c>
      <c r="R143" s="2">
        <v>18579100000</v>
      </c>
      <c r="S143" s="2">
        <f t="shared" si="4"/>
        <v>9.5000000000000084E-2</v>
      </c>
      <c r="T143" s="2">
        <f t="shared" si="5"/>
        <v>39247900200</v>
      </c>
    </row>
    <row r="144" spans="1:20" x14ac:dyDescent="0.3">
      <c r="A144" s="1">
        <v>40387</v>
      </c>
      <c r="B144" t="s">
        <v>148</v>
      </c>
      <c r="C144" t="s">
        <v>18</v>
      </c>
      <c r="D144" t="s">
        <v>19</v>
      </c>
      <c r="E144">
        <v>1.75</v>
      </c>
      <c r="F144">
        <v>1.796</v>
      </c>
      <c r="G144">
        <v>1.69</v>
      </c>
      <c r="H144">
        <v>3.06</v>
      </c>
      <c r="I144" s="2">
        <v>1214948000</v>
      </c>
      <c r="J144" s="2">
        <v>112971400000</v>
      </c>
      <c r="K144" s="2">
        <v>36896905000</v>
      </c>
      <c r="L144" s="2">
        <v>103150400</v>
      </c>
      <c r="M144" s="2">
        <v>4190000000</v>
      </c>
      <c r="N144" s="2">
        <v>13312000000</v>
      </c>
      <c r="O144" s="2">
        <v>15262955000</v>
      </c>
      <c r="P144" s="2">
        <v>74608000000</v>
      </c>
      <c r="Q144" s="2">
        <v>17443950000</v>
      </c>
      <c r="R144" s="2">
        <v>25051400000</v>
      </c>
      <c r="S144" s="2">
        <f t="shared" si="4"/>
        <v>0.10600000000000009</v>
      </c>
      <c r="T144" s="2">
        <f t="shared" si="5"/>
        <v>38215003400</v>
      </c>
    </row>
    <row r="145" spans="1:20" x14ac:dyDescent="0.3">
      <c r="A145" s="1">
        <v>40388</v>
      </c>
      <c r="B145" t="s">
        <v>150</v>
      </c>
      <c r="C145" t="s">
        <v>18</v>
      </c>
      <c r="D145" t="s">
        <v>68</v>
      </c>
      <c r="E145">
        <v>2.33</v>
      </c>
      <c r="F145">
        <v>2.3940000000000001</v>
      </c>
      <c r="G145">
        <v>2.2679999999999998</v>
      </c>
      <c r="H145">
        <v>2.78</v>
      </c>
      <c r="I145" s="2">
        <v>952256500</v>
      </c>
      <c r="J145" s="2">
        <v>80410000000</v>
      </c>
      <c r="K145" s="2">
        <v>28918027500</v>
      </c>
      <c r="L145" s="2">
        <v>57017500</v>
      </c>
      <c r="M145" s="2">
        <v>2601000000</v>
      </c>
      <c r="N145" s="2">
        <v>8336000000</v>
      </c>
      <c r="O145" s="2">
        <v>14098785000</v>
      </c>
      <c r="P145" s="2">
        <v>56146000000</v>
      </c>
      <c r="Q145" s="2">
        <v>12218242500</v>
      </c>
      <c r="R145" s="2">
        <v>15928000000</v>
      </c>
      <c r="S145" s="2">
        <f t="shared" si="4"/>
        <v>0.12600000000000033</v>
      </c>
      <c r="T145" s="2">
        <f t="shared" si="5"/>
        <v>29927301500</v>
      </c>
    </row>
    <row r="146" spans="1:20" x14ac:dyDescent="0.3">
      <c r="A146" s="1">
        <v>40400</v>
      </c>
      <c r="B146" t="s">
        <v>153</v>
      </c>
      <c r="C146" t="s">
        <v>18</v>
      </c>
      <c r="D146" t="s">
        <v>52</v>
      </c>
      <c r="E146">
        <v>0.81499999999999995</v>
      </c>
      <c r="F146">
        <v>0.84399999999999997</v>
      </c>
      <c r="G146">
        <v>0.73799999999999999</v>
      </c>
      <c r="H146">
        <v>3.31</v>
      </c>
      <c r="I146" s="2">
        <v>2036029500</v>
      </c>
      <c r="J146" s="2">
        <v>112423435000</v>
      </c>
      <c r="K146" s="2">
        <v>33908375000</v>
      </c>
      <c r="L146" s="2">
        <v>91682100</v>
      </c>
      <c r="M146" s="2">
        <v>5350555000</v>
      </c>
      <c r="N146" s="2">
        <v>14743555000</v>
      </c>
      <c r="O146" s="2">
        <v>14823810000</v>
      </c>
      <c r="P146" s="2">
        <v>78055000000</v>
      </c>
      <c r="Q146" s="2">
        <v>13734010000</v>
      </c>
      <c r="R146" s="2">
        <v>19624880000</v>
      </c>
      <c r="S146" s="2">
        <f t="shared" si="4"/>
        <v>0.10599999999999998</v>
      </c>
      <c r="T146" s="2">
        <f t="shared" si="5"/>
        <v>36036086600</v>
      </c>
    </row>
    <row r="147" spans="1:20" x14ac:dyDescent="0.3">
      <c r="A147" s="1">
        <v>40401</v>
      </c>
      <c r="B147" t="s">
        <v>152</v>
      </c>
      <c r="C147" t="s">
        <v>18</v>
      </c>
      <c r="D147" t="s">
        <v>26</v>
      </c>
      <c r="E147">
        <v>2.669</v>
      </c>
      <c r="F147">
        <v>2.73</v>
      </c>
      <c r="G147">
        <v>2.6</v>
      </c>
      <c r="H147">
        <v>3.04</v>
      </c>
      <c r="I147" s="2">
        <v>1437197100</v>
      </c>
      <c r="J147" s="2">
        <v>72820240000</v>
      </c>
      <c r="K147" s="2">
        <v>23824219500</v>
      </c>
      <c r="L147" s="2">
        <v>125810700</v>
      </c>
      <c r="M147" s="2">
        <v>2532513000</v>
      </c>
      <c r="N147" s="2">
        <v>7936000000</v>
      </c>
      <c r="O147" s="2">
        <v>10375725500</v>
      </c>
      <c r="P147" s="2">
        <v>49067000000</v>
      </c>
      <c r="Q147" s="2">
        <v>10915981000</v>
      </c>
      <c r="R147" s="2">
        <v>15817240000</v>
      </c>
      <c r="S147" s="2">
        <f t="shared" si="4"/>
        <v>0.12999999999999989</v>
      </c>
      <c r="T147" s="2">
        <f t="shared" si="5"/>
        <v>25387227300</v>
      </c>
    </row>
    <row r="148" spans="1:20" x14ac:dyDescent="0.3">
      <c r="A148" s="1">
        <v>40402</v>
      </c>
      <c r="B148" t="s">
        <v>151</v>
      </c>
      <c r="C148" t="s">
        <v>23</v>
      </c>
      <c r="D148" t="s">
        <v>65</v>
      </c>
      <c r="E148">
        <v>3.89</v>
      </c>
      <c r="F148">
        <v>3.9540000000000002</v>
      </c>
      <c r="G148">
        <v>3.8</v>
      </c>
      <c r="H148">
        <v>2.77</v>
      </c>
      <c r="I148" s="2">
        <v>958131400</v>
      </c>
      <c r="J148" s="2">
        <v>44220460000</v>
      </c>
      <c r="K148" s="2">
        <v>15946538000</v>
      </c>
      <c r="L148" s="2">
        <v>53470900</v>
      </c>
      <c r="M148" s="2">
        <v>2971000000</v>
      </c>
      <c r="N148" s="2">
        <v>5937500000</v>
      </c>
      <c r="O148" s="2">
        <v>5633578000</v>
      </c>
      <c r="P148" s="2">
        <v>25072000000</v>
      </c>
      <c r="Q148" s="2">
        <v>7341960000</v>
      </c>
      <c r="R148" s="2">
        <v>13210960000</v>
      </c>
      <c r="S148" s="2">
        <f t="shared" si="4"/>
        <v>0.15400000000000036</v>
      </c>
      <c r="T148" s="2">
        <f t="shared" si="5"/>
        <v>16958140300</v>
      </c>
    </row>
    <row r="149" spans="1:20" x14ac:dyDescent="0.3">
      <c r="A149" s="1">
        <v>40414</v>
      </c>
      <c r="B149" t="s">
        <v>156</v>
      </c>
      <c r="C149" t="s">
        <v>18</v>
      </c>
      <c r="D149" t="s">
        <v>21</v>
      </c>
      <c r="E149">
        <v>0.48</v>
      </c>
      <c r="F149">
        <v>0.498</v>
      </c>
      <c r="G149">
        <v>0.39600000000000002</v>
      </c>
      <c r="H149">
        <v>3.12</v>
      </c>
      <c r="I149" s="2">
        <v>905909600</v>
      </c>
      <c r="J149" s="2">
        <v>115091500000</v>
      </c>
      <c r="K149" s="2">
        <v>36544452500</v>
      </c>
      <c r="L149" s="2">
        <v>455620700</v>
      </c>
      <c r="M149" s="2">
        <v>4411847500</v>
      </c>
      <c r="N149" s="2">
        <v>13410000000</v>
      </c>
      <c r="O149" s="2">
        <v>21445130000</v>
      </c>
      <c r="P149" s="2">
        <v>84626000000</v>
      </c>
      <c r="Q149" s="2">
        <v>10687475000</v>
      </c>
      <c r="R149" s="2">
        <v>17055500000</v>
      </c>
      <c r="S149" s="2">
        <f t="shared" si="4"/>
        <v>0.10199999999999998</v>
      </c>
      <c r="T149" s="2">
        <f t="shared" si="5"/>
        <v>37905982800</v>
      </c>
    </row>
    <row r="150" spans="1:20" x14ac:dyDescent="0.3">
      <c r="A150" s="1">
        <v>40415</v>
      </c>
      <c r="B150" t="s">
        <v>155</v>
      </c>
      <c r="C150" t="s">
        <v>18</v>
      </c>
      <c r="D150" t="s">
        <v>19</v>
      </c>
      <c r="E150">
        <v>1.31</v>
      </c>
      <c r="F150">
        <v>1.3740000000000001</v>
      </c>
      <c r="G150">
        <v>1.25</v>
      </c>
      <c r="H150">
        <v>2.83</v>
      </c>
      <c r="I150" s="2">
        <v>881425400</v>
      </c>
      <c r="J150" s="2">
        <v>101725900000</v>
      </c>
      <c r="K150" s="2">
        <v>35839576500</v>
      </c>
      <c r="L150" s="2">
        <v>110449500</v>
      </c>
      <c r="M150" s="2">
        <v>3111831000</v>
      </c>
      <c r="N150" s="2">
        <v>12686000000</v>
      </c>
      <c r="O150" s="2">
        <v>14532845500</v>
      </c>
      <c r="P150" s="2">
        <v>65360000000</v>
      </c>
      <c r="Q150" s="2">
        <v>18194900000</v>
      </c>
      <c r="R150" s="2">
        <v>23679900000</v>
      </c>
      <c r="S150" s="2">
        <f t="shared" si="4"/>
        <v>0.12400000000000011</v>
      </c>
      <c r="T150" s="2">
        <f t="shared" si="5"/>
        <v>36831451400</v>
      </c>
    </row>
    <row r="151" spans="1:20" x14ac:dyDescent="0.3">
      <c r="A151" s="1">
        <v>40416</v>
      </c>
      <c r="B151" t="s">
        <v>154</v>
      </c>
      <c r="C151" t="s">
        <v>18</v>
      </c>
      <c r="D151" t="s">
        <v>68</v>
      </c>
      <c r="E151">
        <v>1.95</v>
      </c>
      <c r="F151">
        <v>1.9890000000000001</v>
      </c>
      <c r="G151">
        <v>1.9</v>
      </c>
      <c r="H151">
        <v>2.98</v>
      </c>
      <c r="I151" s="2">
        <v>710037100</v>
      </c>
      <c r="J151" s="2">
        <v>86400400000</v>
      </c>
      <c r="K151" s="2">
        <v>28864452800</v>
      </c>
      <c r="L151" s="2">
        <v>35555800</v>
      </c>
      <c r="M151" s="2">
        <v>2470492800</v>
      </c>
      <c r="N151" s="2">
        <v>9033000000</v>
      </c>
      <c r="O151" s="2">
        <v>10034000000</v>
      </c>
      <c r="P151" s="2">
        <v>54684000000</v>
      </c>
      <c r="Q151" s="2">
        <v>16359960000</v>
      </c>
      <c r="R151" s="2">
        <v>22683400000</v>
      </c>
      <c r="S151" s="2">
        <f t="shared" si="4"/>
        <v>8.900000000000019E-2</v>
      </c>
      <c r="T151" s="2">
        <f t="shared" si="5"/>
        <v>29610045700</v>
      </c>
    </row>
    <row r="152" spans="1:20" x14ac:dyDescent="0.3">
      <c r="A152" s="1">
        <v>40428</v>
      </c>
      <c r="B152" t="s">
        <v>157</v>
      </c>
      <c r="C152" t="s">
        <v>18</v>
      </c>
      <c r="D152" t="s">
        <v>52</v>
      </c>
      <c r="E152">
        <v>0.746</v>
      </c>
      <c r="F152">
        <v>0.79</v>
      </c>
      <c r="G152">
        <v>0.69099999999999995</v>
      </c>
      <c r="H152">
        <v>3.21</v>
      </c>
      <c r="I152" s="2">
        <v>357000100</v>
      </c>
      <c r="J152" s="2">
        <v>106003450000</v>
      </c>
      <c r="K152" s="2">
        <v>32961212800</v>
      </c>
      <c r="L152" s="2">
        <v>38912000</v>
      </c>
      <c r="M152" s="2">
        <v>3860487800</v>
      </c>
      <c r="N152" s="2">
        <v>12677500000</v>
      </c>
      <c r="O152" s="2">
        <v>15139105000</v>
      </c>
      <c r="P152" s="2">
        <v>72940000000</v>
      </c>
      <c r="Q152" s="2">
        <v>13961620000</v>
      </c>
      <c r="R152" s="2">
        <v>20385950000</v>
      </c>
      <c r="S152" s="2">
        <f t="shared" si="4"/>
        <v>9.9000000000000088E-2</v>
      </c>
      <c r="T152" s="2">
        <f t="shared" si="5"/>
        <v>33357124900</v>
      </c>
    </row>
    <row r="153" spans="1:20" x14ac:dyDescent="0.3">
      <c r="A153" s="1">
        <v>40429</v>
      </c>
      <c r="B153" t="s">
        <v>152</v>
      </c>
      <c r="C153" t="s">
        <v>18</v>
      </c>
      <c r="D153" t="s">
        <v>29</v>
      </c>
      <c r="E153">
        <v>2.63</v>
      </c>
      <c r="F153">
        <v>2.67</v>
      </c>
      <c r="G153">
        <v>2.5379999999999998</v>
      </c>
      <c r="H153">
        <v>3.21</v>
      </c>
      <c r="I153" s="2">
        <v>227181800</v>
      </c>
      <c r="J153" s="2">
        <v>67398107500</v>
      </c>
      <c r="K153" s="2">
        <v>20959787500</v>
      </c>
      <c r="L153" s="2">
        <v>40222200</v>
      </c>
      <c r="M153" s="2">
        <v>1452845000</v>
      </c>
      <c r="N153" s="2">
        <v>6243000000</v>
      </c>
      <c r="O153" s="2">
        <v>8035370000</v>
      </c>
      <c r="P153" s="2">
        <v>44282500000</v>
      </c>
      <c r="Q153" s="2">
        <v>11471572500</v>
      </c>
      <c r="R153" s="2">
        <v>16872607500</v>
      </c>
      <c r="S153" s="2">
        <f t="shared" si="4"/>
        <v>0.13200000000000012</v>
      </c>
      <c r="T153" s="2">
        <f t="shared" si="5"/>
        <v>21227191500</v>
      </c>
    </row>
    <row r="154" spans="1:20" x14ac:dyDescent="0.3">
      <c r="A154" s="1">
        <v>40430</v>
      </c>
      <c r="B154" t="s">
        <v>151</v>
      </c>
      <c r="C154" t="s">
        <v>23</v>
      </c>
      <c r="D154" t="s">
        <v>72</v>
      </c>
      <c r="E154">
        <v>3.7549999999999999</v>
      </c>
      <c r="F154">
        <v>3.82</v>
      </c>
      <c r="G154">
        <v>3.69</v>
      </c>
      <c r="H154">
        <v>2.73</v>
      </c>
      <c r="I154" s="2">
        <v>140636300</v>
      </c>
      <c r="J154" s="2">
        <v>35445300000</v>
      </c>
      <c r="K154" s="2">
        <v>12985762000</v>
      </c>
      <c r="L154" s="2">
        <v>14295900</v>
      </c>
      <c r="M154" s="2">
        <v>1077000000</v>
      </c>
      <c r="N154" s="2">
        <v>3109000000</v>
      </c>
      <c r="O154" s="2">
        <v>7222022000</v>
      </c>
      <c r="P154" s="2">
        <v>25581200000</v>
      </c>
      <c r="Q154" s="2">
        <v>4686740000</v>
      </c>
      <c r="R154" s="2">
        <v>6755100000</v>
      </c>
      <c r="S154" s="2">
        <f t="shared" si="4"/>
        <v>0.12999999999999989</v>
      </c>
      <c r="T154" s="2">
        <f t="shared" si="5"/>
        <v>13140694200</v>
      </c>
    </row>
    <row r="155" spans="1:20" x14ac:dyDescent="0.3">
      <c r="A155" s="1">
        <v>40448</v>
      </c>
      <c r="B155" t="s">
        <v>160</v>
      </c>
      <c r="C155" t="s">
        <v>18</v>
      </c>
      <c r="D155" t="s">
        <v>21</v>
      </c>
      <c r="E155">
        <v>0.41799999999999998</v>
      </c>
      <c r="F155">
        <v>0.441</v>
      </c>
      <c r="G155">
        <v>0.35</v>
      </c>
      <c r="H155">
        <v>3.78</v>
      </c>
      <c r="I155" s="2">
        <v>1134162700</v>
      </c>
      <c r="J155" s="2">
        <v>135817300000</v>
      </c>
      <c r="K155" s="2">
        <v>35570425000</v>
      </c>
      <c r="L155" s="2">
        <v>419674800</v>
      </c>
      <c r="M155" s="2">
        <v>3834000000</v>
      </c>
      <c r="N155" s="2">
        <v>14486300000</v>
      </c>
      <c r="O155" s="2">
        <v>17851500000</v>
      </c>
      <c r="P155" s="2">
        <v>96728000000</v>
      </c>
      <c r="Q155" s="2">
        <v>13884925000</v>
      </c>
      <c r="R155" s="2">
        <v>24603000000</v>
      </c>
      <c r="S155" s="2">
        <f t="shared" si="4"/>
        <v>9.1000000000000025E-2</v>
      </c>
      <c r="T155" s="2">
        <f t="shared" si="5"/>
        <v>37124262500</v>
      </c>
    </row>
    <row r="156" spans="1:20" x14ac:dyDescent="0.3">
      <c r="A156" s="1">
        <v>40449</v>
      </c>
      <c r="B156" t="s">
        <v>159</v>
      </c>
      <c r="C156" t="s">
        <v>18</v>
      </c>
      <c r="D156" t="s">
        <v>19</v>
      </c>
      <c r="E156">
        <v>1.2190000000000001</v>
      </c>
      <c r="F156">
        <v>1.26</v>
      </c>
      <c r="G156">
        <v>1.171</v>
      </c>
      <c r="H156">
        <v>2.96</v>
      </c>
      <c r="I156" s="2">
        <v>1102658100</v>
      </c>
      <c r="J156" s="2">
        <v>103301350000</v>
      </c>
      <c r="K156" s="2">
        <v>34863410000</v>
      </c>
      <c r="L156" s="2">
        <v>86628000</v>
      </c>
      <c r="M156" s="2">
        <v>3022110000</v>
      </c>
      <c r="N156" s="2">
        <v>11419000000</v>
      </c>
      <c r="O156" s="2">
        <v>14370950000</v>
      </c>
      <c r="P156" s="2">
        <v>68172000000</v>
      </c>
      <c r="Q156" s="2">
        <v>17470350000</v>
      </c>
      <c r="R156" s="2">
        <v>23710350000</v>
      </c>
      <c r="S156" s="2">
        <f t="shared" si="4"/>
        <v>8.8999999999999968E-2</v>
      </c>
      <c r="T156" s="2">
        <f t="shared" si="5"/>
        <v>36052696100</v>
      </c>
    </row>
    <row r="157" spans="1:20" x14ac:dyDescent="0.3">
      <c r="A157" s="1">
        <v>40450</v>
      </c>
      <c r="B157" t="s">
        <v>158</v>
      </c>
      <c r="C157" t="s">
        <v>18</v>
      </c>
      <c r="D157" t="s">
        <v>68</v>
      </c>
      <c r="E157">
        <v>1.85</v>
      </c>
      <c r="F157">
        <v>1.89</v>
      </c>
      <c r="G157">
        <v>1.79</v>
      </c>
      <c r="H157">
        <v>3.04</v>
      </c>
      <c r="I157" s="2">
        <v>913631000</v>
      </c>
      <c r="J157" s="2">
        <v>88223400000</v>
      </c>
      <c r="K157" s="2">
        <v>28985198000</v>
      </c>
      <c r="L157" s="2">
        <v>14830100</v>
      </c>
      <c r="M157" s="2">
        <v>3878000000</v>
      </c>
      <c r="N157" s="2">
        <v>10678000000</v>
      </c>
      <c r="O157" s="2">
        <v>10543735000</v>
      </c>
      <c r="P157" s="2">
        <v>58376000000</v>
      </c>
      <c r="Q157" s="2">
        <v>14563463000</v>
      </c>
      <c r="R157" s="2">
        <v>19169400000</v>
      </c>
      <c r="S157" s="2">
        <f t="shared" si="4"/>
        <v>9.9999999999999867E-2</v>
      </c>
      <c r="T157" s="2">
        <f t="shared" si="5"/>
        <v>29913659100</v>
      </c>
    </row>
    <row r="158" spans="1:20" x14ac:dyDescent="0.3">
      <c r="A158" s="1">
        <v>40463</v>
      </c>
      <c r="B158" t="s">
        <v>161</v>
      </c>
      <c r="C158" t="s">
        <v>18</v>
      </c>
      <c r="D158" t="s">
        <v>52</v>
      </c>
      <c r="E158">
        <v>0.54</v>
      </c>
      <c r="F158">
        <v>0.56899999999999995</v>
      </c>
      <c r="G158">
        <v>0.45900000000000002</v>
      </c>
      <c r="H158">
        <v>2.95</v>
      </c>
      <c r="I158" s="2">
        <v>281212200</v>
      </c>
      <c r="J158" s="2">
        <v>94242600000</v>
      </c>
      <c r="K158" s="2">
        <v>31969744500</v>
      </c>
      <c r="L158" s="2">
        <v>30308500</v>
      </c>
      <c r="M158" s="2">
        <v>3808457000</v>
      </c>
      <c r="N158" s="2">
        <v>11843000000</v>
      </c>
      <c r="O158" s="2">
        <v>18896687500</v>
      </c>
      <c r="P158" s="2">
        <v>68960000000</v>
      </c>
      <c r="Q158" s="2">
        <v>9264600000</v>
      </c>
      <c r="R158" s="2">
        <v>13439600000</v>
      </c>
      <c r="S158" s="2">
        <f t="shared" si="4"/>
        <v>0.10999999999999993</v>
      </c>
      <c r="T158" s="2">
        <f t="shared" si="5"/>
        <v>32281265200</v>
      </c>
    </row>
    <row r="159" spans="1:20" x14ac:dyDescent="0.3">
      <c r="A159" s="1">
        <v>40464</v>
      </c>
      <c r="B159" t="s">
        <v>152</v>
      </c>
      <c r="C159" t="s">
        <v>18</v>
      </c>
      <c r="D159" t="s">
        <v>59</v>
      </c>
      <c r="E159">
        <v>2.42</v>
      </c>
      <c r="F159">
        <v>2.4750000000000001</v>
      </c>
      <c r="G159">
        <v>2.3559999999999999</v>
      </c>
      <c r="H159">
        <v>2.99</v>
      </c>
      <c r="I159" s="2">
        <v>184545400</v>
      </c>
      <c r="J159" s="2">
        <v>62772801000</v>
      </c>
      <c r="K159" s="2">
        <v>20984297000</v>
      </c>
      <c r="L159" s="2">
        <v>15733200</v>
      </c>
      <c r="M159" s="2">
        <v>2237864500</v>
      </c>
      <c r="N159" s="2">
        <v>7569401000</v>
      </c>
      <c r="O159" s="2">
        <v>10035715000</v>
      </c>
      <c r="P159" s="2">
        <v>42309000000</v>
      </c>
      <c r="Q159" s="2">
        <v>8710717500</v>
      </c>
      <c r="R159" s="2">
        <v>12894400000</v>
      </c>
      <c r="S159" s="2">
        <f t="shared" si="4"/>
        <v>0.11900000000000022</v>
      </c>
      <c r="T159" s="2">
        <f t="shared" si="5"/>
        <v>21184575600</v>
      </c>
    </row>
    <row r="160" spans="1:20" x14ac:dyDescent="0.3">
      <c r="A160" s="1">
        <v>40465</v>
      </c>
      <c r="B160" t="s">
        <v>151</v>
      </c>
      <c r="C160" t="s">
        <v>23</v>
      </c>
      <c r="D160" t="s">
        <v>91</v>
      </c>
      <c r="E160">
        <v>3.782</v>
      </c>
      <c r="F160">
        <v>3.8519999999999999</v>
      </c>
      <c r="G160">
        <v>3.7</v>
      </c>
      <c r="H160">
        <v>2.4900000000000002</v>
      </c>
      <c r="I160" s="2">
        <v>114242400</v>
      </c>
      <c r="J160" s="2">
        <v>32327350000</v>
      </c>
      <c r="K160" s="2">
        <v>12987894000</v>
      </c>
      <c r="L160" s="2">
        <v>12112300</v>
      </c>
      <c r="M160" s="2">
        <v>1178000000</v>
      </c>
      <c r="N160" s="2">
        <v>4083000000</v>
      </c>
      <c r="O160" s="2">
        <v>7607431000</v>
      </c>
      <c r="P160" s="2">
        <v>21989000000</v>
      </c>
      <c r="Q160" s="2">
        <v>4202463000</v>
      </c>
      <c r="R160" s="2">
        <v>6255350000</v>
      </c>
      <c r="S160" s="2">
        <f t="shared" si="4"/>
        <v>0.15199999999999969</v>
      </c>
      <c r="T160" s="2">
        <f t="shared" si="5"/>
        <v>13114248700</v>
      </c>
    </row>
    <row r="161" spans="1:20" x14ac:dyDescent="0.3">
      <c r="A161" s="1">
        <v>40477</v>
      </c>
      <c r="B161" t="s">
        <v>164</v>
      </c>
      <c r="C161" t="s">
        <v>18</v>
      </c>
      <c r="D161" t="s">
        <v>21</v>
      </c>
      <c r="E161">
        <v>0.375</v>
      </c>
      <c r="F161">
        <v>0.4</v>
      </c>
      <c r="G161">
        <v>0.31</v>
      </c>
      <c r="H161">
        <v>3.43</v>
      </c>
      <c r="I161" s="2">
        <v>717474600</v>
      </c>
      <c r="J161" s="2">
        <v>119889500000</v>
      </c>
      <c r="K161" s="2">
        <v>34669525000</v>
      </c>
      <c r="L161" s="2">
        <v>330523400</v>
      </c>
      <c r="M161" s="2">
        <v>5513300000</v>
      </c>
      <c r="N161" s="2">
        <v>16739000000</v>
      </c>
      <c r="O161" s="2">
        <v>15293675000</v>
      </c>
      <c r="P161" s="2">
        <v>80942000000</v>
      </c>
      <c r="Q161" s="2">
        <v>13862550000</v>
      </c>
      <c r="R161" s="2">
        <v>22208500000</v>
      </c>
      <c r="S161" s="2">
        <f t="shared" si="4"/>
        <v>9.0000000000000024E-2</v>
      </c>
      <c r="T161" s="2">
        <f t="shared" si="5"/>
        <v>35717523000</v>
      </c>
    </row>
    <row r="162" spans="1:20" x14ac:dyDescent="0.3">
      <c r="A162" s="1">
        <v>40478</v>
      </c>
      <c r="B162" t="s">
        <v>163</v>
      </c>
      <c r="C162" t="s">
        <v>18</v>
      </c>
      <c r="D162" t="s">
        <v>19</v>
      </c>
      <c r="E162">
        <v>1.288</v>
      </c>
      <c r="F162">
        <v>1.33</v>
      </c>
      <c r="G162">
        <v>1.1970000000000001</v>
      </c>
      <c r="H162">
        <v>2.82</v>
      </c>
      <c r="I162" s="2">
        <v>717474500</v>
      </c>
      <c r="J162" s="2">
        <v>98535850000</v>
      </c>
      <c r="K162" s="2">
        <v>34845790600</v>
      </c>
      <c r="L162" s="2">
        <v>54241400</v>
      </c>
      <c r="M162" s="2">
        <v>4085362100</v>
      </c>
      <c r="N162" s="2">
        <v>13832000000</v>
      </c>
      <c r="O162" s="2">
        <v>17013578500</v>
      </c>
      <c r="P162" s="2">
        <v>64854000000</v>
      </c>
      <c r="Q162" s="2">
        <v>13746850000</v>
      </c>
      <c r="R162" s="2">
        <v>19849850000</v>
      </c>
      <c r="S162" s="2">
        <f t="shared" si="4"/>
        <v>0.13300000000000001</v>
      </c>
      <c r="T162" s="2">
        <f t="shared" si="5"/>
        <v>35617506500</v>
      </c>
    </row>
    <row r="163" spans="1:20" x14ac:dyDescent="0.3">
      <c r="A163" s="1">
        <v>40479</v>
      </c>
      <c r="B163" t="s">
        <v>162</v>
      </c>
      <c r="C163" t="s">
        <v>18</v>
      </c>
      <c r="D163" t="s">
        <v>68</v>
      </c>
      <c r="E163">
        <v>1.9390000000000001</v>
      </c>
      <c r="F163">
        <v>1.97</v>
      </c>
      <c r="G163">
        <v>1.86</v>
      </c>
      <c r="H163">
        <v>3.06</v>
      </c>
      <c r="I163" s="2">
        <v>594478900</v>
      </c>
      <c r="J163" s="2">
        <v>88830150000</v>
      </c>
      <c r="K163" s="2">
        <v>28985484000</v>
      </c>
      <c r="L163" s="2">
        <v>14541600</v>
      </c>
      <c r="M163" s="2">
        <v>1587000000</v>
      </c>
      <c r="N163" s="2">
        <v>9907000000</v>
      </c>
      <c r="O163" s="2">
        <v>12842092000</v>
      </c>
      <c r="P163" s="2">
        <v>56848000000</v>
      </c>
      <c r="Q163" s="2">
        <v>14556392000</v>
      </c>
      <c r="R163" s="2">
        <v>22075150000</v>
      </c>
      <c r="S163" s="2">
        <f t="shared" si="4"/>
        <v>0.10999999999999988</v>
      </c>
      <c r="T163" s="2">
        <f t="shared" si="5"/>
        <v>29594504500</v>
      </c>
    </row>
    <row r="164" spans="1:20" x14ac:dyDescent="0.3">
      <c r="A164" s="1">
        <v>40490</v>
      </c>
      <c r="B164" t="s">
        <v>167</v>
      </c>
      <c r="C164" t="s">
        <v>18</v>
      </c>
      <c r="D164" t="s">
        <v>52</v>
      </c>
      <c r="E164">
        <v>0.54800000000000004</v>
      </c>
      <c r="F164">
        <v>0.57499999999999996</v>
      </c>
      <c r="G164">
        <v>0.47</v>
      </c>
      <c r="H164">
        <v>3.26</v>
      </c>
      <c r="I164" s="2">
        <v>858061400</v>
      </c>
      <c r="J164" s="2">
        <v>104276200000</v>
      </c>
      <c r="K164" s="2">
        <v>31950518000</v>
      </c>
      <c r="L164" s="2">
        <v>49680400</v>
      </c>
      <c r="M164" s="2">
        <v>4443128000</v>
      </c>
      <c r="N164" s="2">
        <v>14320000000</v>
      </c>
      <c r="O164" s="2">
        <v>16320900000</v>
      </c>
      <c r="P164" s="2">
        <v>71263000000</v>
      </c>
      <c r="Q164" s="2">
        <v>11186490000</v>
      </c>
      <c r="R164" s="2">
        <v>18693200000</v>
      </c>
      <c r="S164" s="2">
        <f t="shared" si="4"/>
        <v>0.10499999999999998</v>
      </c>
      <c r="T164" s="2">
        <f t="shared" si="5"/>
        <v>32858259800</v>
      </c>
    </row>
    <row r="165" spans="1:20" x14ac:dyDescent="0.3">
      <c r="A165" s="1">
        <v>40491</v>
      </c>
      <c r="B165" t="s">
        <v>166</v>
      </c>
      <c r="C165" t="s">
        <v>18</v>
      </c>
      <c r="D165" t="s">
        <v>26</v>
      </c>
      <c r="E165">
        <v>2.5590000000000002</v>
      </c>
      <c r="F165">
        <v>2.6360000000000001</v>
      </c>
      <c r="G165">
        <v>2.5</v>
      </c>
      <c r="H165">
        <v>2.8</v>
      </c>
      <c r="I165" s="2">
        <v>643545900</v>
      </c>
      <c r="J165" s="2">
        <v>67074000000</v>
      </c>
      <c r="K165" s="2">
        <v>23896675000</v>
      </c>
      <c r="L165" s="2">
        <v>53325500</v>
      </c>
      <c r="M165" s="2">
        <v>2238000000</v>
      </c>
      <c r="N165" s="2">
        <v>9228000000</v>
      </c>
      <c r="O165" s="2">
        <v>8132175000</v>
      </c>
      <c r="P165" s="2">
        <v>40577500000</v>
      </c>
      <c r="Q165" s="2">
        <v>13526500000</v>
      </c>
      <c r="R165" s="2">
        <v>17268500000</v>
      </c>
      <c r="S165" s="2">
        <f t="shared" si="4"/>
        <v>0.13600000000000012</v>
      </c>
      <c r="T165" s="2">
        <f t="shared" si="5"/>
        <v>24593546400</v>
      </c>
    </row>
    <row r="166" spans="1:20" x14ac:dyDescent="0.3">
      <c r="A166" s="1">
        <v>40492</v>
      </c>
      <c r="B166" t="s">
        <v>165</v>
      </c>
      <c r="C166" t="s">
        <v>23</v>
      </c>
      <c r="D166" t="s">
        <v>65</v>
      </c>
      <c r="E166">
        <v>4.22</v>
      </c>
      <c r="F166">
        <v>4.32</v>
      </c>
      <c r="G166">
        <v>4.0999999999999996</v>
      </c>
      <c r="H166">
        <v>2.31</v>
      </c>
      <c r="I166" s="2">
        <v>429030600</v>
      </c>
      <c r="J166" s="2">
        <v>36887250000</v>
      </c>
      <c r="K166" s="2">
        <v>15965370000</v>
      </c>
      <c r="L166" s="2">
        <v>34634600</v>
      </c>
      <c r="M166" s="2">
        <v>1722954000</v>
      </c>
      <c r="N166" s="2">
        <v>5177750000</v>
      </c>
      <c r="O166" s="2">
        <v>8111416000</v>
      </c>
      <c r="P166" s="2">
        <v>23673500000</v>
      </c>
      <c r="Q166" s="2">
        <v>6131000000</v>
      </c>
      <c r="R166" s="2">
        <v>8036000000</v>
      </c>
      <c r="S166" s="2">
        <f t="shared" si="4"/>
        <v>0.22000000000000064</v>
      </c>
      <c r="T166" s="2">
        <f t="shared" si="5"/>
        <v>16429035200</v>
      </c>
    </row>
    <row r="167" spans="1:20" x14ac:dyDescent="0.3">
      <c r="A167" s="1">
        <v>40504</v>
      </c>
      <c r="B167" t="s">
        <v>168</v>
      </c>
      <c r="C167" t="s">
        <v>18</v>
      </c>
      <c r="D167" t="s">
        <v>21</v>
      </c>
      <c r="E167">
        <v>0.5</v>
      </c>
      <c r="F167">
        <v>0.52</v>
      </c>
      <c r="G167">
        <v>0.443</v>
      </c>
      <c r="H167">
        <v>3.7</v>
      </c>
      <c r="I167" s="2">
        <v>1379124800</v>
      </c>
      <c r="J167" s="2">
        <v>129200150000</v>
      </c>
      <c r="K167" s="2">
        <v>34702807000</v>
      </c>
      <c r="L167" s="2">
        <v>297391000</v>
      </c>
      <c r="M167" s="2">
        <v>4993535000</v>
      </c>
      <c r="N167" s="2">
        <v>17903000000</v>
      </c>
      <c r="O167" s="2">
        <v>16431180000</v>
      </c>
      <c r="P167" s="2">
        <v>88020000000</v>
      </c>
      <c r="Q167" s="2">
        <v>13278092000</v>
      </c>
      <c r="R167" s="2">
        <v>23277150000</v>
      </c>
      <c r="S167" s="2">
        <f t="shared" si="4"/>
        <v>7.7000000000000013E-2</v>
      </c>
      <c r="T167" s="2">
        <f t="shared" si="5"/>
        <v>36379322800</v>
      </c>
    </row>
    <row r="168" spans="1:20" x14ac:dyDescent="0.3">
      <c r="A168" s="1">
        <v>40505</v>
      </c>
      <c r="B168" t="s">
        <v>170</v>
      </c>
      <c r="C168" t="s">
        <v>18</v>
      </c>
      <c r="D168" t="s">
        <v>19</v>
      </c>
      <c r="E168">
        <v>1.365</v>
      </c>
      <c r="F168">
        <v>1.411</v>
      </c>
      <c r="G168">
        <v>1.3</v>
      </c>
      <c r="H168">
        <v>2.65</v>
      </c>
      <c r="I168" s="2">
        <v>1379124600</v>
      </c>
      <c r="J168" s="2">
        <v>92676125000</v>
      </c>
      <c r="K168" s="2">
        <v>34898865000</v>
      </c>
      <c r="L168" s="2">
        <v>51145500</v>
      </c>
      <c r="M168" s="2">
        <v>5442025000</v>
      </c>
      <c r="N168" s="2">
        <v>14759025000</v>
      </c>
      <c r="O168" s="2">
        <v>18464740000</v>
      </c>
      <c r="P168" s="2">
        <v>62187000000</v>
      </c>
      <c r="Q168" s="2">
        <v>10992100000</v>
      </c>
      <c r="R168" s="2">
        <v>15730100000</v>
      </c>
      <c r="S168" s="2">
        <f t="shared" si="4"/>
        <v>0.11099999999999999</v>
      </c>
      <c r="T168" s="2">
        <f t="shared" si="5"/>
        <v>36329135100</v>
      </c>
    </row>
    <row r="169" spans="1:20" x14ac:dyDescent="0.3">
      <c r="A169" s="1">
        <v>40506</v>
      </c>
      <c r="B169" t="s">
        <v>169</v>
      </c>
      <c r="C169" t="s">
        <v>18</v>
      </c>
      <c r="D169" t="s">
        <v>68</v>
      </c>
      <c r="E169">
        <v>2.1859999999999999</v>
      </c>
      <c r="F169">
        <v>2.2530000000000001</v>
      </c>
      <c r="G169">
        <v>2.1</v>
      </c>
      <c r="H169">
        <v>2.63</v>
      </c>
      <c r="I169" s="2">
        <v>1142703200</v>
      </c>
      <c r="J169" s="2">
        <v>76269600000</v>
      </c>
      <c r="K169" s="2">
        <v>28991945000</v>
      </c>
      <c r="L169" s="2">
        <v>8056300</v>
      </c>
      <c r="M169" s="2">
        <v>2465000000</v>
      </c>
      <c r="N169" s="2">
        <v>10777000000</v>
      </c>
      <c r="O169" s="2">
        <v>14291000000</v>
      </c>
      <c r="P169" s="2">
        <v>50362000000</v>
      </c>
      <c r="Q169" s="2">
        <v>12235945000</v>
      </c>
      <c r="R169" s="2">
        <v>15130600000</v>
      </c>
      <c r="S169" s="2">
        <f t="shared" si="4"/>
        <v>0.15300000000000002</v>
      </c>
      <c r="T169" s="2">
        <f t="shared" si="5"/>
        <v>30142704500</v>
      </c>
    </row>
    <row r="170" spans="1:20" x14ac:dyDescent="0.3">
      <c r="A170" s="1">
        <v>40519</v>
      </c>
      <c r="B170" t="s">
        <v>171</v>
      </c>
      <c r="C170" t="s">
        <v>18</v>
      </c>
      <c r="D170" t="s">
        <v>52</v>
      </c>
      <c r="E170">
        <v>0.81799999999999995</v>
      </c>
      <c r="F170">
        <v>0.86199999999999999</v>
      </c>
      <c r="G170">
        <v>0.72799999999999998</v>
      </c>
      <c r="H170">
        <v>2.91</v>
      </c>
      <c r="I170" s="2">
        <v>465454600</v>
      </c>
      <c r="J170" s="2">
        <v>92975000000</v>
      </c>
      <c r="K170" s="2">
        <v>31969090000</v>
      </c>
      <c r="L170" s="2">
        <v>30937800</v>
      </c>
      <c r="M170" s="2">
        <v>5746000000</v>
      </c>
      <c r="N170" s="2">
        <v>13739000000</v>
      </c>
      <c r="O170" s="2">
        <v>14505090000</v>
      </c>
      <c r="P170" s="2">
        <v>62394000000</v>
      </c>
      <c r="Q170" s="2">
        <v>11718000000</v>
      </c>
      <c r="R170" s="2">
        <v>16842000000</v>
      </c>
      <c r="S170" s="2">
        <f t="shared" si="4"/>
        <v>0.13400000000000001</v>
      </c>
      <c r="T170" s="2">
        <f t="shared" si="5"/>
        <v>32465482400</v>
      </c>
    </row>
    <row r="171" spans="1:20" x14ac:dyDescent="0.3">
      <c r="A171" s="1">
        <v>40520</v>
      </c>
      <c r="B171" t="s">
        <v>166</v>
      </c>
      <c r="C171" t="s">
        <v>18</v>
      </c>
      <c r="D171" t="s">
        <v>29</v>
      </c>
      <c r="E171">
        <v>3.2589999999999999</v>
      </c>
      <c r="F171">
        <v>3.34</v>
      </c>
      <c r="G171">
        <v>3.17</v>
      </c>
      <c r="H171">
        <v>2.92</v>
      </c>
      <c r="I171" s="2">
        <v>305454500</v>
      </c>
      <c r="J171" s="2">
        <v>61301100000</v>
      </c>
      <c r="K171" s="2">
        <v>20968746000</v>
      </c>
      <c r="L171" s="2">
        <v>31271400</v>
      </c>
      <c r="M171" s="2">
        <v>2395000000</v>
      </c>
      <c r="N171" s="2">
        <v>8704000000</v>
      </c>
      <c r="O171" s="2">
        <v>9267936000</v>
      </c>
      <c r="P171" s="2">
        <v>40269000000</v>
      </c>
      <c r="Q171" s="2">
        <v>9305810000</v>
      </c>
      <c r="R171" s="2">
        <v>12328100000</v>
      </c>
      <c r="S171" s="2">
        <f t="shared" si="4"/>
        <v>0.16999999999999993</v>
      </c>
      <c r="T171" s="2">
        <f t="shared" si="5"/>
        <v>21305471900</v>
      </c>
    </row>
    <row r="172" spans="1:20" x14ac:dyDescent="0.3">
      <c r="A172" s="1">
        <v>40521</v>
      </c>
      <c r="B172" t="s">
        <v>165</v>
      </c>
      <c r="C172" t="s">
        <v>23</v>
      </c>
      <c r="D172" t="s">
        <v>72</v>
      </c>
      <c r="E172">
        <v>4.38</v>
      </c>
      <c r="F172">
        <v>4.41</v>
      </c>
      <c r="G172">
        <v>4.32</v>
      </c>
      <c r="H172">
        <v>2.74</v>
      </c>
      <c r="I172" s="2">
        <v>189090900</v>
      </c>
      <c r="J172" s="2">
        <v>35635080000</v>
      </c>
      <c r="K172" s="2">
        <v>12975079000</v>
      </c>
      <c r="L172" s="2">
        <v>24946100</v>
      </c>
      <c r="M172" s="2">
        <v>1055208500</v>
      </c>
      <c r="N172" s="2">
        <v>4951000000</v>
      </c>
      <c r="O172" s="2">
        <v>5502347500</v>
      </c>
      <c r="P172" s="2">
        <v>21392000000</v>
      </c>
      <c r="Q172" s="2">
        <v>6417523000</v>
      </c>
      <c r="R172" s="2">
        <v>9292080000</v>
      </c>
      <c r="S172" s="2">
        <f t="shared" si="4"/>
        <v>8.9999999999999858E-2</v>
      </c>
      <c r="T172" s="2">
        <f t="shared" si="5"/>
        <v>13189116000</v>
      </c>
    </row>
    <row r="173" spans="1:20" x14ac:dyDescent="0.3">
      <c r="A173" s="1">
        <v>40539</v>
      </c>
      <c r="B173" t="s">
        <v>174</v>
      </c>
      <c r="C173" t="s">
        <v>18</v>
      </c>
      <c r="D173" t="s">
        <v>21</v>
      </c>
      <c r="E173">
        <v>0.72</v>
      </c>
      <c r="F173">
        <v>0.74</v>
      </c>
      <c r="G173">
        <v>0.65</v>
      </c>
      <c r="H173">
        <v>3.71</v>
      </c>
      <c r="I173" s="2">
        <v>1754353400</v>
      </c>
      <c r="J173" s="2">
        <v>129597605000</v>
      </c>
      <c r="K173" s="2">
        <v>34727660000</v>
      </c>
      <c r="L173" s="2">
        <v>272505500</v>
      </c>
      <c r="M173" s="2">
        <v>6892355000</v>
      </c>
      <c r="N173" s="2">
        <v>19108000000</v>
      </c>
      <c r="O173" s="2">
        <v>19995575000</v>
      </c>
      <c r="P173" s="2">
        <v>85452000000</v>
      </c>
      <c r="Q173" s="2">
        <v>7839730000</v>
      </c>
      <c r="R173" s="2">
        <v>25037605000</v>
      </c>
      <c r="S173" s="2">
        <f t="shared" si="4"/>
        <v>8.9999999999999969E-2</v>
      </c>
      <c r="T173" s="2">
        <f t="shared" si="5"/>
        <v>36754518900</v>
      </c>
    </row>
    <row r="174" spans="1:20" x14ac:dyDescent="0.3">
      <c r="A174" s="1">
        <v>40540</v>
      </c>
      <c r="B174" t="s">
        <v>172</v>
      </c>
      <c r="C174" t="s">
        <v>18</v>
      </c>
      <c r="D174" t="s">
        <v>19</v>
      </c>
      <c r="E174">
        <v>2.0750000000000002</v>
      </c>
      <c r="F174">
        <v>2.149</v>
      </c>
      <c r="G174">
        <v>1.98</v>
      </c>
      <c r="H174">
        <v>2.61</v>
      </c>
      <c r="I174" s="2">
        <v>1754353300</v>
      </c>
      <c r="J174" s="2">
        <v>91294400000</v>
      </c>
      <c r="K174" s="2">
        <v>34924650000</v>
      </c>
      <c r="L174" s="2">
        <v>75361200</v>
      </c>
      <c r="M174" s="2">
        <v>2177000000</v>
      </c>
      <c r="N174" s="2">
        <v>12192000000</v>
      </c>
      <c r="O174" s="2">
        <v>20327250000</v>
      </c>
      <c r="P174" s="2">
        <v>63530000000</v>
      </c>
      <c r="Q174" s="2">
        <v>12420400000</v>
      </c>
      <c r="R174" s="2">
        <v>15572400000</v>
      </c>
      <c r="S174" s="2">
        <f t="shared" si="4"/>
        <v>0.16900000000000004</v>
      </c>
      <c r="T174" s="2">
        <f t="shared" si="5"/>
        <v>36754364500</v>
      </c>
    </row>
    <row r="175" spans="1:20" x14ac:dyDescent="0.3">
      <c r="A175" s="1">
        <v>40541</v>
      </c>
      <c r="B175" t="s">
        <v>173</v>
      </c>
      <c r="C175" t="s">
        <v>18</v>
      </c>
      <c r="D175" t="s">
        <v>68</v>
      </c>
      <c r="E175">
        <v>2.79</v>
      </c>
      <c r="F175">
        <v>2.83</v>
      </c>
      <c r="G175">
        <v>2.7360000000000002</v>
      </c>
      <c r="H175">
        <v>2.86</v>
      </c>
      <c r="I175" s="2">
        <v>1453607000</v>
      </c>
      <c r="J175" s="2">
        <v>82870475000</v>
      </c>
      <c r="K175" s="2">
        <v>28968307000</v>
      </c>
      <c r="L175" s="2">
        <v>31789600</v>
      </c>
      <c r="M175" s="2">
        <v>1332000000</v>
      </c>
      <c r="N175" s="2">
        <v>11563000000</v>
      </c>
      <c r="O175" s="2">
        <v>9035352000</v>
      </c>
      <c r="P175" s="2">
        <v>48003000000</v>
      </c>
      <c r="Q175" s="2">
        <v>18600955000</v>
      </c>
      <c r="R175" s="2">
        <v>23304475000</v>
      </c>
      <c r="S175" s="2">
        <f t="shared" si="4"/>
        <v>9.3999999999999861E-2</v>
      </c>
      <c r="T175" s="2">
        <f t="shared" si="5"/>
        <v>30453703600</v>
      </c>
    </row>
    <row r="176" spans="1:20" x14ac:dyDescent="0.3">
      <c r="A176" s="1">
        <v>40554</v>
      </c>
      <c r="B176" t="s">
        <v>175</v>
      </c>
      <c r="C176" t="s">
        <v>18</v>
      </c>
      <c r="D176" t="s">
        <v>52</v>
      </c>
      <c r="E176">
        <v>0.98299999999999998</v>
      </c>
      <c r="F176">
        <v>1.0269999999999999</v>
      </c>
      <c r="G176">
        <v>0.92800000000000005</v>
      </c>
      <c r="H176">
        <v>3.06</v>
      </c>
      <c r="I176" s="2">
        <v>701276400</v>
      </c>
      <c r="J176" s="2">
        <v>97792500000</v>
      </c>
      <c r="K176" s="2">
        <v>31959450000</v>
      </c>
      <c r="L176" s="2">
        <v>40582600</v>
      </c>
      <c r="M176" s="2">
        <v>5173000000</v>
      </c>
      <c r="N176" s="2">
        <v>15213000000</v>
      </c>
      <c r="O176" s="2">
        <v>14207950000</v>
      </c>
      <c r="P176" s="2">
        <v>63767000000</v>
      </c>
      <c r="Q176" s="2">
        <v>12578500000</v>
      </c>
      <c r="R176" s="2">
        <v>18812500000</v>
      </c>
      <c r="S176" s="2">
        <f t="shared" si="4"/>
        <v>9.8999999999999866E-2</v>
      </c>
      <c r="T176" s="2">
        <f t="shared" si="5"/>
        <v>32701309000</v>
      </c>
    </row>
    <row r="177" spans="1:20" x14ac:dyDescent="0.3">
      <c r="A177" s="1">
        <v>40555</v>
      </c>
      <c r="B177" t="s">
        <v>166</v>
      </c>
      <c r="C177" t="s">
        <v>18</v>
      </c>
      <c r="D177" t="s">
        <v>59</v>
      </c>
      <c r="E177">
        <v>3.35</v>
      </c>
      <c r="F177">
        <v>3.3879999999999999</v>
      </c>
      <c r="G177">
        <v>3.2850000000000001</v>
      </c>
      <c r="H177">
        <v>3.3</v>
      </c>
      <c r="I177" s="2">
        <v>460212600</v>
      </c>
      <c r="J177" s="2">
        <v>69330125000</v>
      </c>
      <c r="K177" s="2">
        <v>20962535000</v>
      </c>
      <c r="L177" s="2">
        <v>37488800</v>
      </c>
      <c r="M177" s="2">
        <v>1670210000</v>
      </c>
      <c r="N177" s="2">
        <v>10925000000</v>
      </c>
      <c r="O177" s="2">
        <v>8064000000</v>
      </c>
      <c r="P177" s="2">
        <v>42319000000</v>
      </c>
      <c r="Q177" s="2">
        <v>11228325000</v>
      </c>
      <c r="R177" s="2">
        <v>16086125000</v>
      </c>
      <c r="S177" s="2">
        <f t="shared" si="4"/>
        <v>0.10299999999999976</v>
      </c>
      <c r="T177" s="2">
        <f t="shared" si="5"/>
        <v>21460236400</v>
      </c>
    </row>
    <row r="178" spans="1:20" x14ac:dyDescent="0.3">
      <c r="A178" s="1">
        <v>40556</v>
      </c>
      <c r="B178" t="s">
        <v>165</v>
      </c>
      <c r="C178" t="s">
        <v>23</v>
      </c>
      <c r="D178" t="s">
        <v>91</v>
      </c>
      <c r="E178">
        <v>4.4290000000000003</v>
      </c>
      <c r="F178">
        <v>4.5149999999999997</v>
      </c>
      <c r="G178">
        <v>4.1500000000000004</v>
      </c>
      <c r="H178">
        <v>2.67</v>
      </c>
      <c r="I178" s="2">
        <v>284893500</v>
      </c>
      <c r="J178" s="2">
        <v>34702750000</v>
      </c>
      <c r="K178" s="2">
        <v>12987572500</v>
      </c>
      <c r="L178" s="2">
        <v>12440000</v>
      </c>
      <c r="M178" s="2">
        <v>1604000000</v>
      </c>
      <c r="N178" s="2">
        <v>6042000000</v>
      </c>
      <c r="O178" s="2">
        <v>6476372500</v>
      </c>
      <c r="P178" s="2">
        <v>21793000000</v>
      </c>
      <c r="Q178" s="2">
        <v>4907200000</v>
      </c>
      <c r="R178" s="2">
        <v>6867750000</v>
      </c>
      <c r="S178" s="2">
        <f t="shared" si="4"/>
        <v>0.36499999999999932</v>
      </c>
      <c r="T178" s="2">
        <f t="shared" si="5"/>
        <v>13284906000</v>
      </c>
    </row>
    <row r="179" spans="1:20" x14ac:dyDescent="0.3">
      <c r="A179" s="1">
        <v>40568</v>
      </c>
      <c r="B179" t="s">
        <v>177</v>
      </c>
      <c r="C179" t="s">
        <v>18</v>
      </c>
      <c r="D179" t="s">
        <v>21</v>
      </c>
      <c r="E179">
        <v>0.621</v>
      </c>
      <c r="F179">
        <v>0.65</v>
      </c>
      <c r="G179">
        <v>0.53</v>
      </c>
      <c r="H179">
        <v>3.47</v>
      </c>
      <c r="I179" s="2">
        <v>697435800</v>
      </c>
      <c r="J179" s="2">
        <v>121055000000</v>
      </c>
      <c r="K179" s="2">
        <v>34693864000</v>
      </c>
      <c r="L179" s="2">
        <v>306286200</v>
      </c>
      <c r="M179" s="2">
        <v>5166900000</v>
      </c>
      <c r="N179" s="2">
        <v>17094000000</v>
      </c>
      <c r="O179" s="2">
        <v>20168464000</v>
      </c>
      <c r="P179" s="2">
        <v>81863000000</v>
      </c>
      <c r="Q179" s="2">
        <v>9358500000</v>
      </c>
      <c r="R179" s="2">
        <v>22098000000</v>
      </c>
      <c r="S179" s="2">
        <f t="shared" si="4"/>
        <v>0.12</v>
      </c>
      <c r="T179" s="2">
        <f t="shared" si="5"/>
        <v>35697586000</v>
      </c>
    </row>
    <row r="180" spans="1:20" x14ac:dyDescent="0.3">
      <c r="A180" s="1">
        <v>40569</v>
      </c>
      <c r="B180" t="s">
        <v>176</v>
      </c>
      <c r="C180" t="s">
        <v>18</v>
      </c>
      <c r="D180" t="s">
        <v>19</v>
      </c>
      <c r="E180">
        <v>2</v>
      </c>
      <c r="F180">
        <v>2.0409999999999999</v>
      </c>
      <c r="G180">
        <v>1.95</v>
      </c>
      <c r="H180">
        <v>2.97</v>
      </c>
      <c r="I180" s="2">
        <v>697435500</v>
      </c>
      <c r="J180" s="2">
        <v>103877275000</v>
      </c>
      <c r="K180" s="2">
        <v>34938970000</v>
      </c>
      <c r="L180" s="2">
        <v>61114000</v>
      </c>
      <c r="M180" s="2">
        <v>3358745000</v>
      </c>
      <c r="N180" s="2">
        <v>13372000000</v>
      </c>
      <c r="O180" s="2">
        <v>15875000000</v>
      </c>
      <c r="P180" s="2">
        <v>69995000000</v>
      </c>
      <c r="Q180" s="2">
        <v>15705225000</v>
      </c>
      <c r="R180" s="2">
        <v>20510275000</v>
      </c>
      <c r="S180" s="2">
        <f t="shared" si="4"/>
        <v>9.099999999999997E-2</v>
      </c>
      <c r="T180" s="2">
        <f t="shared" si="5"/>
        <v>35697519500</v>
      </c>
    </row>
    <row r="181" spans="1:20" x14ac:dyDescent="0.3">
      <c r="A181" s="1">
        <v>40570</v>
      </c>
      <c r="B181" t="s">
        <v>178</v>
      </c>
      <c r="C181" t="s">
        <v>18</v>
      </c>
      <c r="D181" t="s">
        <v>68</v>
      </c>
      <c r="E181">
        <v>2.7</v>
      </c>
      <c r="F181">
        <v>2.7440000000000002</v>
      </c>
      <c r="G181">
        <v>2.637</v>
      </c>
      <c r="H181">
        <v>2.85</v>
      </c>
      <c r="I181" s="2">
        <v>577875100</v>
      </c>
      <c r="J181" s="2">
        <v>82604950000</v>
      </c>
      <c r="K181" s="2">
        <v>28982822500</v>
      </c>
      <c r="L181" s="2">
        <v>17202500</v>
      </c>
      <c r="M181" s="2">
        <v>1639692500</v>
      </c>
      <c r="N181" s="2">
        <v>10572000000</v>
      </c>
      <c r="O181" s="2">
        <v>12232000000</v>
      </c>
      <c r="P181" s="2">
        <v>52547000000</v>
      </c>
      <c r="Q181" s="2">
        <v>15111130000</v>
      </c>
      <c r="R181" s="2">
        <v>19485950000</v>
      </c>
      <c r="S181" s="2">
        <f t="shared" si="4"/>
        <v>0.10700000000000021</v>
      </c>
      <c r="T181" s="2">
        <f t="shared" si="5"/>
        <v>29577900100</v>
      </c>
    </row>
    <row r="182" spans="1:20" x14ac:dyDescent="0.3">
      <c r="A182" s="1">
        <v>40582</v>
      </c>
      <c r="B182" t="s">
        <v>181</v>
      </c>
      <c r="C182" t="s">
        <v>18</v>
      </c>
      <c r="D182" t="s">
        <v>52</v>
      </c>
      <c r="E182">
        <v>1.3080000000000001</v>
      </c>
      <c r="F182">
        <v>1.349</v>
      </c>
      <c r="G182">
        <v>1.2430000000000001</v>
      </c>
      <c r="H182">
        <v>3.01</v>
      </c>
      <c r="I182" s="2">
        <v>734226700</v>
      </c>
      <c r="J182" s="2">
        <v>96356400000</v>
      </c>
      <c r="K182" s="2">
        <v>31928640000</v>
      </c>
      <c r="L182" s="2">
        <v>66360600</v>
      </c>
      <c r="M182" s="2">
        <v>3229000000</v>
      </c>
      <c r="N182" s="2">
        <v>9996000000</v>
      </c>
      <c r="O182" s="2">
        <v>19890840000</v>
      </c>
      <c r="P182" s="2">
        <v>70926000000</v>
      </c>
      <c r="Q182" s="2">
        <v>8808800000</v>
      </c>
      <c r="R182" s="2">
        <v>15434400000</v>
      </c>
      <c r="S182" s="2">
        <f t="shared" si="4"/>
        <v>0.10599999999999987</v>
      </c>
      <c r="T182" s="2">
        <f t="shared" si="5"/>
        <v>32729227300</v>
      </c>
    </row>
    <row r="183" spans="1:20" x14ac:dyDescent="0.3">
      <c r="A183" s="1">
        <v>40583</v>
      </c>
      <c r="B183" t="s">
        <v>180</v>
      </c>
      <c r="C183" t="s">
        <v>18</v>
      </c>
      <c r="D183" t="s">
        <v>26</v>
      </c>
      <c r="E183">
        <v>3.62</v>
      </c>
      <c r="F183">
        <v>3.665</v>
      </c>
      <c r="G183">
        <v>3.51</v>
      </c>
      <c r="H183">
        <v>3.23</v>
      </c>
      <c r="I183" s="2">
        <v>550670000</v>
      </c>
      <c r="J183" s="2">
        <v>77481570000</v>
      </c>
      <c r="K183" s="2">
        <v>23856010600</v>
      </c>
      <c r="L183" s="2">
        <v>143999500</v>
      </c>
      <c r="M183" s="2">
        <v>118000000</v>
      </c>
      <c r="N183" s="2">
        <v>5264020000</v>
      </c>
      <c r="O183" s="2">
        <v>6731960600</v>
      </c>
      <c r="P183" s="2">
        <v>47803000000</v>
      </c>
      <c r="Q183" s="2">
        <v>17006050000</v>
      </c>
      <c r="R183" s="2">
        <v>24414550000</v>
      </c>
      <c r="S183" s="2">
        <f t="shared" si="4"/>
        <v>0.15500000000000025</v>
      </c>
      <c r="T183" s="2">
        <f t="shared" si="5"/>
        <v>24550680100</v>
      </c>
    </row>
    <row r="184" spans="1:20" x14ac:dyDescent="0.3">
      <c r="A184" s="1">
        <v>40584</v>
      </c>
      <c r="B184" t="s">
        <v>179</v>
      </c>
      <c r="C184" t="s">
        <v>23</v>
      </c>
      <c r="D184" t="s">
        <v>65</v>
      </c>
      <c r="E184">
        <v>4.67</v>
      </c>
      <c r="F184">
        <v>4.75</v>
      </c>
      <c r="G184">
        <v>4.5999999999999996</v>
      </c>
      <c r="H184">
        <v>2.5099999999999998</v>
      </c>
      <c r="I184" s="2">
        <v>367113300</v>
      </c>
      <c r="J184" s="2">
        <v>40126940000</v>
      </c>
      <c r="K184" s="2">
        <v>15957319000</v>
      </c>
      <c r="L184" s="2">
        <v>42709700</v>
      </c>
      <c r="M184" s="2">
        <v>1274900000</v>
      </c>
      <c r="N184" s="2">
        <v>4122900000</v>
      </c>
      <c r="O184" s="2">
        <v>7807250000</v>
      </c>
      <c r="P184" s="2">
        <v>26585000000</v>
      </c>
      <c r="Q184" s="2">
        <v>6875169000</v>
      </c>
      <c r="R184" s="2">
        <v>9419040000</v>
      </c>
      <c r="S184" s="2">
        <f t="shared" si="4"/>
        <v>0.15000000000000036</v>
      </c>
      <c r="T184" s="2">
        <f t="shared" si="5"/>
        <v>16367142000</v>
      </c>
    </row>
    <row r="185" spans="1:20" x14ac:dyDescent="0.3">
      <c r="A185" s="1">
        <v>40596</v>
      </c>
      <c r="B185" t="s">
        <v>182</v>
      </c>
      <c r="C185" t="s">
        <v>18</v>
      </c>
      <c r="D185" t="s">
        <v>21</v>
      </c>
      <c r="E185">
        <v>0.71399999999999997</v>
      </c>
      <c r="F185">
        <v>0.745</v>
      </c>
      <c r="G185">
        <v>0.65</v>
      </c>
      <c r="H185">
        <v>3.03</v>
      </c>
      <c r="I185" s="2">
        <v>1922635800</v>
      </c>
      <c r="J185" s="2">
        <v>105851000000</v>
      </c>
      <c r="K185" s="2">
        <v>34646720000</v>
      </c>
      <c r="L185" s="2">
        <v>323316000</v>
      </c>
      <c r="M185" s="2">
        <v>2361000000</v>
      </c>
      <c r="N185" s="2">
        <v>11331000000</v>
      </c>
      <c r="O185" s="2">
        <v>21427480000</v>
      </c>
      <c r="P185" s="2">
        <v>75169000000</v>
      </c>
      <c r="Q185" s="2">
        <v>10858240000</v>
      </c>
      <c r="R185" s="2">
        <v>19351000000</v>
      </c>
      <c r="S185" s="2">
        <f t="shared" si="4"/>
        <v>9.4999999999999973E-2</v>
      </c>
      <c r="T185" s="2">
        <f t="shared" si="5"/>
        <v>36892671800</v>
      </c>
    </row>
    <row r="186" spans="1:20" x14ac:dyDescent="0.3">
      <c r="A186" s="1">
        <v>40597</v>
      </c>
      <c r="B186" t="s">
        <v>184</v>
      </c>
      <c r="C186" t="s">
        <v>18</v>
      </c>
      <c r="D186" t="s">
        <v>19</v>
      </c>
      <c r="E186">
        <v>2.12</v>
      </c>
      <c r="F186">
        <v>2.19</v>
      </c>
      <c r="G186">
        <v>2.0579999999999998</v>
      </c>
      <c r="H186">
        <v>2.69</v>
      </c>
      <c r="I186" s="2">
        <v>1922635600</v>
      </c>
      <c r="J186" s="2">
        <v>94136900000</v>
      </c>
      <c r="K186" s="2">
        <v>34903750000</v>
      </c>
      <c r="L186" s="2">
        <v>96263400</v>
      </c>
      <c r="M186" s="2">
        <v>2677825000</v>
      </c>
      <c r="N186" s="2">
        <v>9832000000</v>
      </c>
      <c r="O186" s="2">
        <v>20300025000</v>
      </c>
      <c r="P186" s="2">
        <v>68701000000</v>
      </c>
      <c r="Q186" s="2">
        <v>11925900000</v>
      </c>
      <c r="R186" s="2">
        <v>15603900000</v>
      </c>
      <c r="S186" s="2">
        <f t="shared" si="4"/>
        <v>0.13200000000000012</v>
      </c>
      <c r="T186" s="2">
        <f t="shared" si="5"/>
        <v>36922649000</v>
      </c>
    </row>
    <row r="187" spans="1:20" x14ac:dyDescent="0.3">
      <c r="A187" s="1">
        <v>40598</v>
      </c>
      <c r="B187" t="s">
        <v>183</v>
      </c>
      <c r="C187" t="s">
        <v>18</v>
      </c>
      <c r="D187" t="s">
        <v>68</v>
      </c>
      <c r="E187">
        <v>2.79</v>
      </c>
      <c r="F187">
        <v>2.8540000000000001</v>
      </c>
      <c r="G187">
        <v>2.7360000000000002</v>
      </c>
      <c r="H187">
        <v>2.86</v>
      </c>
      <c r="I187" s="2">
        <v>1593040900</v>
      </c>
      <c r="J187" s="2">
        <v>82796940000</v>
      </c>
      <c r="K187" s="2">
        <v>28979372000</v>
      </c>
      <c r="L187" s="2">
        <v>20640400</v>
      </c>
      <c r="M187" s="2">
        <v>1297364000</v>
      </c>
      <c r="N187" s="2">
        <v>7631000000</v>
      </c>
      <c r="O187" s="2">
        <v>13291280000</v>
      </c>
      <c r="P187" s="2">
        <v>56024000000</v>
      </c>
      <c r="Q187" s="2">
        <v>14390728000</v>
      </c>
      <c r="R187" s="2">
        <v>19141940000</v>
      </c>
      <c r="S187" s="2">
        <f t="shared" si="4"/>
        <v>0.11799999999999988</v>
      </c>
      <c r="T187" s="2">
        <f t="shared" si="5"/>
        <v>30593053300</v>
      </c>
    </row>
    <row r="188" spans="1:20" x14ac:dyDescent="0.3">
      <c r="A188" s="1">
        <v>40610</v>
      </c>
      <c r="B188" t="s">
        <v>185</v>
      </c>
      <c r="C188" t="s">
        <v>18</v>
      </c>
      <c r="D188" t="s">
        <v>52</v>
      </c>
      <c r="E188">
        <v>1.2669999999999999</v>
      </c>
      <c r="F188">
        <v>1.298</v>
      </c>
      <c r="G188">
        <v>1.1970000000000001</v>
      </c>
      <c r="H188">
        <v>3.22</v>
      </c>
      <c r="I188" s="2">
        <v>0</v>
      </c>
      <c r="J188" s="2">
        <v>102904100000</v>
      </c>
      <c r="K188" s="2">
        <v>31889962000</v>
      </c>
      <c r="L188" s="2">
        <v>60047100</v>
      </c>
      <c r="M188" s="2">
        <v>3933720000</v>
      </c>
      <c r="N188" s="2">
        <v>13140000000</v>
      </c>
      <c r="O188" s="2">
        <v>16997352000</v>
      </c>
      <c r="P188" s="2">
        <v>74178000000</v>
      </c>
      <c r="Q188" s="2">
        <v>10958890000</v>
      </c>
      <c r="R188" s="2">
        <v>15586100000</v>
      </c>
      <c r="S188" s="2">
        <f t="shared" si="4"/>
        <v>0.10099999999999998</v>
      </c>
      <c r="T188" s="2">
        <f t="shared" si="5"/>
        <v>31950009100</v>
      </c>
    </row>
    <row r="189" spans="1:20" x14ac:dyDescent="0.3">
      <c r="A189" s="1">
        <v>40611</v>
      </c>
      <c r="B189" t="s">
        <v>180</v>
      </c>
      <c r="C189" t="s">
        <v>18</v>
      </c>
      <c r="D189" t="s">
        <v>29</v>
      </c>
      <c r="E189">
        <v>3.4750000000000001</v>
      </c>
      <c r="F189">
        <v>3.4990000000000001</v>
      </c>
      <c r="G189">
        <v>3.41</v>
      </c>
      <c r="H189">
        <v>3.32</v>
      </c>
      <c r="I189" s="2">
        <v>0</v>
      </c>
      <c r="J189" s="2">
        <v>69623700000</v>
      </c>
      <c r="K189" s="2">
        <v>20931300400</v>
      </c>
      <c r="L189" s="2">
        <v>68727500</v>
      </c>
      <c r="M189" s="2">
        <v>1356000000</v>
      </c>
      <c r="N189" s="2">
        <v>6882000000</v>
      </c>
      <c r="O189" s="2">
        <v>8476765000</v>
      </c>
      <c r="P189" s="2">
        <v>47859000000</v>
      </c>
      <c r="Q189" s="2">
        <v>11098535400</v>
      </c>
      <c r="R189" s="2">
        <v>14882700000</v>
      </c>
      <c r="S189" s="2">
        <f t="shared" si="4"/>
        <v>8.8999999999999968E-2</v>
      </c>
      <c r="T189" s="2">
        <f t="shared" si="5"/>
        <v>21000027900</v>
      </c>
    </row>
    <row r="190" spans="1:20" x14ac:dyDescent="0.3">
      <c r="A190" s="1">
        <v>40612</v>
      </c>
      <c r="B190" t="s">
        <v>179</v>
      </c>
      <c r="C190" t="s">
        <v>23</v>
      </c>
      <c r="D190" t="s">
        <v>72</v>
      </c>
      <c r="E190">
        <v>4.53</v>
      </c>
      <c r="F190">
        <v>4.569</v>
      </c>
      <c r="G190">
        <v>4.4589999999999996</v>
      </c>
      <c r="H190">
        <v>3.02</v>
      </c>
      <c r="I190" s="2">
        <v>0</v>
      </c>
      <c r="J190" s="2">
        <v>39244300000</v>
      </c>
      <c r="K190" s="2">
        <v>12981221100</v>
      </c>
      <c r="L190" s="2">
        <v>18797500</v>
      </c>
      <c r="M190" s="2">
        <v>824720100</v>
      </c>
      <c r="N190" s="2">
        <v>3894500000</v>
      </c>
      <c r="O190" s="2">
        <v>6878500000</v>
      </c>
      <c r="P190" s="2">
        <v>24267500000</v>
      </c>
      <c r="Q190" s="2">
        <v>5278001000</v>
      </c>
      <c r="R190" s="2">
        <v>11082300000</v>
      </c>
      <c r="S190" s="2">
        <f t="shared" si="4"/>
        <v>0.11000000000000032</v>
      </c>
      <c r="T190" s="2">
        <f t="shared" si="5"/>
        <v>13000018600</v>
      </c>
    </row>
    <row r="191" spans="1:20" x14ac:dyDescent="0.3">
      <c r="A191" s="1">
        <v>40630</v>
      </c>
      <c r="B191" t="s">
        <v>188</v>
      </c>
      <c r="C191" t="s">
        <v>18</v>
      </c>
      <c r="D191" t="s">
        <v>21</v>
      </c>
      <c r="E191">
        <v>0.75</v>
      </c>
      <c r="F191">
        <v>0.78900000000000003</v>
      </c>
      <c r="G191">
        <v>0.68600000000000005</v>
      </c>
      <c r="H191">
        <v>3.16</v>
      </c>
      <c r="I191" s="2">
        <v>1569586100</v>
      </c>
      <c r="J191" s="2">
        <v>110351770000</v>
      </c>
      <c r="K191" s="2">
        <v>34612770000</v>
      </c>
      <c r="L191" s="2">
        <v>387286900</v>
      </c>
      <c r="M191" s="2">
        <v>4608250000</v>
      </c>
      <c r="N191" s="2">
        <v>18129000000</v>
      </c>
      <c r="O191" s="2">
        <v>18593500000</v>
      </c>
      <c r="P191" s="2">
        <v>75605000000</v>
      </c>
      <c r="Q191" s="2">
        <v>11411020000</v>
      </c>
      <c r="R191" s="2">
        <v>16617770000</v>
      </c>
      <c r="S191" s="2">
        <f t="shared" si="4"/>
        <v>0.10299999999999998</v>
      </c>
      <c r="T191" s="2">
        <f t="shared" si="5"/>
        <v>36569643000</v>
      </c>
    </row>
    <row r="192" spans="1:20" x14ac:dyDescent="0.3">
      <c r="A192" s="1">
        <v>40631</v>
      </c>
      <c r="B192" t="s">
        <v>187</v>
      </c>
      <c r="C192" t="s">
        <v>18</v>
      </c>
      <c r="D192" t="s">
        <v>19</v>
      </c>
      <c r="E192">
        <v>2.2010000000000001</v>
      </c>
      <c r="F192">
        <v>2.2599999999999998</v>
      </c>
      <c r="G192">
        <v>2.1230000000000002</v>
      </c>
      <c r="H192">
        <v>2.79</v>
      </c>
      <c r="I192" s="2">
        <v>1569586000</v>
      </c>
      <c r="J192" s="2">
        <v>97456500000</v>
      </c>
      <c r="K192" s="2">
        <v>34878698000</v>
      </c>
      <c r="L192" s="2">
        <v>121305300</v>
      </c>
      <c r="M192" s="2">
        <v>3901000000</v>
      </c>
      <c r="N192" s="2">
        <v>12679000000</v>
      </c>
      <c r="O192" s="2">
        <v>16187198000</v>
      </c>
      <c r="P192" s="2">
        <v>67538000000</v>
      </c>
      <c r="Q192" s="2">
        <v>14790500000</v>
      </c>
      <c r="R192" s="2">
        <v>17239500000</v>
      </c>
      <c r="S192" s="2">
        <f t="shared" si="4"/>
        <v>0.13699999999999957</v>
      </c>
      <c r="T192" s="2">
        <f t="shared" si="5"/>
        <v>36569589300</v>
      </c>
    </row>
    <row r="193" spans="1:20" x14ac:dyDescent="0.3">
      <c r="A193" s="1">
        <v>40632</v>
      </c>
      <c r="B193" t="s">
        <v>186</v>
      </c>
      <c r="C193" t="s">
        <v>18</v>
      </c>
      <c r="D193" t="s">
        <v>68</v>
      </c>
      <c r="E193">
        <v>2.8250000000000002</v>
      </c>
      <c r="F193">
        <v>2.895</v>
      </c>
      <c r="G193">
        <v>2.7690000000000001</v>
      </c>
      <c r="H193">
        <v>2.79</v>
      </c>
      <c r="I193" s="2">
        <v>1300514100</v>
      </c>
      <c r="J193" s="2">
        <v>80915400000</v>
      </c>
      <c r="K193" s="2">
        <v>28964657000</v>
      </c>
      <c r="L193" s="2">
        <v>35344400</v>
      </c>
      <c r="M193" s="2">
        <v>2536930000</v>
      </c>
      <c r="N193" s="2">
        <v>9190000000</v>
      </c>
      <c r="O193" s="2">
        <v>12115090000</v>
      </c>
      <c r="P193" s="2">
        <v>54985000000</v>
      </c>
      <c r="Q193" s="2">
        <v>14312637000</v>
      </c>
      <c r="R193" s="2">
        <v>16740400000</v>
      </c>
      <c r="S193" s="2">
        <f t="shared" si="4"/>
        <v>0.12599999999999989</v>
      </c>
      <c r="T193" s="2">
        <f t="shared" si="5"/>
        <v>30300515500</v>
      </c>
    </row>
    <row r="194" spans="1:20" x14ac:dyDescent="0.3">
      <c r="A194" s="1">
        <v>40645</v>
      </c>
      <c r="B194" t="s">
        <v>189</v>
      </c>
      <c r="C194" t="s">
        <v>18</v>
      </c>
      <c r="D194" t="s">
        <v>52</v>
      </c>
      <c r="E194">
        <v>1.2490000000000001</v>
      </c>
      <c r="F194">
        <v>1.28</v>
      </c>
      <c r="G194">
        <v>1.1919999999999999</v>
      </c>
      <c r="H194">
        <v>3.25</v>
      </c>
      <c r="I194" s="2">
        <v>1575217400</v>
      </c>
      <c r="J194" s="2">
        <v>103967900000</v>
      </c>
      <c r="K194" s="2">
        <v>31954220000</v>
      </c>
      <c r="L194" s="2">
        <v>45855400</v>
      </c>
      <c r="M194" s="2">
        <v>2852225000</v>
      </c>
      <c r="N194" s="2">
        <v>14577000000</v>
      </c>
      <c r="O194" s="2">
        <v>18333695000</v>
      </c>
      <c r="P194" s="2">
        <v>71175000000</v>
      </c>
      <c r="Q194" s="2">
        <v>10768300000</v>
      </c>
      <c r="R194" s="2">
        <v>18215900000</v>
      </c>
      <c r="S194" s="2">
        <f t="shared" ref="S194:S257" si="6">SUM($F194,-$G194)</f>
        <v>8.8000000000000078E-2</v>
      </c>
      <c r="T194" s="2">
        <f t="shared" ref="T194:T257" si="7">SUM(I194,K194,L194)</f>
        <v>33575292800</v>
      </c>
    </row>
    <row r="195" spans="1:20" x14ac:dyDescent="0.3">
      <c r="A195" s="1">
        <v>40646</v>
      </c>
      <c r="B195" t="s">
        <v>180</v>
      </c>
      <c r="C195" t="s">
        <v>18</v>
      </c>
      <c r="D195" t="s">
        <v>59</v>
      </c>
      <c r="E195">
        <v>3.4289999999999998</v>
      </c>
      <c r="F195">
        <v>3.4940000000000002</v>
      </c>
      <c r="G195">
        <v>3.3639999999999999</v>
      </c>
      <c r="H195">
        <v>3.13</v>
      </c>
      <c r="I195" s="2">
        <v>1033736200</v>
      </c>
      <c r="J195" s="2">
        <v>65732250000</v>
      </c>
      <c r="K195" s="2">
        <v>20941221000</v>
      </c>
      <c r="L195" s="2">
        <v>58818200</v>
      </c>
      <c r="M195" s="2">
        <v>1227850000</v>
      </c>
      <c r="N195" s="2">
        <v>8385850000</v>
      </c>
      <c r="O195" s="2">
        <v>10829730000</v>
      </c>
      <c r="P195" s="2">
        <v>44514000000</v>
      </c>
      <c r="Q195" s="2">
        <v>8883641000</v>
      </c>
      <c r="R195" s="2">
        <v>12832400000</v>
      </c>
      <c r="S195" s="2">
        <f t="shared" si="6"/>
        <v>0.13000000000000034</v>
      </c>
      <c r="T195" s="2">
        <f t="shared" si="7"/>
        <v>22033775400</v>
      </c>
    </row>
    <row r="196" spans="1:20" x14ac:dyDescent="0.3">
      <c r="A196" s="1">
        <v>40647</v>
      </c>
      <c r="B196" t="s">
        <v>179</v>
      </c>
      <c r="C196" t="s">
        <v>23</v>
      </c>
      <c r="D196" t="s">
        <v>91</v>
      </c>
      <c r="E196">
        <v>4.4950000000000001</v>
      </c>
      <c r="F196">
        <v>4.5309999999999997</v>
      </c>
      <c r="G196">
        <v>4.4000000000000004</v>
      </c>
      <c r="H196">
        <v>2.83</v>
      </c>
      <c r="I196" s="2">
        <v>639931900</v>
      </c>
      <c r="J196" s="2">
        <v>36796700000</v>
      </c>
      <c r="K196" s="2">
        <v>12986800000</v>
      </c>
      <c r="L196" s="2">
        <v>13239100</v>
      </c>
      <c r="M196" s="2">
        <v>1401000000</v>
      </c>
      <c r="N196" s="2">
        <v>5217000000</v>
      </c>
      <c r="O196" s="2">
        <v>5456000000</v>
      </c>
      <c r="P196" s="2">
        <v>23105000000</v>
      </c>
      <c r="Q196" s="2">
        <v>6129800000</v>
      </c>
      <c r="R196" s="2">
        <v>8474700000</v>
      </c>
      <c r="S196" s="2">
        <f t="shared" si="6"/>
        <v>0.13099999999999934</v>
      </c>
      <c r="T196" s="2">
        <f t="shared" si="7"/>
        <v>13639971000</v>
      </c>
    </row>
    <row r="197" spans="1:20" x14ac:dyDescent="0.3">
      <c r="A197" s="1">
        <v>40659</v>
      </c>
      <c r="B197" t="s">
        <v>192</v>
      </c>
      <c r="C197" t="s">
        <v>18</v>
      </c>
      <c r="D197" t="s">
        <v>21</v>
      </c>
      <c r="E197">
        <v>0.64</v>
      </c>
      <c r="F197">
        <v>0.67300000000000004</v>
      </c>
      <c r="G197">
        <v>0.57699999999999996</v>
      </c>
      <c r="H197">
        <v>3.06</v>
      </c>
      <c r="I197" s="2">
        <v>2208217500</v>
      </c>
      <c r="J197" s="2">
        <v>106664350000</v>
      </c>
      <c r="K197" s="2">
        <v>34689365300</v>
      </c>
      <c r="L197" s="2">
        <v>310702000</v>
      </c>
      <c r="M197" s="2">
        <v>4635895000</v>
      </c>
      <c r="N197" s="2">
        <v>12972000000</v>
      </c>
      <c r="O197" s="2">
        <v>16921432000</v>
      </c>
      <c r="P197" s="2">
        <v>72855700000</v>
      </c>
      <c r="Q197" s="2">
        <v>13132038300</v>
      </c>
      <c r="R197" s="2">
        <v>20836650000</v>
      </c>
      <c r="S197" s="2">
        <f t="shared" si="6"/>
        <v>9.6000000000000085E-2</v>
      </c>
      <c r="T197" s="2">
        <f t="shared" si="7"/>
        <v>37208284800</v>
      </c>
    </row>
    <row r="198" spans="1:20" x14ac:dyDescent="0.3">
      <c r="A198" s="1">
        <v>40660</v>
      </c>
      <c r="B198" t="s">
        <v>191</v>
      </c>
      <c r="C198" t="s">
        <v>18</v>
      </c>
      <c r="D198" t="s">
        <v>19</v>
      </c>
      <c r="E198">
        <v>2.0699999999999998</v>
      </c>
      <c r="F198">
        <v>2.1240000000000001</v>
      </c>
      <c r="G198">
        <v>1.98</v>
      </c>
      <c r="H198">
        <v>2.77</v>
      </c>
      <c r="I198" s="2">
        <v>2208217400</v>
      </c>
      <c r="J198" s="2">
        <v>96866500000</v>
      </c>
      <c r="K198" s="2">
        <v>34898270000</v>
      </c>
      <c r="L198" s="2">
        <v>101773100</v>
      </c>
      <c r="M198" s="2">
        <v>3905000000</v>
      </c>
      <c r="N198" s="2">
        <v>11875000000</v>
      </c>
      <c r="O198" s="2">
        <v>17036770000</v>
      </c>
      <c r="P198" s="2">
        <v>66346000000</v>
      </c>
      <c r="Q198" s="2">
        <v>13956500000</v>
      </c>
      <c r="R198" s="2">
        <v>18645500000</v>
      </c>
      <c r="S198" s="2">
        <f t="shared" si="6"/>
        <v>0.14400000000000013</v>
      </c>
      <c r="T198" s="2">
        <f t="shared" si="7"/>
        <v>37208260500</v>
      </c>
    </row>
    <row r="199" spans="1:20" x14ac:dyDescent="0.3">
      <c r="A199" s="1">
        <v>40661</v>
      </c>
      <c r="B199" t="s">
        <v>190</v>
      </c>
      <c r="C199" t="s">
        <v>18</v>
      </c>
      <c r="D199" t="s">
        <v>68</v>
      </c>
      <c r="E199">
        <v>2.6539999999999999</v>
      </c>
      <c r="F199">
        <v>2.7120000000000002</v>
      </c>
      <c r="G199">
        <v>2.5659999999999998</v>
      </c>
      <c r="H199">
        <v>2.63</v>
      </c>
      <c r="I199" s="2">
        <v>1829665800</v>
      </c>
      <c r="J199" s="2">
        <v>76218700000</v>
      </c>
      <c r="K199" s="2">
        <v>28989580000</v>
      </c>
      <c r="L199" s="2">
        <v>10428000</v>
      </c>
      <c r="M199" s="2">
        <v>2277000000</v>
      </c>
      <c r="N199" s="2">
        <v>8732000000</v>
      </c>
      <c r="O199" s="2">
        <v>15369880000</v>
      </c>
      <c r="P199" s="2">
        <v>54669000000</v>
      </c>
      <c r="Q199" s="2">
        <v>11342700000</v>
      </c>
      <c r="R199" s="2">
        <v>12817700000</v>
      </c>
      <c r="S199" s="2">
        <f t="shared" si="6"/>
        <v>0.14600000000000035</v>
      </c>
      <c r="T199" s="2">
        <f t="shared" si="7"/>
        <v>30829673800</v>
      </c>
    </row>
    <row r="200" spans="1:20" x14ac:dyDescent="0.3">
      <c r="A200" s="1">
        <v>40673</v>
      </c>
      <c r="B200" t="s">
        <v>194</v>
      </c>
      <c r="C200" t="s">
        <v>18</v>
      </c>
      <c r="D200" t="s">
        <v>52</v>
      </c>
      <c r="E200">
        <v>0.96799999999999997</v>
      </c>
      <c r="F200">
        <v>1</v>
      </c>
      <c r="G200">
        <v>0.88200000000000001</v>
      </c>
      <c r="H200">
        <v>3.29</v>
      </c>
      <c r="I200" s="2">
        <v>0</v>
      </c>
      <c r="J200" s="2">
        <v>105232000000</v>
      </c>
      <c r="K200" s="2">
        <v>31974166800</v>
      </c>
      <c r="L200" s="2">
        <v>25874700</v>
      </c>
      <c r="M200" s="2">
        <v>4907928800</v>
      </c>
      <c r="N200" s="2">
        <v>14365000000</v>
      </c>
      <c r="O200" s="2">
        <v>16602718000</v>
      </c>
      <c r="P200" s="2">
        <v>71933000000</v>
      </c>
      <c r="Q200" s="2">
        <v>10463520000</v>
      </c>
      <c r="R200" s="2">
        <v>18934000000</v>
      </c>
      <c r="S200" s="2">
        <f t="shared" si="6"/>
        <v>0.11799999999999999</v>
      </c>
      <c r="T200" s="2">
        <f t="shared" si="7"/>
        <v>32000041500</v>
      </c>
    </row>
    <row r="201" spans="1:20" x14ac:dyDescent="0.3">
      <c r="A201" s="1">
        <v>40674</v>
      </c>
      <c r="B201" t="s">
        <v>193</v>
      </c>
      <c r="C201" t="s">
        <v>18</v>
      </c>
      <c r="D201" t="s">
        <v>26</v>
      </c>
      <c r="E201">
        <v>3.1749999999999998</v>
      </c>
      <c r="F201">
        <v>3.21</v>
      </c>
      <c r="G201">
        <v>3.0960000000000001</v>
      </c>
      <c r="H201">
        <v>3</v>
      </c>
      <c r="I201" s="2">
        <v>0</v>
      </c>
      <c r="J201" s="2">
        <v>71931200000</v>
      </c>
      <c r="K201" s="2">
        <v>23898363000</v>
      </c>
      <c r="L201" s="2">
        <v>61681200</v>
      </c>
      <c r="M201" s="2">
        <v>2007000000</v>
      </c>
      <c r="N201" s="2">
        <v>8681000000</v>
      </c>
      <c r="O201" s="2">
        <v>10616992000</v>
      </c>
      <c r="P201" s="2">
        <v>48189000000</v>
      </c>
      <c r="Q201" s="2">
        <v>11274371000</v>
      </c>
      <c r="R201" s="2">
        <v>15061200000</v>
      </c>
      <c r="S201" s="2">
        <f t="shared" si="6"/>
        <v>0.11399999999999988</v>
      </c>
      <c r="T201" s="2">
        <f t="shared" si="7"/>
        <v>23960044200</v>
      </c>
    </row>
    <row r="202" spans="1:20" x14ac:dyDescent="0.3">
      <c r="A202" s="1">
        <v>40675</v>
      </c>
      <c r="B202" t="s">
        <v>195</v>
      </c>
      <c r="C202" t="s">
        <v>23</v>
      </c>
      <c r="D202" t="s">
        <v>65</v>
      </c>
      <c r="E202">
        <v>4.3</v>
      </c>
      <c r="F202">
        <v>4.38</v>
      </c>
      <c r="G202">
        <v>4.2300000000000004</v>
      </c>
      <c r="H202">
        <v>2.4300000000000002</v>
      </c>
      <c r="I202" s="2">
        <v>0</v>
      </c>
      <c r="J202" s="2">
        <v>38808900000</v>
      </c>
      <c r="K202" s="2">
        <v>15975790000</v>
      </c>
      <c r="L202" s="2">
        <v>24213500</v>
      </c>
      <c r="M202" s="2">
        <v>1395120000</v>
      </c>
      <c r="N202" s="2">
        <v>5088000000</v>
      </c>
      <c r="O202" s="2">
        <v>9303346000</v>
      </c>
      <c r="P202" s="2">
        <v>27221000000</v>
      </c>
      <c r="Q202" s="2">
        <v>5277324000</v>
      </c>
      <c r="R202" s="2">
        <v>6499900000</v>
      </c>
      <c r="S202" s="2">
        <f t="shared" si="6"/>
        <v>0.14999999999999947</v>
      </c>
      <c r="T202" s="2">
        <f t="shared" si="7"/>
        <v>16000003500</v>
      </c>
    </row>
    <row r="203" spans="1:20" x14ac:dyDescent="0.3">
      <c r="A203" s="1">
        <v>40687</v>
      </c>
      <c r="B203" t="s">
        <v>198</v>
      </c>
      <c r="C203" t="s">
        <v>18</v>
      </c>
      <c r="D203" t="s">
        <v>21</v>
      </c>
      <c r="E203">
        <v>0.54</v>
      </c>
      <c r="F203">
        <v>0.56000000000000005</v>
      </c>
      <c r="G203">
        <v>0.47</v>
      </c>
      <c r="H203">
        <v>3.46</v>
      </c>
      <c r="I203" s="2">
        <v>2945904300</v>
      </c>
      <c r="J203" s="2">
        <v>121053610000</v>
      </c>
      <c r="K203" s="2">
        <v>34851311000</v>
      </c>
      <c r="L203" s="2">
        <v>148731300</v>
      </c>
      <c r="M203" s="2">
        <v>6672700000</v>
      </c>
      <c r="N203" s="2">
        <v>20709000000</v>
      </c>
      <c r="O203" s="2">
        <v>17274550000</v>
      </c>
      <c r="P203" s="2">
        <v>83438000000</v>
      </c>
      <c r="Q203" s="2">
        <v>10904061000</v>
      </c>
      <c r="R203" s="2">
        <v>16906610000</v>
      </c>
      <c r="S203" s="2">
        <f t="shared" si="6"/>
        <v>9.000000000000008E-2</v>
      </c>
      <c r="T203" s="2">
        <f t="shared" si="7"/>
        <v>37945946600</v>
      </c>
    </row>
    <row r="204" spans="1:20" x14ac:dyDescent="0.3">
      <c r="A204" s="1">
        <v>40688</v>
      </c>
      <c r="B204" t="s">
        <v>197</v>
      </c>
      <c r="C204" t="s">
        <v>18</v>
      </c>
      <c r="D204" t="s">
        <v>19</v>
      </c>
      <c r="E204">
        <v>1.78</v>
      </c>
      <c r="F204">
        <v>1.8129999999999999</v>
      </c>
      <c r="G204">
        <v>1.72</v>
      </c>
      <c r="H204">
        <v>3.2</v>
      </c>
      <c r="I204" s="2">
        <v>2945904100</v>
      </c>
      <c r="J204" s="2">
        <v>112092900000</v>
      </c>
      <c r="K204" s="2">
        <v>34945232000</v>
      </c>
      <c r="L204" s="2">
        <v>54807000</v>
      </c>
      <c r="M204" s="2">
        <v>3126460000</v>
      </c>
      <c r="N204" s="2">
        <v>13489000000</v>
      </c>
      <c r="O204" s="2">
        <v>15369000000</v>
      </c>
      <c r="P204" s="2">
        <v>74239000000</v>
      </c>
      <c r="Q204" s="2">
        <v>16449772000</v>
      </c>
      <c r="R204" s="2">
        <v>24364900000</v>
      </c>
      <c r="S204" s="2">
        <f t="shared" si="6"/>
        <v>9.2999999999999972E-2</v>
      </c>
      <c r="T204" s="2">
        <f t="shared" si="7"/>
        <v>37945943100</v>
      </c>
    </row>
    <row r="205" spans="1:20" x14ac:dyDescent="0.3">
      <c r="A205" s="1">
        <v>40689</v>
      </c>
      <c r="B205" t="s">
        <v>196</v>
      </c>
      <c r="C205" t="s">
        <v>18</v>
      </c>
      <c r="D205" t="s">
        <v>68</v>
      </c>
      <c r="E205">
        <v>2.4</v>
      </c>
      <c r="F205">
        <v>2.4289999999999998</v>
      </c>
      <c r="G205">
        <v>2.33</v>
      </c>
      <c r="H205">
        <v>3.24</v>
      </c>
      <c r="I205" s="2">
        <v>2440892000</v>
      </c>
      <c r="J205" s="2">
        <v>93886775000</v>
      </c>
      <c r="K205" s="2">
        <v>28980960500</v>
      </c>
      <c r="L205" s="2">
        <v>19056100</v>
      </c>
      <c r="M205" s="2">
        <v>3768160500</v>
      </c>
      <c r="N205" s="2">
        <v>12376000000</v>
      </c>
      <c r="O205" s="2">
        <v>11405025000</v>
      </c>
      <c r="P205" s="2">
        <v>62285000000</v>
      </c>
      <c r="Q205" s="2">
        <v>13807775000</v>
      </c>
      <c r="R205" s="2">
        <v>19225775000</v>
      </c>
      <c r="S205" s="2">
        <f t="shared" si="6"/>
        <v>9.8999999999999755E-2</v>
      </c>
      <c r="T205" s="2">
        <f t="shared" si="7"/>
        <v>31440908600</v>
      </c>
    </row>
    <row r="206" spans="1:20" x14ac:dyDescent="0.3">
      <c r="A206" s="1">
        <v>40701</v>
      </c>
      <c r="B206" t="s">
        <v>199</v>
      </c>
      <c r="C206" t="s">
        <v>18</v>
      </c>
      <c r="D206" t="s">
        <v>52</v>
      </c>
      <c r="E206">
        <v>0.73899999999999999</v>
      </c>
      <c r="F206">
        <v>0.76500000000000001</v>
      </c>
      <c r="G206">
        <v>0.65700000000000003</v>
      </c>
      <c r="H206">
        <v>3.28</v>
      </c>
      <c r="I206" s="2">
        <v>0</v>
      </c>
      <c r="J206" s="2">
        <v>104905800000</v>
      </c>
      <c r="K206" s="2">
        <v>31979934400</v>
      </c>
      <c r="L206" s="2">
        <v>20073800</v>
      </c>
      <c r="M206" s="2">
        <v>2928590000</v>
      </c>
      <c r="N206" s="2">
        <v>12125000000</v>
      </c>
      <c r="O206" s="2">
        <v>17657900000</v>
      </c>
      <c r="P206" s="2">
        <v>74962000000</v>
      </c>
      <c r="Q206" s="2">
        <v>11393444400</v>
      </c>
      <c r="R206" s="2">
        <v>17818800000</v>
      </c>
      <c r="S206" s="2">
        <f t="shared" si="6"/>
        <v>0.10799999999999998</v>
      </c>
      <c r="T206" s="2">
        <f t="shared" si="7"/>
        <v>32000008200</v>
      </c>
    </row>
    <row r="207" spans="1:20" x14ac:dyDescent="0.3">
      <c r="A207" s="1">
        <v>40702</v>
      </c>
      <c r="B207" t="s">
        <v>193</v>
      </c>
      <c r="C207" t="s">
        <v>18</v>
      </c>
      <c r="D207" t="s">
        <v>29</v>
      </c>
      <c r="E207">
        <v>2.92</v>
      </c>
      <c r="F207">
        <v>2.9670000000000001</v>
      </c>
      <c r="G207">
        <v>2.8079999999999998</v>
      </c>
      <c r="H207">
        <v>3.23</v>
      </c>
      <c r="I207" s="2">
        <v>0</v>
      </c>
      <c r="J207" s="2">
        <v>67760500000</v>
      </c>
      <c r="K207" s="2">
        <v>20978419200</v>
      </c>
      <c r="L207" s="2">
        <v>21587300</v>
      </c>
      <c r="M207" s="2">
        <v>1747000000</v>
      </c>
      <c r="N207" s="2">
        <v>9302000000</v>
      </c>
      <c r="O207" s="2">
        <v>8608528000</v>
      </c>
      <c r="P207" s="2">
        <v>44083000000</v>
      </c>
      <c r="Q207" s="2">
        <v>10622891200</v>
      </c>
      <c r="R207" s="2">
        <v>14375500000</v>
      </c>
      <c r="S207" s="2">
        <f t="shared" si="6"/>
        <v>0.15900000000000025</v>
      </c>
      <c r="T207" s="2">
        <f t="shared" si="7"/>
        <v>21000006500</v>
      </c>
    </row>
    <row r="208" spans="1:20" x14ac:dyDescent="0.3">
      <c r="A208" s="1">
        <v>40703</v>
      </c>
      <c r="B208" t="s">
        <v>195</v>
      </c>
      <c r="C208" t="s">
        <v>23</v>
      </c>
      <c r="D208" t="s">
        <v>72</v>
      </c>
      <c r="E208">
        <v>4.17</v>
      </c>
      <c r="F208">
        <v>4.2380000000000004</v>
      </c>
      <c r="G208">
        <v>4.0999999999999996</v>
      </c>
      <c r="H208">
        <v>2.63</v>
      </c>
      <c r="I208" s="2">
        <v>0</v>
      </c>
      <c r="J208" s="2">
        <v>34154800000</v>
      </c>
      <c r="K208" s="2">
        <v>12979895500</v>
      </c>
      <c r="L208" s="2">
        <v>20138200</v>
      </c>
      <c r="M208" s="2">
        <v>1208210000</v>
      </c>
      <c r="N208" s="2">
        <v>4747000000</v>
      </c>
      <c r="O208" s="2">
        <v>6788512500</v>
      </c>
      <c r="P208" s="2">
        <v>22967000000</v>
      </c>
      <c r="Q208" s="2">
        <v>4983173000</v>
      </c>
      <c r="R208" s="2">
        <v>6440800000</v>
      </c>
      <c r="S208" s="2">
        <f t="shared" si="6"/>
        <v>0.13800000000000079</v>
      </c>
      <c r="T208" s="2">
        <f t="shared" si="7"/>
        <v>13000033700</v>
      </c>
    </row>
    <row r="209" spans="1:20" x14ac:dyDescent="0.3">
      <c r="A209" s="1">
        <v>40721</v>
      </c>
      <c r="B209" t="s">
        <v>201</v>
      </c>
      <c r="C209" t="s">
        <v>18</v>
      </c>
      <c r="D209" t="s">
        <v>21</v>
      </c>
      <c r="E209">
        <v>0.35899999999999999</v>
      </c>
      <c r="F209">
        <v>0.39500000000000002</v>
      </c>
      <c r="G209">
        <v>0.28999999999999998</v>
      </c>
      <c r="H209">
        <v>3.08</v>
      </c>
      <c r="I209" s="2">
        <v>1126806400</v>
      </c>
      <c r="J209" s="2">
        <v>107681610000</v>
      </c>
      <c r="K209" s="2">
        <v>34851312500</v>
      </c>
      <c r="L209" s="2">
        <v>148851100</v>
      </c>
      <c r="M209" s="2">
        <v>4714467500</v>
      </c>
      <c r="N209" s="2">
        <v>16526000000</v>
      </c>
      <c r="O209" s="2">
        <v>22468375000</v>
      </c>
      <c r="P209" s="2">
        <v>80138000000</v>
      </c>
      <c r="Q209" s="2">
        <v>7668470000</v>
      </c>
      <c r="R209" s="2">
        <v>11017610000</v>
      </c>
      <c r="S209" s="2">
        <f t="shared" si="6"/>
        <v>0.10500000000000004</v>
      </c>
      <c r="T209" s="2">
        <f t="shared" si="7"/>
        <v>36126970000</v>
      </c>
    </row>
    <row r="210" spans="1:20" x14ac:dyDescent="0.3">
      <c r="A210" s="1">
        <v>40722</v>
      </c>
      <c r="B210" t="s">
        <v>200</v>
      </c>
      <c r="C210" t="s">
        <v>18</v>
      </c>
      <c r="D210" t="s">
        <v>19</v>
      </c>
      <c r="E210">
        <v>1.55</v>
      </c>
      <c r="F210">
        <v>1.615</v>
      </c>
      <c r="G210">
        <v>1.47</v>
      </c>
      <c r="H210">
        <v>2.59</v>
      </c>
      <c r="I210" s="2">
        <v>1126806200</v>
      </c>
      <c r="J210" s="2">
        <v>90563271000</v>
      </c>
      <c r="K210" s="2">
        <v>34962151000</v>
      </c>
      <c r="L210" s="2">
        <v>37884800</v>
      </c>
      <c r="M210" s="2">
        <v>3580000000</v>
      </c>
      <c r="N210" s="2">
        <v>11900000000</v>
      </c>
      <c r="O210" s="2">
        <v>18228925000</v>
      </c>
      <c r="P210" s="2">
        <v>64009000000</v>
      </c>
      <c r="Q210" s="2">
        <v>13153226000</v>
      </c>
      <c r="R210" s="2">
        <v>14654271000</v>
      </c>
      <c r="S210" s="2">
        <f t="shared" si="6"/>
        <v>0.14500000000000002</v>
      </c>
      <c r="T210" s="2">
        <f t="shared" si="7"/>
        <v>36126842000</v>
      </c>
    </row>
    <row r="211" spans="1:20" x14ac:dyDescent="0.3">
      <c r="A211" s="1">
        <v>40723</v>
      </c>
      <c r="B211" t="s">
        <v>202</v>
      </c>
      <c r="C211" t="s">
        <v>18</v>
      </c>
      <c r="D211" t="s">
        <v>68</v>
      </c>
      <c r="E211">
        <v>2.36</v>
      </c>
      <c r="F211">
        <v>2.4300000000000002</v>
      </c>
      <c r="G211">
        <v>2.2850000000000001</v>
      </c>
      <c r="H211">
        <v>2.62</v>
      </c>
      <c r="I211" s="2">
        <v>933639400</v>
      </c>
      <c r="J211" s="2">
        <v>75927900000</v>
      </c>
      <c r="K211" s="2">
        <v>28983461000</v>
      </c>
      <c r="L211" s="2">
        <v>16610300</v>
      </c>
      <c r="M211" s="2">
        <v>3407000000</v>
      </c>
      <c r="N211" s="2">
        <v>10087000000</v>
      </c>
      <c r="O211" s="2">
        <v>16251561000</v>
      </c>
      <c r="P211" s="2">
        <v>54994000000</v>
      </c>
      <c r="Q211" s="2">
        <v>9324900000</v>
      </c>
      <c r="R211" s="2">
        <v>10846900000</v>
      </c>
      <c r="S211" s="2">
        <f t="shared" si="6"/>
        <v>0.14500000000000002</v>
      </c>
      <c r="T211" s="2">
        <f t="shared" si="7"/>
        <v>29933710700</v>
      </c>
    </row>
    <row r="212" spans="1:20" x14ac:dyDescent="0.3">
      <c r="A212" s="1">
        <v>40736</v>
      </c>
      <c r="B212" t="s">
        <v>203</v>
      </c>
      <c r="C212" t="s">
        <v>18</v>
      </c>
      <c r="D212" t="s">
        <v>52</v>
      </c>
      <c r="E212">
        <v>0.64</v>
      </c>
      <c r="F212">
        <v>0.67</v>
      </c>
      <c r="G212">
        <v>0.57799999999999996</v>
      </c>
      <c r="H212">
        <v>3.22</v>
      </c>
      <c r="I212" s="2">
        <v>0</v>
      </c>
      <c r="J212" s="2">
        <v>102943750000</v>
      </c>
      <c r="K212" s="2">
        <v>31935822500</v>
      </c>
      <c r="L212" s="2">
        <v>39200200</v>
      </c>
      <c r="M212" s="2">
        <v>5266797500</v>
      </c>
      <c r="N212" s="2">
        <v>12913000000</v>
      </c>
      <c r="O212" s="2">
        <v>15644152500</v>
      </c>
      <c r="P212" s="2">
        <v>70762000000</v>
      </c>
      <c r="Q212" s="2">
        <v>11024872500</v>
      </c>
      <c r="R212" s="2">
        <v>19268750000</v>
      </c>
      <c r="S212" s="2">
        <f t="shared" si="6"/>
        <v>9.2000000000000082E-2</v>
      </c>
      <c r="T212" s="2">
        <f t="shared" si="7"/>
        <v>31975022700</v>
      </c>
    </row>
    <row r="213" spans="1:20" x14ac:dyDescent="0.3">
      <c r="A213" s="1">
        <v>40737</v>
      </c>
      <c r="B213" t="s">
        <v>193</v>
      </c>
      <c r="C213" t="s">
        <v>18</v>
      </c>
      <c r="D213" t="s">
        <v>59</v>
      </c>
      <c r="E213">
        <v>2.891</v>
      </c>
      <c r="F213">
        <v>2.9180000000000001</v>
      </c>
      <c r="G213">
        <v>2.8079999999999998</v>
      </c>
      <c r="H213">
        <v>3.17</v>
      </c>
      <c r="I213" s="2">
        <v>0</v>
      </c>
      <c r="J213" s="2">
        <v>66594600000</v>
      </c>
      <c r="K213" s="2">
        <v>20969246000</v>
      </c>
      <c r="L213" s="2">
        <v>30771100</v>
      </c>
      <c r="M213" s="2">
        <v>2914000000</v>
      </c>
      <c r="N213" s="2">
        <v>10003000000</v>
      </c>
      <c r="O213" s="2">
        <v>9249646000</v>
      </c>
      <c r="P213" s="2">
        <v>44057000000</v>
      </c>
      <c r="Q213" s="2">
        <v>8805600000</v>
      </c>
      <c r="R213" s="2">
        <v>12534600000</v>
      </c>
      <c r="S213" s="2">
        <f t="shared" si="6"/>
        <v>0.11000000000000032</v>
      </c>
      <c r="T213" s="2">
        <f t="shared" si="7"/>
        <v>21000017100</v>
      </c>
    </row>
    <row r="214" spans="1:20" x14ac:dyDescent="0.3">
      <c r="A214" s="1">
        <v>40738</v>
      </c>
      <c r="B214" t="s">
        <v>195</v>
      </c>
      <c r="C214" t="s">
        <v>23</v>
      </c>
      <c r="D214" t="s">
        <v>91</v>
      </c>
      <c r="E214">
        <v>4.17</v>
      </c>
      <c r="F214">
        <v>4.1980000000000004</v>
      </c>
      <c r="G214">
        <v>4.0999999999999996</v>
      </c>
      <c r="H214">
        <v>2.8</v>
      </c>
      <c r="I214" s="2">
        <v>0</v>
      </c>
      <c r="J214" s="2">
        <v>36360800000</v>
      </c>
      <c r="K214" s="2">
        <v>12990828600</v>
      </c>
      <c r="L214" s="2">
        <v>9175100</v>
      </c>
      <c r="M214" s="2">
        <v>2848528600</v>
      </c>
      <c r="N214" s="2">
        <v>6273500000</v>
      </c>
      <c r="O214" s="2">
        <v>5233000000</v>
      </c>
      <c r="P214" s="2">
        <v>22653000000</v>
      </c>
      <c r="Q214" s="2">
        <v>4909300000</v>
      </c>
      <c r="R214" s="2">
        <v>7434300000</v>
      </c>
      <c r="S214" s="2">
        <f t="shared" si="6"/>
        <v>9.8000000000000753E-2</v>
      </c>
      <c r="T214" s="2">
        <f t="shared" si="7"/>
        <v>13000003700</v>
      </c>
    </row>
    <row r="215" spans="1:20" x14ac:dyDescent="0.3">
      <c r="A215" s="1">
        <v>40750</v>
      </c>
      <c r="B215" t="s">
        <v>204</v>
      </c>
      <c r="C215" t="s">
        <v>18</v>
      </c>
      <c r="D215" t="s">
        <v>21</v>
      </c>
      <c r="E215">
        <v>0.39500000000000002</v>
      </c>
      <c r="F215">
        <v>0.41699999999999998</v>
      </c>
      <c r="G215">
        <v>0.32600000000000001</v>
      </c>
      <c r="H215">
        <v>3.14</v>
      </c>
      <c r="I215" s="2">
        <v>1042194000</v>
      </c>
      <c r="J215" s="2">
        <v>109776400000</v>
      </c>
      <c r="K215" s="2">
        <v>34870410000</v>
      </c>
      <c r="L215" s="2">
        <v>129633500</v>
      </c>
      <c r="M215" s="2">
        <v>6984890000</v>
      </c>
      <c r="N215" s="2">
        <v>16092000000</v>
      </c>
      <c r="O215" s="2">
        <v>18237120000</v>
      </c>
      <c r="P215" s="2">
        <v>77139000000</v>
      </c>
      <c r="Q215" s="2">
        <v>9648400000</v>
      </c>
      <c r="R215" s="2">
        <v>16545400000</v>
      </c>
      <c r="S215" s="2">
        <f t="shared" si="6"/>
        <v>9.099999999999997E-2</v>
      </c>
      <c r="T215" s="2">
        <f t="shared" si="7"/>
        <v>36042237500</v>
      </c>
    </row>
    <row r="216" spans="1:20" x14ac:dyDescent="0.3">
      <c r="A216" s="1">
        <v>40751</v>
      </c>
      <c r="B216" t="s">
        <v>206</v>
      </c>
      <c r="C216" t="s">
        <v>18</v>
      </c>
      <c r="D216" t="s">
        <v>19</v>
      </c>
      <c r="E216">
        <v>1.516</v>
      </c>
      <c r="F216">
        <v>1.58</v>
      </c>
      <c r="G216">
        <v>1.4</v>
      </c>
      <c r="H216">
        <v>2.62</v>
      </c>
      <c r="I216" s="2">
        <v>1042193900</v>
      </c>
      <c r="J216" s="2">
        <v>91762950000</v>
      </c>
      <c r="K216" s="2">
        <v>34918613500</v>
      </c>
      <c r="L216" s="2">
        <v>31408700</v>
      </c>
      <c r="M216" s="2">
        <v>5108000000</v>
      </c>
      <c r="N216" s="2">
        <v>13818000000</v>
      </c>
      <c r="O216" s="2">
        <v>17033466000</v>
      </c>
      <c r="P216" s="2">
        <v>62745000000</v>
      </c>
      <c r="Q216" s="2">
        <v>12777147500</v>
      </c>
      <c r="R216" s="2">
        <v>15199950000</v>
      </c>
      <c r="S216" s="2">
        <f t="shared" si="6"/>
        <v>0.18000000000000016</v>
      </c>
      <c r="T216" s="2">
        <f t="shared" si="7"/>
        <v>35992216100</v>
      </c>
    </row>
    <row r="217" spans="1:20" x14ac:dyDescent="0.3">
      <c r="A217" s="1">
        <v>40752</v>
      </c>
      <c r="B217" t="s">
        <v>205</v>
      </c>
      <c r="C217" t="s">
        <v>18</v>
      </c>
      <c r="D217" t="s">
        <v>68</v>
      </c>
      <c r="E217">
        <v>2.222</v>
      </c>
      <c r="F217">
        <v>2.2799999999999998</v>
      </c>
      <c r="G217">
        <v>2.097</v>
      </c>
      <c r="H217">
        <v>2.63</v>
      </c>
      <c r="I217" s="2">
        <v>863532000</v>
      </c>
      <c r="J217" s="2">
        <v>76252960000</v>
      </c>
      <c r="K217" s="2">
        <v>28986960000</v>
      </c>
      <c r="L217" s="2">
        <v>13059800</v>
      </c>
      <c r="M217" s="2">
        <v>2685000000</v>
      </c>
      <c r="N217" s="2">
        <v>10951000000</v>
      </c>
      <c r="O217" s="2">
        <v>14837000000</v>
      </c>
      <c r="P217" s="2">
        <v>52218000000</v>
      </c>
      <c r="Q217" s="2">
        <v>11464960000</v>
      </c>
      <c r="R217" s="2">
        <v>13083960000</v>
      </c>
      <c r="S217" s="2">
        <f t="shared" si="6"/>
        <v>0.18299999999999983</v>
      </c>
      <c r="T217" s="2">
        <f t="shared" si="7"/>
        <v>29863551800</v>
      </c>
    </row>
    <row r="218" spans="1:20" x14ac:dyDescent="0.3">
      <c r="A218" s="1">
        <v>40764</v>
      </c>
      <c r="B218" t="s">
        <v>209</v>
      </c>
      <c r="C218" t="s">
        <v>18</v>
      </c>
      <c r="D218" t="s">
        <v>52</v>
      </c>
      <c r="E218">
        <v>0.48</v>
      </c>
      <c r="F218">
        <v>0.5</v>
      </c>
      <c r="G218">
        <v>0.39600000000000002</v>
      </c>
      <c r="H218">
        <v>3.29</v>
      </c>
      <c r="I218" s="2">
        <v>979857000</v>
      </c>
      <c r="J218" s="2">
        <v>105245900000</v>
      </c>
      <c r="K218" s="2">
        <v>31984970000</v>
      </c>
      <c r="L218" s="2">
        <v>15218100</v>
      </c>
      <c r="M218" s="2">
        <v>3547000000</v>
      </c>
      <c r="N218" s="2">
        <v>15337000000</v>
      </c>
      <c r="O218" s="2">
        <v>13110125000</v>
      </c>
      <c r="P218" s="2">
        <v>69686000000</v>
      </c>
      <c r="Q218" s="2">
        <v>15327845000</v>
      </c>
      <c r="R218" s="2">
        <v>20222900000</v>
      </c>
      <c r="S218" s="2">
        <f t="shared" si="6"/>
        <v>0.10399999999999998</v>
      </c>
      <c r="T218" s="2">
        <f t="shared" si="7"/>
        <v>32980045100</v>
      </c>
    </row>
    <row r="219" spans="1:20" x14ac:dyDescent="0.3">
      <c r="A219" s="1">
        <v>40765</v>
      </c>
      <c r="B219" t="s">
        <v>208</v>
      </c>
      <c r="C219" t="s">
        <v>18</v>
      </c>
      <c r="D219" t="s">
        <v>26</v>
      </c>
      <c r="E219">
        <v>2.101</v>
      </c>
      <c r="F219">
        <v>2.14</v>
      </c>
      <c r="G219">
        <v>2</v>
      </c>
      <c r="H219">
        <v>3.22</v>
      </c>
      <c r="I219" s="2">
        <v>734892600</v>
      </c>
      <c r="J219" s="2">
        <v>77291100000</v>
      </c>
      <c r="K219" s="2">
        <v>23909666600</v>
      </c>
      <c r="L219" s="2">
        <v>40387100</v>
      </c>
      <c r="M219" s="2">
        <v>7570275600</v>
      </c>
      <c r="N219" s="2">
        <v>14716000000</v>
      </c>
      <c r="O219" s="2">
        <v>7885826000</v>
      </c>
      <c r="P219" s="2">
        <v>46409000000</v>
      </c>
      <c r="Q219" s="2">
        <v>8453565000</v>
      </c>
      <c r="R219" s="2">
        <v>16166100000</v>
      </c>
      <c r="S219" s="2">
        <f t="shared" si="6"/>
        <v>0.14000000000000012</v>
      </c>
      <c r="T219" s="2">
        <f t="shared" si="7"/>
        <v>24684946300</v>
      </c>
    </row>
    <row r="220" spans="1:20" x14ac:dyDescent="0.3">
      <c r="A220" s="1">
        <v>40766</v>
      </c>
      <c r="B220" t="s">
        <v>207</v>
      </c>
      <c r="C220" t="s">
        <v>23</v>
      </c>
      <c r="D220" t="s">
        <v>65</v>
      </c>
      <c r="E220">
        <v>3.629</v>
      </c>
      <c r="F220">
        <v>3.75</v>
      </c>
      <c r="G220">
        <v>3.5369999999999999</v>
      </c>
      <c r="H220">
        <v>2.08</v>
      </c>
      <c r="I220" s="2">
        <v>489928400</v>
      </c>
      <c r="J220" s="2">
        <v>33305800000</v>
      </c>
      <c r="K220" s="2">
        <v>15985160000</v>
      </c>
      <c r="L220" s="2">
        <v>14855600</v>
      </c>
      <c r="M220" s="2">
        <v>3119654000</v>
      </c>
      <c r="N220" s="2">
        <v>6567000000</v>
      </c>
      <c r="O220" s="2">
        <v>10921532000</v>
      </c>
      <c r="P220" s="2">
        <v>23734000000</v>
      </c>
      <c r="Q220" s="2">
        <v>1943974000</v>
      </c>
      <c r="R220" s="2">
        <v>3004800000</v>
      </c>
      <c r="S220" s="2">
        <f t="shared" si="6"/>
        <v>0.21300000000000008</v>
      </c>
      <c r="T220" s="2">
        <f t="shared" si="7"/>
        <v>16489944000</v>
      </c>
    </row>
    <row r="221" spans="1:20" x14ac:dyDescent="0.3">
      <c r="A221" s="1">
        <v>40778</v>
      </c>
      <c r="B221" t="s">
        <v>210</v>
      </c>
      <c r="C221" t="s">
        <v>18</v>
      </c>
      <c r="D221" t="s">
        <v>21</v>
      </c>
      <c r="E221">
        <v>0.20899999999999999</v>
      </c>
      <c r="F221">
        <v>0.222</v>
      </c>
      <c r="G221">
        <v>0.14699999999999999</v>
      </c>
      <c r="H221">
        <v>3.44</v>
      </c>
      <c r="I221" s="2">
        <v>1070488700</v>
      </c>
      <c r="J221" s="2">
        <v>120327500000</v>
      </c>
      <c r="K221" s="2">
        <v>34852330000</v>
      </c>
      <c r="L221" s="2">
        <v>147747900</v>
      </c>
      <c r="M221" s="2">
        <v>5535935000</v>
      </c>
      <c r="N221" s="2">
        <v>16386000000</v>
      </c>
      <c r="O221" s="2">
        <v>18287395000</v>
      </c>
      <c r="P221" s="2">
        <v>87379500000</v>
      </c>
      <c r="Q221" s="2">
        <v>11029000000</v>
      </c>
      <c r="R221" s="2">
        <v>16562000000</v>
      </c>
      <c r="S221" s="2">
        <f t="shared" si="6"/>
        <v>7.5000000000000011E-2</v>
      </c>
      <c r="T221" s="2">
        <f t="shared" si="7"/>
        <v>36070566600</v>
      </c>
    </row>
    <row r="222" spans="1:20" x14ac:dyDescent="0.3">
      <c r="A222" s="1">
        <v>40779</v>
      </c>
      <c r="B222" t="s">
        <v>212</v>
      </c>
      <c r="C222" t="s">
        <v>18</v>
      </c>
      <c r="D222" t="s">
        <v>19</v>
      </c>
      <c r="E222">
        <v>0.97899999999999998</v>
      </c>
      <c r="F222">
        <v>1.0289999999999999</v>
      </c>
      <c r="G222">
        <v>0.88200000000000001</v>
      </c>
      <c r="H222">
        <v>2.71</v>
      </c>
      <c r="I222" s="2">
        <v>1070488400</v>
      </c>
      <c r="J222" s="2">
        <v>94830150000</v>
      </c>
      <c r="K222" s="2">
        <v>34893515000</v>
      </c>
      <c r="L222" s="2">
        <v>56511400</v>
      </c>
      <c r="M222" s="2">
        <v>4833000000</v>
      </c>
      <c r="N222" s="2">
        <v>14093000000</v>
      </c>
      <c r="O222" s="2">
        <v>15355365000</v>
      </c>
      <c r="P222" s="2">
        <v>63282000000</v>
      </c>
      <c r="Q222" s="2">
        <v>14705150000</v>
      </c>
      <c r="R222" s="2">
        <v>17455150000</v>
      </c>
      <c r="S222" s="2">
        <f t="shared" si="6"/>
        <v>0.14699999999999991</v>
      </c>
      <c r="T222" s="2">
        <f t="shared" si="7"/>
        <v>36020514800</v>
      </c>
    </row>
    <row r="223" spans="1:20" x14ac:dyDescent="0.3">
      <c r="A223" s="1">
        <v>40780</v>
      </c>
      <c r="B223" t="s">
        <v>211</v>
      </c>
      <c r="C223" t="s">
        <v>18</v>
      </c>
      <c r="D223" t="s">
        <v>68</v>
      </c>
      <c r="E223">
        <v>1.5289999999999999</v>
      </c>
      <c r="F223">
        <v>1.58</v>
      </c>
      <c r="G223">
        <v>1.4490000000000001</v>
      </c>
      <c r="H223">
        <v>2.76</v>
      </c>
      <c r="I223" s="2">
        <v>886976100</v>
      </c>
      <c r="J223" s="2">
        <v>79921500000</v>
      </c>
      <c r="K223" s="2">
        <v>28921095200</v>
      </c>
      <c r="L223" s="2">
        <v>28913600</v>
      </c>
      <c r="M223" s="2">
        <v>2281440000</v>
      </c>
      <c r="N223" s="2">
        <v>10536500000</v>
      </c>
      <c r="O223" s="2">
        <v>11681694000</v>
      </c>
      <c r="P223" s="2">
        <v>50903000000</v>
      </c>
      <c r="Q223" s="2">
        <v>14957961200</v>
      </c>
      <c r="R223" s="2">
        <v>18482000000</v>
      </c>
      <c r="S223" s="2">
        <f t="shared" si="6"/>
        <v>0.13100000000000001</v>
      </c>
      <c r="T223" s="2">
        <f t="shared" si="7"/>
        <v>29836984900</v>
      </c>
    </row>
    <row r="224" spans="1:20" x14ac:dyDescent="0.3">
      <c r="A224" s="1">
        <v>40798</v>
      </c>
      <c r="B224" t="s">
        <v>213</v>
      </c>
      <c r="C224" t="s">
        <v>18</v>
      </c>
      <c r="D224" t="s">
        <v>52</v>
      </c>
      <c r="E224">
        <v>0.31</v>
      </c>
      <c r="F224">
        <v>0.33400000000000002</v>
      </c>
      <c r="G224">
        <v>0.249</v>
      </c>
      <c r="H224">
        <v>3.15</v>
      </c>
      <c r="I224" s="2">
        <v>0</v>
      </c>
      <c r="J224" s="2">
        <v>100723000000</v>
      </c>
      <c r="K224" s="2">
        <v>31973660000</v>
      </c>
      <c r="L224" s="2">
        <v>26394400</v>
      </c>
      <c r="M224" s="2">
        <v>3381220000</v>
      </c>
      <c r="N224" s="2">
        <v>11934000000</v>
      </c>
      <c r="O224" s="2">
        <v>17169885000</v>
      </c>
      <c r="P224" s="2">
        <v>71036000000</v>
      </c>
      <c r="Q224" s="2">
        <v>11422555000</v>
      </c>
      <c r="R224" s="2">
        <v>17753000000</v>
      </c>
      <c r="S224" s="2">
        <f t="shared" si="6"/>
        <v>8.500000000000002E-2</v>
      </c>
      <c r="T224" s="2">
        <f t="shared" si="7"/>
        <v>32000054400</v>
      </c>
    </row>
    <row r="225" spans="1:20" x14ac:dyDescent="0.3">
      <c r="A225" s="1">
        <v>40799</v>
      </c>
      <c r="B225" t="s">
        <v>208</v>
      </c>
      <c r="C225" t="s">
        <v>18</v>
      </c>
      <c r="D225" t="s">
        <v>29</v>
      </c>
      <c r="E225">
        <v>1.9470000000000001</v>
      </c>
      <c r="F225">
        <v>2</v>
      </c>
      <c r="G225">
        <v>1.86</v>
      </c>
      <c r="H225">
        <v>3.03</v>
      </c>
      <c r="I225" s="2">
        <v>0</v>
      </c>
      <c r="J225" s="2">
        <v>63663700000</v>
      </c>
      <c r="K225" s="2">
        <v>20986620000</v>
      </c>
      <c r="L225" s="2">
        <v>13406900</v>
      </c>
      <c r="M225" s="2">
        <v>2320140000</v>
      </c>
      <c r="N225" s="2">
        <v>7812000000</v>
      </c>
      <c r="O225" s="2">
        <v>8483520000</v>
      </c>
      <c r="P225" s="2">
        <v>43404000000</v>
      </c>
      <c r="Q225" s="2">
        <v>10182960000</v>
      </c>
      <c r="R225" s="2">
        <v>12447700000</v>
      </c>
      <c r="S225" s="2">
        <f t="shared" si="6"/>
        <v>0.1399999999999999</v>
      </c>
      <c r="T225" s="2">
        <f t="shared" si="7"/>
        <v>21000026900</v>
      </c>
    </row>
    <row r="226" spans="1:20" x14ac:dyDescent="0.3">
      <c r="A226" s="1">
        <v>40800</v>
      </c>
      <c r="B226" t="s">
        <v>207</v>
      </c>
      <c r="C226" t="s">
        <v>23</v>
      </c>
      <c r="D226" t="s">
        <v>72</v>
      </c>
      <c r="E226">
        <v>3.2850000000000001</v>
      </c>
      <c r="F226">
        <v>3.31</v>
      </c>
      <c r="G226">
        <v>3.24</v>
      </c>
      <c r="H226">
        <v>2.85</v>
      </c>
      <c r="I226" s="2">
        <v>0</v>
      </c>
      <c r="J226" s="2">
        <v>37057217000</v>
      </c>
      <c r="K226" s="2">
        <v>12985241000</v>
      </c>
      <c r="L226" s="2">
        <v>14793200</v>
      </c>
      <c r="M226" s="2">
        <v>2251854400</v>
      </c>
      <c r="N226" s="2">
        <v>5981000000</v>
      </c>
      <c r="O226" s="2">
        <v>5621444000</v>
      </c>
      <c r="P226" s="2">
        <v>21572000000</v>
      </c>
      <c r="Q226" s="2">
        <v>5111942600</v>
      </c>
      <c r="R226" s="2">
        <v>9504217000</v>
      </c>
      <c r="S226" s="2">
        <f t="shared" si="6"/>
        <v>6.999999999999984E-2</v>
      </c>
      <c r="T226" s="2">
        <f t="shared" si="7"/>
        <v>13000034200</v>
      </c>
    </row>
    <row r="227" spans="1:20" x14ac:dyDescent="0.3">
      <c r="A227" s="1">
        <v>40813</v>
      </c>
      <c r="B227" t="s">
        <v>216</v>
      </c>
      <c r="C227" t="s">
        <v>18</v>
      </c>
      <c r="D227" t="s">
        <v>21</v>
      </c>
      <c r="E227">
        <v>0.22500000000000001</v>
      </c>
      <c r="F227">
        <v>0.249</v>
      </c>
      <c r="G227">
        <v>0.17100000000000001</v>
      </c>
      <c r="H227">
        <v>3.76</v>
      </c>
      <c r="I227" s="2">
        <v>1089663100</v>
      </c>
      <c r="J227" s="2">
        <v>131535300000</v>
      </c>
      <c r="K227" s="2">
        <v>34795600000</v>
      </c>
      <c r="L227" s="2">
        <v>204508200</v>
      </c>
      <c r="M227" s="2">
        <v>4231587500</v>
      </c>
      <c r="N227" s="2">
        <v>16653000000</v>
      </c>
      <c r="O227" s="2">
        <v>17776950000</v>
      </c>
      <c r="P227" s="2">
        <v>95724000000</v>
      </c>
      <c r="Q227" s="2">
        <v>12787062500</v>
      </c>
      <c r="R227" s="2">
        <v>19158300000</v>
      </c>
      <c r="S227" s="2">
        <f t="shared" si="6"/>
        <v>7.7999999999999986E-2</v>
      </c>
      <c r="T227" s="2">
        <f t="shared" si="7"/>
        <v>36089771300</v>
      </c>
    </row>
    <row r="228" spans="1:20" x14ac:dyDescent="0.3">
      <c r="A228" s="1">
        <v>40814</v>
      </c>
      <c r="B228" t="s">
        <v>215</v>
      </c>
      <c r="C228" t="s">
        <v>18</v>
      </c>
      <c r="D228" t="s">
        <v>19</v>
      </c>
      <c r="E228">
        <v>0.98</v>
      </c>
      <c r="F228">
        <v>1.0149999999999999</v>
      </c>
      <c r="G228">
        <v>0.87</v>
      </c>
      <c r="H228">
        <v>3.04</v>
      </c>
      <c r="I228" s="2">
        <v>1089663000</v>
      </c>
      <c r="J228" s="2">
        <v>106377050000</v>
      </c>
      <c r="K228" s="2">
        <v>34959982800</v>
      </c>
      <c r="L228" s="2">
        <v>40097700</v>
      </c>
      <c r="M228" s="2">
        <v>4807140000</v>
      </c>
      <c r="N228" s="2">
        <v>14383000000</v>
      </c>
      <c r="O228" s="2">
        <v>14102910000</v>
      </c>
      <c r="P228" s="2">
        <v>71309000000</v>
      </c>
      <c r="Q228" s="2">
        <v>16049932800</v>
      </c>
      <c r="R228" s="2">
        <v>20685050000</v>
      </c>
      <c r="S228" s="2">
        <f t="shared" si="6"/>
        <v>0.14499999999999991</v>
      </c>
      <c r="T228" s="2">
        <f t="shared" si="7"/>
        <v>36089743500</v>
      </c>
    </row>
    <row r="229" spans="1:20" x14ac:dyDescent="0.3">
      <c r="A229" s="1">
        <v>40815</v>
      </c>
      <c r="B229" t="s">
        <v>214</v>
      </c>
      <c r="C229" t="s">
        <v>18</v>
      </c>
      <c r="D229" t="s">
        <v>68</v>
      </c>
      <c r="E229">
        <v>1.4390000000000001</v>
      </c>
      <c r="F229">
        <v>1.496</v>
      </c>
      <c r="G229">
        <v>1.33</v>
      </c>
      <c r="H229">
        <v>3.02</v>
      </c>
      <c r="I229" s="2">
        <v>902863600</v>
      </c>
      <c r="J229" s="2">
        <v>87504400000</v>
      </c>
      <c r="K229" s="2">
        <v>28986202000</v>
      </c>
      <c r="L229" s="2">
        <v>13800800</v>
      </c>
      <c r="M229" s="2">
        <v>3954500000</v>
      </c>
      <c r="N229" s="2">
        <v>12514500000</v>
      </c>
      <c r="O229" s="2">
        <v>12967802000</v>
      </c>
      <c r="P229" s="2">
        <v>58486000000</v>
      </c>
      <c r="Q229" s="2">
        <v>12063900000</v>
      </c>
      <c r="R229" s="2">
        <v>16503900000</v>
      </c>
      <c r="S229" s="2">
        <f t="shared" si="6"/>
        <v>0.16599999999999993</v>
      </c>
      <c r="T229" s="2">
        <f t="shared" si="7"/>
        <v>29902866400</v>
      </c>
    </row>
    <row r="230" spans="1:20" x14ac:dyDescent="0.3">
      <c r="A230" s="1">
        <v>40827</v>
      </c>
      <c r="B230" t="s">
        <v>217</v>
      </c>
      <c r="C230" t="s">
        <v>18</v>
      </c>
      <c r="D230" t="s">
        <v>52</v>
      </c>
      <c r="E230">
        <v>0.5</v>
      </c>
      <c r="F230">
        <v>0.54400000000000004</v>
      </c>
      <c r="G230">
        <v>0.41</v>
      </c>
      <c r="H230">
        <v>3.3</v>
      </c>
      <c r="I230" s="2">
        <v>0</v>
      </c>
      <c r="J230" s="2">
        <v>105601100000</v>
      </c>
      <c r="K230" s="2">
        <v>31971694200</v>
      </c>
      <c r="L230" s="2">
        <v>28316000</v>
      </c>
      <c r="M230" s="2">
        <v>2509000000</v>
      </c>
      <c r="N230" s="2">
        <v>10796000000</v>
      </c>
      <c r="O230" s="2">
        <v>17371900000</v>
      </c>
      <c r="P230" s="2">
        <v>77921000000</v>
      </c>
      <c r="Q230" s="2">
        <v>12090794200</v>
      </c>
      <c r="R230" s="2">
        <v>16884100000</v>
      </c>
      <c r="S230" s="2">
        <f t="shared" si="6"/>
        <v>0.13400000000000006</v>
      </c>
      <c r="T230" s="2">
        <f t="shared" si="7"/>
        <v>32000010200</v>
      </c>
    </row>
    <row r="231" spans="1:20" x14ac:dyDescent="0.3">
      <c r="A231" s="1">
        <v>40828</v>
      </c>
      <c r="B231" t="s">
        <v>208</v>
      </c>
      <c r="C231" t="s">
        <v>18</v>
      </c>
      <c r="D231" t="s">
        <v>59</v>
      </c>
      <c r="E231">
        <v>2.19</v>
      </c>
      <c r="F231">
        <v>2.2709999999999999</v>
      </c>
      <c r="G231">
        <v>2.097</v>
      </c>
      <c r="H231">
        <v>2.86</v>
      </c>
      <c r="I231" s="2">
        <v>0</v>
      </c>
      <c r="J231" s="2">
        <v>60073505000</v>
      </c>
      <c r="K231" s="2">
        <v>20988665000</v>
      </c>
      <c r="L231" s="2">
        <v>11352200</v>
      </c>
      <c r="M231" s="2">
        <v>1350005000</v>
      </c>
      <c r="N231" s="2">
        <v>4325005000</v>
      </c>
      <c r="O231" s="2">
        <v>12285160000</v>
      </c>
      <c r="P231" s="2">
        <v>46645000000</v>
      </c>
      <c r="Q231" s="2">
        <v>7353500000</v>
      </c>
      <c r="R231" s="2">
        <v>9103500000</v>
      </c>
      <c r="S231" s="2">
        <f t="shared" si="6"/>
        <v>0.17399999999999993</v>
      </c>
      <c r="T231" s="2">
        <f t="shared" si="7"/>
        <v>21000017200</v>
      </c>
    </row>
    <row r="232" spans="1:20" x14ac:dyDescent="0.3">
      <c r="A232" s="1">
        <v>40829</v>
      </c>
      <c r="B232" t="s">
        <v>207</v>
      </c>
      <c r="C232" t="s">
        <v>23</v>
      </c>
      <c r="D232" t="s">
        <v>91</v>
      </c>
      <c r="E232">
        <v>3.0950000000000002</v>
      </c>
      <c r="F232">
        <v>3.12</v>
      </c>
      <c r="G232">
        <v>3</v>
      </c>
      <c r="H232">
        <v>2.94</v>
      </c>
      <c r="I232" s="2">
        <v>0</v>
      </c>
      <c r="J232" s="2">
        <v>38254900000</v>
      </c>
      <c r="K232" s="2">
        <v>12986795500</v>
      </c>
      <c r="L232" s="2">
        <v>13211700</v>
      </c>
      <c r="M232" s="2">
        <v>3827057500</v>
      </c>
      <c r="N232" s="2">
        <v>5719000000</v>
      </c>
      <c r="O232" s="2">
        <v>5436363500</v>
      </c>
      <c r="P232" s="2">
        <v>23614500000</v>
      </c>
      <c r="Q232" s="2">
        <v>3723374500</v>
      </c>
      <c r="R232" s="2">
        <v>8921400000</v>
      </c>
      <c r="S232" s="2">
        <f t="shared" si="6"/>
        <v>0.12000000000000011</v>
      </c>
      <c r="T232" s="2">
        <f t="shared" si="7"/>
        <v>13000007200</v>
      </c>
    </row>
    <row r="233" spans="1:20" x14ac:dyDescent="0.3">
      <c r="A233" s="1">
        <v>40841</v>
      </c>
      <c r="B233" t="s">
        <v>218</v>
      </c>
      <c r="C233" t="s">
        <v>18</v>
      </c>
      <c r="D233" t="s">
        <v>21</v>
      </c>
      <c r="E233">
        <v>0.26500000000000001</v>
      </c>
      <c r="F233">
        <v>0.28100000000000003</v>
      </c>
      <c r="G233">
        <v>0.21</v>
      </c>
      <c r="H233">
        <v>3.64</v>
      </c>
      <c r="I233" s="2">
        <v>1330744800</v>
      </c>
      <c r="J233" s="2">
        <v>127222000000</v>
      </c>
      <c r="K233" s="2">
        <v>34801560000</v>
      </c>
      <c r="L233" s="2">
        <v>198445900</v>
      </c>
      <c r="M233" s="2">
        <v>2855480000</v>
      </c>
      <c r="N233" s="2">
        <v>13798000000</v>
      </c>
      <c r="O233" s="2">
        <v>18295080000</v>
      </c>
      <c r="P233" s="2">
        <v>92065000000</v>
      </c>
      <c r="Q233" s="2">
        <v>13651000000</v>
      </c>
      <c r="R233" s="2">
        <v>21359000000</v>
      </c>
      <c r="S233" s="2">
        <f t="shared" si="6"/>
        <v>7.1000000000000035E-2</v>
      </c>
      <c r="T233" s="2">
        <f t="shared" si="7"/>
        <v>36330750700</v>
      </c>
    </row>
    <row r="234" spans="1:20" x14ac:dyDescent="0.3">
      <c r="A234" s="1">
        <v>40842</v>
      </c>
      <c r="B234" t="s">
        <v>220</v>
      </c>
      <c r="C234" t="s">
        <v>18</v>
      </c>
      <c r="D234" t="s">
        <v>19</v>
      </c>
      <c r="E234">
        <v>1.0289999999999999</v>
      </c>
      <c r="F234">
        <v>1.0549999999999999</v>
      </c>
      <c r="G234">
        <v>0.97499999999999998</v>
      </c>
      <c r="H234">
        <v>2.9</v>
      </c>
      <c r="I234" s="2">
        <v>1330744700</v>
      </c>
      <c r="J234" s="2">
        <v>101429200000</v>
      </c>
      <c r="K234" s="2">
        <v>34971405600</v>
      </c>
      <c r="L234" s="2">
        <v>28646600</v>
      </c>
      <c r="M234" s="2">
        <v>3635000000</v>
      </c>
      <c r="N234" s="2">
        <v>9204000000</v>
      </c>
      <c r="O234" s="2">
        <v>14110900000</v>
      </c>
      <c r="P234" s="2">
        <v>70363000000</v>
      </c>
      <c r="Q234" s="2">
        <v>17225505600</v>
      </c>
      <c r="R234" s="2">
        <v>21862200000</v>
      </c>
      <c r="S234" s="2">
        <f t="shared" si="6"/>
        <v>7.999999999999996E-2</v>
      </c>
      <c r="T234" s="2">
        <f t="shared" si="7"/>
        <v>36330796900</v>
      </c>
    </row>
    <row r="235" spans="1:20" x14ac:dyDescent="0.3">
      <c r="A235" s="1">
        <v>40843</v>
      </c>
      <c r="B235" t="s">
        <v>219</v>
      </c>
      <c r="C235" t="s">
        <v>18</v>
      </c>
      <c r="D235" t="s">
        <v>68</v>
      </c>
      <c r="E235">
        <v>1.708</v>
      </c>
      <c r="F235">
        <v>1.7909999999999999</v>
      </c>
      <c r="G235">
        <v>1.6</v>
      </c>
      <c r="H235">
        <v>2.59</v>
      </c>
      <c r="I235" s="2">
        <v>1102617000</v>
      </c>
      <c r="J235" s="2">
        <v>75047900000</v>
      </c>
      <c r="K235" s="2">
        <v>28986450000</v>
      </c>
      <c r="L235" s="2">
        <v>13563900</v>
      </c>
      <c r="M235" s="2">
        <v>3463000000</v>
      </c>
      <c r="N235" s="2">
        <v>8143000000</v>
      </c>
      <c r="O235" s="2">
        <v>15697550000</v>
      </c>
      <c r="P235" s="2">
        <v>55604000000</v>
      </c>
      <c r="Q235" s="2">
        <v>9825900000</v>
      </c>
      <c r="R235" s="2">
        <v>11300900000</v>
      </c>
      <c r="S235" s="2">
        <f t="shared" si="6"/>
        <v>0.19099999999999984</v>
      </c>
      <c r="T235" s="2">
        <f t="shared" si="7"/>
        <v>30102630900</v>
      </c>
    </row>
    <row r="236" spans="1:20" x14ac:dyDescent="0.3">
      <c r="A236" s="1">
        <v>40855</v>
      </c>
      <c r="B236" t="s">
        <v>223</v>
      </c>
      <c r="C236" t="s">
        <v>18</v>
      </c>
      <c r="D236" t="s">
        <v>52</v>
      </c>
      <c r="E236">
        <v>0.35799999999999998</v>
      </c>
      <c r="F236">
        <v>0.379</v>
      </c>
      <c r="G236">
        <v>0.28899999999999998</v>
      </c>
      <c r="H236">
        <v>3.41</v>
      </c>
      <c r="I236" s="2">
        <v>2448487400</v>
      </c>
      <c r="J236" s="2">
        <v>109010700000</v>
      </c>
      <c r="K236" s="2">
        <v>31957440800</v>
      </c>
      <c r="L236" s="2">
        <v>42647500</v>
      </c>
      <c r="M236" s="2">
        <v>6350148800</v>
      </c>
      <c r="N236" s="2">
        <v>15368500000</v>
      </c>
      <c r="O236" s="2">
        <v>13253092000</v>
      </c>
      <c r="P236" s="2">
        <v>74487000000</v>
      </c>
      <c r="Q236" s="2">
        <v>12354200000</v>
      </c>
      <c r="R236" s="2">
        <v>19155200000</v>
      </c>
      <c r="S236" s="2">
        <f t="shared" si="6"/>
        <v>9.0000000000000024E-2</v>
      </c>
      <c r="T236" s="2">
        <f t="shared" si="7"/>
        <v>34448575700</v>
      </c>
    </row>
    <row r="237" spans="1:20" x14ac:dyDescent="0.3">
      <c r="A237" s="1">
        <v>40856</v>
      </c>
      <c r="B237" t="s">
        <v>222</v>
      </c>
      <c r="C237" t="s">
        <v>18</v>
      </c>
      <c r="D237" t="s">
        <v>26</v>
      </c>
      <c r="E237">
        <v>1.9690000000000001</v>
      </c>
      <c r="F237">
        <v>2.0299999999999998</v>
      </c>
      <c r="G237">
        <v>1.865</v>
      </c>
      <c r="H237">
        <v>2.64</v>
      </c>
      <c r="I237" s="2">
        <v>1836365500</v>
      </c>
      <c r="J237" s="2">
        <v>63238500000</v>
      </c>
      <c r="K237" s="2">
        <v>23970837500</v>
      </c>
      <c r="L237" s="2">
        <v>29204100</v>
      </c>
      <c r="M237" s="2">
        <v>1975175000</v>
      </c>
      <c r="N237" s="2">
        <v>5274000000</v>
      </c>
      <c r="O237" s="2">
        <v>12034162500</v>
      </c>
      <c r="P237" s="2">
        <v>46018000000</v>
      </c>
      <c r="Q237" s="2">
        <v>9961500000</v>
      </c>
      <c r="R237" s="2">
        <v>11946500000</v>
      </c>
      <c r="S237" s="2">
        <f t="shared" si="6"/>
        <v>0.16499999999999981</v>
      </c>
      <c r="T237" s="2">
        <f t="shared" si="7"/>
        <v>25836407100</v>
      </c>
    </row>
    <row r="238" spans="1:20" x14ac:dyDescent="0.3">
      <c r="A238" s="1">
        <v>40857</v>
      </c>
      <c r="B238" t="s">
        <v>221</v>
      </c>
      <c r="C238" t="s">
        <v>23</v>
      </c>
      <c r="D238" t="s">
        <v>65</v>
      </c>
      <c r="E238">
        <v>3.1</v>
      </c>
      <c r="F238">
        <v>3.1989999999999998</v>
      </c>
      <c r="G238">
        <v>2.97</v>
      </c>
      <c r="H238">
        <v>2.4</v>
      </c>
      <c r="I238" s="2">
        <v>1224243600</v>
      </c>
      <c r="J238" s="2">
        <v>38372600000</v>
      </c>
      <c r="K238" s="2">
        <v>15988527000</v>
      </c>
      <c r="L238" s="2">
        <v>11498800</v>
      </c>
      <c r="M238" s="2">
        <v>2531300000</v>
      </c>
      <c r="N238" s="2">
        <v>5985300000</v>
      </c>
      <c r="O238" s="2">
        <v>8911427000</v>
      </c>
      <c r="P238" s="2">
        <v>26021500000</v>
      </c>
      <c r="Q238" s="2">
        <v>4545800000</v>
      </c>
      <c r="R238" s="2">
        <v>6365800000</v>
      </c>
      <c r="S238" s="2">
        <f t="shared" si="6"/>
        <v>0.22899999999999965</v>
      </c>
      <c r="T238" s="2">
        <f t="shared" si="7"/>
        <v>17224269400</v>
      </c>
    </row>
    <row r="239" spans="1:20" x14ac:dyDescent="0.3">
      <c r="A239" s="1">
        <v>40868</v>
      </c>
      <c r="B239" t="s">
        <v>226</v>
      </c>
      <c r="C239" t="s">
        <v>18</v>
      </c>
      <c r="D239" t="s">
        <v>21</v>
      </c>
      <c r="E239">
        <v>0.25</v>
      </c>
      <c r="F239">
        <v>0.28000000000000003</v>
      </c>
      <c r="G239">
        <v>0.20599999999999999</v>
      </c>
      <c r="H239">
        <v>4.07</v>
      </c>
      <c r="I239" s="2">
        <v>1585824100</v>
      </c>
      <c r="J239" s="2">
        <v>142317500000</v>
      </c>
      <c r="K239" s="2">
        <v>34827060000</v>
      </c>
      <c r="L239" s="2">
        <v>173183200</v>
      </c>
      <c r="M239" s="2">
        <v>3913800000</v>
      </c>
      <c r="N239" s="2">
        <v>22686000000</v>
      </c>
      <c r="O239" s="2">
        <v>16203440000</v>
      </c>
      <c r="P239" s="2">
        <v>94417000000</v>
      </c>
      <c r="Q239" s="2">
        <v>14709820000</v>
      </c>
      <c r="R239" s="2">
        <v>25214500000</v>
      </c>
      <c r="S239" s="2">
        <f t="shared" si="6"/>
        <v>7.4000000000000038E-2</v>
      </c>
      <c r="T239" s="2">
        <f t="shared" si="7"/>
        <v>36586067300</v>
      </c>
    </row>
    <row r="240" spans="1:20" x14ac:dyDescent="0.3">
      <c r="A240" s="1">
        <v>40869</v>
      </c>
      <c r="B240" t="s">
        <v>225</v>
      </c>
      <c r="C240" t="s">
        <v>18</v>
      </c>
      <c r="D240" t="s">
        <v>19</v>
      </c>
      <c r="E240">
        <v>0.9</v>
      </c>
      <c r="F240">
        <v>0.93700000000000006</v>
      </c>
      <c r="G240">
        <v>0.81899999999999995</v>
      </c>
      <c r="H240">
        <v>3.15</v>
      </c>
      <c r="I240" s="2">
        <v>1585823800</v>
      </c>
      <c r="J240" s="2">
        <v>110182700000</v>
      </c>
      <c r="K240" s="2">
        <v>34965926000</v>
      </c>
      <c r="L240" s="2">
        <v>34146300</v>
      </c>
      <c r="M240" s="2">
        <v>3341968500</v>
      </c>
      <c r="N240" s="2">
        <v>11513000000</v>
      </c>
      <c r="O240" s="2">
        <v>15768505000</v>
      </c>
      <c r="P240" s="2">
        <v>75415000000</v>
      </c>
      <c r="Q240" s="2">
        <v>15855452500</v>
      </c>
      <c r="R240" s="2">
        <v>23254700000</v>
      </c>
      <c r="S240" s="2">
        <f t="shared" si="6"/>
        <v>0.1180000000000001</v>
      </c>
      <c r="T240" s="2">
        <f t="shared" si="7"/>
        <v>36585896100</v>
      </c>
    </row>
    <row r="241" spans="1:20" x14ac:dyDescent="0.3">
      <c r="A241" s="1">
        <v>40870</v>
      </c>
      <c r="B241" t="s">
        <v>224</v>
      </c>
      <c r="C241" t="s">
        <v>18</v>
      </c>
      <c r="D241" t="s">
        <v>68</v>
      </c>
      <c r="E241">
        <v>1.39</v>
      </c>
      <c r="F241">
        <v>1.415</v>
      </c>
      <c r="G241">
        <v>1.296</v>
      </c>
      <c r="H241">
        <v>3.2</v>
      </c>
      <c r="I241" s="2">
        <v>1313968300</v>
      </c>
      <c r="J241" s="2">
        <v>92873825000</v>
      </c>
      <c r="K241" s="2">
        <v>28979885000</v>
      </c>
      <c r="L241" s="2">
        <v>20289500</v>
      </c>
      <c r="M241" s="2">
        <v>5464000000</v>
      </c>
      <c r="N241" s="2">
        <v>12856000000</v>
      </c>
      <c r="O241" s="2">
        <v>11958000000</v>
      </c>
      <c r="P241" s="2">
        <v>63156000000</v>
      </c>
      <c r="Q241" s="2">
        <v>11557885000</v>
      </c>
      <c r="R241" s="2">
        <v>16861825000</v>
      </c>
      <c r="S241" s="2">
        <f t="shared" si="6"/>
        <v>0.11899999999999999</v>
      </c>
      <c r="T241" s="2">
        <f t="shared" si="7"/>
        <v>30314142800</v>
      </c>
    </row>
    <row r="242" spans="1:20" x14ac:dyDescent="0.3">
      <c r="A242" s="1">
        <v>40889</v>
      </c>
      <c r="B242" t="s">
        <v>227</v>
      </c>
      <c r="C242" t="s">
        <v>18</v>
      </c>
      <c r="D242" t="s">
        <v>52</v>
      </c>
      <c r="E242">
        <v>0.31900000000000001</v>
      </c>
      <c r="F242">
        <v>0.35199999999999998</v>
      </c>
      <c r="G242">
        <v>0.25600000000000001</v>
      </c>
      <c r="H242">
        <v>3.62</v>
      </c>
      <c r="I242" s="2">
        <v>1171134000</v>
      </c>
      <c r="J242" s="2">
        <v>115909100000</v>
      </c>
      <c r="K242" s="2">
        <v>31951317500</v>
      </c>
      <c r="L242" s="2">
        <v>48752100</v>
      </c>
      <c r="M242" s="2">
        <v>2237000000</v>
      </c>
      <c r="N242" s="2">
        <v>12081000000</v>
      </c>
      <c r="O242" s="2">
        <v>17212905000</v>
      </c>
      <c r="P242" s="2">
        <v>83326000000</v>
      </c>
      <c r="Q242" s="2">
        <v>12501412500</v>
      </c>
      <c r="R242" s="2">
        <v>20502100000</v>
      </c>
      <c r="S242" s="2">
        <f t="shared" si="6"/>
        <v>9.5999999999999974E-2</v>
      </c>
      <c r="T242" s="2">
        <f t="shared" si="7"/>
        <v>33171203600</v>
      </c>
    </row>
    <row r="243" spans="1:20" x14ac:dyDescent="0.3">
      <c r="A243" s="1">
        <v>40890</v>
      </c>
      <c r="B243" t="s">
        <v>222</v>
      </c>
      <c r="C243" t="s">
        <v>18</v>
      </c>
      <c r="D243" t="s">
        <v>29</v>
      </c>
      <c r="E243">
        <v>1.9890000000000001</v>
      </c>
      <c r="F243">
        <v>2.02</v>
      </c>
      <c r="G243">
        <v>1.85</v>
      </c>
      <c r="H243">
        <v>3.53</v>
      </c>
      <c r="I243" s="2">
        <v>768556600</v>
      </c>
      <c r="J243" s="2">
        <v>74173600000</v>
      </c>
      <c r="K243" s="2">
        <v>20966790400</v>
      </c>
      <c r="L243" s="2">
        <v>33267000</v>
      </c>
      <c r="M243" s="2">
        <v>1762674800</v>
      </c>
      <c r="N243" s="2">
        <v>7472000000</v>
      </c>
      <c r="O243" s="2">
        <v>6232546000</v>
      </c>
      <c r="P243" s="2">
        <v>46192000000</v>
      </c>
      <c r="Q243" s="2">
        <v>12971569600</v>
      </c>
      <c r="R243" s="2">
        <v>20509600000</v>
      </c>
      <c r="S243" s="2">
        <f t="shared" si="6"/>
        <v>0.16999999999999993</v>
      </c>
      <c r="T243" s="2">
        <f t="shared" si="7"/>
        <v>21768614000</v>
      </c>
    </row>
    <row r="244" spans="1:20" x14ac:dyDescent="0.3">
      <c r="A244" s="1">
        <v>40891</v>
      </c>
      <c r="B244" t="s">
        <v>221</v>
      </c>
      <c r="C244" t="s">
        <v>23</v>
      </c>
      <c r="D244" t="s">
        <v>72</v>
      </c>
      <c r="E244">
        <v>2.89</v>
      </c>
      <c r="F244">
        <v>2.9249999999999998</v>
      </c>
      <c r="G244">
        <v>2.8149999999999999</v>
      </c>
      <c r="H244">
        <v>3.05</v>
      </c>
      <c r="I244" s="2">
        <v>475773100</v>
      </c>
      <c r="J244" s="2">
        <v>39614570000</v>
      </c>
      <c r="K244" s="2">
        <v>12979616000</v>
      </c>
      <c r="L244" s="2">
        <v>20395000</v>
      </c>
      <c r="M244" s="2">
        <v>2750840000</v>
      </c>
      <c r="N244" s="2">
        <v>5262750000</v>
      </c>
      <c r="O244" s="2">
        <v>6006456000</v>
      </c>
      <c r="P244" s="2">
        <v>26651500000</v>
      </c>
      <c r="Q244" s="2">
        <v>4222320000</v>
      </c>
      <c r="R244" s="2">
        <v>7700320000</v>
      </c>
      <c r="S244" s="2">
        <f t="shared" si="6"/>
        <v>0.10999999999999988</v>
      </c>
      <c r="T244" s="2">
        <f t="shared" si="7"/>
        <v>13475784100</v>
      </c>
    </row>
    <row r="245" spans="1:20" x14ac:dyDescent="0.3">
      <c r="A245" s="1">
        <v>40896</v>
      </c>
      <c r="B245" t="s">
        <v>230</v>
      </c>
      <c r="C245" t="s">
        <v>18</v>
      </c>
      <c r="D245" t="s">
        <v>21</v>
      </c>
      <c r="E245">
        <v>0.22900000000000001</v>
      </c>
      <c r="F245">
        <v>0.24</v>
      </c>
      <c r="G245">
        <v>0.16600000000000001</v>
      </c>
      <c r="H245">
        <v>3.45</v>
      </c>
      <c r="I245" s="2">
        <v>1133425000</v>
      </c>
      <c r="J245" s="2">
        <v>120591170000</v>
      </c>
      <c r="K245" s="2">
        <v>34834727600</v>
      </c>
      <c r="L245" s="2">
        <v>165281400</v>
      </c>
      <c r="M245" s="2">
        <v>5118137600</v>
      </c>
      <c r="N245" s="2">
        <v>18435000000</v>
      </c>
      <c r="O245" s="2">
        <v>22175420000</v>
      </c>
      <c r="P245" s="2">
        <v>88548000000</v>
      </c>
      <c r="Q245" s="2">
        <v>7541170000</v>
      </c>
      <c r="R245" s="2">
        <v>13608170000</v>
      </c>
      <c r="S245" s="2">
        <f t="shared" si="6"/>
        <v>7.3999999999999982E-2</v>
      </c>
      <c r="T245" s="2">
        <f t="shared" si="7"/>
        <v>36133434000</v>
      </c>
    </row>
    <row r="246" spans="1:20" x14ac:dyDescent="0.3">
      <c r="A246" s="1">
        <v>40897</v>
      </c>
      <c r="B246" t="s">
        <v>229</v>
      </c>
      <c r="C246" t="s">
        <v>18</v>
      </c>
      <c r="D246" t="s">
        <v>19</v>
      </c>
      <c r="E246">
        <v>0.82</v>
      </c>
      <c r="F246">
        <v>0.88</v>
      </c>
      <c r="G246">
        <v>0.78700000000000003</v>
      </c>
      <c r="H246">
        <v>2.86</v>
      </c>
      <c r="I246" s="2">
        <v>1133424800</v>
      </c>
      <c r="J246" s="2">
        <v>100055910000</v>
      </c>
      <c r="K246" s="2">
        <v>34966762000</v>
      </c>
      <c r="L246" s="2">
        <v>33250600</v>
      </c>
      <c r="M246" s="2">
        <v>3182696000</v>
      </c>
      <c r="N246" s="2">
        <v>9494000000</v>
      </c>
      <c r="O246" s="2">
        <v>14099656000</v>
      </c>
      <c r="P246" s="2">
        <v>68293000000</v>
      </c>
      <c r="Q246" s="2">
        <v>17684410000</v>
      </c>
      <c r="R246" s="2">
        <v>22268910000</v>
      </c>
      <c r="S246" s="2">
        <f t="shared" si="6"/>
        <v>9.2999999999999972E-2</v>
      </c>
      <c r="T246" s="2">
        <f t="shared" si="7"/>
        <v>36133437400</v>
      </c>
    </row>
    <row r="247" spans="1:20" x14ac:dyDescent="0.3">
      <c r="A247" s="1">
        <v>40898</v>
      </c>
      <c r="B247" t="s">
        <v>228</v>
      </c>
      <c r="C247" t="s">
        <v>18</v>
      </c>
      <c r="D247" t="s">
        <v>68</v>
      </c>
      <c r="E247">
        <v>1.359</v>
      </c>
      <c r="F247">
        <v>1.43</v>
      </c>
      <c r="G247">
        <v>1.3</v>
      </c>
      <c r="H247">
        <v>2.68</v>
      </c>
      <c r="I247" s="2">
        <v>939123400</v>
      </c>
      <c r="J247" s="2">
        <v>77764445000</v>
      </c>
      <c r="K247" s="2">
        <v>28986003000</v>
      </c>
      <c r="L247" s="2">
        <v>14032500</v>
      </c>
      <c r="M247" s="2">
        <v>3752469500</v>
      </c>
      <c r="N247" s="2">
        <v>9889000000</v>
      </c>
      <c r="O247" s="2">
        <v>13056416000</v>
      </c>
      <c r="P247" s="2">
        <v>53218000000</v>
      </c>
      <c r="Q247" s="2">
        <v>12177117500</v>
      </c>
      <c r="R247" s="2">
        <v>14657445000</v>
      </c>
      <c r="S247" s="2">
        <f t="shared" si="6"/>
        <v>0.12999999999999989</v>
      </c>
      <c r="T247" s="2">
        <f t="shared" si="7"/>
        <v>29939158900</v>
      </c>
    </row>
    <row r="248" spans="1:20" x14ac:dyDescent="0.3">
      <c r="A248" s="1">
        <v>40918</v>
      </c>
      <c r="B248" t="s">
        <v>231</v>
      </c>
      <c r="C248" t="s">
        <v>18</v>
      </c>
      <c r="D248" t="s">
        <v>52</v>
      </c>
      <c r="E248">
        <v>0.35499999999999998</v>
      </c>
      <c r="F248">
        <v>0.37</v>
      </c>
      <c r="G248">
        <v>0.27600000000000002</v>
      </c>
      <c r="H248">
        <v>3.73</v>
      </c>
      <c r="I248" s="2">
        <v>2271146000</v>
      </c>
      <c r="J248" s="2">
        <v>119292210000</v>
      </c>
      <c r="K248" s="2">
        <v>31968173400</v>
      </c>
      <c r="L248" s="2">
        <v>32082800</v>
      </c>
      <c r="M248" s="2">
        <v>1704290000</v>
      </c>
      <c r="N248" s="2">
        <v>9547000000</v>
      </c>
      <c r="O248" s="2">
        <v>17949118400</v>
      </c>
      <c r="P248" s="2">
        <v>87268000000</v>
      </c>
      <c r="Q248" s="2">
        <v>12314765000</v>
      </c>
      <c r="R248" s="2">
        <v>22477210000</v>
      </c>
      <c r="S248" s="2">
        <f t="shared" si="6"/>
        <v>9.3999999999999972E-2</v>
      </c>
      <c r="T248" s="2">
        <f t="shared" si="7"/>
        <v>34271402200</v>
      </c>
    </row>
    <row r="249" spans="1:20" x14ac:dyDescent="0.3">
      <c r="A249" s="1">
        <v>40919</v>
      </c>
      <c r="B249" t="s">
        <v>222</v>
      </c>
      <c r="C249" t="s">
        <v>18</v>
      </c>
      <c r="D249" t="s">
        <v>59</v>
      </c>
      <c r="E249">
        <v>1.869</v>
      </c>
      <c r="F249">
        <v>1.9</v>
      </c>
      <c r="G249">
        <v>1.78</v>
      </c>
      <c r="H249">
        <v>3.29</v>
      </c>
      <c r="I249" s="2">
        <v>1490439400</v>
      </c>
      <c r="J249" s="2">
        <v>69024000000</v>
      </c>
      <c r="K249" s="2">
        <v>20979746100</v>
      </c>
      <c r="L249" s="2">
        <v>20331300</v>
      </c>
      <c r="M249" s="2">
        <v>3651743100</v>
      </c>
      <c r="N249" s="2">
        <v>11274000000</v>
      </c>
      <c r="O249" s="2">
        <v>9289552500</v>
      </c>
      <c r="P249" s="2">
        <v>44668000000</v>
      </c>
      <c r="Q249" s="2">
        <v>8038450500</v>
      </c>
      <c r="R249" s="2">
        <v>13082000000</v>
      </c>
      <c r="S249" s="2">
        <f t="shared" si="6"/>
        <v>0.11999999999999988</v>
      </c>
      <c r="T249" s="2">
        <f t="shared" si="7"/>
        <v>22490516800</v>
      </c>
    </row>
    <row r="250" spans="1:20" x14ac:dyDescent="0.3">
      <c r="A250" s="1">
        <v>40920</v>
      </c>
      <c r="B250" t="s">
        <v>221</v>
      </c>
      <c r="C250" t="s">
        <v>23</v>
      </c>
      <c r="D250" t="s">
        <v>91</v>
      </c>
      <c r="E250">
        <v>2.9140000000000001</v>
      </c>
      <c r="F250">
        <v>2.9849999999999999</v>
      </c>
      <c r="G250">
        <v>2.8</v>
      </c>
      <c r="H250">
        <v>2.6</v>
      </c>
      <c r="I250" s="2">
        <v>922652900</v>
      </c>
      <c r="J250" s="2">
        <v>33741200000</v>
      </c>
      <c r="K250" s="2">
        <v>12986800000</v>
      </c>
      <c r="L250" s="2">
        <v>13202900</v>
      </c>
      <c r="M250" s="2">
        <v>933600000</v>
      </c>
      <c r="N250" s="2">
        <v>3071600000</v>
      </c>
      <c r="O250" s="2">
        <v>7911130000</v>
      </c>
      <c r="P250" s="2">
        <v>24892000000</v>
      </c>
      <c r="Q250" s="2">
        <v>4142070000</v>
      </c>
      <c r="R250" s="2">
        <v>5777600000</v>
      </c>
      <c r="S250" s="2">
        <f t="shared" si="6"/>
        <v>0.18500000000000005</v>
      </c>
      <c r="T250" s="2">
        <f t="shared" si="7"/>
        <v>13922655800</v>
      </c>
    </row>
    <row r="251" spans="1:20" x14ac:dyDescent="0.3">
      <c r="A251" s="1">
        <v>40932</v>
      </c>
      <c r="B251" t="s">
        <v>234</v>
      </c>
      <c r="C251" t="s">
        <v>18</v>
      </c>
      <c r="D251" t="s">
        <v>21</v>
      </c>
      <c r="E251">
        <v>0.24199999999999999</v>
      </c>
      <c r="F251">
        <v>0.25</v>
      </c>
      <c r="G251">
        <v>0.17899999999999999</v>
      </c>
      <c r="H251">
        <v>3.75</v>
      </c>
      <c r="I251" s="2">
        <v>658621200</v>
      </c>
      <c r="J251" s="2">
        <v>131005800000</v>
      </c>
      <c r="K251" s="2">
        <v>34803517600</v>
      </c>
      <c r="L251" s="2">
        <v>196678200</v>
      </c>
      <c r="M251" s="2">
        <v>2876745600</v>
      </c>
      <c r="N251" s="2">
        <v>16711000000</v>
      </c>
      <c r="O251" s="2">
        <v>20479120000</v>
      </c>
      <c r="P251" s="2">
        <v>97710000000</v>
      </c>
      <c r="Q251" s="2">
        <v>11447652000</v>
      </c>
      <c r="R251" s="2">
        <v>16584800000</v>
      </c>
      <c r="S251" s="2">
        <f t="shared" si="6"/>
        <v>7.1000000000000008E-2</v>
      </c>
      <c r="T251" s="2">
        <f t="shared" si="7"/>
        <v>35658817000</v>
      </c>
    </row>
    <row r="252" spans="1:20" x14ac:dyDescent="0.3">
      <c r="A252" s="1">
        <v>40933</v>
      </c>
      <c r="B252" t="s">
        <v>233</v>
      </c>
      <c r="C252" t="s">
        <v>18</v>
      </c>
      <c r="D252" t="s">
        <v>19</v>
      </c>
      <c r="E252">
        <v>0.85799999999999998</v>
      </c>
      <c r="F252">
        <v>0.89900000000000002</v>
      </c>
      <c r="G252">
        <v>0.8</v>
      </c>
      <c r="H252">
        <v>3.17</v>
      </c>
      <c r="I252" s="2">
        <v>658621000</v>
      </c>
      <c r="J252" s="2">
        <v>110876000000</v>
      </c>
      <c r="K252" s="2">
        <v>34963616000</v>
      </c>
      <c r="L252" s="2">
        <v>36436300</v>
      </c>
      <c r="M252" s="2">
        <v>5278156000</v>
      </c>
      <c r="N252" s="2">
        <v>14635000000</v>
      </c>
      <c r="O252" s="2">
        <v>14514570000</v>
      </c>
      <c r="P252" s="2">
        <v>75926000000</v>
      </c>
      <c r="Q252" s="2">
        <v>15170890000</v>
      </c>
      <c r="R252" s="2">
        <v>20315000000</v>
      </c>
      <c r="S252" s="2">
        <f t="shared" si="6"/>
        <v>9.8999999999999977E-2</v>
      </c>
      <c r="T252" s="2">
        <f t="shared" si="7"/>
        <v>35658673300</v>
      </c>
    </row>
    <row r="253" spans="1:20" x14ac:dyDescent="0.3">
      <c r="A253" s="1">
        <v>40934</v>
      </c>
      <c r="B253" t="s">
        <v>232</v>
      </c>
      <c r="C253" t="s">
        <v>18</v>
      </c>
      <c r="D253" t="s">
        <v>68</v>
      </c>
      <c r="E253">
        <v>1.29</v>
      </c>
      <c r="F253">
        <v>1.359</v>
      </c>
      <c r="G253">
        <v>1.1970000000000001</v>
      </c>
      <c r="H253">
        <v>2.73</v>
      </c>
      <c r="I253" s="2">
        <v>545714500</v>
      </c>
      <c r="J253" s="2">
        <v>79281000000</v>
      </c>
      <c r="K253" s="2">
        <v>28974030000</v>
      </c>
      <c r="L253" s="2">
        <v>26004600</v>
      </c>
      <c r="M253" s="2">
        <v>3357590000</v>
      </c>
      <c r="N253" s="2">
        <v>9017000000</v>
      </c>
      <c r="O253" s="2">
        <v>16411440000</v>
      </c>
      <c r="P253" s="2">
        <v>57074000000</v>
      </c>
      <c r="Q253" s="2">
        <v>9205000000</v>
      </c>
      <c r="R253" s="2">
        <v>13190000000</v>
      </c>
      <c r="S253" s="2">
        <f t="shared" si="6"/>
        <v>0.16199999999999992</v>
      </c>
      <c r="T253" s="2">
        <f t="shared" si="7"/>
        <v>29545749100</v>
      </c>
    </row>
    <row r="254" spans="1:20" x14ac:dyDescent="0.3">
      <c r="A254" s="1">
        <v>40946</v>
      </c>
      <c r="B254" t="s">
        <v>237</v>
      </c>
      <c r="C254" t="s">
        <v>18</v>
      </c>
      <c r="D254" t="s">
        <v>52</v>
      </c>
      <c r="E254">
        <v>0.33200000000000002</v>
      </c>
      <c r="F254">
        <v>0.34699999999999998</v>
      </c>
      <c r="G254">
        <v>0.25</v>
      </c>
      <c r="H254">
        <v>3.3</v>
      </c>
      <c r="I254" s="2">
        <v>3901769900</v>
      </c>
      <c r="J254" s="2">
        <v>105641000000</v>
      </c>
      <c r="K254" s="2">
        <v>31962430000</v>
      </c>
      <c r="L254" s="2">
        <v>37618300</v>
      </c>
      <c r="M254" s="2">
        <v>2718170000</v>
      </c>
      <c r="N254" s="2">
        <v>11425000000</v>
      </c>
      <c r="O254" s="2">
        <v>20387260000</v>
      </c>
      <c r="P254" s="2">
        <v>79330000000</v>
      </c>
      <c r="Q254" s="2">
        <v>8857000000</v>
      </c>
      <c r="R254" s="2">
        <v>14886000000</v>
      </c>
      <c r="S254" s="2">
        <f t="shared" si="6"/>
        <v>9.6999999999999975E-2</v>
      </c>
      <c r="T254" s="2">
        <f t="shared" si="7"/>
        <v>35901818200</v>
      </c>
    </row>
    <row r="255" spans="1:20" x14ac:dyDescent="0.3">
      <c r="A255" s="1">
        <v>40947</v>
      </c>
      <c r="B255" t="s">
        <v>236</v>
      </c>
      <c r="C255" t="s">
        <v>18</v>
      </c>
      <c r="D255" t="s">
        <v>26</v>
      </c>
      <c r="E255">
        <v>1.978</v>
      </c>
      <c r="F255">
        <v>2.02</v>
      </c>
      <c r="G255">
        <v>1.9</v>
      </c>
      <c r="H255">
        <v>3.05</v>
      </c>
      <c r="I255" s="2">
        <v>2926327400</v>
      </c>
      <c r="J255" s="2">
        <v>73138000000</v>
      </c>
      <c r="K255" s="2">
        <v>23872684000</v>
      </c>
      <c r="L255" s="2">
        <v>47322600</v>
      </c>
      <c r="M255" s="2">
        <v>4266304500</v>
      </c>
      <c r="N255" s="2">
        <v>8857500000</v>
      </c>
      <c r="O255" s="2">
        <v>10327060000</v>
      </c>
      <c r="P255" s="2">
        <v>49360000000</v>
      </c>
      <c r="Q255" s="2">
        <v>9279319500</v>
      </c>
      <c r="R255" s="2">
        <v>14920500000</v>
      </c>
      <c r="S255" s="2">
        <f t="shared" si="6"/>
        <v>0.12000000000000011</v>
      </c>
      <c r="T255" s="2">
        <f t="shared" si="7"/>
        <v>26846334000</v>
      </c>
    </row>
    <row r="256" spans="1:20" x14ac:dyDescent="0.3">
      <c r="A256" s="1">
        <v>40948</v>
      </c>
      <c r="B256" t="s">
        <v>235</v>
      </c>
      <c r="C256" t="s">
        <v>23</v>
      </c>
      <c r="D256" t="s">
        <v>65</v>
      </c>
      <c r="E256">
        <v>3.18</v>
      </c>
      <c r="F256">
        <v>3.24</v>
      </c>
      <c r="G256">
        <v>3</v>
      </c>
      <c r="H256">
        <v>2.4700000000000002</v>
      </c>
      <c r="I256" s="2">
        <v>1950884900</v>
      </c>
      <c r="J256" s="2">
        <v>39462270000</v>
      </c>
      <c r="K256" s="2">
        <v>15963522900</v>
      </c>
      <c r="L256" s="2">
        <v>36497500</v>
      </c>
      <c r="M256" s="2">
        <v>2354000000</v>
      </c>
      <c r="N256" s="2">
        <v>4865000000</v>
      </c>
      <c r="O256" s="2">
        <v>8952073000</v>
      </c>
      <c r="P256" s="2">
        <v>27031000000</v>
      </c>
      <c r="Q256" s="2">
        <v>4657449900</v>
      </c>
      <c r="R256" s="2">
        <v>7566270000</v>
      </c>
      <c r="S256" s="2">
        <f t="shared" si="6"/>
        <v>0.24000000000000021</v>
      </c>
      <c r="T256" s="2">
        <f t="shared" si="7"/>
        <v>17950905300</v>
      </c>
    </row>
    <row r="257" spans="1:20" x14ac:dyDescent="0.3">
      <c r="A257" s="1">
        <v>40960</v>
      </c>
      <c r="B257" t="s">
        <v>239</v>
      </c>
      <c r="C257" t="s">
        <v>18</v>
      </c>
      <c r="D257" t="s">
        <v>21</v>
      </c>
      <c r="E257">
        <v>0.28999999999999998</v>
      </c>
      <c r="F257">
        <v>0.31</v>
      </c>
      <c r="G257">
        <v>0.22</v>
      </c>
      <c r="H257">
        <v>3.54</v>
      </c>
      <c r="I257" s="2">
        <v>496813200</v>
      </c>
      <c r="J257" s="2">
        <v>123757409000</v>
      </c>
      <c r="K257" s="2">
        <v>34832549000</v>
      </c>
      <c r="L257" s="2">
        <v>167593800</v>
      </c>
      <c r="M257" s="2">
        <v>3310857500</v>
      </c>
      <c r="N257" s="2">
        <v>14135000000</v>
      </c>
      <c r="O257" s="2">
        <v>19036102500</v>
      </c>
      <c r="P257" s="2">
        <v>90840000000</v>
      </c>
      <c r="Q257" s="2">
        <v>12485589000</v>
      </c>
      <c r="R257" s="2">
        <v>18782409000</v>
      </c>
      <c r="S257" s="2">
        <f t="shared" si="6"/>
        <v>0.09</v>
      </c>
      <c r="T257" s="2">
        <f t="shared" si="7"/>
        <v>35496956000</v>
      </c>
    </row>
    <row r="258" spans="1:20" x14ac:dyDescent="0.3">
      <c r="A258" s="1">
        <v>40961</v>
      </c>
      <c r="B258" t="s">
        <v>240</v>
      </c>
      <c r="C258" t="s">
        <v>18</v>
      </c>
      <c r="D258" t="s">
        <v>19</v>
      </c>
      <c r="E258">
        <v>0.85</v>
      </c>
      <c r="F258">
        <v>0.9</v>
      </c>
      <c r="G258">
        <v>0.8</v>
      </c>
      <c r="H258">
        <v>2.89</v>
      </c>
      <c r="I258" s="2">
        <v>496813000</v>
      </c>
      <c r="J258" s="2">
        <v>101063500000</v>
      </c>
      <c r="K258" s="2">
        <v>34965569800</v>
      </c>
      <c r="L258" s="2">
        <v>34635400</v>
      </c>
      <c r="M258" s="2">
        <v>4506533000</v>
      </c>
      <c r="N258" s="2">
        <v>11028000000</v>
      </c>
      <c r="O258" s="2">
        <v>15845117500</v>
      </c>
      <c r="P258" s="2">
        <v>69920000000</v>
      </c>
      <c r="Q258" s="2">
        <v>14613919300</v>
      </c>
      <c r="R258" s="2">
        <v>20115500000</v>
      </c>
      <c r="S258" s="2">
        <f t="shared" ref="S258:S321" si="8">SUM($F258,-$G258)</f>
        <v>9.9999999999999978E-2</v>
      </c>
      <c r="T258" s="2">
        <f t="shared" ref="T258:T321" si="9">SUM(I258,K258,L258)</f>
        <v>35497018200</v>
      </c>
    </row>
    <row r="259" spans="1:20" x14ac:dyDescent="0.3">
      <c r="A259" s="1">
        <v>40962</v>
      </c>
      <c r="B259" t="s">
        <v>238</v>
      </c>
      <c r="C259" t="s">
        <v>18</v>
      </c>
      <c r="D259" t="s">
        <v>68</v>
      </c>
      <c r="E259">
        <v>1.39</v>
      </c>
      <c r="F259">
        <v>1.4179999999999999</v>
      </c>
      <c r="G259">
        <v>1.345</v>
      </c>
      <c r="H259">
        <v>3.11</v>
      </c>
      <c r="I259" s="2">
        <v>411645000</v>
      </c>
      <c r="J259" s="2">
        <v>90179900000</v>
      </c>
      <c r="K259" s="2">
        <v>28980240000</v>
      </c>
      <c r="L259" s="2">
        <v>19769800</v>
      </c>
      <c r="M259" s="2">
        <v>5583540000</v>
      </c>
      <c r="N259" s="2">
        <v>12687000000</v>
      </c>
      <c r="O259" s="2">
        <v>11269000000</v>
      </c>
      <c r="P259" s="2">
        <v>58225000000</v>
      </c>
      <c r="Q259" s="2">
        <v>12127700000</v>
      </c>
      <c r="R259" s="2">
        <v>19267900000</v>
      </c>
      <c r="S259" s="2">
        <f t="shared" si="8"/>
        <v>7.2999999999999954E-2</v>
      </c>
      <c r="T259" s="2">
        <f t="shared" si="9"/>
        <v>29411654800</v>
      </c>
    </row>
    <row r="260" spans="1:20" x14ac:dyDescent="0.3">
      <c r="A260" s="1">
        <v>40980</v>
      </c>
      <c r="B260" t="s">
        <v>241</v>
      </c>
      <c r="C260" t="s">
        <v>18</v>
      </c>
      <c r="D260" t="s">
        <v>52</v>
      </c>
      <c r="E260">
        <v>0.436</v>
      </c>
      <c r="F260">
        <v>0.45600000000000002</v>
      </c>
      <c r="G260">
        <v>0.35799999999999998</v>
      </c>
      <c r="H260">
        <v>3.44</v>
      </c>
      <c r="I260" s="2">
        <v>2221922200</v>
      </c>
      <c r="J260" s="2">
        <v>109915300000</v>
      </c>
      <c r="K260" s="2">
        <v>31966062500</v>
      </c>
      <c r="L260" s="2">
        <v>33962800</v>
      </c>
      <c r="M260" s="2">
        <v>2843000000</v>
      </c>
      <c r="N260" s="2">
        <v>12943000000</v>
      </c>
      <c r="O260" s="2">
        <v>18064662500</v>
      </c>
      <c r="P260" s="2">
        <v>81481000000</v>
      </c>
      <c r="Q260" s="2">
        <v>11058400000</v>
      </c>
      <c r="R260" s="2">
        <v>15491300000</v>
      </c>
      <c r="S260" s="2">
        <f t="shared" si="8"/>
        <v>9.8000000000000032E-2</v>
      </c>
      <c r="T260" s="2">
        <f t="shared" si="9"/>
        <v>34221947500</v>
      </c>
    </row>
    <row r="261" spans="1:20" x14ac:dyDescent="0.3">
      <c r="A261" s="1">
        <v>40981</v>
      </c>
      <c r="B261" t="s">
        <v>236</v>
      </c>
      <c r="C261" t="s">
        <v>18</v>
      </c>
      <c r="D261" t="s">
        <v>29</v>
      </c>
      <c r="E261">
        <v>2.0249999999999999</v>
      </c>
      <c r="F261">
        <v>2.0760000000000001</v>
      </c>
      <c r="G261">
        <v>1.95</v>
      </c>
      <c r="H261">
        <v>3.24</v>
      </c>
      <c r="I261" s="2">
        <v>1458136400</v>
      </c>
      <c r="J261" s="2">
        <v>68025200000</v>
      </c>
      <c r="K261" s="2">
        <v>20979800000</v>
      </c>
      <c r="L261" s="2">
        <v>20387300</v>
      </c>
      <c r="M261" s="2">
        <v>4063600000</v>
      </c>
      <c r="N261" s="2">
        <v>9623000000</v>
      </c>
      <c r="O261" s="2">
        <v>8811000000</v>
      </c>
      <c r="P261" s="2">
        <v>46838000000</v>
      </c>
      <c r="Q261" s="2">
        <v>8105200000</v>
      </c>
      <c r="R261" s="2">
        <v>11564200000</v>
      </c>
      <c r="S261" s="2">
        <f t="shared" si="8"/>
        <v>0.12600000000000011</v>
      </c>
      <c r="T261" s="2">
        <f t="shared" si="9"/>
        <v>22458323700</v>
      </c>
    </row>
    <row r="262" spans="1:20" x14ac:dyDescent="0.3">
      <c r="A262" s="1">
        <v>40982</v>
      </c>
      <c r="B262" t="s">
        <v>235</v>
      </c>
      <c r="C262" t="s">
        <v>23</v>
      </c>
      <c r="D262" t="s">
        <v>72</v>
      </c>
      <c r="E262">
        <v>3.32</v>
      </c>
      <c r="F262">
        <v>3.383</v>
      </c>
      <c r="G262">
        <v>3.2</v>
      </c>
      <c r="H262">
        <v>2.7</v>
      </c>
      <c r="I262" s="2">
        <v>902655800</v>
      </c>
      <c r="J262" s="2">
        <v>35077150000</v>
      </c>
      <c r="K262" s="2">
        <v>12992497000</v>
      </c>
      <c r="L262" s="2">
        <v>7505600</v>
      </c>
      <c r="M262" s="2">
        <v>1910937000</v>
      </c>
      <c r="N262" s="2">
        <v>4350500000</v>
      </c>
      <c r="O262" s="2">
        <v>7317000000</v>
      </c>
      <c r="P262" s="2">
        <v>24152000000</v>
      </c>
      <c r="Q262" s="2">
        <v>3764560000</v>
      </c>
      <c r="R262" s="2">
        <v>6574650000</v>
      </c>
      <c r="S262" s="2">
        <f t="shared" si="8"/>
        <v>0.18299999999999983</v>
      </c>
      <c r="T262" s="2">
        <f t="shared" si="9"/>
        <v>13902658400</v>
      </c>
    </row>
    <row r="263" spans="1:20" x14ac:dyDescent="0.3">
      <c r="A263" s="1">
        <v>40995</v>
      </c>
      <c r="B263" t="s">
        <v>244</v>
      </c>
      <c r="C263" t="s">
        <v>18</v>
      </c>
      <c r="D263" t="s">
        <v>21</v>
      </c>
      <c r="E263">
        <v>0.32400000000000001</v>
      </c>
      <c r="F263">
        <v>0.34</v>
      </c>
      <c r="G263">
        <v>0.27900000000000003</v>
      </c>
      <c r="H263">
        <v>3.69</v>
      </c>
      <c r="I263" s="2">
        <v>830890100</v>
      </c>
      <c r="J263" s="2">
        <v>129117373000</v>
      </c>
      <c r="K263" s="2">
        <v>34811973000</v>
      </c>
      <c r="L263" s="2">
        <v>188225000</v>
      </c>
      <c r="M263" s="2">
        <v>7455200000</v>
      </c>
      <c r="N263" s="2">
        <v>18386000000</v>
      </c>
      <c r="O263" s="2">
        <v>15423000000</v>
      </c>
      <c r="P263" s="2">
        <v>91674000000</v>
      </c>
      <c r="Q263" s="2">
        <v>11933773000</v>
      </c>
      <c r="R263" s="2">
        <v>19057373000</v>
      </c>
      <c r="S263" s="2">
        <f t="shared" si="8"/>
        <v>6.0999999999999999E-2</v>
      </c>
      <c r="T263" s="2">
        <f t="shared" si="9"/>
        <v>35831088100</v>
      </c>
    </row>
    <row r="264" spans="1:20" x14ac:dyDescent="0.3">
      <c r="A264" s="1">
        <v>40996</v>
      </c>
      <c r="B264" t="s">
        <v>243</v>
      </c>
      <c r="C264" t="s">
        <v>18</v>
      </c>
      <c r="D264" t="s">
        <v>19</v>
      </c>
      <c r="E264">
        <v>0.99</v>
      </c>
      <c r="F264">
        <v>1.04</v>
      </c>
      <c r="G264">
        <v>0.93</v>
      </c>
      <c r="H264">
        <v>2.85</v>
      </c>
      <c r="I264" s="2">
        <v>830889900</v>
      </c>
      <c r="J264" s="2">
        <v>99851700000</v>
      </c>
      <c r="K264" s="2">
        <v>34971448400</v>
      </c>
      <c r="L264" s="2">
        <v>28643500</v>
      </c>
      <c r="M264" s="2">
        <v>3968025000</v>
      </c>
      <c r="N264" s="2">
        <v>11888000000</v>
      </c>
      <c r="O264" s="2">
        <v>16349483400</v>
      </c>
      <c r="P264" s="2">
        <v>69992000000</v>
      </c>
      <c r="Q264" s="2">
        <v>14653940000</v>
      </c>
      <c r="R264" s="2">
        <v>17971700000</v>
      </c>
      <c r="S264" s="2">
        <f t="shared" si="8"/>
        <v>0.10999999999999999</v>
      </c>
      <c r="T264" s="2">
        <f t="shared" si="9"/>
        <v>35830981800</v>
      </c>
    </row>
    <row r="265" spans="1:20" x14ac:dyDescent="0.3">
      <c r="A265" s="1">
        <v>40997</v>
      </c>
      <c r="B265" t="s">
        <v>242</v>
      </c>
      <c r="C265" t="s">
        <v>18</v>
      </c>
      <c r="D265" t="s">
        <v>68</v>
      </c>
      <c r="E265">
        <v>1.5289999999999999</v>
      </c>
      <c r="F265">
        <v>1.59</v>
      </c>
      <c r="G265">
        <v>1.4670000000000001</v>
      </c>
      <c r="H265">
        <v>2.72</v>
      </c>
      <c r="I265" s="2">
        <v>688451700</v>
      </c>
      <c r="J265" s="2">
        <v>78832895000</v>
      </c>
      <c r="K265" s="2">
        <v>28987303000</v>
      </c>
      <c r="L265" s="2">
        <v>12740700</v>
      </c>
      <c r="M265" s="2">
        <v>3885284000</v>
      </c>
      <c r="N265" s="2">
        <v>9462000000</v>
      </c>
      <c r="O265" s="2">
        <v>12699589000</v>
      </c>
      <c r="P265" s="2">
        <v>53259000000</v>
      </c>
      <c r="Q265" s="2">
        <v>12402430000</v>
      </c>
      <c r="R265" s="2">
        <v>16111895000</v>
      </c>
      <c r="S265" s="2">
        <f t="shared" si="8"/>
        <v>0.123</v>
      </c>
      <c r="T265" s="2">
        <f t="shared" si="9"/>
        <v>29688495400</v>
      </c>
    </row>
    <row r="266" spans="1:20" x14ac:dyDescent="0.3">
      <c r="A266" s="1">
        <v>41009</v>
      </c>
      <c r="B266" t="s">
        <v>245</v>
      </c>
      <c r="C266" t="s">
        <v>18</v>
      </c>
      <c r="D266" t="s">
        <v>52</v>
      </c>
      <c r="E266">
        <v>0.40300000000000002</v>
      </c>
      <c r="F266">
        <v>0.42699999999999999</v>
      </c>
      <c r="G266">
        <v>0.33</v>
      </c>
      <c r="H266">
        <v>3.36</v>
      </c>
      <c r="I266" s="2">
        <v>5822666200</v>
      </c>
      <c r="J266" s="2">
        <v>107441100000</v>
      </c>
      <c r="K266" s="2">
        <v>31960290000</v>
      </c>
      <c r="L266" s="2">
        <v>39741800</v>
      </c>
      <c r="M266" s="2">
        <v>2496040000</v>
      </c>
      <c r="N266" s="2">
        <v>10789000000</v>
      </c>
      <c r="O266" s="2">
        <v>16679150000</v>
      </c>
      <c r="P266" s="2">
        <v>79384000000</v>
      </c>
      <c r="Q266" s="2">
        <v>12785100000</v>
      </c>
      <c r="R266" s="2">
        <v>17268100000</v>
      </c>
      <c r="S266" s="2">
        <f t="shared" si="8"/>
        <v>9.6999999999999975E-2</v>
      </c>
      <c r="T266" s="2">
        <f t="shared" si="9"/>
        <v>37822698000</v>
      </c>
    </row>
    <row r="267" spans="1:20" x14ac:dyDescent="0.3">
      <c r="A267" s="1">
        <v>41010</v>
      </c>
      <c r="B267" t="s">
        <v>236</v>
      </c>
      <c r="C267" t="s">
        <v>18</v>
      </c>
      <c r="D267" t="s">
        <v>59</v>
      </c>
      <c r="E267">
        <v>1.9790000000000001</v>
      </c>
      <c r="F267">
        <v>2.0430000000000001</v>
      </c>
      <c r="G267">
        <v>1.8</v>
      </c>
      <c r="H267">
        <v>3.08</v>
      </c>
      <c r="I267" s="2">
        <v>3821124600</v>
      </c>
      <c r="J267" s="2">
        <v>64699050000</v>
      </c>
      <c r="K267" s="2">
        <v>20991225000</v>
      </c>
      <c r="L267" s="2">
        <v>8780800</v>
      </c>
      <c r="M267" s="2">
        <v>2307835000</v>
      </c>
      <c r="N267" s="2">
        <v>7157000000</v>
      </c>
      <c r="O267" s="2">
        <v>10603371000</v>
      </c>
      <c r="P267" s="2">
        <v>45262000000</v>
      </c>
      <c r="Q267" s="2">
        <v>8080019000</v>
      </c>
      <c r="R267" s="2">
        <v>12280050000</v>
      </c>
      <c r="S267" s="2">
        <f t="shared" si="8"/>
        <v>0.2430000000000001</v>
      </c>
      <c r="T267" s="2">
        <f t="shared" si="9"/>
        <v>24821130400</v>
      </c>
    </row>
    <row r="268" spans="1:20" x14ac:dyDescent="0.3">
      <c r="A268" s="1">
        <v>41011</v>
      </c>
      <c r="B268" t="s">
        <v>235</v>
      </c>
      <c r="C268" t="s">
        <v>23</v>
      </c>
      <c r="D268" t="s">
        <v>91</v>
      </c>
      <c r="E268">
        <v>3.1709999999999998</v>
      </c>
      <c r="F268">
        <v>3.23</v>
      </c>
      <c r="G268">
        <v>3.1</v>
      </c>
      <c r="H268">
        <v>2.76</v>
      </c>
      <c r="I268" s="2">
        <v>2365458100</v>
      </c>
      <c r="J268" s="2">
        <v>35879700000</v>
      </c>
      <c r="K268" s="2">
        <v>12994979500</v>
      </c>
      <c r="L268" s="2">
        <v>5030300</v>
      </c>
      <c r="M268" s="2">
        <v>1739567000</v>
      </c>
      <c r="N268" s="2">
        <v>4450250000</v>
      </c>
      <c r="O268" s="2">
        <v>7269377500</v>
      </c>
      <c r="P268" s="2">
        <v>24762000000</v>
      </c>
      <c r="Q268" s="2">
        <v>3986035000</v>
      </c>
      <c r="R268" s="2">
        <v>6667450000</v>
      </c>
      <c r="S268" s="2">
        <f t="shared" si="8"/>
        <v>0.12999999999999989</v>
      </c>
      <c r="T268" s="2">
        <f t="shared" si="9"/>
        <v>15365467900</v>
      </c>
    </row>
    <row r="269" spans="1:20" x14ac:dyDescent="0.3">
      <c r="A269" s="1">
        <v>41023</v>
      </c>
      <c r="B269" t="s">
        <v>248</v>
      </c>
      <c r="C269" t="s">
        <v>18</v>
      </c>
      <c r="D269" t="s">
        <v>21</v>
      </c>
      <c r="E269">
        <v>0.25</v>
      </c>
      <c r="F269">
        <v>0.27</v>
      </c>
      <c r="G269">
        <v>0.20699999999999999</v>
      </c>
      <c r="H269">
        <v>3.76</v>
      </c>
      <c r="I269" s="2">
        <v>940358300</v>
      </c>
      <c r="J269" s="2">
        <v>131425700000</v>
      </c>
      <c r="K269" s="2">
        <v>34837391300</v>
      </c>
      <c r="L269" s="2">
        <v>162743700</v>
      </c>
      <c r="M269" s="2">
        <v>2725000000</v>
      </c>
      <c r="N269" s="2">
        <v>18468000000</v>
      </c>
      <c r="O269" s="2">
        <v>20916839700</v>
      </c>
      <c r="P269" s="2">
        <v>96986000000</v>
      </c>
      <c r="Q269" s="2">
        <v>11195551600</v>
      </c>
      <c r="R269" s="2">
        <v>15971700000</v>
      </c>
      <c r="S269" s="2">
        <f t="shared" si="8"/>
        <v>6.3000000000000028E-2</v>
      </c>
      <c r="T269" s="2">
        <f t="shared" si="9"/>
        <v>35940493300</v>
      </c>
    </row>
    <row r="270" spans="1:20" x14ac:dyDescent="0.3">
      <c r="A270" s="1">
        <v>41024</v>
      </c>
      <c r="B270" t="s">
        <v>247</v>
      </c>
      <c r="C270" t="s">
        <v>18</v>
      </c>
      <c r="D270" t="s">
        <v>19</v>
      </c>
      <c r="E270">
        <v>0.84499999999999997</v>
      </c>
      <c r="F270">
        <v>0.88700000000000001</v>
      </c>
      <c r="G270">
        <v>0.79200000000000004</v>
      </c>
      <c r="H270">
        <v>3.09</v>
      </c>
      <c r="I270" s="2">
        <v>940358100</v>
      </c>
      <c r="J270" s="2">
        <v>108169270000</v>
      </c>
      <c r="K270" s="2">
        <v>34977756000</v>
      </c>
      <c r="L270" s="2">
        <v>22249400</v>
      </c>
      <c r="M270" s="2">
        <v>3280000000</v>
      </c>
      <c r="N270" s="2">
        <v>13626000000</v>
      </c>
      <c r="O270" s="2">
        <v>15070486000</v>
      </c>
      <c r="P270" s="2">
        <v>74775000000</v>
      </c>
      <c r="Q270" s="2">
        <v>16627270000</v>
      </c>
      <c r="R270" s="2">
        <v>19768270000</v>
      </c>
      <c r="S270" s="2">
        <f t="shared" si="8"/>
        <v>9.4999999999999973E-2</v>
      </c>
      <c r="T270" s="2">
        <f t="shared" si="9"/>
        <v>35940363500</v>
      </c>
    </row>
    <row r="271" spans="1:20" x14ac:dyDescent="0.3">
      <c r="A271" s="1">
        <v>41025</v>
      </c>
      <c r="B271" t="s">
        <v>246</v>
      </c>
      <c r="C271" t="s">
        <v>18</v>
      </c>
      <c r="D271" t="s">
        <v>68</v>
      </c>
      <c r="E271">
        <v>1.3069999999999999</v>
      </c>
      <c r="F271">
        <v>1.347</v>
      </c>
      <c r="G271">
        <v>1.25</v>
      </c>
      <c r="H271">
        <v>2.83</v>
      </c>
      <c r="I271" s="2">
        <v>779153800</v>
      </c>
      <c r="J271" s="2">
        <v>82108400000</v>
      </c>
      <c r="K271" s="2">
        <v>28963068000</v>
      </c>
      <c r="L271" s="2">
        <v>11979600</v>
      </c>
      <c r="M271" s="2">
        <v>5110000000</v>
      </c>
      <c r="N271" s="2">
        <v>10057000000</v>
      </c>
      <c r="O271" s="2">
        <v>12777548000</v>
      </c>
      <c r="P271" s="2">
        <v>58451000000</v>
      </c>
      <c r="Q271" s="2">
        <v>11075520000</v>
      </c>
      <c r="R271" s="2">
        <v>13600400000</v>
      </c>
      <c r="S271" s="2">
        <f t="shared" si="8"/>
        <v>9.6999999999999975E-2</v>
      </c>
      <c r="T271" s="2">
        <f t="shared" si="9"/>
        <v>29754201400</v>
      </c>
    </row>
    <row r="272" spans="1:20" x14ac:dyDescent="0.3">
      <c r="A272" s="1">
        <v>41037</v>
      </c>
      <c r="B272" t="s">
        <v>250</v>
      </c>
      <c r="C272" t="s">
        <v>18</v>
      </c>
      <c r="D272" t="s">
        <v>52</v>
      </c>
      <c r="E272">
        <v>0.34</v>
      </c>
      <c r="F272">
        <v>0.36199999999999999</v>
      </c>
      <c r="G272">
        <v>0.27200000000000002</v>
      </c>
      <c r="H272">
        <v>3.65</v>
      </c>
      <c r="I272" s="2">
        <v>2001928400</v>
      </c>
      <c r="J272" s="2">
        <v>116826100000</v>
      </c>
      <c r="K272" s="2">
        <v>31964617500</v>
      </c>
      <c r="L272" s="2">
        <v>35557600</v>
      </c>
      <c r="M272" s="2">
        <v>3592935000</v>
      </c>
      <c r="N272" s="2">
        <v>14913000000</v>
      </c>
      <c r="O272" s="2">
        <v>16962902500</v>
      </c>
      <c r="P272" s="2">
        <v>84544000000</v>
      </c>
      <c r="Q272" s="2">
        <v>11408780000</v>
      </c>
      <c r="R272" s="2">
        <v>17369100000</v>
      </c>
      <c r="S272" s="2">
        <f t="shared" si="8"/>
        <v>8.9999999999999969E-2</v>
      </c>
      <c r="T272" s="2">
        <f t="shared" si="9"/>
        <v>34002103500</v>
      </c>
    </row>
    <row r="273" spans="1:20" x14ac:dyDescent="0.3">
      <c r="A273" s="1">
        <v>41038</v>
      </c>
      <c r="B273" t="s">
        <v>249</v>
      </c>
      <c r="C273" t="s">
        <v>18</v>
      </c>
      <c r="D273" t="s">
        <v>26</v>
      </c>
      <c r="E273">
        <v>1.81</v>
      </c>
      <c r="F273">
        <v>1.855</v>
      </c>
      <c r="G273">
        <v>1.7</v>
      </c>
      <c r="H273">
        <v>2.9</v>
      </c>
      <c r="I273" s="2">
        <v>1501446300</v>
      </c>
      <c r="J273" s="2">
        <v>69492200000</v>
      </c>
      <c r="K273" s="2">
        <v>23977009000</v>
      </c>
      <c r="L273" s="2">
        <v>23077600</v>
      </c>
      <c r="M273" s="2">
        <v>3786000000</v>
      </c>
      <c r="N273" s="2">
        <v>8947000000</v>
      </c>
      <c r="O273" s="2">
        <v>10905315000</v>
      </c>
      <c r="P273" s="2">
        <v>47119000000</v>
      </c>
      <c r="Q273" s="2">
        <v>9285694000</v>
      </c>
      <c r="R273" s="2">
        <v>13426200000</v>
      </c>
      <c r="S273" s="2">
        <f t="shared" si="8"/>
        <v>0.15500000000000003</v>
      </c>
      <c r="T273" s="2">
        <f t="shared" si="9"/>
        <v>25501532900</v>
      </c>
    </row>
    <row r="274" spans="1:20" x14ac:dyDescent="0.3">
      <c r="A274" s="1">
        <v>41039</v>
      </c>
      <c r="B274" t="s">
        <v>251</v>
      </c>
      <c r="C274" t="s">
        <v>23</v>
      </c>
      <c r="D274" t="s">
        <v>65</v>
      </c>
      <c r="E274">
        <v>3.06</v>
      </c>
      <c r="F274">
        <v>3.09</v>
      </c>
      <c r="G274">
        <v>2.97</v>
      </c>
      <c r="H274">
        <v>2.73</v>
      </c>
      <c r="I274" s="2">
        <v>1000964200</v>
      </c>
      <c r="J274" s="2">
        <v>43633200000</v>
      </c>
      <c r="K274" s="2">
        <v>15980516700</v>
      </c>
      <c r="L274" s="2">
        <v>19538900</v>
      </c>
      <c r="M274" s="2">
        <v>2463688600</v>
      </c>
      <c r="N274" s="2">
        <v>5995000000</v>
      </c>
      <c r="O274" s="2">
        <v>8121952500</v>
      </c>
      <c r="P274" s="2">
        <v>28742000000</v>
      </c>
      <c r="Q274" s="2">
        <v>5394875600</v>
      </c>
      <c r="R274" s="2">
        <v>8896200000</v>
      </c>
      <c r="S274" s="2">
        <f t="shared" si="8"/>
        <v>0.11999999999999966</v>
      </c>
      <c r="T274" s="2">
        <f t="shared" si="9"/>
        <v>17001019800</v>
      </c>
    </row>
    <row r="275" spans="1:20" x14ac:dyDescent="0.3">
      <c r="A275" s="1">
        <v>41051</v>
      </c>
      <c r="B275" t="s">
        <v>254</v>
      </c>
      <c r="C275" t="s">
        <v>18</v>
      </c>
      <c r="D275" t="s">
        <v>21</v>
      </c>
      <c r="E275">
        <v>0.28599999999999998</v>
      </c>
      <c r="F275">
        <v>0.3</v>
      </c>
      <c r="G275">
        <v>0.22700000000000001</v>
      </c>
      <c r="H275">
        <v>3.95</v>
      </c>
      <c r="I275" s="2">
        <v>469400</v>
      </c>
      <c r="J275" s="2">
        <v>138094800000</v>
      </c>
      <c r="K275" s="2">
        <v>34814977000</v>
      </c>
      <c r="L275" s="2">
        <v>185356900</v>
      </c>
      <c r="M275" s="2">
        <v>3125814500</v>
      </c>
      <c r="N275" s="2">
        <v>16218000000</v>
      </c>
      <c r="O275" s="2">
        <v>20022030000</v>
      </c>
      <c r="P275" s="2">
        <v>104934000000</v>
      </c>
      <c r="Q275" s="2">
        <v>11667132500</v>
      </c>
      <c r="R275" s="2">
        <v>16942800000</v>
      </c>
      <c r="S275" s="2">
        <f t="shared" si="8"/>
        <v>7.2999999999999982E-2</v>
      </c>
      <c r="T275" s="2">
        <f t="shared" si="9"/>
        <v>35000803300</v>
      </c>
    </row>
    <row r="276" spans="1:20" x14ac:dyDescent="0.3">
      <c r="A276" s="1">
        <v>41052</v>
      </c>
      <c r="B276" t="s">
        <v>253</v>
      </c>
      <c r="C276" t="s">
        <v>18</v>
      </c>
      <c r="D276" t="s">
        <v>19</v>
      </c>
      <c r="E276">
        <v>0.7</v>
      </c>
      <c r="F276">
        <v>0.748</v>
      </c>
      <c r="G276">
        <v>0.65</v>
      </c>
      <c r="H276">
        <v>2.99</v>
      </c>
      <c r="I276" s="2">
        <v>469200</v>
      </c>
      <c r="J276" s="2">
        <v>104609525000</v>
      </c>
      <c r="K276" s="2">
        <v>34925512500</v>
      </c>
      <c r="L276" s="2">
        <v>49500400</v>
      </c>
      <c r="M276" s="2">
        <v>2281425000</v>
      </c>
      <c r="N276" s="2">
        <v>12174000000</v>
      </c>
      <c r="O276" s="2">
        <v>17773022500</v>
      </c>
      <c r="P276" s="2">
        <v>74086000000</v>
      </c>
      <c r="Q276" s="2">
        <v>14871065000</v>
      </c>
      <c r="R276" s="2">
        <v>18349525000</v>
      </c>
      <c r="S276" s="2">
        <f t="shared" si="8"/>
        <v>9.7999999999999976E-2</v>
      </c>
      <c r="T276" s="2">
        <f t="shared" si="9"/>
        <v>34975482100</v>
      </c>
    </row>
    <row r="277" spans="1:20" x14ac:dyDescent="0.3">
      <c r="A277" s="1">
        <v>41053</v>
      </c>
      <c r="B277" t="s">
        <v>252</v>
      </c>
      <c r="C277" t="s">
        <v>18</v>
      </c>
      <c r="D277" t="s">
        <v>68</v>
      </c>
      <c r="E277">
        <v>1.159</v>
      </c>
      <c r="F277">
        <v>1.2030000000000001</v>
      </c>
      <c r="G277">
        <v>1</v>
      </c>
      <c r="H277">
        <v>2.8</v>
      </c>
      <c r="I277" s="2">
        <v>388800</v>
      </c>
      <c r="J277" s="2">
        <v>81147470000</v>
      </c>
      <c r="K277" s="2">
        <v>28965844000</v>
      </c>
      <c r="L277" s="2">
        <v>9173400</v>
      </c>
      <c r="M277" s="2">
        <v>4547124000</v>
      </c>
      <c r="N277" s="2">
        <v>9873000000</v>
      </c>
      <c r="O277" s="2">
        <v>12042250000</v>
      </c>
      <c r="P277" s="2">
        <v>56937000000</v>
      </c>
      <c r="Q277" s="2">
        <v>12376470000</v>
      </c>
      <c r="R277" s="2">
        <v>14337470000</v>
      </c>
      <c r="S277" s="2">
        <f t="shared" si="8"/>
        <v>0.20300000000000007</v>
      </c>
      <c r="T277" s="2">
        <f t="shared" si="9"/>
        <v>28975406200</v>
      </c>
    </row>
    <row r="278" spans="1:20" x14ac:dyDescent="0.3">
      <c r="A278" s="1">
        <v>41072</v>
      </c>
      <c r="B278" t="s">
        <v>255</v>
      </c>
      <c r="C278" t="s">
        <v>18</v>
      </c>
      <c r="D278" t="s">
        <v>52</v>
      </c>
      <c r="E278">
        <v>0.374</v>
      </c>
      <c r="F278">
        <v>0.38700000000000001</v>
      </c>
      <c r="G278">
        <v>0.29499999999999998</v>
      </c>
      <c r="H278">
        <v>3.53</v>
      </c>
      <c r="I278" s="2">
        <v>2259356800</v>
      </c>
      <c r="J278" s="2">
        <v>113028200000</v>
      </c>
      <c r="K278" s="2">
        <v>31972625000</v>
      </c>
      <c r="L278" s="2">
        <v>27586000</v>
      </c>
      <c r="M278" s="2">
        <v>3851112500</v>
      </c>
      <c r="N278" s="2">
        <v>13458000000</v>
      </c>
      <c r="O278" s="2">
        <v>19474312500</v>
      </c>
      <c r="P278" s="2">
        <v>87320000000</v>
      </c>
      <c r="Q278" s="2">
        <v>8647200000</v>
      </c>
      <c r="R278" s="2">
        <v>12250200000</v>
      </c>
      <c r="S278" s="2">
        <f t="shared" si="8"/>
        <v>9.2000000000000026E-2</v>
      </c>
      <c r="T278" s="2">
        <f t="shared" si="9"/>
        <v>34259567800</v>
      </c>
    </row>
    <row r="279" spans="1:20" x14ac:dyDescent="0.3">
      <c r="A279" s="1">
        <v>41073</v>
      </c>
      <c r="B279" t="s">
        <v>249</v>
      </c>
      <c r="C279" t="s">
        <v>18</v>
      </c>
      <c r="D279" t="s">
        <v>29</v>
      </c>
      <c r="E279">
        <v>1.5980000000000001</v>
      </c>
      <c r="F279">
        <v>1.6220000000000001</v>
      </c>
      <c r="G279">
        <v>1.53</v>
      </c>
      <c r="H279">
        <v>3.06</v>
      </c>
      <c r="I279" s="2">
        <v>1482702800</v>
      </c>
      <c r="J279" s="2">
        <v>64263750000</v>
      </c>
      <c r="K279" s="2">
        <v>20989206000</v>
      </c>
      <c r="L279" s="2">
        <v>10809100</v>
      </c>
      <c r="M279" s="2">
        <v>4369000000</v>
      </c>
      <c r="N279" s="2">
        <v>7980000000</v>
      </c>
      <c r="O279" s="2">
        <v>7802080000</v>
      </c>
      <c r="P279" s="2">
        <v>44108000000</v>
      </c>
      <c r="Q279" s="2">
        <v>8818126000</v>
      </c>
      <c r="R279" s="2">
        <v>12175750000</v>
      </c>
      <c r="S279" s="2">
        <f t="shared" si="8"/>
        <v>9.2000000000000082E-2</v>
      </c>
      <c r="T279" s="2">
        <f t="shared" si="9"/>
        <v>22482717900</v>
      </c>
    </row>
    <row r="280" spans="1:20" x14ac:dyDescent="0.3">
      <c r="A280" s="1">
        <v>41074</v>
      </c>
      <c r="B280" t="s">
        <v>251</v>
      </c>
      <c r="C280" t="s">
        <v>23</v>
      </c>
      <c r="D280" t="s">
        <v>72</v>
      </c>
      <c r="E280">
        <v>2.6789999999999998</v>
      </c>
      <c r="F280">
        <v>2.72</v>
      </c>
      <c r="G280">
        <v>2.6179999999999999</v>
      </c>
      <c r="H280">
        <v>2.4</v>
      </c>
      <c r="I280" s="2">
        <v>917863600</v>
      </c>
      <c r="J280" s="2">
        <v>31155680000</v>
      </c>
      <c r="K280" s="2">
        <v>12991345000</v>
      </c>
      <c r="L280" s="2">
        <v>8656600</v>
      </c>
      <c r="M280" s="2">
        <v>3121500000</v>
      </c>
      <c r="N280" s="2">
        <v>4978500000</v>
      </c>
      <c r="O280" s="2">
        <v>5649289000</v>
      </c>
      <c r="P280" s="2">
        <v>20376100000</v>
      </c>
      <c r="Q280" s="2">
        <v>4220556000</v>
      </c>
      <c r="R280" s="2">
        <v>5801080000</v>
      </c>
      <c r="S280" s="2">
        <f t="shared" si="8"/>
        <v>0.10200000000000031</v>
      </c>
      <c r="T280" s="2">
        <f t="shared" si="9"/>
        <v>13917865200</v>
      </c>
    </row>
    <row r="281" spans="1:20" x14ac:dyDescent="0.3">
      <c r="A281" s="1">
        <v>41086</v>
      </c>
      <c r="B281" t="s">
        <v>258</v>
      </c>
      <c r="C281" t="s">
        <v>18</v>
      </c>
      <c r="D281" t="s">
        <v>21</v>
      </c>
      <c r="E281">
        <v>0.3</v>
      </c>
      <c r="F281">
        <v>0.313</v>
      </c>
      <c r="G281">
        <v>0.24199999999999999</v>
      </c>
      <c r="H281">
        <v>3.62</v>
      </c>
      <c r="I281" s="2">
        <v>357340200</v>
      </c>
      <c r="J281" s="2">
        <v>126307772800</v>
      </c>
      <c r="K281" s="2">
        <v>34724032800</v>
      </c>
      <c r="L281" s="2">
        <v>175978900</v>
      </c>
      <c r="M281" s="2">
        <v>2745000000</v>
      </c>
      <c r="N281" s="2">
        <v>14351900000</v>
      </c>
      <c r="O281" s="2">
        <v>20974960000</v>
      </c>
      <c r="P281" s="2">
        <v>96275000000</v>
      </c>
      <c r="Q281" s="2">
        <v>11004072800</v>
      </c>
      <c r="R281" s="2">
        <v>15680872800</v>
      </c>
      <c r="S281" s="2">
        <f t="shared" si="8"/>
        <v>7.1000000000000008E-2</v>
      </c>
      <c r="T281" s="2">
        <f t="shared" si="9"/>
        <v>35257351900</v>
      </c>
    </row>
    <row r="282" spans="1:20" x14ac:dyDescent="0.3">
      <c r="A282" s="1">
        <v>41087</v>
      </c>
      <c r="B282" t="s">
        <v>257</v>
      </c>
      <c r="C282" t="s">
        <v>18</v>
      </c>
      <c r="D282" t="s">
        <v>19</v>
      </c>
      <c r="E282">
        <v>0.69899999999999995</v>
      </c>
      <c r="F282">
        <v>0.752</v>
      </c>
      <c r="G282">
        <v>0.62</v>
      </c>
      <c r="H282">
        <v>2.61</v>
      </c>
      <c r="I282" s="2">
        <v>357340100</v>
      </c>
      <c r="J282" s="2">
        <v>91195870000</v>
      </c>
      <c r="K282" s="2">
        <v>34949760000</v>
      </c>
      <c r="L282" s="2">
        <v>25241800</v>
      </c>
      <c r="M282" s="2">
        <v>3744500000</v>
      </c>
      <c r="N282" s="2">
        <v>10706500000</v>
      </c>
      <c r="O282" s="2">
        <v>18920890000</v>
      </c>
      <c r="P282" s="2">
        <v>66355000000</v>
      </c>
      <c r="Q282" s="2">
        <v>12284370000</v>
      </c>
      <c r="R282" s="2">
        <v>14134370000</v>
      </c>
      <c r="S282" s="2">
        <f t="shared" si="8"/>
        <v>0.13200000000000001</v>
      </c>
      <c r="T282" s="2">
        <f t="shared" si="9"/>
        <v>35332341900</v>
      </c>
    </row>
    <row r="283" spans="1:20" x14ac:dyDescent="0.3">
      <c r="A283" s="1">
        <v>41088</v>
      </c>
      <c r="B283" t="s">
        <v>256</v>
      </c>
      <c r="C283" t="s">
        <v>18</v>
      </c>
      <c r="D283" t="s">
        <v>68</v>
      </c>
      <c r="E283">
        <v>1.0189999999999999</v>
      </c>
      <c r="F283">
        <v>1.075</v>
      </c>
      <c r="G283">
        <v>0.95</v>
      </c>
      <c r="H283">
        <v>2.64</v>
      </c>
      <c r="I283" s="2">
        <v>296081700</v>
      </c>
      <c r="J283" s="2">
        <v>76472500000</v>
      </c>
      <c r="K283" s="2">
        <v>28967395000</v>
      </c>
      <c r="L283" s="2">
        <v>7654100</v>
      </c>
      <c r="M283" s="2">
        <v>1880000000</v>
      </c>
      <c r="N283" s="2">
        <v>6449000000</v>
      </c>
      <c r="O283" s="2">
        <v>14913192500</v>
      </c>
      <c r="P283" s="2">
        <v>54887000000</v>
      </c>
      <c r="Q283" s="2">
        <v>12174202500</v>
      </c>
      <c r="R283" s="2">
        <v>15136500000</v>
      </c>
      <c r="S283" s="2">
        <f t="shared" si="8"/>
        <v>0.125</v>
      </c>
      <c r="T283" s="2">
        <f t="shared" si="9"/>
        <v>29271130800</v>
      </c>
    </row>
    <row r="284" spans="1:20" x14ac:dyDescent="0.3">
      <c r="A284" s="1">
        <v>41100</v>
      </c>
      <c r="B284" t="s">
        <v>259</v>
      </c>
      <c r="C284" t="s">
        <v>18</v>
      </c>
      <c r="D284" t="s">
        <v>52</v>
      </c>
      <c r="E284">
        <v>0.34899999999999998</v>
      </c>
      <c r="F284">
        <v>0.36599999999999999</v>
      </c>
      <c r="G284">
        <v>0.27700000000000002</v>
      </c>
      <c r="H284">
        <v>3.52</v>
      </c>
      <c r="I284" s="2">
        <v>0</v>
      </c>
      <c r="J284" s="2">
        <v>112482200000</v>
      </c>
      <c r="K284" s="2">
        <v>31874299500</v>
      </c>
      <c r="L284" s="2">
        <v>25865000</v>
      </c>
      <c r="M284" s="2">
        <v>3245425000</v>
      </c>
      <c r="N284" s="2">
        <v>10996000000</v>
      </c>
      <c r="O284" s="2">
        <v>19071222500</v>
      </c>
      <c r="P284" s="2">
        <v>87281000000</v>
      </c>
      <c r="Q284" s="2">
        <v>9557652000</v>
      </c>
      <c r="R284" s="2">
        <v>14205200000</v>
      </c>
      <c r="S284" s="2">
        <f t="shared" si="8"/>
        <v>8.8999999999999968E-2</v>
      </c>
      <c r="T284" s="2">
        <f t="shared" si="9"/>
        <v>31900164500</v>
      </c>
    </row>
    <row r="285" spans="1:20" x14ac:dyDescent="0.3">
      <c r="A285" s="1">
        <v>41101</v>
      </c>
      <c r="B285" t="s">
        <v>249</v>
      </c>
      <c r="C285" t="s">
        <v>18</v>
      </c>
      <c r="D285" t="s">
        <v>59</v>
      </c>
      <c r="E285">
        <v>1.44</v>
      </c>
      <c r="F285">
        <v>1.4590000000000001</v>
      </c>
      <c r="G285">
        <v>1.36</v>
      </c>
      <c r="H285">
        <v>3.61</v>
      </c>
      <c r="I285" s="2">
        <v>0</v>
      </c>
      <c r="J285" s="2">
        <v>75875200000</v>
      </c>
      <c r="K285" s="2">
        <v>20993024000</v>
      </c>
      <c r="L285" s="2">
        <v>7516200</v>
      </c>
      <c r="M285" s="2">
        <v>9532040000</v>
      </c>
      <c r="N285" s="2">
        <v>16901000000</v>
      </c>
      <c r="O285" s="2">
        <v>2942000000</v>
      </c>
      <c r="P285" s="2">
        <v>43165000000</v>
      </c>
      <c r="Q285" s="2">
        <v>8518984000</v>
      </c>
      <c r="R285" s="2">
        <v>15809200000</v>
      </c>
      <c r="S285" s="2">
        <f t="shared" si="8"/>
        <v>9.8999999999999977E-2</v>
      </c>
      <c r="T285" s="2">
        <f t="shared" si="9"/>
        <v>21000540200</v>
      </c>
    </row>
    <row r="286" spans="1:20" x14ac:dyDescent="0.3">
      <c r="A286" s="1">
        <v>41102</v>
      </c>
      <c r="B286" t="s">
        <v>251</v>
      </c>
      <c r="C286" t="s">
        <v>23</v>
      </c>
      <c r="D286" t="s">
        <v>91</v>
      </c>
      <c r="E286">
        <v>2.5489999999999999</v>
      </c>
      <c r="F286">
        <v>2.58</v>
      </c>
      <c r="G286">
        <v>2.4359999999999999</v>
      </c>
      <c r="H286">
        <v>2.7</v>
      </c>
      <c r="I286" s="2">
        <v>0</v>
      </c>
      <c r="J286" s="2">
        <v>35052700000</v>
      </c>
      <c r="K286" s="2">
        <v>12990192000</v>
      </c>
      <c r="L286" s="2">
        <v>9838200</v>
      </c>
      <c r="M286" s="2">
        <v>2614160000</v>
      </c>
      <c r="N286" s="2">
        <v>5179000000</v>
      </c>
      <c r="O286" s="2">
        <v>5601672000</v>
      </c>
      <c r="P286" s="2">
        <v>22282000000</v>
      </c>
      <c r="Q286" s="2">
        <v>4774360000</v>
      </c>
      <c r="R286" s="2">
        <v>7591700000</v>
      </c>
      <c r="S286" s="2">
        <f t="shared" si="8"/>
        <v>0.14400000000000013</v>
      </c>
      <c r="T286" s="2">
        <f t="shared" si="9"/>
        <v>13000030200</v>
      </c>
    </row>
    <row r="287" spans="1:20" x14ac:dyDescent="0.3">
      <c r="A287" s="1">
        <v>41114</v>
      </c>
      <c r="B287" t="s">
        <v>262</v>
      </c>
      <c r="C287" t="s">
        <v>18</v>
      </c>
      <c r="D287" t="s">
        <v>21</v>
      </c>
      <c r="E287">
        <v>0.21199999999999999</v>
      </c>
      <c r="F287">
        <v>0.22</v>
      </c>
      <c r="G287">
        <v>0.16700000000000001</v>
      </c>
      <c r="H287">
        <v>4</v>
      </c>
      <c r="I287" s="2">
        <v>0</v>
      </c>
      <c r="J287" s="2">
        <v>139811300000</v>
      </c>
      <c r="K287" s="2">
        <v>34694366000</v>
      </c>
      <c r="L287" s="2">
        <v>205763500</v>
      </c>
      <c r="M287" s="2">
        <v>3451240000</v>
      </c>
      <c r="N287" s="2">
        <v>15567000000</v>
      </c>
      <c r="O287" s="2">
        <v>20538120000</v>
      </c>
      <c r="P287" s="2">
        <v>108030000000</v>
      </c>
      <c r="Q287" s="2">
        <v>10705006000</v>
      </c>
      <c r="R287" s="2">
        <v>16214300000</v>
      </c>
      <c r="S287" s="2">
        <f t="shared" si="8"/>
        <v>5.2999999999999992E-2</v>
      </c>
      <c r="T287" s="2">
        <f t="shared" si="9"/>
        <v>34900129500</v>
      </c>
    </row>
    <row r="288" spans="1:20" x14ac:dyDescent="0.3">
      <c r="A288" s="1">
        <v>41115</v>
      </c>
      <c r="B288" t="s">
        <v>261</v>
      </c>
      <c r="C288" t="s">
        <v>18</v>
      </c>
      <c r="D288" t="s">
        <v>19</v>
      </c>
      <c r="E288">
        <v>0.54200000000000004</v>
      </c>
      <c r="F288">
        <v>0.58399999999999996</v>
      </c>
      <c r="G288">
        <v>0.47</v>
      </c>
      <c r="H288">
        <v>2.71</v>
      </c>
      <c r="I288" s="2">
        <v>0</v>
      </c>
      <c r="J288" s="2">
        <v>94737200000</v>
      </c>
      <c r="K288" s="2">
        <v>34974600000</v>
      </c>
      <c r="L288" s="2">
        <v>25511400</v>
      </c>
      <c r="M288" s="2">
        <v>1813000000</v>
      </c>
      <c r="N288" s="2">
        <v>8818000000</v>
      </c>
      <c r="O288" s="2">
        <v>18259800000</v>
      </c>
      <c r="P288" s="2">
        <v>67920000000</v>
      </c>
      <c r="Q288" s="2">
        <v>14901800000</v>
      </c>
      <c r="R288" s="2">
        <v>17999200000</v>
      </c>
      <c r="S288" s="2">
        <f t="shared" si="8"/>
        <v>0.11399999999999999</v>
      </c>
      <c r="T288" s="2">
        <f t="shared" si="9"/>
        <v>35000111400</v>
      </c>
    </row>
    <row r="289" spans="1:20" x14ac:dyDescent="0.3">
      <c r="A289" s="1">
        <v>41116</v>
      </c>
      <c r="B289" t="s">
        <v>260</v>
      </c>
      <c r="C289" t="s">
        <v>18</v>
      </c>
      <c r="D289" t="s">
        <v>68</v>
      </c>
      <c r="E289">
        <v>0.91</v>
      </c>
      <c r="F289">
        <v>0.95399999999999996</v>
      </c>
      <c r="G289">
        <v>0.84</v>
      </c>
      <c r="H289">
        <v>2.64</v>
      </c>
      <c r="I289" s="2">
        <v>0</v>
      </c>
      <c r="J289" s="2">
        <v>76414600000</v>
      </c>
      <c r="K289" s="2">
        <v>28991990000</v>
      </c>
      <c r="L289" s="2">
        <v>8031900</v>
      </c>
      <c r="M289" s="2">
        <v>2046000000</v>
      </c>
      <c r="N289" s="2">
        <v>7011000000</v>
      </c>
      <c r="O289" s="2">
        <v>13522390000</v>
      </c>
      <c r="P289" s="2">
        <v>52755000000</v>
      </c>
      <c r="Q289" s="2">
        <v>13423600000</v>
      </c>
      <c r="R289" s="2">
        <v>16648600000</v>
      </c>
      <c r="S289" s="2">
        <f t="shared" si="8"/>
        <v>0.11399999999999999</v>
      </c>
      <c r="T289" s="2">
        <f t="shared" si="9"/>
        <v>29000021900</v>
      </c>
    </row>
    <row r="290" spans="1:20" x14ac:dyDescent="0.3">
      <c r="A290" s="1">
        <v>41128</v>
      </c>
      <c r="B290" t="s">
        <v>265</v>
      </c>
      <c r="C290" t="s">
        <v>18</v>
      </c>
      <c r="D290" t="s">
        <v>52</v>
      </c>
      <c r="E290">
        <v>0.35399999999999998</v>
      </c>
      <c r="F290">
        <v>0.37</v>
      </c>
      <c r="G290">
        <v>0.27400000000000002</v>
      </c>
      <c r="H290">
        <v>3.51</v>
      </c>
      <c r="I290" s="2">
        <v>0</v>
      </c>
      <c r="J290" s="2">
        <v>112171200000</v>
      </c>
      <c r="K290" s="2">
        <v>31854007500</v>
      </c>
      <c r="L290" s="2">
        <v>46109400</v>
      </c>
      <c r="M290" s="2">
        <v>2686895000</v>
      </c>
      <c r="N290" s="2">
        <v>9994000000</v>
      </c>
      <c r="O290" s="2">
        <v>19713812500</v>
      </c>
      <c r="P290" s="2">
        <v>89133000000</v>
      </c>
      <c r="Q290" s="2">
        <v>9453300000</v>
      </c>
      <c r="R290" s="2">
        <v>13044200000</v>
      </c>
      <c r="S290" s="2">
        <f t="shared" si="8"/>
        <v>9.5999999999999974E-2</v>
      </c>
      <c r="T290" s="2">
        <f t="shared" si="9"/>
        <v>31900116900</v>
      </c>
    </row>
    <row r="291" spans="1:20" x14ac:dyDescent="0.3">
      <c r="A291" s="1">
        <v>41129</v>
      </c>
      <c r="B291" t="s">
        <v>264</v>
      </c>
      <c r="C291" t="s">
        <v>18</v>
      </c>
      <c r="D291" t="s">
        <v>26</v>
      </c>
      <c r="E291">
        <v>1.63</v>
      </c>
      <c r="F291">
        <v>1.68</v>
      </c>
      <c r="G291">
        <v>1.55</v>
      </c>
      <c r="H291">
        <v>2.4900000000000002</v>
      </c>
      <c r="I291" s="2">
        <v>0</v>
      </c>
      <c r="J291" s="2">
        <v>59710400000</v>
      </c>
      <c r="K291" s="2">
        <v>23919409400</v>
      </c>
      <c r="L291" s="2">
        <v>30636100</v>
      </c>
      <c r="M291" s="2">
        <v>1247305200</v>
      </c>
      <c r="N291" s="2">
        <v>5113000000</v>
      </c>
      <c r="O291" s="2">
        <v>12958875000</v>
      </c>
      <c r="P291" s="2">
        <v>42781000000</v>
      </c>
      <c r="Q291" s="2">
        <v>9713229200</v>
      </c>
      <c r="R291" s="2">
        <v>11816400000</v>
      </c>
      <c r="S291" s="2">
        <f t="shared" si="8"/>
        <v>0.12999999999999989</v>
      </c>
      <c r="T291" s="2">
        <f t="shared" si="9"/>
        <v>23950045500</v>
      </c>
    </row>
    <row r="292" spans="1:20" x14ac:dyDescent="0.3">
      <c r="A292" s="1">
        <v>41130</v>
      </c>
      <c r="B292" t="s">
        <v>263</v>
      </c>
      <c r="C292" t="s">
        <v>23</v>
      </c>
      <c r="D292" t="s">
        <v>65</v>
      </c>
      <c r="E292">
        <v>2.7650000000000001</v>
      </c>
      <c r="F292">
        <v>2.8250000000000002</v>
      </c>
      <c r="G292">
        <v>2.7</v>
      </c>
      <c r="H292">
        <v>2.41</v>
      </c>
      <c r="I292" s="2">
        <v>0</v>
      </c>
      <c r="J292" s="2">
        <v>38481700000</v>
      </c>
      <c r="K292" s="2">
        <v>15980892000</v>
      </c>
      <c r="L292" s="2">
        <v>19115700</v>
      </c>
      <c r="M292" s="2">
        <v>1229000000</v>
      </c>
      <c r="N292" s="2">
        <v>3875000000</v>
      </c>
      <c r="O292" s="2">
        <v>8886824000</v>
      </c>
      <c r="P292" s="2">
        <v>26655000000</v>
      </c>
      <c r="Q292" s="2">
        <v>5865068000</v>
      </c>
      <c r="R292" s="2">
        <v>7951700000</v>
      </c>
      <c r="S292" s="2">
        <f t="shared" si="8"/>
        <v>0.125</v>
      </c>
      <c r="T292" s="2">
        <f t="shared" si="9"/>
        <v>16000007700</v>
      </c>
    </row>
    <row r="293" spans="1:20" x14ac:dyDescent="0.3">
      <c r="A293" s="1">
        <v>41149</v>
      </c>
      <c r="B293" t="s">
        <v>268</v>
      </c>
      <c r="C293" t="s">
        <v>18</v>
      </c>
      <c r="D293" t="s">
        <v>21</v>
      </c>
      <c r="E293">
        <v>0.26500000000000001</v>
      </c>
      <c r="F293">
        <v>0.27300000000000002</v>
      </c>
      <c r="G293">
        <v>0.2</v>
      </c>
      <c r="H293">
        <v>3.94</v>
      </c>
      <c r="I293" s="2">
        <v>0</v>
      </c>
      <c r="J293" s="2">
        <v>137668300000</v>
      </c>
      <c r="K293" s="2">
        <v>34695548900</v>
      </c>
      <c r="L293" s="2">
        <v>204542300</v>
      </c>
      <c r="M293" s="2">
        <v>5579000000</v>
      </c>
      <c r="N293" s="2">
        <v>17764000000</v>
      </c>
      <c r="O293" s="2">
        <v>21378170000</v>
      </c>
      <c r="P293" s="2">
        <v>102170000000</v>
      </c>
      <c r="Q293" s="2">
        <v>7738378900</v>
      </c>
      <c r="R293" s="2">
        <v>17734300000</v>
      </c>
      <c r="S293" s="2">
        <f t="shared" si="8"/>
        <v>7.3000000000000009E-2</v>
      </c>
      <c r="T293" s="2">
        <f t="shared" si="9"/>
        <v>34900091200</v>
      </c>
    </row>
    <row r="294" spans="1:20" x14ac:dyDescent="0.3">
      <c r="A294" s="1">
        <v>41150</v>
      </c>
      <c r="B294" t="s">
        <v>267</v>
      </c>
      <c r="C294" t="s">
        <v>18</v>
      </c>
      <c r="D294" t="s">
        <v>19</v>
      </c>
      <c r="E294">
        <v>0.67500000000000004</v>
      </c>
      <c r="F294">
        <v>0.70799999999999996</v>
      </c>
      <c r="G294">
        <v>0.61499999999999999</v>
      </c>
      <c r="H294">
        <v>2.92</v>
      </c>
      <c r="I294" s="2">
        <v>0</v>
      </c>
      <c r="J294" s="2">
        <v>102127400000</v>
      </c>
      <c r="K294" s="2">
        <v>34942925000</v>
      </c>
      <c r="L294" s="2">
        <v>32077500</v>
      </c>
      <c r="M294" s="2">
        <v>3837000000</v>
      </c>
      <c r="N294" s="2">
        <v>12342000000</v>
      </c>
      <c r="O294" s="2">
        <v>17247525000</v>
      </c>
      <c r="P294" s="2">
        <v>72239000000</v>
      </c>
      <c r="Q294" s="2">
        <v>13858400000</v>
      </c>
      <c r="R294" s="2">
        <v>17546400000</v>
      </c>
      <c r="S294" s="2">
        <f t="shared" si="8"/>
        <v>9.2999999999999972E-2</v>
      </c>
      <c r="T294" s="2">
        <f t="shared" si="9"/>
        <v>34975002500</v>
      </c>
    </row>
    <row r="295" spans="1:20" x14ac:dyDescent="0.3">
      <c r="A295" s="1">
        <v>41151</v>
      </c>
      <c r="B295" t="s">
        <v>266</v>
      </c>
      <c r="C295" t="s">
        <v>18</v>
      </c>
      <c r="D295" t="s">
        <v>68</v>
      </c>
      <c r="E295">
        <v>1.05</v>
      </c>
      <c r="F295">
        <v>1.081</v>
      </c>
      <c r="G295">
        <v>0.98499999999999999</v>
      </c>
      <c r="H295">
        <v>2.8</v>
      </c>
      <c r="I295" s="2">
        <v>0</v>
      </c>
      <c r="J295" s="2">
        <v>81330200000</v>
      </c>
      <c r="K295" s="2">
        <v>28992270000</v>
      </c>
      <c r="L295" s="2">
        <v>7746100</v>
      </c>
      <c r="M295" s="2">
        <v>5186000000</v>
      </c>
      <c r="N295" s="2">
        <v>10306000000</v>
      </c>
      <c r="O295" s="2">
        <v>12685370000</v>
      </c>
      <c r="P295" s="2">
        <v>57850000000</v>
      </c>
      <c r="Q295" s="2">
        <v>11120900000</v>
      </c>
      <c r="R295" s="2">
        <v>13174200000</v>
      </c>
      <c r="S295" s="2">
        <f t="shared" si="8"/>
        <v>9.5999999999999974E-2</v>
      </c>
      <c r="T295" s="2">
        <f t="shared" si="9"/>
        <v>29000016100</v>
      </c>
    </row>
    <row r="296" spans="1:20" x14ac:dyDescent="0.3">
      <c r="A296" s="1">
        <v>41163</v>
      </c>
      <c r="B296" t="s">
        <v>269</v>
      </c>
      <c r="C296" t="s">
        <v>18</v>
      </c>
      <c r="D296" t="s">
        <v>52</v>
      </c>
      <c r="E296">
        <v>0.32</v>
      </c>
      <c r="F296">
        <v>0.33700000000000002</v>
      </c>
      <c r="G296">
        <v>0.25600000000000001</v>
      </c>
      <c r="H296">
        <v>3.94</v>
      </c>
      <c r="I296" s="2">
        <v>0</v>
      </c>
      <c r="J296" s="2">
        <v>125823200000</v>
      </c>
      <c r="K296" s="2">
        <v>31869800800</v>
      </c>
      <c r="L296" s="2">
        <v>30278200</v>
      </c>
      <c r="M296" s="2">
        <v>4266000000</v>
      </c>
      <c r="N296" s="2">
        <v>16243000000</v>
      </c>
      <c r="O296" s="2">
        <v>15872092900</v>
      </c>
      <c r="P296" s="2">
        <v>94044000000</v>
      </c>
      <c r="Q296" s="2">
        <v>11731707900</v>
      </c>
      <c r="R296" s="2">
        <v>15536200000</v>
      </c>
      <c r="S296" s="2">
        <f t="shared" si="8"/>
        <v>8.1000000000000016E-2</v>
      </c>
      <c r="T296" s="2">
        <f t="shared" si="9"/>
        <v>31900079000</v>
      </c>
    </row>
    <row r="297" spans="1:20" x14ac:dyDescent="0.3">
      <c r="A297" s="1">
        <v>41164</v>
      </c>
      <c r="B297" t="s">
        <v>264</v>
      </c>
      <c r="C297" t="s">
        <v>18</v>
      </c>
      <c r="D297" t="s">
        <v>29</v>
      </c>
      <c r="E297">
        <v>1.72</v>
      </c>
      <c r="F297">
        <v>1.764</v>
      </c>
      <c r="G297">
        <v>1.6439999999999999</v>
      </c>
      <c r="H297">
        <v>2.85</v>
      </c>
      <c r="I297" s="2">
        <v>0</v>
      </c>
      <c r="J297" s="2">
        <v>59906600000</v>
      </c>
      <c r="K297" s="2">
        <v>20984994000</v>
      </c>
      <c r="L297" s="2">
        <v>15042700</v>
      </c>
      <c r="M297" s="2">
        <v>2435000000</v>
      </c>
      <c r="N297" s="2">
        <v>8632000000</v>
      </c>
      <c r="O297" s="2">
        <v>10960394000</v>
      </c>
      <c r="P297" s="2">
        <v>42758000000</v>
      </c>
      <c r="Q297" s="2">
        <v>7589600000</v>
      </c>
      <c r="R297" s="2">
        <v>8516600000</v>
      </c>
      <c r="S297" s="2">
        <f t="shared" si="8"/>
        <v>0.12000000000000011</v>
      </c>
      <c r="T297" s="2">
        <f t="shared" si="9"/>
        <v>21000036700</v>
      </c>
    </row>
    <row r="298" spans="1:20" x14ac:dyDescent="0.3">
      <c r="A298" s="1">
        <v>41165</v>
      </c>
      <c r="B298" t="s">
        <v>263</v>
      </c>
      <c r="C298" t="s">
        <v>23</v>
      </c>
      <c r="D298" t="s">
        <v>72</v>
      </c>
      <c r="E298">
        <v>2.86</v>
      </c>
      <c r="F298">
        <v>2.8959999999999999</v>
      </c>
      <c r="G298">
        <v>2.8</v>
      </c>
      <c r="H298">
        <v>2.68</v>
      </c>
      <c r="I298" s="2">
        <v>0</v>
      </c>
      <c r="J298" s="2">
        <v>34874900000</v>
      </c>
      <c r="K298" s="2">
        <v>12989950000</v>
      </c>
      <c r="L298" s="2">
        <v>10051500</v>
      </c>
      <c r="M298" s="2">
        <v>1606500000</v>
      </c>
      <c r="N298" s="2">
        <v>4070500000</v>
      </c>
      <c r="O298" s="2">
        <v>6357550000</v>
      </c>
      <c r="P298" s="2">
        <v>23982000000</v>
      </c>
      <c r="Q298" s="2">
        <v>5025900000</v>
      </c>
      <c r="R298" s="2">
        <v>6822400000</v>
      </c>
      <c r="S298" s="2">
        <f t="shared" si="8"/>
        <v>9.6000000000000085E-2</v>
      </c>
      <c r="T298" s="2">
        <f t="shared" si="9"/>
        <v>13000001500</v>
      </c>
    </row>
    <row r="299" spans="1:20" x14ac:dyDescent="0.3">
      <c r="A299" s="1">
        <v>41177</v>
      </c>
      <c r="B299" t="s">
        <v>272</v>
      </c>
      <c r="C299" t="s">
        <v>18</v>
      </c>
      <c r="D299" t="s">
        <v>21</v>
      </c>
      <c r="E299">
        <v>0.26400000000000001</v>
      </c>
      <c r="F299">
        <v>0.27300000000000002</v>
      </c>
      <c r="G299">
        <v>0.20699999999999999</v>
      </c>
      <c r="H299">
        <v>3.6</v>
      </c>
      <c r="I299" s="2">
        <v>0</v>
      </c>
      <c r="J299" s="2">
        <v>125693900000</v>
      </c>
      <c r="K299" s="2">
        <v>34728560000</v>
      </c>
      <c r="L299" s="2">
        <v>171519200</v>
      </c>
      <c r="M299" s="2">
        <v>6077420000</v>
      </c>
      <c r="N299" s="2">
        <v>16368000000</v>
      </c>
      <c r="O299" s="2">
        <v>19214050000</v>
      </c>
      <c r="P299" s="2">
        <v>93465000000</v>
      </c>
      <c r="Q299" s="2">
        <v>9437090000</v>
      </c>
      <c r="R299" s="2">
        <v>15860900000</v>
      </c>
      <c r="S299" s="2">
        <f t="shared" si="8"/>
        <v>6.6000000000000031E-2</v>
      </c>
      <c r="T299" s="2">
        <f t="shared" si="9"/>
        <v>34900079200</v>
      </c>
    </row>
    <row r="300" spans="1:20" x14ac:dyDescent="0.3">
      <c r="A300" s="1">
        <v>41178</v>
      </c>
      <c r="B300" t="s">
        <v>271</v>
      </c>
      <c r="C300" t="s">
        <v>18</v>
      </c>
      <c r="D300" t="s">
        <v>19</v>
      </c>
      <c r="E300">
        <v>0.61899999999999999</v>
      </c>
      <c r="F300">
        <v>0.64700000000000002</v>
      </c>
      <c r="G300">
        <v>0.56799999999999995</v>
      </c>
      <c r="H300">
        <v>3.06</v>
      </c>
      <c r="I300" s="2">
        <v>0</v>
      </c>
      <c r="J300" s="2">
        <v>107057600000</v>
      </c>
      <c r="K300" s="2">
        <v>34979612000</v>
      </c>
      <c r="L300" s="2">
        <v>20412600</v>
      </c>
      <c r="M300" s="2">
        <v>3750000000</v>
      </c>
      <c r="N300" s="2">
        <v>13795000000</v>
      </c>
      <c r="O300" s="2">
        <v>16521780000</v>
      </c>
      <c r="P300" s="2">
        <v>75030000000</v>
      </c>
      <c r="Q300" s="2">
        <v>14707832000</v>
      </c>
      <c r="R300" s="2">
        <v>18232600000</v>
      </c>
      <c r="S300" s="2">
        <f t="shared" si="8"/>
        <v>7.900000000000007E-2</v>
      </c>
      <c r="T300" s="2">
        <f t="shared" si="9"/>
        <v>35000024600</v>
      </c>
    </row>
    <row r="301" spans="1:20" x14ac:dyDescent="0.3">
      <c r="A301" s="1">
        <v>41179</v>
      </c>
      <c r="B301" t="s">
        <v>270</v>
      </c>
      <c r="C301" t="s">
        <v>18</v>
      </c>
      <c r="D301" t="s">
        <v>68</v>
      </c>
      <c r="E301">
        <v>1.0229999999999999</v>
      </c>
      <c r="F301">
        <v>1.0549999999999999</v>
      </c>
      <c r="G301">
        <v>0.95</v>
      </c>
      <c r="H301">
        <v>2.61</v>
      </c>
      <c r="I301" s="2">
        <v>0</v>
      </c>
      <c r="J301" s="2">
        <v>75747200000</v>
      </c>
      <c r="K301" s="2">
        <v>28993869000</v>
      </c>
      <c r="L301" s="2">
        <v>6148700</v>
      </c>
      <c r="M301" s="2">
        <v>4928898000</v>
      </c>
      <c r="N301" s="2">
        <v>10326900000</v>
      </c>
      <c r="O301" s="2">
        <v>13952850000</v>
      </c>
      <c r="P301" s="2">
        <v>52710000000</v>
      </c>
      <c r="Q301" s="2">
        <v>10112121000</v>
      </c>
      <c r="R301" s="2">
        <v>12710300000</v>
      </c>
      <c r="S301" s="2">
        <f t="shared" si="8"/>
        <v>0.10499999999999998</v>
      </c>
      <c r="T301" s="2">
        <f t="shared" si="9"/>
        <v>29000017700</v>
      </c>
    </row>
    <row r="302" spans="1:20" x14ac:dyDescent="0.3">
      <c r="A302" s="1">
        <v>41191</v>
      </c>
      <c r="B302" t="s">
        <v>273</v>
      </c>
      <c r="C302" t="s">
        <v>18</v>
      </c>
      <c r="D302" t="s">
        <v>52</v>
      </c>
      <c r="E302">
        <v>0.33</v>
      </c>
      <c r="F302">
        <v>0.34599999999999997</v>
      </c>
      <c r="G302">
        <v>0.26900000000000002</v>
      </c>
      <c r="H302">
        <v>3.96</v>
      </c>
      <c r="I302" s="2">
        <v>0</v>
      </c>
      <c r="J302" s="2">
        <v>126646200000</v>
      </c>
      <c r="K302" s="2">
        <v>31874744000</v>
      </c>
      <c r="L302" s="2">
        <v>25284700</v>
      </c>
      <c r="M302" s="2">
        <v>7180000000</v>
      </c>
      <c r="N302" s="2">
        <v>15806000000</v>
      </c>
      <c r="O302" s="2">
        <v>15518544000</v>
      </c>
      <c r="P302" s="2">
        <v>96811000000</v>
      </c>
      <c r="Q302" s="2">
        <v>9176200000</v>
      </c>
      <c r="R302" s="2">
        <v>14029200000</v>
      </c>
      <c r="S302" s="2">
        <f t="shared" si="8"/>
        <v>7.6999999999999957E-2</v>
      </c>
      <c r="T302" s="2">
        <f t="shared" si="9"/>
        <v>31900028700</v>
      </c>
    </row>
    <row r="303" spans="1:20" x14ac:dyDescent="0.3">
      <c r="A303" s="1">
        <v>41192</v>
      </c>
      <c r="B303" t="s">
        <v>264</v>
      </c>
      <c r="C303" t="s">
        <v>18</v>
      </c>
      <c r="D303" t="s">
        <v>59</v>
      </c>
      <c r="E303">
        <v>1.68</v>
      </c>
      <c r="F303">
        <v>1.7</v>
      </c>
      <c r="G303">
        <v>1.6140000000000001</v>
      </c>
      <c r="H303">
        <v>3.26</v>
      </c>
      <c r="I303" s="2">
        <v>0</v>
      </c>
      <c r="J303" s="2">
        <v>68351600000</v>
      </c>
      <c r="K303" s="2">
        <v>20987142400</v>
      </c>
      <c r="L303" s="2">
        <v>12886900</v>
      </c>
      <c r="M303" s="2">
        <v>4811000000</v>
      </c>
      <c r="N303" s="2">
        <v>11356000000</v>
      </c>
      <c r="O303" s="2">
        <v>7494522400</v>
      </c>
      <c r="P303" s="2">
        <v>46029000000</v>
      </c>
      <c r="Q303" s="2">
        <v>8681620000</v>
      </c>
      <c r="R303" s="2">
        <v>10966600000</v>
      </c>
      <c r="S303" s="2">
        <f t="shared" si="8"/>
        <v>8.5999999999999854E-2</v>
      </c>
      <c r="T303" s="2">
        <f t="shared" si="9"/>
        <v>21000029300</v>
      </c>
    </row>
    <row r="304" spans="1:20" x14ac:dyDescent="0.3">
      <c r="A304" s="1">
        <v>41193</v>
      </c>
      <c r="B304" t="s">
        <v>263</v>
      </c>
      <c r="C304" t="s">
        <v>23</v>
      </c>
      <c r="D304" t="s">
        <v>91</v>
      </c>
      <c r="E304">
        <v>2.8439999999999999</v>
      </c>
      <c r="F304">
        <v>2.9039999999999999</v>
      </c>
      <c r="G304">
        <v>2.7970000000000002</v>
      </c>
      <c r="H304">
        <v>2.4900000000000002</v>
      </c>
      <c r="I304" s="2">
        <v>0</v>
      </c>
      <c r="J304" s="2">
        <v>32364250000</v>
      </c>
      <c r="K304" s="2">
        <v>12994701000</v>
      </c>
      <c r="L304" s="2">
        <v>5313200</v>
      </c>
      <c r="M304" s="2">
        <v>1840000000</v>
      </c>
      <c r="N304" s="2">
        <v>4912000000</v>
      </c>
      <c r="O304" s="2">
        <v>7707451000</v>
      </c>
      <c r="P304" s="2">
        <v>23084000000</v>
      </c>
      <c r="Q304" s="2">
        <v>3447250000</v>
      </c>
      <c r="R304" s="2">
        <v>4368250000</v>
      </c>
      <c r="S304" s="2">
        <f t="shared" si="8"/>
        <v>0.10699999999999976</v>
      </c>
      <c r="T304" s="2">
        <f t="shared" si="9"/>
        <v>13000014200</v>
      </c>
    </row>
    <row r="305" spans="1:20" x14ac:dyDescent="0.3">
      <c r="A305" s="1">
        <v>41205</v>
      </c>
      <c r="B305" t="s">
        <v>276</v>
      </c>
      <c r="C305" t="s">
        <v>18</v>
      </c>
      <c r="D305" t="s">
        <v>21</v>
      </c>
      <c r="E305">
        <v>0.28299999999999997</v>
      </c>
      <c r="F305">
        <v>0.29499999999999998</v>
      </c>
      <c r="G305">
        <v>0.23899999999999999</v>
      </c>
      <c r="H305">
        <v>4.0199999999999996</v>
      </c>
      <c r="I305" s="2">
        <v>0</v>
      </c>
      <c r="J305" s="2">
        <v>140295500000</v>
      </c>
      <c r="K305" s="2">
        <v>34728216000</v>
      </c>
      <c r="L305" s="2">
        <v>161837500</v>
      </c>
      <c r="M305" s="2">
        <v>13252720000</v>
      </c>
      <c r="N305" s="2">
        <v>24788000000</v>
      </c>
      <c r="O305" s="2">
        <v>9835060000</v>
      </c>
      <c r="P305" s="2">
        <v>97605000000</v>
      </c>
      <c r="Q305" s="2">
        <v>11640436000</v>
      </c>
      <c r="R305" s="2">
        <v>17902500000</v>
      </c>
      <c r="S305" s="2">
        <f t="shared" si="8"/>
        <v>5.5999999999999994E-2</v>
      </c>
      <c r="T305" s="2">
        <f t="shared" si="9"/>
        <v>34890053500</v>
      </c>
    </row>
    <row r="306" spans="1:20" x14ac:dyDescent="0.3">
      <c r="A306" s="1">
        <v>41206</v>
      </c>
      <c r="B306" t="s">
        <v>275</v>
      </c>
      <c r="C306" t="s">
        <v>18</v>
      </c>
      <c r="D306" t="s">
        <v>19</v>
      </c>
      <c r="E306">
        <v>0.73499999999999999</v>
      </c>
      <c r="F306">
        <v>0.77400000000000002</v>
      </c>
      <c r="G306">
        <v>0.68</v>
      </c>
      <c r="H306">
        <v>2.73</v>
      </c>
      <c r="I306" s="2">
        <v>0</v>
      </c>
      <c r="J306" s="2">
        <v>95387250000</v>
      </c>
      <c r="K306" s="2">
        <v>34964010000</v>
      </c>
      <c r="L306" s="2">
        <v>36030800</v>
      </c>
      <c r="M306" s="2">
        <v>5413260000</v>
      </c>
      <c r="N306" s="2">
        <v>14418000000</v>
      </c>
      <c r="O306" s="2">
        <v>14743500000</v>
      </c>
      <c r="P306" s="2">
        <v>64365000000</v>
      </c>
      <c r="Q306" s="2">
        <v>14807250000</v>
      </c>
      <c r="R306" s="2">
        <v>16604250000</v>
      </c>
      <c r="S306" s="2">
        <f t="shared" si="8"/>
        <v>9.3999999999999972E-2</v>
      </c>
      <c r="T306" s="2">
        <f t="shared" si="9"/>
        <v>35000040800</v>
      </c>
    </row>
    <row r="307" spans="1:20" x14ac:dyDescent="0.3">
      <c r="A307" s="1">
        <v>41207</v>
      </c>
      <c r="B307" t="s">
        <v>274</v>
      </c>
      <c r="C307" t="s">
        <v>18</v>
      </c>
      <c r="D307" t="s">
        <v>68</v>
      </c>
      <c r="E307">
        <v>1.2270000000000001</v>
      </c>
      <c r="F307">
        <v>1.2669999999999999</v>
      </c>
      <c r="G307">
        <v>1.1599999999999999</v>
      </c>
      <c r="H307">
        <v>2.56</v>
      </c>
      <c r="I307" s="2">
        <v>0</v>
      </c>
      <c r="J307" s="2">
        <v>74152200000</v>
      </c>
      <c r="K307" s="2">
        <v>28942450000</v>
      </c>
      <c r="L307" s="2">
        <v>7599700</v>
      </c>
      <c r="M307" s="2">
        <v>5220000000</v>
      </c>
      <c r="N307" s="2">
        <v>9568000000</v>
      </c>
      <c r="O307" s="2">
        <v>12653250000</v>
      </c>
      <c r="P307" s="2">
        <v>53105000000</v>
      </c>
      <c r="Q307" s="2">
        <v>11069200000</v>
      </c>
      <c r="R307" s="2">
        <v>11479200000</v>
      </c>
      <c r="S307" s="2">
        <f t="shared" si="8"/>
        <v>0.10699999999999998</v>
      </c>
      <c r="T307" s="2">
        <f t="shared" si="9"/>
        <v>28950049700</v>
      </c>
    </row>
    <row r="308" spans="1:20" x14ac:dyDescent="0.3">
      <c r="A308" s="1">
        <v>41219</v>
      </c>
      <c r="B308" t="s">
        <v>278</v>
      </c>
      <c r="C308" t="s">
        <v>18</v>
      </c>
      <c r="D308" t="s">
        <v>52</v>
      </c>
      <c r="E308">
        <v>0.377</v>
      </c>
      <c r="F308">
        <v>0.39200000000000002</v>
      </c>
      <c r="G308">
        <v>0.30299999999999999</v>
      </c>
      <c r="H308">
        <v>3.41</v>
      </c>
      <c r="I308" s="2">
        <v>0</v>
      </c>
      <c r="J308" s="2">
        <v>109072300000</v>
      </c>
      <c r="K308" s="2">
        <v>31855100000</v>
      </c>
      <c r="L308" s="2">
        <v>44989300</v>
      </c>
      <c r="M308" s="2">
        <v>7088390000</v>
      </c>
      <c r="N308" s="2">
        <v>14357000000</v>
      </c>
      <c r="O308" s="2">
        <v>16783850000</v>
      </c>
      <c r="P308" s="2">
        <v>85363000000</v>
      </c>
      <c r="Q308" s="2">
        <v>7982860000</v>
      </c>
      <c r="R308" s="2">
        <v>9352300000</v>
      </c>
      <c r="S308" s="2">
        <f t="shared" si="8"/>
        <v>8.9000000000000024E-2</v>
      </c>
      <c r="T308" s="2">
        <f t="shared" si="9"/>
        <v>31900089300</v>
      </c>
    </row>
    <row r="309" spans="1:20" x14ac:dyDescent="0.3">
      <c r="A309" s="1">
        <v>41220</v>
      </c>
      <c r="B309" t="s">
        <v>277</v>
      </c>
      <c r="C309" t="s">
        <v>18</v>
      </c>
      <c r="D309" t="s">
        <v>26</v>
      </c>
      <c r="E309">
        <v>1.63</v>
      </c>
      <c r="F309">
        <v>1.675</v>
      </c>
      <c r="G309">
        <v>1.5589999999999999</v>
      </c>
      <c r="H309">
        <v>2.59</v>
      </c>
      <c r="I309" s="2">
        <v>0</v>
      </c>
      <c r="J309" s="2">
        <v>62166545000</v>
      </c>
      <c r="K309" s="2">
        <v>23973206500</v>
      </c>
      <c r="L309" s="2">
        <v>26797300</v>
      </c>
      <c r="M309" s="2">
        <v>3384000000</v>
      </c>
      <c r="N309" s="2">
        <v>7672000000</v>
      </c>
      <c r="O309" s="2">
        <v>11073380000</v>
      </c>
      <c r="P309" s="2">
        <v>43995000000</v>
      </c>
      <c r="Q309" s="2">
        <v>9515826500</v>
      </c>
      <c r="R309" s="2">
        <v>10499545000</v>
      </c>
      <c r="S309" s="2">
        <f t="shared" si="8"/>
        <v>0.1160000000000001</v>
      </c>
      <c r="T309" s="2">
        <f t="shared" si="9"/>
        <v>24000003800</v>
      </c>
    </row>
    <row r="310" spans="1:20" x14ac:dyDescent="0.3">
      <c r="A310" s="1">
        <v>41221</v>
      </c>
      <c r="B310" t="s">
        <v>279</v>
      </c>
      <c r="C310" t="s">
        <v>23</v>
      </c>
      <c r="D310" t="s">
        <v>65</v>
      </c>
      <c r="E310">
        <v>2.8</v>
      </c>
      <c r="F310">
        <v>2.82</v>
      </c>
      <c r="G310">
        <v>2.75</v>
      </c>
      <c r="H310">
        <v>2.77</v>
      </c>
      <c r="I310" s="2">
        <v>0</v>
      </c>
      <c r="J310" s="2">
        <v>44287780000</v>
      </c>
      <c r="K310" s="2">
        <v>15983444400</v>
      </c>
      <c r="L310" s="2">
        <v>16563800</v>
      </c>
      <c r="M310" s="2">
        <v>1985407400</v>
      </c>
      <c r="N310" s="2">
        <v>5233000000</v>
      </c>
      <c r="O310" s="2">
        <v>6736517400</v>
      </c>
      <c r="P310" s="2">
        <v>28526000000</v>
      </c>
      <c r="Q310" s="2">
        <v>7261519600</v>
      </c>
      <c r="R310" s="2">
        <v>10528780000</v>
      </c>
      <c r="S310" s="2">
        <f t="shared" si="8"/>
        <v>6.999999999999984E-2</v>
      </c>
      <c r="T310" s="2">
        <f t="shared" si="9"/>
        <v>16000008200</v>
      </c>
    </row>
    <row r="311" spans="1:20" x14ac:dyDescent="0.3">
      <c r="A311" s="1">
        <v>41240</v>
      </c>
      <c r="B311" t="s">
        <v>280</v>
      </c>
      <c r="C311" t="s">
        <v>18</v>
      </c>
      <c r="D311" t="s">
        <v>21</v>
      </c>
      <c r="E311">
        <v>0.26100000000000001</v>
      </c>
      <c r="F311">
        <v>0.27</v>
      </c>
      <c r="G311">
        <v>0.20399999999999999</v>
      </c>
      <c r="H311">
        <v>4.07</v>
      </c>
      <c r="I311" s="2">
        <v>0</v>
      </c>
      <c r="J311" s="2">
        <v>142103400000</v>
      </c>
      <c r="K311" s="2">
        <v>34749362700</v>
      </c>
      <c r="L311" s="2">
        <v>150708800</v>
      </c>
      <c r="M311" s="2">
        <v>8216134500</v>
      </c>
      <c r="N311" s="2">
        <v>19461000000</v>
      </c>
      <c r="O311" s="2">
        <v>14573155000</v>
      </c>
      <c r="P311" s="2">
        <v>104626000000</v>
      </c>
      <c r="Q311" s="2">
        <v>11960073200</v>
      </c>
      <c r="R311" s="2">
        <v>18016400000</v>
      </c>
      <c r="S311" s="2">
        <f t="shared" si="8"/>
        <v>6.6000000000000031E-2</v>
      </c>
      <c r="T311" s="2">
        <f t="shared" si="9"/>
        <v>34900071500</v>
      </c>
    </row>
    <row r="312" spans="1:20" x14ac:dyDescent="0.3">
      <c r="A312" s="1">
        <v>41241</v>
      </c>
      <c r="B312" t="s">
        <v>282</v>
      </c>
      <c r="C312" t="s">
        <v>18</v>
      </c>
      <c r="D312" t="s">
        <v>19</v>
      </c>
      <c r="E312">
        <v>0.61799999999999999</v>
      </c>
      <c r="F312">
        <v>0.64100000000000001</v>
      </c>
      <c r="G312">
        <v>0.56000000000000005</v>
      </c>
      <c r="H312">
        <v>2.89</v>
      </c>
      <c r="I312" s="2">
        <v>0</v>
      </c>
      <c r="J312" s="2">
        <v>101094050000</v>
      </c>
      <c r="K312" s="2">
        <v>34974605000</v>
      </c>
      <c r="L312" s="2">
        <v>25422500</v>
      </c>
      <c r="M312" s="2">
        <v>5556000000</v>
      </c>
      <c r="N312" s="2">
        <v>15382000000</v>
      </c>
      <c r="O312" s="2">
        <v>13554555000</v>
      </c>
      <c r="P312" s="2">
        <v>67658000000</v>
      </c>
      <c r="Q312" s="2">
        <v>15864050000</v>
      </c>
      <c r="R312" s="2">
        <v>18054050000</v>
      </c>
      <c r="S312" s="2">
        <f t="shared" si="8"/>
        <v>8.0999999999999961E-2</v>
      </c>
      <c r="T312" s="2">
        <f t="shared" si="9"/>
        <v>35000027500</v>
      </c>
    </row>
    <row r="313" spans="1:20" x14ac:dyDescent="0.3">
      <c r="A313" s="1">
        <v>41242</v>
      </c>
      <c r="B313" t="s">
        <v>281</v>
      </c>
      <c r="C313" t="s">
        <v>18</v>
      </c>
      <c r="D313" t="s">
        <v>68</v>
      </c>
      <c r="E313">
        <v>1.0089999999999999</v>
      </c>
      <c r="F313">
        <v>1.0449999999999999</v>
      </c>
      <c r="G313">
        <v>0.95699999999999996</v>
      </c>
      <c r="H313">
        <v>2.81</v>
      </c>
      <c r="I313" s="2">
        <v>0</v>
      </c>
      <c r="J313" s="2">
        <v>81372900000</v>
      </c>
      <c r="K313" s="2">
        <v>28989464400</v>
      </c>
      <c r="L313" s="2">
        <v>10590700</v>
      </c>
      <c r="M313" s="2">
        <v>5712960000</v>
      </c>
      <c r="N313" s="2">
        <v>12859000000</v>
      </c>
      <c r="O313" s="2">
        <v>11946780000</v>
      </c>
      <c r="P313" s="2">
        <v>56231000000</v>
      </c>
      <c r="Q313" s="2">
        <v>11329724400</v>
      </c>
      <c r="R313" s="2">
        <v>12282900000</v>
      </c>
      <c r="S313" s="2">
        <f t="shared" si="8"/>
        <v>8.7999999999999967E-2</v>
      </c>
      <c r="T313" s="2">
        <f t="shared" si="9"/>
        <v>29000055100</v>
      </c>
    </row>
    <row r="314" spans="1:20" x14ac:dyDescent="0.3">
      <c r="A314" s="1">
        <v>41254</v>
      </c>
      <c r="B314" t="s">
        <v>283</v>
      </c>
      <c r="C314" t="s">
        <v>18</v>
      </c>
      <c r="D314" t="s">
        <v>52</v>
      </c>
      <c r="E314">
        <v>0.307</v>
      </c>
      <c r="F314">
        <v>0.32700000000000001</v>
      </c>
      <c r="G314">
        <v>0.249</v>
      </c>
      <c r="H314">
        <v>3.36</v>
      </c>
      <c r="I314" s="2">
        <v>0</v>
      </c>
      <c r="J314" s="2">
        <v>107258900000</v>
      </c>
      <c r="K314" s="2">
        <v>31867330000</v>
      </c>
      <c r="L314" s="2">
        <v>32743700</v>
      </c>
      <c r="M314" s="2">
        <v>7901045000</v>
      </c>
      <c r="N314" s="2">
        <v>16025000000</v>
      </c>
      <c r="O314" s="2">
        <v>16972115000</v>
      </c>
      <c r="P314" s="2">
        <v>82184000000</v>
      </c>
      <c r="Q314" s="2">
        <v>6994170000</v>
      </c>
      <c r="R314" s="2">
        <v>9049900000</v>
      </c>
      <c r="S314" s="2">
        <f t="shared" si="8"/>
        <v>7.8000000000000014E-2</v>
      </c>
      <c r="T314" s="2">
        <f t="shared" si="9"/>
        <v>31900073700</v>
      </c>
    </row>
    <row r="315" spans="1:20" x14ac:dyDescent="0.3">
      <c r="A315" s="1">
        <v>41255</v>
      </c>
      <c r="B315" t="s">
        <v>277</v>
      </c>
      <c r="C315" t="s">
        <v>18</v>
      </c>
      <c r="D315" t="s">
        <v>29</v>
      </c>
      <c r="E315">
        <v>1.6339999999999999</v>
      </c>
      <c r="F315">
        <v>1.6519999999999999</v>
      </c>
      <c r="G315">
        <v>1.599</v>
      </c>
      <c r="H315">
        <v>2.95</v>
      </c>
      <c r="I315" s="2">
        <v>0</v>
      </c>
      <c r="J315" s="2">
        <v>61967900000</v>
      </c>
      <c r="K315" s="2">
        <v>20980100000</v>
      </c>
      <c r="L315" s="2">
        <v>19945500</v>
      </c>
      <c r="M315" s="2">
        <v>8960200000</v>
      </c>
      <c r="N315" s="2">
        <v>12904000000</v>
      </c>
      <c r="O315" s="2">
        <v>6945000000</v>
      </c>
      <c r="P315" s="2">
        <v>42417000000</v>
      </c>
      <c r="Q315" s="2">
        <v>5074900000</v>
      </c>
      <c r="R315" s="2">
        <v>6646900000</v>
      </c>
      <c r="S315" s="2">
        <f t="shared" si="8"/>
        <v>5.2999999999999936E-2</v>
      </c>
      <c r="T315" s="2">
        <f t="shared" si="9"/>
        <v>21000045500</v>
      </c>
    </row>
    <row r="316" spans="1:20" x14ac:dyDescent="0.3">
      <c r="A316" s="1">
        <v>41256</v>
      </c>
      <c r="B316" t="s">
        <v>279</v>
      </c>
      <c r="C316" t="s">
        <v>23</v>
      </c>
      <c r="D316" t="s">
        <v>72</v>
      </c>
      <c r="E316">
        <v>2.855</v>
      </c>
      <c r="F316">
        <v>2.9169999999999998</v>
      </c>
      <c r="G316">
        <v>2.8090000000000002</v>
      </c>
      <c r="H316">
        <v>2.5</v>
      </c>
      <c r="I316" s="2">
        <v>0</v>
      </c>
      <c r="J316" s="2">
        <v>32430240000</v>
      </c>
      <c r="K316" s="2">
        <v>12989562500</v>
      </c>
      <c r="L316" s="2">
        <v>10441400</v>
      </c>
      <c r="M316" s="2">
        <v>2633500000</v>
      </c>
      <c r="N316" s="2">
        <v>5390500000</v>
      </c>
      <c r="O316" s="2">
        <v>5983047500</v>
      </c>
      <c r="P316" s="2">
        <v>22181000000</v>
      </c>
      <c r="Q316" s="2">
        <v>4373015000</v>
      </c>
      <c r="R316" s="2">
        <v>4858740000</v>
      </c>
      <c r="S316" s="2">
        <f t="shared" si="8"/>
        <v>0.10799999999999965</v>
      </c>
      <c r="T316" s="2">
        <f t="shared" si="9"/>
        <v>13000003900</v>
      </c>
    </row>
    <row r="317" spans="1:20" x14ac:dyDescent="0.3">
      <c r="A317" s="1">
        <v>41260</v>
      </c>
      <c r="B317" t="s">
        <v>286</v>
      </c>
      <c r="C317" t="s">
        <v>18</v>
      </c>
      <c r="D317" t="s">
        <v>21</v>
      </c>
      <c r="E317">
        <v>0.23400000000000001</v>
      </c>
      <c r="F317">
        <v>0.245</v>
      </c>
      <c r="G317">
        <v>0.186</v>
      </c>
      <c r="H317">
        <v>3.59</v>
      </c>
      <c r="I317" s="2">
        <v>0</v>
      </c>
      <c r="J317" s="2">
        <v>125438200000</v>
      </c>
      <c r="K317" s="2">
        <v>34777565000</v>
      </c>
      <c r="L317" s="2">
        <v>122600000</v>
      </c>
      <c r="M317" s="2">
        <v>9888513000</v>
      </c>
      <c r="N317" s="2">
        <v>18293000000</v>
      </c>
      <c r="O317" s="2">
        <v>18733775000</v>
      </c>
      <c r="P317" s="2">
        <v>98003000000</v>
      </c>
      <c r="Q317" s="2">
        <v>6155277000</v>
      </c>
      <c r="R317" s="2">
        <v>9142200000</v>
      </c>
      <c r="S317" s="2">
        <f t="shared" si="8"/>
        <v>5.8999999999999997E-2</v>
      </c>
      <c r="T317" s="2">
        <f t="shared" si="9"/>
        <v>34900165000</v>
      </c>
    </row>
    <row r="318" spans="1:20" x14ac:dyDescent="0.3">
      <c r="A318" s="1">
        <v>41261</v>
      </c>
      <c r="B318" t="s">
        <v>285</v>
      </c>
      <c r="C318" t="s">
        <v>18</v>
      </c>
      <c r="D318" t="s">
        <v>19</v>
      </c>
      <c r="E318">
        <v>0.73799999999999999</v>
      </c>
      <c r="F318">
        <v>0.76900000000000002</v>
      </c>
      <c r="G318">
        <v>0.68799999999999994</v>
      </c>
      <c r="H318">
        <v>2.72</v>
      </c>
      <c r="I318" s="2">
        <v>0</v>
      </c>
      <c r="J318" s="2">
        <v>95045600000</v>
      </c>
      <c r="K318" s="2">
        <v>34925500000</v>
      </c>
      <c r="L318" s="2">
        <v>24525600</v>
      </c>
      <c r="M318" s="2">
        <v>10616580000</v>
      </c>
      <c r="N318" s="2">
        <v>18238000000</v>
      </c>
      <c r="O318" s="2">
        <v>12977450000</v>
      </c>
      <c r="P318" s="2">
        <v>64191000000</v>
      </c>
      <c r="Q318" s="2">
        <v>11331470000</v>
      </c>
      <c r="R318" s="2">
        <v>12616600000</v>
      </c>
      <c r="S318" s="2">
        <f t="shared" si="8"/>
        <v>8.1000000000000072E-2</v>
      </c>
      <c r="T318" s="2">
        <f t="shared" si="9"/>
        <v>34950025600</v>
      </c>
    </row>
    <row r="319" spans="1:20" x14ac:dyDescent="0.3">
      <c r="A319" s="1">
        <v>41262</v>
      </c>
      <c r="B319" t="s">
        <v>284</v>
      </c>
      <c r="C319" t="s">
        <v>18</v>
      </c>
      <c r="D319" t="s">
        <v>68</v>
      </c>
      <c r="E319">
        <v>1.2</v>
      </c>
      <c r="F319">
        <v>1.2330000000000001</v>
      </c>
      <c r="G319">
        <v>1.149</v>
      </c>
      <c r="H319">
        <v>2.72</v>
      </c>
      <c r="I319" s="2">
        <v>0</v>
      </c>
      <c r="J319" s="2">
        <v>78802900000</v>
      </c>
      <c r="K319" s="2">
        <v>28971710000</v>
      </c>
      <c r="L319" s="2">
        <v>28293400</v>
      </c>
      <c r="M319" s="2">
        <v>6694000000</v>
      </c>
      <c r="N319" s="2">
        <v>11836000000</v>
      </c>
      <c r="O319" s="2">
        <v>10720000000</v>
      </c>
      <c r="P319" s="2">
        <v>53616000000</v>
      </c>
      <c r="Q319" s="2">
        <v>11557710000</v>
      </c>
      <c r="R319" s="2">
        <v>13350900000</v>
      </c>
      <c r="S319" s="2">
        <f t="shared" si="8"/>
        <v>8.4000000000000075E-2</v>
      </c>
      <c r="T319" s="2">
        <f t="shared" si="9"/>
        <v>29000003400</v>
      </c>
    </row>
    <row r="320" spans="1:20" x14ac:dyDescent="0.3">
      <c r="A320" s="1">
        <v>41282</v>
      </c>
      <c r="B320" t="s">
        <v>287</v>
      </c>
      <c r="C320" t="s">
        <v>18</v>
      </c>
      <c r="D320" t="s">
        <v>52</v>
      </c>
      <c r="E320">
        <v>0.37</v>
      </c>
      <c r="F320">
        <v>0.38500000000000001</v>
      </c>
      <c r="G320">
        <v>0.3</v>
      </c>
      <c r="H320">
        <v>3.62</v>
      </c>
      <c r="I320" s="2">
        <v>0</v>
      </c>
      <c r="J320" s="2">
        <v>115814400000</v>
      </c>
      <c r="K320" s="2">
        <v>31869925000</v>
      </c>
      <c r="L320" s="2">
        <v>30122100</v>
      </c>
      <c r="M320" s="2">
        <v>8407000000</v>
      </c>
      <c r="N320" s="2">
        <v>18664000000</v>
      </c>
      <c r="O320" s="2">
        <v>14410485000</v>
      </c>
      <c r="P320" s="2">
        <v>83554000000</v>
      </c>
      <c r="Q320" s="2">
        <v>9052440000</v>
      </c>
      <c r="R320" s="2">
        <v>13596400000</v>
      </c>
      <c r="S320" s="2">
        <f t="shared" si="8"/>
        <v>8.500000000000002E-2</v>
      </c>
      <c r="T320" s="2">
        <f t="shared" si="9"/>
        <v>31900047100</v>
      </c>
    </row>
    <row r="321" spans="1:20" x14ac:dyDescent="0.3">
      <c r="A321" s="1">
        <v>41283</v>
      </c>
      <c r="B321" t="s">
        <v>277</v>
      </c>
      <c r="C321" t="s">
        <v>18</v>
      </c>
      <c r="D321" t="s">
        <v>59</v>
      </c>
      <c r="E321">
        <v>1.82</v>
      </c>
      <c r="F321">
        <v>1.863</v>
      </c>
      <c r="G321">
        <v>1.7569999999999999</v>
      </c>
      <c r="H321">
        <v>2.83</v>
      </c>
      <c r="I321" s="2">
        <v>0</v>
      </c>
      <c r="J321" s="2">
        <v>59516700000</v>
      </c>
      <c r="K321" s="2">
        <v>20991170400</v>
      </c>
      <c r="L321" s="2">
        <v>8835300</v>
      </c>
      <c r="M321" s="2">
        <v>3102000000</v>
      </c>
      <c r="N321" s="2">
        <v>8144000000</v>
      </c>
      <c r="O321" s="2">
        <v>11910480000</v>
      </c>
      <c r="P321" s="2">
        <v>43624000000</v>
      </c>
      <c r="Q321" s="2">
        <v>5978690400</v>
      </c>
      <c r="R321" s="2">
        <v>7748700000</v>
      </c>
      <c r="S321" s="2">
        <f t="shared" si="8"/>
        <v>0.10600000000000009</v>
      </c>
      <c r="T321" s="2">
        <f t="shared" si="9"/>
        <v>21000005700</v>
      </c>
    </row>
    <row r="322" spans="1:20" x14ac:dyDescent="0.3">
      <c r="A322" s="1">
        <v>41284</v>
      </c>
      <c r="B322" t="s">
        <v>279</v>
      </c>
      <c r="C322" t="s">
        <v>23</v>
      </c>
      <c r="D322" t="s">
        <v>91</v>
      </c>
      <c r="E322">
        <v>3.032</v>
      </c>
      <c r="F322">
        <v>3.07</v>
      </c>
      <c r="G322">
        <v>2.98</v>
      </c>
      <c r="H322">
        <v>2.77</v>
      </c>
      <c r="I322" s="2">
        <v>0</v>
      </c>
      <c r="J322" s="2">
        <v>36038417500</v>
      </c>
      <c r="K322" s="2">
        <v>12989715500</v>
      </c>
      <c r="L322" s="2">
        <v>10285400</v>
      </c>
      <c r="M322" s="2">
        <v>2163163500</v>
      </c>
      <c r="N322" s="2">
        <v>5033000000</v>
      </c>
      <c r="O322" s="2">
        <v>5910162500</v>
      </c>
      <c r="P322" s="2">
        <v>24069000000</v>
      </c>
      <c r="Q322" s="2">
        <v>4916389500</v>
      </c>
      <c r="R322" s="2">
        <v>6936417500</v>
      </c>
      <c r="S322" s="2">
        <f t="shared" ref="S322:S385" si="10">SUM($F322,-$G322)</f>
        <v>8.9999999999999858E-2</v>
      </c>
      <c r="T322" s="2">
        <f t="shared" ref="T322:T385" si="11">SUM(I322,K322,L322)</f>
        <v>13000000900</v>
      </c>
    </row>
    <row r="323" spans="1:20" x14ac:dyDescent="0.3">
      <c r="A323" s="1">
        <v>41302</v>
      </c>
      <c r="B323" t="s">
        <v>290</v>
      </c>
      <c r="C323" t="s">
        <v>18</v>
      </c>
      <c r="D323" t="s">
        <v>21</v>
      </c>
      <c r="E323">
        <v>0.26900000000000002</v>
      </c>
      <c r="F323">
        <v>0.28799999999999998</v>
      </c>
      <c r="G323">
        <v>0.22500000000000001</v>
      </c>
      <c r="H323">
        <v>3.77</v>
      </c>
      <c r="I323" s="2">
        <v>0</v>
      </c>
      <c r="J323" s="2">
        <v>131516100000</v>
      </c>
      <c r="K323" s="2">
        <v>34732725000</v>
      </c>
      <c r="L323" s="2">
        <v>167386200</v>
      </c>
      <c r="M323" s="2">
        <v>10416460000</v>
      </c>
      <c r="N323" s="2">
        <v>21983000000</v>
      </c>
      <c r="O323" s="2">
        <v>18061165000</v>
      </c>
      <c r="P323" s="2">
        <v>92001000000</v>
      </c>
      <c r="Q323" s="2">
        <v>6255100000</v>
      </c>
      <c r="R323" s="2">
        <v>17532100000</v>
      </c>
      <c r="S323" s="2">
        <f t="shared" si="10"/>
        <v>6.2999999999999973E-2</v>
      </c>
      <c r="T323" s="2">
        <f t="shared" si="11"/>
        <v>34900111200</v>
      </c>
    </row>
    <row r="324" spans="1:20" x14ac:dyDescent="0.3">
      <c r="A324" s="1">
        <v>41303</v>
      </c>
      <c r="B324" t="s">
        <v>289</v>
      </c>
      <c r="C324" t="s">
        <v>18</v>
      </c>
      <c r="D324" t="s">
        <v>19</v>
      </c>
      <c r="E324">
        <v>0.85699999999999998</v>
      </c>
      <c r="F324">
        <v>0.88900000000000001</v>
      </c>
      <c r="G324">
        <v>0.8</v>
      </c>
      <c r="H324">
        <v>2.88</v>
      </c>
      <c r="I324" s="2">
        <v>0</v>
      </c>
      <c r="J324" s="2">
        <v>100834100000</v>
      </c>
      <c r="K324" s="2">
        <v>34970740500</v>
      </c>
      <c r="L324" s="2">
        <v>29273400</v>
      </c>
      <c r="M324" s="2">
        <v>5888810500</v>
      </c>
      <c r="N324" s="2">
        <v>14402900000</v>
      </c>
      <c r="O324" s="2">
        <v>15201535000</v>
      </c>
      <c r="P324" s="2">
        <v>67652000000</v>
      </c>
      <c r="Q324" s="2">
        <v>13880395000</v>
      </c>
      <c r="R324" s="2">
        <v>18779200000</v>
      </c>
      <c r="S324" s="2">
        <f t="shared" si="10"/>
        <v>8.8999999999999968E-2</v>
      </c>
      <c r="T324" s="2">
        <f t="shared" si="11"/>
        <v>35000013900</v>
      </c>
    </row>
    <row r="325" spans="1:20" x14ac:dyDescent="0.3">
      <c r="A325" s="1">
        <v>41304</v>
      </c>
      <c r="B325" t="s">
        <v>288</v>
      </c>
      <c r="C325" t="s">
        <v>18</v>
      </c>
      <c r="D325" t="s">
        <v>68</v>
      </c>
      <c r="E325">
        <v>1.3680000000000001</v>
      </c>
      <c r="F325">
        <v>1.4159999999999999</v>
      </c>
      <c r="G325">
        <v>1.3</v>
      </c>
      <c r="H325">
        <v>2.6</v>
      </c>
      <c r="I325" s="2">
        <v>0</v>
      </c>
      <c r="J325" s="2">
        <v>75453000000</v>
      </c>
      <c r="K325" s="2">
        <v>28989474000</v>
      </c>
      <c r="L325" s="2">
        <v>10545000</v>
      </c>
      <c r="M325" s="2">
        <v>5724500000</v>
      </c>
      <c r="N325" s="2">
        <v>10356500000</v>
      </c>
      <c r="O325" s="2">
        <v>12187490000</v>
      </c>
      <c r="P325" s="2">
        <v>51715000000</v>
      </c>
      <c r="Q325" s="2">
        <v>11077484000</v>
      </c>
      <c r="R325" s="2">
        <v>13381500000</v>
      </c>
      <c r="S325" s="2">
        <f t="shared" si="10"/>
        <v>0.11599999999999988</v>
      </c>
      <c r="T325" s="2">
        <f t="shared" si="11"/>
        <v>29000019000</v>
      </c>
    </row>
    <row r="326" spans="1:20" x14ac:dyDescent="0.3">
      <c r="A326" s="1">
        <v>41317</v>
      </c>
      <c r="B326" t="s">
        <v>293</v>
      </c>
      <c r="C326" t="s">
        <v>18</v>
      </c>
      <c r="D326" t="s">
        <v>52</v>
      </c>
      <c r="E326">
        <v>0.39500000000000002</v>
      </c>
      <c r="F326">
        <v>0.41099999999999998</v>
      </c>
      <c r="G326">
        <v>0.33400000000000002</v>
      </c>
      <c r="H326">
        <v>3.59</v>
      </c>
      <c r="I326" s="2">
        <v>0</v>
      </c>
      <c r="J326" s="2">
        <v>114640100000</v>
      </c>
      <c r="K326" s="2">
        <v>31855397500</v>
      </c>
      <c r="L326" s="2">
        <v>44654700</v>
      </c>
      <c r="M326" s="2">
        <v>8556060000</v>
      </c>
      <c r="N326" s="2">
        <v>18535000000</v>
      </c>
      <c r="O326" s="2">
        <v>17558237500</v>
      </c>
      <c r="P326" s="2">
        <v>79390000000</v>
      </c>
      <c r="Q326" s="2">
        <v>5741100000</v>
      </c>
      <c r="R326" s="2">
        <v>16715100000</v>
      </c>
      <c r="S326" s="2">
        <f t="shared" si="10"/>
        <v>7.6999999999999957E-2</v>
      </c>
      <c r="T326" s="2">
        <f t="shared" si="11"/>
        <v>31900052200</v>
      </c>
    </row>
    <row r="327" spans="1:20" x14ac:dyDescent="0.3">
      <c r="A327" s="1">
        <v>41318</v>
      </c>
      <c r="B327" t="s">
        <v>292</v>
      </c>
      <c r="C327" t="s">
        <v>18</v>
      </c>
      <c r="D327" t="s">
        <v>26</v>
      </c>
      <c r="E327">
        <v>2.0099999999999998</v>
      </c>
      <c r="F327">
        <v>2.0459999999999998</v>
      </c>
      <c r="G327">
        <v>1.94</v>
      </c>
      <c r="H327">
        <v>2.68</v>
      </c>
      <c r="I327" s="2">
        <v>0</v>
      </c>
      <c r="J327" s="2">
        <v>64305200000</v>
      </c>
      <c r="K327" s="2">
        <v>23960836000</v>
      </c>
      <c r="L327" s="2">
        <v>39174900</v>
      </c>
      <c r="M327" s="2">
        <v>5810000000</v>
      </c>
      <c r="N327" s="2">
        <v>9499000000</v>
      </c>
      <c r="O327" s="2">
        <v>11436760000</v>
      </c>
      <c r="P327" s="2">
        <v>45389000000</v>
      </c>
      <c r="Q327" s="2">
        <v>6714076000</v>
      </c>
      <c r="R327" s="2">
        <v>9417200000</v>
      </c>
      <c r="S327" s="2">
        <f t="shared" si="10"/>
        <v>0.10599999999999987</v>
      </c>
      <c r="T327" s="2">
        <f t="shared" si="11"/>
        <v>24000010900</v>
      </c>
    </row>
    <row r="328" spans="1:20" x14ac:dyDescent="0.3">
      <c r="A328" s="1">
        <v>41319</v>
      </c>
      <c r="B328" t="s">
        <v>291</v>
      </c>
      <c r="C328" t="s">
        <v>23</v>
      </c>
      <c r="D328" t="s">
        <v>65</v>
      </c>
      <c r="E328">
        <v>3.1389999999999998</v>
      </c>
      <c r="F328">
        <v>3.18</v>
      </c>
      <c r="G328">
        <v>3.09</v>
      </c>
      <c r="H328">
        <v>2.74</v>
      </c>
      <c r="I328" s="2">
        <v>0</v>
      </c>
      <c r="J328" s="2">
        <v>43836161000</v>
      </c>
      <c r="K328" s="2">
        <v>15980720000</v>
      </c>
      <c r="L328" s="2">
        <v>19419500</v>
      </c>
      <c r="M328" s="2">
        <v>2315000000</v>
      </c>
      <c r="N328" s="2">
        <v>6011000000</v>
      </c>
      <c r="O328" s="2">
        <v>7852860000</v>
      </c>
      <c r="P328" s="2">
        <v>29700000000</v>
      </c>
      <c r="Q328" s="2">
        <v>5812860000</v>
      </c>
      <c r="R328" s="2">
        <v>8125161000</v>
      </c>
      <c r="S328" s="2">
        <f t="shared" si="10"/>
        <v>9.0000000000000302E-2</v>
      </c>
      <c r="T328" s="2">
        <f t="shared" si="11"/>
        <v>16000139500</v>
      </c>
    </row>
    <row r="329" spans="1:20" x14ac:dyDescent="0.3">
      <c r="A329" s="1">
        <v>41330</v>
      </c>
      <c r="B329" t="s">
        <v>296</v>
      </c>
      <c r="C329" t="s">
        <v>18</v>
      </c>
      <c r="D329" t="s">
        <v>21</v>
      </c>
      <c r="E329">
        <v>0.249</v>
      </c>
      <c r="F329">
        <v>0.25700000000000001</v>
      </c>
      <c r="G329">
        <v>0.19900000000000001</v>
      </c>
      <c r="H329">
        <v>3.33</v>
      </c>
      <c r="I329" s="2">
        <v>0</v>
      </c>
      <c r="J329" s="2">
        <v>116209345000</v>
      </c>
      <c r="K329" s="2">
        <v>34745648000</v>
      </c>
      <c r="L329" s="2">
        <v>154473300</v>
      </c>
      <c r="M329" s="2">
        <v>10974380000</v>
      </c>
      <c r="N329" s="2">
        <v>22696000000</v>
      </c>
      <c r="O329" s="2">
        <v>16126760000</v>
      </c>
      <c r="P329" s="2">
        <v>83805000000</v>
      </c>
      <c r="Q329" s="2">
        <v>7644508000</v>
      </c>
      <c r="R329" s="2">
        <v>9708345000</v>
      </c>
      <c r="S329" s="2">
        <f t="shared" si="10"/>
        <v>5.7999999999999996E-2</v>
      </c>
      <c r="T329" s="2">
        <f t="shared" si="11"/>
        <v>34900121300</v>
      </c>
    </row>
    <row r="330" spans="1:20" x14ac:dyDescent="0.3">
      <c r="A330" s="1">
        <v>41331</v>
      </c>
      <c r="B330" t="s">
        <v>295</v>
      </c>
      <c r="C330" t="s">
        <v>18</v>
      </c>
      <c r="D330" t="s">
        <v>19</v>
      </c>
      <c r="E330">
        <v>0.74299999999999999</v>
      </c>
      <c r="F330">
        <v>0.77700000000000002</v>
      </c>
      <c r="G330">
        <v>0.69</v>
      </c>
      <c r="H330">
        <v>2.85</v>
      </c>
      <c r="I330" s="2">
        <v>0</v>
      </c>
      <c r="J330" s="2">
        <v>99679395000</v>
      </c>
      <c r="K330" s="2">
        <v>34976003000</v>
      </c>
      <c r="L330" s="2">
        <v>24011500</v>
      </c>
      <c r="M330" s="2">
        <v>5003000000</v>
      </c>
      <c r="N330" s="2">
        <v>15270000000</v>
      </c>
      <c r="O330" s="2">
        <v>15382730000</v>
      </c>
      <c r="P330" s="2">
        <v>67972000000</v>
      </c>
      <c r="Q330" s="2">
        <v>14590273000</v>
      </c>
      <c r="R330" s="2">
        <v>16437395000</v>
      </c>
      <c r="S330" s="2">
        <f t="shared" si="10"/>
        <v>8.7000000000000077E-2</v>
      </c>
      <c r="T330" s="2">
        <f t="shared" si="11"/>
        <v>35000014500</v>
      </c>
    </row>
    <row r="331" spans="1:20" x14ac:dyDescent="0.3">
      <c r="A331" s="1">
        <v>41332</v>
      </c>
      <c r="B331" t="s">
        <v>294</v>
      </c>
      <c r="C331" t="s">
        <v>18</v>
      </c>
      <c r="D331" t="s">
        <v>68</v>
      </c>
      <c r="E331">
        <v>1.22</v>
      </c>
      <c r="F331">
        <v>1.26</v>
      </c>
      <c r="G331">
        <v>1.17</v>
      </c>
      <c r="H331">
        <v>2.65</v>
      </c>
      <c r="I331" s="2">
        <v>0</v>
      </c>
      <c r="J331" s="2">
        <v>76964300000</v>
      </c>
      <c r="K331" s="2">
        <v>28993175000</v>
      </c>
      <c r="L331" s="2">
        <v>6846000</v>
      </c>
      <c r="M331" s="2">
        <v>5282625000</v>
      </c>
      <c r="N331" s="2">
        <v>11477000000</v>
      </c>
      <c r="O331" s="2">
        <v>14022250000</v>
      </c>
      <c r="P331" s="2">
        <v>55313000000</v>
      </c>
      <c r="Q331" s="2">
        <v>9688300000</v>
      </c>
      <c r="R331" s="2">
        <v>10174300000</v>
      </c>
      <c r="S331" s="2">
        <f t="shared" si="10"/>
        <v>9.000000000000008E-2</v>
      </c>
      <c r="T331" s="2">
        <f t="shared" si="11"/>
        <v>29000021000</v>
      </c>
    </row>
    <row r="332" spans="1:20" x14ac:dyDescent="0.3">
      <c r="A332" s="1">
        <v>41345</v>
      </c>
      <c r="B332" t="s">
        <v>297</v>
      </c>
      <c r="C332" t="s">
        <v>18</v>
      </c>
      <c r="D332" t="s">
        <v>52</v>
      </c>
      <c r="E332">
        <v>0.4</v>
      </c>
      <c r="F332">
        <v>0.41099999999999998</v>
      </c>
      <c r="G332">
        <v>0.32700000000000001</v>
      </c>
      <c r="H332">
        <v>3.51</v>
      </c>
      <c r="I332" s="2">
        <v>0</v>
      </c>
      <c r="J332" s="2">
        <v>112085350000</v>
      </c>
      <c r="K332" s="2">
        <v>31848142500</v>
      </c>
      <c r="L332" s="2">
        <v>46899700</v>
      </c>
      <c r="M332" s="2">
        <v>7443000000</v>
      </c>
      <c r="N332" s="2">
        <v>17181000000</v>
      </c>
      <c r="O332" s="2">
        <v>17848292500</v>
      </c>
      <c r="P332" s="2">
        <v>83707000000</v>
      </c>
      <c r="Q332" s="2">
        <v>6556850000</v>
      </c>
      <c r="R332" s="2">
        <v>11197350000</v>
      </c>
      <c r="S332" s="2">
        <f t="shared" si="10"/>
        <v>8.3999999999999964E-2</v>
      </c>
      <c r="T332" s="2">
        <f t="shared" si="11"/>
        <v>31895042200</v>
      </c>
    </row>
    <row r="333" spans="1:20" x14ac:dyDescent="0.3">
      <c r="A333" s="1">
        <v>41346</v>
      </c>
      <c r="B333" t="s">
        <v>292</v>
      </c>
      <c r="C333" t="s">
        <v>18</v>
      </c>
      <c r="D333" t="s">
        <v>29</v>
      </c>
      <c r="E333">
        <v>2.0049999999999999</v>
      </c>
      <c r="F333">
        <v>2.0289999999999999</v>
      </c>
      <c r="G333">
        <v>1.9339999999999999</v>
      </c>
      <c r="H333">
        <v>3.19</v>
      </c>
      <c r="I333" s="2">
        <v>0</v>
      </c>
      <c r="J333" s="2">
        <v>66987600000</v>
      </c>
      <c r="K333" s="2">
        <v>20979758500</v>
      </c>
      <c r="L333" s="2">
        <v>20253900</v>
      </c>
      <c r="M333" s="2">
        <v>6303000000</v>
      </c>
      <c r="N333" s="2">
        <v>11314000000</v>
      </c>
      <c r="O333" s="2">
        <v>4671550000</v>
      </c>
      <c r="P333" s="2">
        <v>41938000000</v>
      </c>
      <c r="Q333" s="2">
        <v>10005208500</v>
      </c>
      <c r="R333" s="2">
        <v>13735600000</v>
      </c>
      <c r="S333" s="2">
        <f t="shared" si="10"/>
        <v>9.4999999999999973E-2</v>
      </c>
      <c r="T333" s="2">
        <f t="shared" si="11"/>
        <v>21000012400</v>
      </c>
    </row>
    <row r="334" spans="1:20" x14ac:dyDescent="0.3">
      <c r="A334" s="1">
        <v>41347</v>
      </c>
      <c r="B334" t="s">
        <v>291</v>
      </c>
      <c r="C334" t="s">
        <v>23</v>
      </c>
      <c r="D334" t="s">
        <v>72</v>
      </c>
      <c r="E334">
        <v>3.1850000000000001</v>
      </c>
      <c r="F334">
        <v>3.2480000000000002</v>
      </c>
      <c r="G334">
        <v>3.15</v>
      </c>
      <c r="H334">
        <v>2.4300000000000002</v>
      </c>
      <c r="I334" s="2">
        <v>0</v>
      </c>
      <c r="J334" s="2">
        <v>31577800000</v>
      </c>
      <c r="K334" s="2">
        <v>12985524900</v>
      </c>
      <c r="L334" s="2">
        <v>14511100</v>
      </c>
      <c r="M334" s="2">
        <v>633000000</v>
      </c>
      <c r="N334" s="2">
        <v>3294000000</v>
      </c>
      <c r="O334" s="2">
        <v>6901237500</v>
      </c>
      <c r="P334" s="2">
        <v>22213000000</v>
      </c>
      <c r="Q334" s="2">
        <v>5451287400</v>
      </c>
      <c r="R334" s="2">
        <v>6070800000</v>
      </c>
      <c r="S334" s="2">
        <f t="shared" si="10"/>
        <v>9.8000000000000309E-2</v>
      </c>
      <c r="T334" s="2">
        <f t="shared" si="11"/>
        <v>13000036000</v>
      </c>
    </row>
    <row r="335" spans="1:20" x14ac:dyDescent="0.3">
      <c r="A335" s="1">
        <v>41359</v>
      </c>
      <c r="B335" t="s">
        <v>300</v>
      </c>
      <c r="C335" t="s">
        <v>18</v>
      </c>
      <c r="D335" t="s">
        <v>21</v>
      </c>
      <c r="E335">
        <v>0.24399999999999999</v>
      </c>
      <c r="F335">
        <v>0.255</v>
      </c>
      <c r="G335">
        <v>0.19900000000000001</v>
      </c>
      <c r="H335">
        <v>3.27</v>
      </c>
      <c r="I335" s="2">
        <v>0</v>
      </c>
      <c r="J335" s="2">
        <v>114137500000</v>
      </c>
      <c r="K335" s="2">
        <v>34704098000</v>
      </c>
      <c r="L335" s="2">
        <v>166205100</v>
      </c>
      <c r="M335" s="2">
        <v>7570000000</v>
      </c>
      <c r="N335" s="2">
        <v>17997000000</v>
      </c>
      <c r="O335" s="2">
        <v>19976610000</v>
      </c>
      <c r="P335" s="2">
        <v>84914000000</v>
      </c>
      <c r="Q335" s="2">
        <v>7157488000</v>
      </c>
      <c r="R335" s="2">
        <v>11226500000</v>
      </c>
      <c r="S335" s="2">
        <f t="shared" si="10"/>
        <v>5.5999999999999994E-2</v>
      </c>
      <c r="T335" s="2">
        <f t="shared" si="11"/>
        <v>34870303100</v>
      </c>
    </row>
    <row r="336" spans="1:20" x14ac:dyDescent="0.3">
      <c r="A336" s="1">
        <v>41360</v>
      </c>
      <c r="B336" t="s">
        <v>299</v>
      </c>
      <c r="C336" t="s">
        <v>18</v>
      </c>
      <c r="D336" t="s">
        <v>19</v>
      </c>
      <c r="E336">
        <v>0.72499999999999998</v>
      </c>
      <c r="F336">
        <v>0.76</v>
      </c>
      <c r="G336">
        <v>0.68400000000000005</v>
      </c>
      <c r="H336">
        <v>2.73</v>
      </c>
      <c r="I336" s="2">
        <v>0</v>
      </c>
      <c r="J336" s="2">
        <v>95416000000</v>
      </c>
      <c r="K336" s="2">
        <v>34975054500</v>
      </c>
      <c r="L336" s="2">
        <v>24976100</v>
      </c>
      <c r="M336" s="2">
        <v>5888422000</v>
      </c>
      <c r="N336" s="2">
        <v>15411000000</v>
      </c>
      <c r="O336" s="2">
        <v>12969467500</v>
      </c>
      <c r="P336" s="2">
        <v>59936000000</v>
      </c>
      <c r="Q336" s="2">
        <v>16117165000</v>
      </c>
      <c r="R336" s="2">
        <v>20069000000</v>
      </c>
      <c r="S336" s="2">
        <f t="shared" si="10"/>
        <v>7.5999999999999956E-2</v>
      </c>
      <c r="T336" s="2">
        <f t="shared" si="11"/>
        <v>35000030600</v>
      </c>
    </row>
    <row r="337" spans="1:20" x14ac:dyDescent="0.3">
      <c r="A337" s="1">
        <v>41361</v>
      </c>
      <c r="B337" t="s">
        <v>298</v>
      </c>
      <c r="C337" t="s">
        <v>18</v>
      </c>
      <c r="D337" t="s">
        <v>68</v>
      </c>
      <c r="E337">
        <v>1.204</v>
      </c>
      <c r="F337">
        <v>1.248</v>
      </c>
      <c r="G337">
        <v>1.145</v>
      </c>
      <c r="H337">
        <v>2.56</v>
      </c>
      <c r="I337" s="2">
        <v>0</v>
      </c>
      <c r="J337" s="2">
        <v>74225875000</v>
      </c>
      <c r="K337" s="2">
        <v>28988580600</v>
      </c>
      <c r="L337" s="2">
        <v>11492500</v>
      </c>
      <c r="M337" s="2">
        <v>5655000000</v>
      </c>
      <c r="N337" s="2">
        <v>10575000000</v>
      </c>
      <c r="O337" s="2">
        <v>13048065600</v>
      </c>
      <c r="P337" s="2">
        <v>52541000000</v>
      </c>
      <c r="Q337" s="2">
        <v>10285515000</v>
      </c>
      <c r="R337" s="2">
        <v>11109875000</v>
      </c>
      <c r="S337" s="2">
        <f t="shared" si="10"/>
        <v>0.10299999999999998</v>
      </c>
      <c r="T337" s="2">
        <f t="shared" si="11"/>
        <v>29000073100</v>
      </c>
    </row>
    <row r="338" spans="1:20" x14ac:dyDescent="0.3">
      <c r="A338" s="1">
        <v>41373</v>
      </c>
      <c r="B338" t="s">
        <v>301</v>
      </c>
      <c r="C338" t="s">
        <v>18</v>
      </c>
      <c r="D338" t="s">
        <v>52</v>
      </c>
      <c r="E338">
        <v>0.32400000000000001</v>
      </c>
      <c r="F338">
        <v>0.34200000000000003</v>
      </c>
      <c r="G338">
        <v>0.25700000000000001</v>
      </c>
      <c r="H338">
        <v>3.24</v>
      </c>
      <c r="I338" s="2">
        <v>0</v>
      </c>
      <c r="J338" s="2">
        <v>103479100000</v>
      </c>
      <c r="K338" s="2">
        <v>31875611400</v>
      </c>
      <c r="L338" s="2">
        <v>24612500</v>
      </c>
      <c r="M338" s="2">
        <v>5152650000</v>
      </c>
      <c r="N338" s="2">
        <v>14883000000</v>
      </c>
      <c r="O338" s="2">
        <v>20674813600</v>
      </c>
      <c r="P338" s="2">
        <v>80658000000</v>
      </c>
      <c r="Q338" s="2">
        <v>6048147800</v>
      </c>
      <c r="R338" s="2">
        <v>7938100000</v>
      </c>
      <c r="S338" s="2">
        <f t="shared" si="10"/>
        <v>8.500000000000002E-2</v>
      </c>
      <c r="T338" s="2">
        <f t="shared" si="11"/>
        <v>31900223900</v>
      </c>
    </row>
    <row r="339" spans="1:20" x14ac:dyDescent="0.3">
      <c r="A339" s="1">
        <v>41374</v>
      </c>
      <c r="B339" t="s">
        <v>292</v>
      </c>
      <c r="C339" t="s">
        <v>18</v>
      </c>
      <c r="D339" t="s">
        <v>59</v>
      </c>
      <c r="E339">
        <v>1.7589999999999999</v>
      </c>
      <c r="F339">
        <v>1.7949999999999999</v>
      </c>
      <c r="G339">
        <v>1.72</v>
      </c>
      <c r="H339">
        <v>2.79</v>
      </c>
      <c r="I339" s="2">
        <v>0</v>
      </c>
      <c r="J339" s="2">
        <v>58610650000</v>
      </c>
      <c r="K339" s="2">
        <v>20991399500</v>
      </c>
      <c r="L339" s="2">
        <v>8609300</v>
      </c>
      <c r="M339" s="2">
        <v>6104715500</v>
      </c>
      <c r="N339" s="2">
        <v>8573000000</v>
      </c>
      <c r="O339" s="2">
        <v>7051310000</v>
      </c>
      <c r="P339" s="2">
        <v>40839000000</v>
      </c>
      <c r="Q339" s="2">
        <v>7835374000</v>
      </c>
      <c r="R339" s="2">
        <v>9198650000</v>
      </c>
      <c r="S339" s="2">
        <f t="shared" si="10"/>
        <v>7.4999999999999956E-2</v>
      </c>
      <c r="T339" s="2">
        <f t="shared" si="11"/>
        <v>21000008800</v>
      </c>
    </row>
    <row r="340" spans="1:20" x14ac:dyDescent="0.3">
      <c r="A340" s="1">
        <v>41375</v>
      </c>
      <c r="B340" t="s">
        <v>291</v>
      </c>
      <c r="C340" t="s">
        <v>23</v>
      </c>
      <c r="D340" t="s">
        <v>91</v>
      </c>
      <c r="E340">
        <v>2.95</v>
      </c>
      <c r="F340">
        <v>2.9980000000000002</v>
      </c>
      <c r="G340">
        <v>2.9</v>
      </c>
      <c r="H340">
        <v>2.4900000000000002</v>
      </c>
      <c r="I340" s="2">
        <v>0</v>
      </c>
      <c r="J340" s="2">
        <v>32395250000</v>
      </c>
      <c r="K340" s="2">
        <v>12994492000</v>
      </c>
      <c r="L340" s="2">
        <v>5520900</v>
      </c>
      <c r="M340" s="2">
        <v>2499522000</v>
      </c>
      <c r="N340" s="2">
        <v>4781500000</v>
      </c>
      <c r="O340" s="2">
        <v>6409392000</v>
      </c>
      <c r="P340" s="2">
        <v>22201000000</v>
      </c>
      <c r="Q340" s="2">
        <v>4085578000</v>
      </c>
      <c r="R340" s="2">
        <v>5412750000</v>
      </c>
      <c r="S340" s="2">
        <f t="shared" si="10"/>
        <v>9.8000000000000309E-2</v>
      </c>
      <c r="T340" s="2">
        <f t="shared" si="11"/>
        <v>13000012900</v>
      </c>
    </row>
    <row r="341" spans="1:20" x14ac:dyDescent="0.3">
      <c r="A341" s="1">
        <v>41387</v>
      </c>
      <c r="B341" t="s">
        <v>304</v>
      </c>
      <c r="C341" t="s">
        <v>18</v>
      </c>
      <c r="D341" t="s">
        <v>21</v>
      </c>
      <c r="E341">
        <v>0.22</v>
      </c>
      <c r="F341">
        <v>0.23300000000000001</v>
      </c>
      <c r="G341">
        <v>0.16400000000000001</v>
      </c>
      <c r="H341">
        <v>3.63</v>
      </c>
      <c r="I341" s="2">
        <v>0</v>
      </c>
      <c r="J341" s="2">
        <v>126747600000</v>
      </c>
      <c r="K341" s="2">
        <v>34758400000</v>
      </c>
      <c r="L341" s="2">
        <v>141809200</v>
      </c>
      <c r="M341" s="2">
        <v>9639895000</v>
      </c>
      <c r="N341" s="2">
        <v>22060000000</v>
      </c>
      <c r="O341" s="2">
        <v>17937985000</v>
      </c>
      <c r="P341" s="2">
        <v>90575000000</v>
      </c>
      <c r="Q341" s="2">
        <v>7180520000</v>
      </c>
      <c r="R341" s="2">
        <v>14112600000</v>
      </c>
      <c r="S341" s="2">
        <f t="shared" si="10"/>
        <v>6.9000000000000006E-2</v>
      </c>
      <c r="T341" s="2">
        <f t="shared" si="11"/>
        <v>34900209200</v>
      </c>
    </row>
    <row r="342" spans="1:20" x14ac:dyDescent="0.3">
      <c r="A342" s="1">
        <v>41388</v>
      </c>
      <c r="B342" t="s">
        <v>303</v>
      </c>
      <c r="C342" t="s">
        <v>18</v>
      </c>
      <c r="D342" t="s">
        <v>19</v>
      </c>
      <c r="E342">
        <v>0.67800000000000005</v>
      </c>
      <c r="F342">
        <v>0.71</v>
      </c>
      <c r="G342">
        <v>0.628</v>
      </c>
      <c r="H342">
        <v>2.86</v>
      </c>
      <c r="I342" s="2">
        <v>0</v>
      </c>
      <c r="J342" s="2">
        <v>99968600000</v>
      </c>
      <c r="K342" s="2">
        <v>34981280800</v>
      </c>
      <c r="L342" s="2">
        <v>18732800</v>
      </c>
      <c r="M342" s="2">
        <v>4884081900</v>
      </c>
      <c r="N342" s="2">
        <v>14338000000</v>
      </c>
      <c r="O342" s="2">
        <v>14847772500</v>
      </c>
      <c r="P342" s="2">
        <v>67824000000</v>
      </c>
      <c r="Q342" s="2">
        <v>15249426400</v>
      </c>
      <c r="R342" s="2">
        <v>17806600000</v>
      </c>
      <c r="S342" s="2">
        <f t="shared" si="10"/>
        <v>8.1999999999999962E-2</v>
      </c>
      <c r="T342" s="2">
        <f t="shared" si="11"/>
        <v>35000013600</v>
      </c>
    </row>
    <row r="343" spans="1:20" x14ac:dyDescent="0.3">
      <c r="A343" s="1">
        <v>41389</v>
      </c>
      <c r="B343" t="s">
        <v>302</v>
      </c>
      <c r="C343" t="s">
        <v>18</v>
      </c>
      <c r="D343" t="s">
        <v>68</v>
      </c>
      <c r="E343">
        <v>1.1200000000000001</v>
      </c>
      <c r="F343">
        <v>1.155</v>
      </c>
      <c r="G343">
        <v>1.069</v>
      </c>
      <c r="H343">
        <v>2.71</v>
      </c>
      <c r="I343" s="2">
        <v>0</v>
      </c>
      <c r="J343" s="2">
        <v>78602100000</v>
      </c>
      <c r="K343" s="2">
        <v>28988402200</v>
      </c>
      <c r="L343" s="2">
        <v>11649500</v>
      </c>
      <c r="M343" s="2">
        <v>5718000000</v>
      </c>
      <c r="N343" s="2">
        <v>11633000000</v>
      </c>
      <c r="O343" s="2">
        <v>11886420000</v>
      </c>
      <c r="P343" s="2">
        <v>53313000000</v>
      </c>
      <c r="Q343" s="2">
        <v>11383982200</v>
      </c>
      <c r="R343" s="2">
        <v>13656100000</v>
      </c>
      <c r="S343" s="2">
        <f t="shared" si="10"/>
        <v>8.6000000000000076E-2</v>
      </c>
      <c r="T343" s="2">
        <f t="shared" si="11"/>
        <v>29000051700</v>
      </c>
    </row>
    <row r="344" spans="1:20" x14ac:dyDescent="0.3">
      <c r="A344" s="1">
        <v>41401</v>
      </c>
      <c r="B344" t="s">
        <v>307</v>
      </c>
      <c r="C344" t="s">
        <v>18</v>
      </c>
      <c r="D344" t="s">
        <v>52</v>
      </c>
      <c r="E344">
        <v>0.34</v>
      </c>
      <c r="F344">
        <v>0.35399999999999998</v>
      </c>
      <c r="G344">
        <v>0.26600000000000001</v>
      </c>
      <c r="H344">
        <v>3.38</v>
      </c>
      <c r="I344" s="2">
        <v>0</v>
      </c>
      <c r="J344" s="2">
        <v>107980975000</v>
      </c>
      <c r="K344" s="2">
        <v>31859100000</v>
      </c>
      <c r="L344" s="2">
        <v>40946800</v>
      </c>
      <c r="M344" s="2">
        <v>4653625000</v>
      </c>
      <c r="N344" s="2">
        <v>16009000000</v>
      </c>
      <c r="O344" s="2">
        <v>17422500000</v>
      </c>
      <c r="P344" s="2">
        <v>78995000000</v>
      </c>
      <c r="Q344" s="2">
        <v>9782975000</v>
      </c>
      <c r="R344" s="2">
        <v>12976975000</v>
      </c>
      <c r="S344" s="2">
        <f t="shared" si="10"/>
        <v>8.7999999999999967E-2</v>
      </c>
      <c r="T344" s="2">
        <f t="shared" si="11"/>
        <v>31900046800</v>
      </c>
    </row>
    <row r="345" spans="1:20" x14ac:dyDescent="0.3">
      <c r="A345" s="1">
        <v>41402</v>
      </c>
      <c r="B345" t="s">
        <v>306</v>
      </c>
      <c r="C345" t="s">
        <v>18</v>
      </c>
      <c r="D345" t="s">
        <v>26</v>
      </c>
      <c r="E345">
        <v>1.774</v>
      </c>
      <c r="F345">
        <v>1.81</v>
      </c>
      <c r="G345">
        <v>1.6990000000000001</v>
      </c>
      <c r="H345">
        <v>2.7</v>
      </c>
      <c r="I345" s="2">
        <v>0</v>
      </c>
      <c r="J345" s="2">
        <v>64743300000</v>
      </c>
      <c r="K345" s="2">
        <v>23981548400</v>
      </c>
      <c r="L345" s="2">
        <v>18488800</v>
      </c>
      <c r="M345" s="2">
        <v>4049060400</v>
      </c>
      <c r="N345" s="2">
        <v>7988000000</v>
      </c>
      <c r="O345" s="2">
        <v>11808070000</v>
      </c>
      <c r="P345" s="2">
        <v>46926000000</v>
      </c>
      <c r="Q345" s="2">
        <v>8124418000</v>
      </c>
      <c r="R345" s="2">
        <v>9829300000</v>
      </c>
      <c r="S345" s="2">
        <f t="shared" si="10"/>
        <v>0.11099999999999999</v>
      </c>
      <c r="T345" s="2">
        <f t="shared" si="11"/>
        <v>24000037200</v>
      </c>
    </row>
    <row r="346" spans="1:20" x14ac:dyDescent="0.3">
      <c r="A346" s="1">
        <v>41403</v>
      </c>
      <c r="B346" t="s">
        <v>305</v>
      </c>
      <c r="C346" t="s">
        <v>23</v>
      </c>
      <c r="D346" t="s">
        <v>65</v>
      </c>
      <c r="E346">
        <v>2.944</v>
      </c>
      <c r="F346">
        <v>2.98</v>
      </c>
      <c r="G346">
        <v>2.899</v>
      </c>
      <c r="H346">
        <v>2.5299999999999998</v>
      </c>
      <c r="I346" s="2">
        <v>0</v>
      </c>
      <c r="J346" s="2">
        <v>40469330000</v>
      </c>
      <c r="K346" s="2">
        <v>15987798500</v>
      </c>
      <c r="L346" s="2">
        <v>12264800</v>
      </c>
      <c r="M346" s="2">
        <v>2474401000</v>
      </c>
      <c r="N346" s="2">
        <v>5163250000</v>
      </c>
      <c r="O346" s="2">
        <v>7307889000</v>
      </c>
      <c r="P346" s="2">
        <v>27417500000</v>
      </c>
      <c r="Q346" s="2">
        <v>6205508500</v>
      </c>
      <c r="R346" s="2">
        <v>7888580000</v>
      </c>
      <c r="S346" s="2">
        <f t="shared" si="10"/>
        <v>8.0999999999999961E-2</v>
      </c>
      <c r="T346" s="2">
        <f t="shared" si="11"/>
        <v>16000063300</v>
      </c>
    </row>
    <row r="347" spans="1:20" x14ac:dyDescent="0.3">
      <c r="A347" s="1">
        <v>41422</v>
      </c>
      <c r="B347" t="s">
        <v>309</v>
      </c>
      <c r="C347" t="s">
        <v>18</v>
      </c>
      <c r="D347" t="s">
        <v>21</v>
      </c>
      <c r="E347">
        <v>0.27100000000000002</v>
      </c>
      <c r="F347">
        <v>0.28299999999999997</v>
      </c>
      <c r="G347">
        <v>0.20499999999999999</v>
      </c>
      <c r="H347">
        <v>3.04</v>
      </c>
      <c r="I347" s="2">
        <v>0</v>
      </c>
      <c r="J347" s="2">
        <v>106160900000</v>
      </c>
      <c r="K347" s="2">
        <v>34741100000</v>
      </c>
      <c r="L347" s="2">
        <v>158960600</v>
      </c>
      <c r="M347" s="2">
        <v>4378000000</v>
      </c>
      <c r="N347" s="2">
        <v>15168000000</v>
      </c>
      <c r="O347" s="2">
        <v>22745200000</v>
      </c>
      <c r="P347" s="2">
        <v>82300000000</v>
      </c>
      <c r="Q347" s="2">
        <v>7617900000</v>
      </c>
      <c r="R347" s="2">
        <v>8692900000</v>
      </c>
      <c r="S347" s="2">
        <f t="shared" si="10"/>
        <v>7.7999999999999986E-2</v>
      </c>
      <c r="T347" s="2">
        <f t="shared" si="11"/>
        <v>34900060600</v>
      </c>
    </row>
    <row r="348" spans="1:20" x14ac:dyDescent="0.3">
      <c r="A348" s="1">
        <v>41423</v>
      </c>
      <c r="B348" t="s">
        <v>308</v>
      </c>
      <c r="C348" t="s">
        <v>18</v>
      </c>
      <c r="D348" t="s">
        <v>19</v>
      </c>
      <c r="E348">
        <v>1.01</v>
      </c>
      <c r="F348">
        <v>1.0449999999999999</v>
      </c>
      <c r="G348">
        <v>0.95099999999999996</v>
      </c>
      <c r="H348">
        <v>2.79</v>
      </c>
      <c r="I348" s="2">
        <v>0</v>
      </c>
      <c r="J348" s="2">
        <v>97713750000</v>
      </c>
      <c r="K348" s="2">
        <v>34965154100</v>
      </c>
      <c r="L348" s="2">
        <v>34878900</v>
      </c>
      <c r="M348" s="2">
        <v>8157565000</v>
      </c>
      <c r="N348" s="2">
        <v>14058000000</v>
      </c>
      <c r="O348" s="2">
        <v>11406955000</v>
      </c>
      <c r="P348" s="2">
        <v>65701000000</v>
      </c>
      <c r="Q348" s="2">
        <v>15400634100</v>
      </c>
      <c r="R348" s="2">
        <v>17954750000</v>
      </c>
      <c r="S348" s="2">
        <f t="shared" si="10"/>
        <v>9.3999999999999972E-2</v>
      </c>
      <c r="T348" s="2">
        <f t="shared" si="11"/>
        <v>35000033000</v>
      </c>
    </row>
    <row r="349" spans="1:20" x14ac:dyDescent="0.3">
      <c r="A349" s="1">
        <v>41424</v>
      </c>
      <c r="B349" t="s">
        <v>310</v>
      </c>
      <c r="C349" t="s">
        <v>18</v>
      </c>
      <c r="D349" t="s">
        <v>68</v>
      </c>
      <c r="E349">
        <v>1.47</v>
      </c>
      <c r="F349">
        <v>1.496</v>
      </c>
      <c r="G349">
        <v>1.4219999999999999</v>
      </c>
      <c r="H349">
        <v>2.7</v>
      </c>
      <c r="I349" s="2">
        <v>0</v>
      </c>
      <c r="J349" s="2">
        <v>78344470000</v>
      </c>
      <c r="K349" s="2">
        <v>28975279200</v>
      </c>
      <c r="L349" s="2">
        <v>24759600</v>
      </c>
      <c r="M349" s="2">
        <v>5991500000</v>
      </c>
      <c r="N349" s="2">
        <v>11111500000</v>
      </c>
      <c r="O349" s="2">
        <v>11149380000</v>
      </c>
      <c r="P349" s="2">
        <v>52167500000</v>
      </c>
      <c r="Q349" s="2">
        <v>11834399200</v>
      </c>
      <c r="R349" s="2">
        <v>15065470000</v>
      </c>
      <c r="S349" s="2">
        <f t="shared" si="10"/>
        <v>7.4000000000000066E-2</v>
      </c>
      <c r="T349" s="2">
        <f t="shared" si="11"/>
        <v>29000038800</v>
      </c>
    </row>
    <row r="350" spans="1:20" x14ac:dyDescent="0.3">
      <c r="A350" s="1">
        <v>41436</v>
      </c>
      <c r="B350" t="s">
        <v>311</v>
      </c>
      <c r="C350" t="s">
        <v>18</v>
      </c>
      <c r="D350" t="s">
        <v>52</v>
      </c>
      <c r="E350">
        <v>0.56000000000000005</v>
      </c>
      <c r="F350">
        <v>0.58099999999999996</v>
      </c>
      <c r="G350">
        <v>0.48599999999999999</v>
      </c>
      <c r="H350">
        <v>2.95</v>
      </c>
      <c r="I350" s="2">
        <v>0</v>
      </c>
      <c r="J350" s="2">
        <v>94130900000</v>
      </c>
      <c r="K350" s="2">
        <v>31869780000</v>
      </c>
      <c r="L350" s="2">
        <v>30317300</v>
      </c>
      <c r="M350" s="2">
        <v>2687000000</v>
      </c>
      <c r="N350" s="2">
        <v>12466000000</v>
      </c>
      <c r="O350" s="2">
        <v>18625336000</v>
      </c>
      <c r="P350" s="2">
        <v>70071000000</v>
      </c>
      <c r="Q350" s="2">
        <v>10557444000</v>
      </c>
      <c r="R350" s="2">
        <v>11593900000</v>
      </c>
      <c r="S350" s="2">
        <f t="shared" si="10"/>
        <v>9.4999999999999973E-2</v>
      </c>
      <c r="T350" s="2">
        <f t="shared" si="11"/>
        <v>31900097300</v>
      </c>
    </row>
    <row r="351" spans="1:20" x14ac:dyDescent="0.3">
      <c r="A351" s="1">
        <v>41437</v>
      </c>
      <c r="B351" t="s">
        <v>306</v>
      </c>
      <c r="C351" t="s">
        <v>18</v>
      </c>
      <c r="D351" t="s">
        <v>29</v>
      </c>
      <c r="E351">
        <v>2.1680000000000001</v>
      </c>
      <c r="F351">
        <v>2.2090000000000001</v>
      </c>
      <c r="G351">
        <v>2.08</v>
      </c>
      <c r="H351">
        <v>2.5299999999999998</v>
      </c>
      <c r="I351" s="2">
        <v>0</v>
      </c>
      <c r="J351" s="2">
        <v>53087800000</v>
      </c>
      <c r="K351" s="2">
        <v>20983168000</v>
      </c>
      <c r="L351" s="2">
        <v>16849400</v>
      </c>
      <c r="M351" s="2">
        <v>2464920000</v>
      </c>
      <c r="N351" s="2">
        <v>5491000000</v>
      </c>
      <c r="O351" s="2">
        <v>7675500000</v>
      </c>
      <c r="P351" s="2">
        <v>35854000000</v>
      </c>
      <c r="Q351" s="2">
        <v>10842748000</v>
      </c>
      <c r="R351" s="2">
        <v>11742800000</v>
      </c>
      <c r="S351" s="2">
        <f t="shared" si="10"/>
        <v>0.129</v>
      </c>
      <c r="T351" s="2">
        <f t="shared" si="11"/>
        <v>21000017400</v>
      </c>
    </row>
    <row r="352" spans="1:20" x14ac:dyDescent="0.3">
      <c r="A352" s="1">
        <v>41438</v>
      </c>
      <c r="B352" t="s">
        <v>305</v>
      </c>
      <c r="C352" t="s">
        <v>23</v>
      </c>
      <c r="D352" t="s">
        <v>72</v>
      </c>
      <c r="E352">
        <v>3.2850000000000001</v>
      </c>
      <c r="F352">
        <v>3.355</v>
      </c>
      <c r="G352">
        <v>3.2450000000000001</v>
      </c>
      <c r="H352">
        <v>2.4700000000000002</v>
      </c>
      <c r="I352" s="2">
        <v>0</v>
      </c>
      <c r="J352" s="2">
        <v>32088000000</v>
      </c>
      <c r="K352" s="2">
        <v>12996532000</v>
      </c>
      <c r="L352" s="2">
        <v>3472600</v>
      </c>
      <c r="M352" s="2">
        <v>1104600000</v>
      </c>
      <c r="N352" s="2">
        <v>2889600000</v>
      </c>
      <c r="O352" s="2">
        <v>6662532000</v>
      </c>
      <c r="P352" s="2">
        <v>20601000000</v>
      </c>
      <c r="Q352" s="2">
        <v>5229400000</v>
      </c>
      <c r="R352" s="2">
        <v>8597400000</v>
      </c>
      <c r="S352" s="2">
        <f t="shared" si="10"/>
        <v>0.10999999999999988</v>
      </c>
      <c r="T352" s="2">
        <f t="shared" si="11"/>
        <v>13000004600</v>
      </c>
    </row>
    <row r="353" spans="1:20" x14ac:dyDescent="0.3">
      <c r="A353" s="1">
        <v>41450</v>
      </c>
      <c r="B353" t="s">
        <v>314</v>
      </c>
      <c r="C353" t="s">
        <v>18</v>
      </c>
      <c r="D353" t="s">
        <v>21</v>
      </c>
      <c r="E353">
        <v>0.40400000000000003</v>
      </c>
      <c r="F353">
        <v>0.43</v>
      </c>
      <c r="G353">
        <v>0.34799999999999998</v>
      </c>
      <c r="H353">
        <v>3.05</v>
      </c>
      <c r="I353" s="2">
        <v>0</v>
      </c>
      <c r="J353" s="2">
        <v>106645905000</v>
      </c>
      <c r="K353" s="2">
        <v>34756915000</v>
      </c>
      <c r="L353" s="2">
        <v>133180900</v>
      </c>
      <c r="M353" s="2">
        <v>2722197500</v>
      </c>
      <c r="N353" s="2">
        <v>14041000000</v>
      </c>
      <c r="O353" s="2">
        <v>19581850000</v>
      </c>
      <c r="P353" s="2">
        <v>78360000000</v>
      </c>
      <c r="Q353" s="2">
        <v>12452867500</v>
      </c>
      <c r="R353" s="2">
        <v>14244905000</v>
      </c>
      <c r="S353" s="2">
        <f t="shared" si="10"/>
        <v>8.2000000000000017E-2</v>
      </c>
      <c r="T353" s="2">
        <f t="shared" si="11"/>
        <v>34890095900</v>
      </c>
    </row>
    <row r="354" spans="1:20" x14ac:dyDescent="0.3">
      <c r="A354" s="1">
        <v>41451</v>
      </c>
      <c r="B354" t="s">
        <v>313</v>
      </c>
      <c r="C354" t="s">
        <v>18</v>
      </c>
      <c r="D354" t="s">
        <v>19</v>
      </c>
      <c r="E354">
        <v>1.429</v>
      </c>
      <c r="F354">
        <v>1.484</v>
      </c>
      <c r="G354">
        <v>1.3720000000000001</v>
      </c>
      <c r="H354">
        <v>2.4500000000000002</v>
      </c>
      <c r="I354" s="2">
        <v>0</v>
      </c>
      <c r="J354" s="2">
        <v>85621660000</v>
      </c>
      <c r="K354" s="2">
        <v>34953989700</v>
      </c>
      <c r="L354" s="2">
        <v>36010700</v>
      </c>
      <c r="M354" s="2">
        <v>1243500000</v>
      </c>
      <c r="N354" s="2">
        <v>6665500000</v>
      </c>
      <c r="O354" s="2">
        <v>15188885000</v>
      </c>
      <c r="P354" s="2">
        <v>58625000000</v>
      </c>
      <c r="Q354" s="2">
        <v>18521604700</v>
      </c>
      <c r="R354" s="2">
        <v>20331160000</v>
      </c>
      <c r="S354" s="2">
        <f t="shared" si="10"/>
        <v>0.11199999999999988</v>
      </c>
      <c r="T354" s="2">
        <f t="shared" si="11"/>
        <v>34990000400</v>
      </c>
    </row>
    <row r="355" spans="1:20" x14ac:dyDescent="0.3">
      <c r="A355" s="1">
        <v>41452</v>
      </c>
      <c r="B355" t="s">
        <v>312</v>
      </c>
      <c r="C355" t="s">
        <v>18</v>
      </c>
      <c r="D355" t="s">
        <v>68</v>
      </c>
      <c r="E355">
        <v>1.8979999999999999</v>
      </c>
      <c r="F355">
        <v>1.9319999999999999</v>
      </c>
      <c r="G355">
        <v>1.835</v>
      </c>
      <c r="H355">
        <v>2.61</v>
      </c>
      <c r="I355" s="2">
        <v>0</v>
      </c>
      <c r="J355" s="2">
        <v>75770150000</v>
      </c>
      <c r="K355" s="2">
        <v>28987299300</v>
      </c>
      <c r="L355" s="2">
        <v>12718200</v>
      </c>
      <c r="M355" s="2">
        <v>4557000000</v>
      </c>
      <c r="N355" s="2">
        <v>9401000000</v>
      </c>
      <c r="O355" s="2">
        <v>10970000000</v>
      </c>
      <c r="P355" s="2">
        <v>46993000000</v>
      </c>
      <c r="Q355" s="2">
        <v>13460299300</v>
      </c>
      <c r="R355" s="2">
        <v>19376150000</v>
      </c>
      <c r="S355" s="2">
        <f t="shared" si="10"/>
        <v>9.6999999999999975E-2</v>
      </c>
      <c r="T355" s="2">
        <f t="shared" si="11"/>
        <v>29000017500</v>
      </c>
    </row>
    <row r="356" spans="1:20" x14ac:dyDescent="0.3">
      <c r="A356" s="1">
        <v>41464</v>
      </c>
      <c r="B356" t="s">
        <v>315</v>
      </c>
      <c r="C356" t="s">
        <v>18</v>
      </c>
      <c r="D356" t="s">
        <v>52</v>
      </c>
      <c r="E356">
        <v>0.69499999999999995</v>
      </c>
      <c r="F356">
        <v>0.71899999999999997</v>
      </c>
      <c r="G356">
        <v>0.6</v>
      </c>
      <c r="H356">
        <v>3.35</v>
      </c>
      <c r="I356" s="2">
        <v>0</v>
      </c>
      <c r="J356" s="2">
        <v>107070900000</v>
      </c>
      <c r="K356" s="2">
        <v>31870932000</v>
      </c>
      <c r="L356" s="2">
        <v>29264300</v>
      </c>
      <c r="M356" s="2">
        <v>4134370000</v>
      </c>
      <c r="N356" s="2">
        <v>15520000000</v>
      </c>
      <c r="O356" s="2">
        <v>16398575000</v>
      </c>
      <c r="P356" s="2">
        <v>75555000000</v>
      </c>
      <c r="Q356" s="2">
        <v>11337987000</v>
      </c>
      <c r="R356" s="2">
        <v>15995900000</v>
      </c>
      <c r="S356" s="2">
        <f t="shared" si="10"/>
        <v>0.11899999999999999</v>
      </c>
      <c r="T356" s="2">
        <f t="shared" si="11"/>
        <v>31900196300</v>
      </c>
    </row>
    <row r="357" spans="1:20" x14ac:dyDescent="0.3">
      <c r="A357" s="1">
        <v>41465</v>
      </c>
      <c r="B357" t="s">
        <v>306</v>
      </c>
      <c r="C357" t="s">
        <v>18</v>
      </c>
      <c r="D357" t="s">
        <v>59</v>
      </c>
      <c r="E357">
        <v>2.637</v>
      </c>
      <c r="F357">
        <v>2.67</v>
      </c>
      <c r="G357">
        <v>2.5499999999999998</v>
      </c>
      <c r="H357">
        <v>2.57</v>
      </c>
      <c r="I357" s="2">
        <v>0</v>
      </c>
      <c r="J357" s="2">
        <v>53885700000</v>
      </c>
      <c r="K357" s="2">
        <v>20979426400</v>
      </c>
      <c r="L357" s="2">
        <v>20591200</v>
      </c>
      <c r="M357" s="2">
        <v>3413880000</v>
      </c>
      <c r="N357" s="2">
        <v>6132000000</v>
      </c>
      <c r="O357" s="2">
        <v>9474580000</v>
      </c>
      <c r="P357" s="2">
        <v>36085000000</v>
      </c>
      <c r="Q357" s="2">
        <v>8090966400</v>
      </c>
      <c r="R357" s="2">
        <v>11668700000</v>
      </c>
      <c r="S357" s="2">
        <f t="shared" si="10"/>
        <v>0.12000000000000011</v>
      </c>
      <c r="T357" s="2">
        <f t="shared" si="11"/>
        <v>21000017600</v>
      </c>
    </row>
    <row r="358" spans="1:20" x14ac:dyDescent="0.3">
      <c r="A358" s="1">
        <v>41466</v>
      </c>
      <c r="B358" t="s">
        <v>305</v>
      </c>
      <c r="C358" t="s">
        <v>23</v>
      </c>
      <c r="D358" t="s">
        <v>91</v>
      </c>
      <c r="E358">
        <v>3.6190000000000002</v>
      </c>
      <c r="F358">
        <v>3.66</v>
      </c>
      <c r="G358">
        <v>3.5</v>
      </c>
      <c r="H358">
        <v>2.2599999999999998</v>
      </c>
      <c r="I358" s="2">
        <v>0</v>
      </c>
      <c r="J358" s="2">
        <v>29334100000</v>
      </c>
      <c r="K358" s="2">
        <v>12991278700</v>
      </c>
      <c r="L358" s="2">
        <v>8723200</v>
      </c>
      <c r="M358" s="2">
        <v>2122630200</v>
      </c>
      <c r="N358" s="2">
        <v>3513000000</v>
      </c>
      <c r="O358" s="2">
        <v>5644338200</v>
      </c>
      <c r="P358" s="2">
        <v>19453500000</v>
      </c>
      <c r="Q358" s="2">
        <v>5224310300</v>
      </c>
      <c r="R358" s="2">
        <v>6367600000</v>
      </c>
      <c r="S358" s="2">
        <f t="shared" si="10"/>
        <v>0.16000000000000014</v>
      </c>
      <c r="T358" s="2">
        <f t="shared" si="11"/>
        <v>13000001900</v>
      </c>
    </row>
    <row r="359" spans="1:20" x14ac:dyDescent="0.3">
      <c r="A359" s="1">
        <v>41478</v>
      </c>
      <c r="B359" t="s">
        <v>318</v>
      </c>
      <c r="C359" t="s">
        <v>18</v>
      </c>
      <c r="D359" t="s">
        <v>21</v>
      </c>
      <c r="E359">
        <v>0.315</v>
      </c>
      <c r="F359">
        <v>0.33600000000000002</v>
      </c>
      <c r="G359">
        <v>0.28499999999999998</v>
      </c>
      <c r="H359">
        <v>3.08</v>
      </c>
      <c r="I359" s="2">
        <v>0</v>
      </c>
      <c r="J359" s="2">
        <v>107421950000</v>
      </c>
      <c r="K359" s="2">
        <v>34722869000</v>
      </c>
      <c r="L359" s="2">
        <v>147186600</v>
      </c>
      <c r="M359" s="2">
        <v>5683749000</v>
      </c>
      <c r="N359" s="2">
        <v>16107000000</v>
      </c>
      <c r="O359" s="2">
        <v>18488170000</v>
      </c>
      <c r="P359" s="2">
        <v>76935000000</v>
      </c>
      <c r="Q359" s="2">
        <v>10550950000</v>
      </c>
      <c r="R359" s="2">
        <v>14379950000</v>
      </c>
      <c r="S359" s="2">
        <f t="shared" si="10"/>
        <v>5.1000000000000045E-2</v>
      </c>
      <c r="T359" s="2">
        <f t="shared" si="11"/>
        <v>34870055600</v>
      </c>
    </row>
    <row r="360" spans="1:20" x14ac:dyDescent="0.3">
      <c r="A360" s="1">
        <v>41479</v>
      </c>
      <c r="B360" t="s">
        <v>317</v>
      </c>
      <c r="C360" t="s">
        <v>18</v>
      </c>
      <c r="D360" t="s">
        <v>19</v>
      </c>
      <c r="E360">
        <v>1.373</v>
      </c>
      <c r="F360">
        <v>1.41</v>
      </c>
      <c r="G360">
        <v>1.24</v>
      </c>
      <c r="H360">
        <v>2.46</v>
      </c>
      <c r="I360" s="2">
        <v>0</v>
      </c>
      <c r="J360" s="2">
        <v>85939110000</v>
      </c>
      <c r="K360" s="2">
        <v>34944039000</v>
      </c>
      <c r="L360" s="2">
        <v>36041100</v>
      </c>
      <c r="M360" s="2">
        <v>2902759000</v>
      </c>
      <c r="N360" s="2">
        <v>6171000000</v>
      </c>
      <c r="O360" s="2">
        <v>13205850000</v>
      </c>
      <c r="P360" s="2">
        <v>58459000000</v>
      </c>
      <c r="Q360" s="2">
        <v>18835430000</v>
      </c>
      <c r="R360" s="2">
        <v>21309110000</v>
      </c>
      <c r="S360" s="2">
        <f t="shared" si="10"/>
        <v>0.16999999999999993</v>
      </c>
      <c r="T360" s="2">
        <f t="shared" si="11"/>
        <v>34980080100</v>
      </c>
    </row>
    <row r="361" spans="1:20" x14ac:dyDescent="0.3">
      <c r="A361" s="1">
        <v>41480</v>
      </c>
      <c r="B361" t="s">
        <v>316</v>
      </c>
      <c r="C361" t="s">
        <v>18</v>
      </c>
      <c r="D361" t="s">
        <v>68</v>
      </c>
      <c r="E361">
        <v>1.99</v>
      </c>
      <c r="F361">
        <v>2.0259999999999998</v>
      </c>
      <c r="G361">
        <v>1.94</v>
      </c>
      <c r="H361">
        <v>2.54</v>
      </c>
      <c r="I361" s="2">
        <v>0</v>
      </c>
      <c r="J361" s="2">
        <v>73682225000</v>
      </c>
      <c r="K361" s="2">
        <v>28987220000</v>
      </c>
      <c r="L361" s="2">
        <v>12814900</v>
      </c>
      <c r="M361" s="2">
        <v>4799855000</v>
      </c>
      <c r="N361" s="2">
        <v>9199000000</v>
      </c>
      <c r="O361" s="2">
        <v>10109240000</v>
      </c>
      <c r="P361" s="2">
        <v>48222100000</v>
      </c>
      <c r="Q361" s="2">
        <v>14078125000</v>
      </c>
      <c r="R361" s="2">
        <v>16261125000</v>
      </c>
      <c r="S361" s="2">
        <f t="shared" si="10"/>
        <v>8.5999999999999854E-2</v>
      </c>
      <c r="T361" s="2">
        <f t="shared" si="11"/>
        <v>29000034900</v>
      </c>
    </row>
    <row r="362" spans="1:20" x14ac:dyDescent="0.3">
      <c r="A362" s="1">
        <v>41492</v>
      </c>
      <c r="B362" t="s">
        <v>321</v>
      </c>
      <c r="C362" t="s">
        <v>18</v>
      </c>
      <c r="D362" t="s">
        <v>52</v>
      </c>
      <c r="E362">
        <v>0.61399999999999999</v>
      </c>
      <c r="F362">
        <v>0.63100000000000001</v>
      </c>
      <c r="G362">
        <v>0.56100000000000005</v>
      </c>
      <c r="H362">
        <v>3.21</v>
      </c>
      <c r="I362" s="2">
        <v>0</v>
      </c>
      <c r="J362" s="2">
        <v>102702200000</v>
      </c>
      <c r="K362" s="2">
        <v>31850385000</v>
      </c>
      <c r="L362" s="2">
        <v>39626900</v>
      </c>
      <c r="M362" s="2">
        <v>4447000000</v>
      </c>
      <c r="N362" s="2">
        <v>12985000000</v>
      </c>
      <c r="O362" s="2">
        <v>14227185000</v>
      </c>
      <c r="P362" s="2">
        <v>72480000000</v>
      </c>
      <c r="Q362" s="2">
        <v>13176200000</v>
      </c>
      <c r="R362" s="2">
        <v>17237200000</v>
      </c>
      <c r="S362" s="2">
        <f t="shared" si="10"/>
        <v>6.9999999999999951E-2</v>
      </c>
      <c r="T362" s="2">
        <f t="shared" si="11"/>
        <v>31890011900</v>
      </c>
    </row>
    <row r="363" spans="1:20" x14ac:dyDescent="0.3">
      <c r="A363" s="1">
        <v>41493</v>
      </c>
      <c r="B363" t="s">
        <v>320</v>
      </c>
      <c r="C363" t="s">
        <v>18</v>
      </c>
      <c r="D363" t="s">
        <v>26</v>
      </c>
      <c r="E363">
        <v>2.589</v>
      </c>
      <c r="F363">
        <v>2.62</v>
      </c>
      <c r="G363">
        <v>2.54</v>
      </c>
      <c r="H363">
        <v>2.4500000000000002</v>
      </c>
      <c r="I363" s="2">
        <v>0</v>
      </c>
      <c r="J363" s="2">
        <v>58747950000</v>
      </c>
      <c r="K363" s="2">
        <v>23930609000</v>
      </c>
      <c r="L363" s="2">
        <v>54418900</v>
      </c>
      <c r="M363" s="2">
        <v>3630654000</v>
      </c>
      <c r="N363" s="2">
        <v>6387500000</v>
      </c>
      <c r="O363" s="2">
        <v>9209505000</v>
      </c>
      <c r="P363" s="2">
        <v>39559000000</v>
      </c>
      <c r="Q363" s="2">
        <v>11090450000</v>
      </c>
      <c r="R363" s="2">
        <v>12801450000</v>
      </c>
      <c r="S363" s="2">
        <f t="shared" si="10"/>
        <v>8.0000000000000071E-2</v>
      </c>
      <c r="T363" s="2">
        <f t="shared" si="11"/>
        <v>23985027900</v>
      </c>
    </row>
    <row r="364" spans="1:20" x14ac:dyDescent="0.3">
      <c r="A364" s="1">
        <v>41494</v>
      </c>
      <c r="B364" t="s">
        <v>319</v>
      </c>
      <c r="C364" t="s">
        <v>23</v>
      </c>
      <c r="D364" t="s">
        <v>65</v>
      </c>
      <c r="E364">
        <v>3.5990000000000002</v>
      </c>
      <c r="F364">
        <v>3.6520000000000001</v>
      </c>
      <c r="G364">
        <v>3.55</v>
      </c>
      <c r="H364">
        <v>2.11</v>
      </c>
      <c r="I364" s="2">
        <v>0</v>
      </c>
      <c r="J364" s="2">
        <v>33808845000</v>
      </c>
      <c r="K364" s="2">
        <v>15988105000</v>
      </c>
      <c r="L364" s="2">
        <v>11902000</v>
      </c>
      <c r="M364" s="2">
        <v>2732300000</v>
      </c>
      <c r="N364" s="2">
        <v>3970300000</v>
      </c>
      <c r="O364" s="2">
        <v>6831293000</v>
      </c>
      <c r="P364" s="2">
        <v>22868400000</v>
      </c>
      <c r="Q364" s="2">
        <v>6424512000</v>
      </c>
      <c r="R364" s="2">
        <v>6970145000</v>
      </c>
      <c r="S364" s="2">
        <f t="shared" si="10"/>
        <v>0.10200000000000031</v>
      </c>
      <c r="T364" s="2">
        <f t="shared" si="11"/>
        <v>16000007000</v>
      </c>
    </row>
    <row r="365" spans="1:20" x14ac:dyDescent="0.3">
      <c r="A365" s="1">
        <v>41513</v>
      </c>
      <c r="B365" t="s">
        <v>323</v>
      </c>
      <c r="C365" t="s">
        <v>18</v>
      </c>
      <c r="D365" t="s">
        <v>21</v>
      </c>
      <c r="E365">
        <v>0.372</v>
      </c>
      <c r="F365">
        <v>0.38600000000000001</v>
      </c>
      <c r="G365">
        <v>0.33</v>
      </c>
      <c r="H365">
        <v>3.21</v>
      </c>
      <c r="I365" s="2">
        <v>0</v>
      </c>
      <c r="J365" s="2">
        <v>108774585000</v>
      </c>
      <c r="K365" s="2">
        <v>33757045000</v>
      </c>
      <c r="L365" s="2">
        <v>142980500</v>
      </c>
      <c r="M365" s="2">
        <v>8810460000</v>
      </c>
      <c r="N365" s="2">
        <v>19446000000</v>
      </c>
      <c r="O365" s="2">
        <v>18430200000</v>
      </c>
      <c r="P365" s="2">
        <v>79722000000</v>
      </c>
      <c r="Q365" s="2">
        <v>6516385000</v>
      </c>
      <c r="R365" s="2">
        <v>9606585000</v>
      </c>
      <c r="S365" s="2">
        <f t="shared" si="10"/>
        <v>5.5999999999999994E-2</v>
      </c>
      <c r="T365" s="2">
        <f t="shared" si="11"/>
        <v>33900025500</v>
      </c>
    </row>
    <row r="366" spans="1:20" x14ac:dyDescent="0.3">
      <c r="A366" s="1">
        <v>41514</v>
      </c>
      <c r="B366" t="s">
        <v>211</v>
      </c>
      <c r="C366" t="s">
        <v>18</v>
      </c>
      <c r="D366" t="s">
        <v>19</v>
      </c>
      <c r="E366">
        <v>1.587</v>
      </c>
      <c r="F366">
        <v>1.6240000000000001</v>
      </c>
      <c r="G366">
        <v>1.5249999999999999</v>
      </c>
      <c r="H366">
        <v>2.38</v>
      </c>
      <c r="I366" s="2">
        <v>0</v>
      </c>
      <c r="J366" s="2">
        <v>83142500000</v>
      </c>
      <c r="K366" s="2">
        <v>34954364000</v>
      </c>
      <c r="L366" s="2">
        <v>45741000</v>
      </c>
      <c r="M366" s="2">
        <v>4452144000</v>
      </c>
      <c r="N366" s="2">
        <v>8452000000</v>
      </c>
      <c r="O366" s="2">
        <v>16405120000</v>
      </c>
      <c r="P366" s="2">
        <v>58764000000</v>
      </c>
      <c r="Q366" s="2">
        <v>14097100000</v>
      </c>
      <c r="R366" s="2">
        <v>15926500000</v>
      </c>
      <c r="S366" s="2">
        <f t="shared" si="10"/>
        <v>9.9000000000000199E-2</v>
      </c>
      <c r="T366" s="2">
        <f t="shared" si="11"/>
        <v>35000105000</v>
      </c>
    </row>
    <row r="367" spans="1:20" x14ac:dyDescent="0.3">
      <c r="A367" s="1">
        <v>41515</v>
      </c>
      <c r="B367" t="s">
        <v>322</v>
      </c>
      <c r="C367" t="s">
        <v>18</v>
      </c>
      <c r="D367" t="s">
        <v>68</v>
      </c>
      <c r="E367">
        <v>2.19</v>
      </c>
      <c r="F367">
        <v>2.2210000000000001</v>
      </c>
      <c r="G367">
        <v>2.13</v>
      </c>
      <c r="H367">
        <v>2.4300000000000002</v>
      </c>
      <c r="I367" s="2">
        <v>0</v>
      </c>
      <c r="J367" s="2">
        <v>70401900000</v>
      </c>
      <c r="K367" s="2">
        <v>28970354000</v>
      </c>
      <c r="L367" s="2">
        <v>19649100</v>
      </c>
      <c r="M367" s="2">
        <v>6488000000</v>
      </c>
      <c r="N367" s="2">
        <v>9277000000</v>
      </c>
      <c r="O367" s="2">
        <v>10658450000</v>
      </c>
      <c r="P367" s="2">
        <v>46547000000</v>
      </c>
      <c r="Q367" s="2">
        <v>11823904000</v>
      </c>
      <c r="R367" s="2">
        <v>14577900000</v>
      </c>
      <c r="S367" s="2">
        <f t="shared" si="10"/>
        <v>9.1000000000000192E-2</v>
      </c>
      <c r="T367" s="2">
        <f t="shared" si="11"/>
        <v>28990003100</v>
      </c>
    </row>
    <row r="368" spans="1:20" x14ac:dyDescent="0.3">
      <c r="A368" s="1">
        <v>41527</v>
      </c>
      <c r="B368" t="s">
        <v>324</v>
      </c>
      <c r="C368" t="s">
        <v>18</v>
      </c>
      <c r="D368" t="s">
        <v>52</v>
      </c>
      <c r="E368">
        <v>0.89700000000000002</v>
      </c>
      <c r="F368">
        <v>0.91300000000000003</v>
      </c>
      <c r="G368">
        <v>0.82</v>
      </c>
      <c r="H368">
        <v>3.29</v>
      </c>
      <c r="I368" s="2">
        <v>0</v>
      </c>
      <c r="J368" s="2">
        <v>101761500000</v>
      </c>
      <c r="K368" s="2">
        <v>30858700000</v>
      </c>
      <c r="L368" s="2">
        <v>41307200</v>
      </c>
      <c r="M368" s="2">
        <v>6184040000</v>
      </c>
      <c r="N368" s="2">
        <v>16727000000</v>
      </c>
      <c r="O368" s="2">
        <v>14452160000</v>
      </c>
      <c r="P368" s="2">
        <v>72977000000</v>
      </c>
      <c r="Q368" s="2">
        <v>10222500000</v>
      </c>
      <c r="R368" s="2">
        <v>12057500000</v>
      </c>
      <c r="S368" s="2">
        <f t="shared" si="10"/>
        <v>9.3000000000000083E-2</v>
      </c>
      <c r="T368" s="2">
        <f t="shared" si="11"/>
        <v>30900007200</v>
      </c>
    </row>
    <row r="369" spans="1:20" x14ac:dyDescent="0.3">
      <c r="A369" s="1">
        <v>41528</v>
      </c>
      <c r="B369" t="s">
        <v>320</v>
      </c>
      <c r="C369" t="s">
        <v>18</v>
      </c>
      <c r="D369" t="s">
        <v>29</v>
      </c>
      <c r="E369">
        <v>2.9079999999999999</v>
      </c>
      <c r="F369">
        <v>2.9460000000000002</v>
      </c>
      <c r="G369">
        <v>2.86</v>
      </c>
      <c r="H369">
        <v>2.86</v>
      </c>
      <c r="I369" s="2">
        <v>0</v>
      </c>
      <c r="J369" s="2">
        <v>59938500000</v>
      </c>
      <c r="K369" s="2">
        <v>20939200000</v>
      </c>
      <c r="L369" s="2">
        <v>54954900</v>
      </c>
      <c r="M369" s="2">
        <v>6195000000</v>
      </c>
      <c r="N369" s="2">
        <v>12131000000</v>
      </c>
      <c r="O369" s="2">
        <v>7081000000</v>
      </c>
      <c r="P369" s="2">
        <v>37601000000</v>
      </c>
      <c r="Q369" s="2">
        <v>7663200000</v>
      </c>
      <c r="R369" s="2">
        <v>10206500000</v>
      </c>
      <c r="S369" s="2">
        <f t="shared" si="10"/>
        <v>8.6000000000000298E-2</v>
      </c>
      <c r="T369" s="2">
        <f t="shared" si="11"/>
        <v>20994154900</v>
      </c>
    </row>
    <row r="370" spans="1:20" x14ac:dyDescent="0.3">
      <c r="A370" s="1">
        <v>41529</v>
      </c>
      <c r="B370" t="s">
        <v>319</v>
      </c>
      <c r="C370" t="s">
        <v>23</v>
      </c>
      <c r="D370" t="s">
        <v>72</v>
      </c>
      <c r="E370">
        <v>3.7789999999999999</v>
      </c>
      <c r="F370">
        <v>3.82</v>
      </c>
      <c r="G370">
        <v>3.72</v>
      </c>
      <c r="H370">
        <v>2.4</v>
      </c>
      <c r="I370" s="2">
        <v>0</v>
      </c>
      <c r="J370" s="2">
        <v>31157500000</v>
      </c>
      <c r="K370" s="2">
        <v>12988700000</v>
      </c>
      <c r="L370" s="2">
        <v>6306800</v>
      </c>
      <c r="M370" s="2">
        <v>2672590000</v>
      </c>
      <c r="N370" s="2">
        <v>4963000000</v>
      </c>
      <c r="O370" s="2">
        <v>5419731000</v>
      </c>
      <c r="P370" s="2">
        <v>20388200000</v>
      </c>
      <c r="Q370" s="2">
        <v>4896379000</v>
      </c>
      <c r="R370" s="2">
        <v>5806300000</v>
      </c>
      <c r="S370" s="2">
        <f t="shared" si="10"/>
        <v>9.9999999999999645E-2</v>
      </c>
      <c r="T370" s="2">
        <f t="shared" si="11"/>
        <v>12995006800</v>
      </c>
    </row>
    <row r="371" spans="1:20" x14ac:dyDescent="0.3">
      <c r="A371" s="1">
        <v>41541</v>
      </c>
      <c r="B371" t="s">
        <v>326</v>
      </c>
      <c r="C371" t="s">
        <v>18</v>
      </c>
      <c r="D371" t="s">
        <v>21</v>
      </c>
      <c r="E371">
        <v>0.33</v>
      </c>
      <c r="F371">
        <v>0.34799999999999998</v>
      </c>
      <c r="G371">
        <v>0.28899999999999998</v>
      </c>
      <c r="H371">
        <v>3.09</v>
      </c>
      <c r="I371" s="2">
        <v>0</v>
      </c>
      <c r="J371" s="2">
        <v>101710300000</v>
      </c>
      <c r="K371" s="2">
        <v>32728979000</v>
      </c>
      <c r="L371" s="2">
        <v>171117200</v>
      </c>
      <c r="M371" s="2">
        <v>7129495000</v>
      </c>
      <c r="N371" s="2">
        <v>18521000000</v>
      </c>
      <c r="O371" s="2">
        <v>17741820000</v>
      </c>
      <c r="P371" s="2">
        <v>72545000000</v>
      </c>
      <c r="Q371" s="2">
        <v>7857664000</v>
      </c>
      <c r="R371" s="2">
        <v>10644300000</v>
      </c>
      <c r="S371" s="2">
        <f t="shared" si="10"/>
        <v>5.8999999999999997E-2</v>
      </c>
      <c r="T371" s="2">
        <f t="shared" si="11"/>
        <v>32900096200</v>
      </c>
    </row>
    <row r="372" spans="1:20" x14ac:dyDescent="0.3">
      <c r="A372" s="1">
        <v>41542</v>
      </c>
      <c r="B372" t="s">
        <v>214</v>
      </c>
      <c r="C372" t="s">
        <v>18</v>
      </c>
      <c r="D372" t="s">
        <v>19</v>
      </c>
      <c r="E372">
        <v>1.3979999999999999</v>
      </c>
      <c r="F372">
        <v>1.4359999999999999</v>
      </c>
      <c r="G372">
        <v>1.3</v>
      </c>
      <c r="H372">
        <v>2.67</v>
      </c>
      <c r="I372" s="2">
        <v>0</v>
      </c>
      <c r="J372" s="2">
        <v>93467200000</v>
      </c>
      <c r="K372" s="2">
        <v>34967525000</v>
      </c>
      <c r="L372" s="2">
        <v>32492300</v>
      </c>
      <c r="M372" s="2">
        <v>4117000000</v>
      </c>
      <c r="N372" s="2">
        <v>12556000000</v>
      </c>
      <c r="O372" s="2">
        <v>15167325000</v>
      </c>
      <c r="P372" s="2">
        <v>63118000000</v>
      </c>
      <c r="Q372" s="2">
        <v>15683200000</v>
      </c>
      <c r="R372" s="2">
        <v>17793200000</v>
      </c>
      <c r="S372" s="2">
        <f t="shared" si="10"/>
        <v>0.1359999999999999</v>
      </c>
      <c r="T372" s="2">
        <f t="shared" si="11"/>
        <v>35000017300</v>
      </c>
    </row>
    <row r="373" spans="1:20" x14ac:dyDescent="0.3">
      <c r="A373" s="1">
        <v>41543</v>
      </c>
      <c r="B373" t="s">
        <v>325</v>
      </c>
      <c r="C373" t="s">
        <v>18</v>
      </c>
      <c r="D373" t="s">
        <v>68</v>
      </c>
      <c r="E373">
        <v>2.0169999999999999</v>
      </c>
      <c r="F373">
        <v>2.0579999999999998</v>
      </c>
      <c r="G373">
        <v>1.95</v>
      </c>
      <c r="H373">
        <v>2.46</v>
      </c>
      <c r="I373" s="2">
        <v>0</v>
      </c>
      <c r="J373" s="2">
        <v>71354600000</v>
      </c>
      <c r="K373" s="2">
        <v>28969973600</v>
      </c>
      <c r="L373" s="2">
        <v>15027300</v>
      </c>
      <c r="M373" s="2">
        <v>5156000000</v>
      </c>
      <c r="N373" s="2">
        <v>9081000000</v>
      </c>
      <c r="O373" s="2">
        <v>11648740000</v>
      </c>
      <c r="P373" s="2">
        <v>48899000000</v>
      </c>
      <c r="Q373" s="2">
        <v>12165233600</v>
      </c>
      <c r="R373" s="2">
        <v>13374600000</v>
      </c>
      <c r="S373" s="2">
        <f t="shared" si="10"/>
        <v>0.10799999999999987</v>
      </c>
      <c r="T373" s="2">
        <f t="shared" si="11"/>
        <v>28985000900</v>
      </c>
    </row>
    <row r="374" spans="1:20" x14ac:dyDescent="0.3">
      <c r="A374" s="1">
        <v>41555</v>
      </c>
      <c r="B374" t="s">
        <v>327</v>
      </c>
      <c r="C374" t="s">
        <v>18</v>
      </c>
      <c r="D374" t="s">
        <v>52</v>
      </c>
      <c r="E374">
        <v>0.68400000000000005</v>
      </c>
      <c r="F374">
        <v>0.71</v>
      </c>
      <c r="G374">
        <v>0.6</v>
      </c>
      <c r="H374">
        <v>3.05</v>
      </c>
      <c r="I374" s="2">
        <v>0</v>
      </c>
      <c r="J374" s="2">
        <v>91302500000</v>
      </c>
      <c r="K374" s="2">
        <v>29866604100</v>
      </c>
      <c r="L374" s="2">
        <v>23439600</v>
      </c>
      <c r="M374" s="2">
        <v>5897789100</v>
      </c>
      <c r="N374" s="2">
        <v>16308000000</v>
      </c>
      <c r="O374" s="2">
        <v>13691547500</v>
      </c>
      <c r="P374" s="2">
        <v>61623000000</v>
      </c>
      <c r="Q374" s="2">
        <v>10277267500</v>
      </c>
      <c r="R374" s="2">
        <v>13371500000</v>
      </c>
      <c r="S374" s="2">
        <f t="shared" si="10"/>
        <v>0.10999999999999999</v>
      </c>
      <c r="T374" s="2">
        <f t="shared" si="11"/>
        <v>29890043700</v>
      </c>
    </row>
    <row r="375" spans="1:20" x14ac:dyDescent="0.3">
      <c r="A375" s="1">
        <v>41556</v>
      </c>
      <c r="B375" t="s">
        <v>320</v>
      </c>
      <c r="C375" t="s">
        <v>18</v>
      </c>
      <c r="D375" t="s">
        <v>59</v>
      </c>
      <c r="E375">
        <v>2.6230000000000002</v>
      </c>
      <c r="F375">
        <v>2.657</v>
      </c>
      <c r="G375">
        <v>2.5350000000000001</v>
      </c>
      <c r="H375">
        <v>2.58</v>
      </c>
      <c r="I375" s="2">
        <v>0</v>
      </c>
      <c r="J375" s="2">
        <v>54173100000</v>
      </c>
      <c r="K375" s="2">
        <v>20973227400</v>
      </c>
      <c r="L375" s="2">
        <v>16777100</v>
      </c>
      <c r="M375" s="2">
        <v>4439504900</v>
      </c>
      <c r="N375" s="2">
        <v>8151000000</v>
      </c>
      <c r="O375" s="2">
        <v>8438622500</v>
      </c>
      <c r="P375" s="2">
        <v>36531000000</v>
      </c>
      <c r="Q375" s="2">
        <v>8095100000</v>
      </c>
      <c r="R375" s="2">
        <v>9491100000</v>
      </c>
      <c r="S375" s="2">
        <f t="shared" si="10"/>
        <v>0.12199999999999989</v>
      </c>
      <c r="T375" s="2">
        <f t="shared" si="11"/>
        <v>20990004500</v>
      </c>
    </row>
    <row r="376" spans="1:20" x14ac:dyDescent="0.3">
      <c r="A376" s="1">
        <v>41557</v>
      </c>
      <c r="B376" t="s">
        <v>319</v>
      </c>
      <c r="C376" t="s">
        <v>23</v>
      </c>
      <c r="D376" t="s">
        <v>91</v>
      </c>
      <c r="E376">
        <v>3.74</v>
      </c>
      <c r="F376">
        <v>3.758</v>
      </c>
      <c r="G376">
        <v>3.68</v>
      </c>
      <c r="H376">
        <v>2.64</v>
      </c>
      <c r="I376" s="2">
        <v>0</v>
      </c>
      <c r="J376" s="2">
        <v>34324950000</v>
      </c>
      <c r="K376" s="2">
        <v>12987665700</v>
      </c>
      <c r="L376" s="2">
        <v>2375000</v>
      </c>
      <c r="M376" s="2">
        <v>2941390000</v>
      </c>
      <c r="N376" s="2">
        <v>5478000000</v>
      </c>
      <c r="O376" s="2">
        <v>4608000000</v>
      </c>
      <c r="P376" s="2">
        <v>20990000000</v>
      </c>
      <c r="Q376" s="2">
        <v>5438275700</v>
      </c>
      <c r="R376" s="2">
        <v>7856950000</v>
      </c>
      <c r="S376" s="2">
        <f t="shared" si="10"/>
        <v>7.7999999999999847E-2</v>
      </c>
      <c r="T376" s="2">
        <f t="shared" si="11"/>
        <v>12990040700</v>
      </c>
    </row>
    <row r="377" spans="1:20" x14ac:dyDescent="0.3">
      <c r="A377" s="1">
        <v>41575</v>
      </c>
      <c r="B377" t="s">
        <v>329</v>
      </c>
      <c r="C377" t="s">
        <v>18</v>
      </c>
      <c r="D377" t="s">
        <v>21</v>
      </c>
      <c r="E377">
        <v>0.30499999999999999</v>
      </c>
      <c r="F377">
        <v>0.32300000000000001</v>
      </c>
      <c r="G377">
        <v>0.25</v>
      </c>
      <c r="H377">
        <v>3.32</v>
      </c>
      <c r="I377" s="2">
        <v>0</v>
      </c>
      <c r="J377" s="2">
        <v>105839300000</v>
      </c>
      <c r="K377" s="2">
        <v>31749280000</v>
      </c>
      <c r="L377" s="2">
        <v>140872000</v>
      </c>
      <c r="M377" s="2">
        <v>9832000000</v>
      </c>
      <c r="N377" s="2">
        <v>20072000000</v>
      </c>
      <c r="O377" s="2">
        <v>12702980000</v>
      </c>
      <c r="P377" s="2">
        <v>74400000000</v>
      </c>
      <c r="Q377" s="2">
        <v>9214300000</v>
      </c>
      <c r="R377" s="2">
        <v>11367300000</v>
      </c>
      <c r="S377" s="2">
        <f t="shared" si="10"/>
        <v>7.3000000000000009E-2</v>
      </c>
      <c r="T377" s="2">
        <f t="shared" si="11"/>
        <v>31890152000</v>
      </c>
    </row>
    <row r="378" spans="1:20" x14ac:dyDescent="0.3">
      <c r="A378" s="1">
        <v>41576</v>
      </c>
      <c r="B378" t="s">
        <v>328</v>
      </c>
      <c r="C378" t="s">
        <v>18</v>
      </c>
      <c r="D378" t="s">
        <v>19</v>
      </c>
      <c r="E378">
        <v>1.2669999999999999</v>
      </c>
      <c r="F378">
        <v>1.3</v>
      </c>
      <c r="G378">
        <v>1.2</v>
      </c>
      <c r="H378">
        <v>2.65</v>
      </c>
      <c r="I378" s="2">
        <v>0</v>
      </c>
      <c r="J378" s="2">
        <v>92630500000</v>
      </c>
      <c r="K378" s="2">
        <v>34961887500</v>
      </c>
      <c r="L378" s="2">
        <v>23136100</v>
      </c>
      <c r="M378" s="2">
        <v>4277700000</v>
      </c>
      <c r="N378" s="2">
        <v>12988000000</v>
      </c>
      <c r="O378" s="2">
        <v>14639687500</v>
      </c>
      <c r="P378" s="2">
        <v>61650000000</v>
      </c>
      <c r="Q378" s="2">
        <v>16044500000</v>
      </c>
      <c r="R378" s="2">
        <v>17992500000</v>
      </c>
      <c r="S378" s="2">
        <f t="shared" si="10"/>
        <v>0.10000000000000009</v>
      </c>
      <c r="T378" s="2">
        <f t="shared" si="11"/>
        <v>34985023600</v>
      </c>
    </row>
    <row r="379" spans="1:20" x14ac:dyDescent="0.3">
      <c r="A379" s="1">
        <v>41577</v>
      </c>
      <c r="B379" t="s">
        <v>330</v>
      </c>
      <c r="C379" t="s">
        <v>18</v>
      </c>
      <c r="D379" t="s">
        <v>68</v>
      </c>
      <c r="E379">
        <v>1.837</v>
      </c>
      <c r="F379">
        <v>1.87</v>
      </c>
      <c r="G379">
        <v>1.75</v>
      </c>
      <c r="H379">
        <v>2.66</v>
      </c>
      <c r="I379" s="2">
        <v>0</v>
      </c>
      <c r="J379" s="2">
        <v>77118600000</v>
      </c>
      <c r="K379" s="2">
        <v>28985969000</v>
      </c>
      <c r="L379" s="2">
        <v>10036100</v>
      </c>
      <c r="M379" s="2">
        <v>6937384500</v>
      </c>
      <c r="N379" s="2">
        <v>14645000000</v>
      </c>
      <c r="O379" s="2">
        <v>9787229500</v>
      </c>
      <c r="P379" s="2">
        <v>48577000000</v>
      </c>
      <c r="Q379" s="2">
        <v>12261355000</v>
      </c>
      <c r="R379" s="2">
        <v>13896600000</v>
      </c>
      <c r="S379" s="2">
        <f t="shared" si="10"/>
        <v>0.12000000000000011</v>
      </c>
      <c r="T379" s="2">
        <f t="shared" si="11"/>
        <v>28996005100</v>
      </c>
    </row>
    <row r="380" spans="1:20" x14ac:dyDescent="0.3">
      <c r="A380" s="1">
        <v>41590</v>
      </c>
      <c r="B380" t="s">
        <v>331</v>
      </c>
      <c r="C380" t="s">
        <v>18</v>
      </c>
      <c r="D380" t="s">
        <v>52</v>
      </c>
      <c r="E380">
        <v>0.621</v>
      </c>
      <c r="F380">
        <v>0.64400000000000002</v>
      </c>
      <c r="G380">
        <v>0.55000000000000004</v>
      </c>
      <c r="H380">
        <v>3.46</v>
      </c>
      <c r="I380" s="2">
        <v>0</v>
      </c>
      <c r="J380" s="2">
        <v>103540000000</v>
      </c>
      <c r="K380" s="2">
        <v>29867225000</v>
      </c>
      <c r="L380" s="2">
        <v>32881800</v>
      </c>
      <c r="M380" s="2">
        <v>5807000000</v>
      </c>
      <c r="N380" s="2">
        <v>16372000000</v>
      </c>
      <c r="O380" s="2">
        <v>14123225000</v>
      </c>
      <c r="P380" s="2">
        <v>74428000000</v>
      </c>
      <c r="Q380" s="2">
        <v>9937000000</v>
      </c>
      <c r="R380" s="2">
        <v>12740000000</v>
      </c>
      <c r="S380" s="2">
        <f t="shared" si="10"/>
        <v>9.3999999999999972E-2</v>
      </c>
      <c r="T380" s="2">
        <f t="shared" si="11"/>
        <v>29900106800</v>
      </c>
    </row>
    <row r="381" spans="1:20" x14ac:dyDescent="0.3">
      <c r="A381" s="1">
        <v>41591</v>
      </c>
      <c r="B381" t="s">
        <v>333</v>
      </c>
      <c r="C381" t="s">
        <v>18</v>
      </c>
      <c r="D381" t="s">
        <v>26</v>
      </c>
      <c r="E381">
        <v>2.7189999999999999</v>
      </c>
      <c r="F381">
        <v>2.75</v>
      </c>
      <c r="G381">
        <v>2.65</v>
      </c>
      <c r="H381">
        <v>2.7</v>
      </c>
      <c r="I381" s="2">
        <v>0</v>
      </c>
      <c r="J381" s="2">
        <v>64647500000</v>
      </c>
      <c r="K381" s="2">
        <v>23953527800</v>
      </c>
      <c r="L381" s="2">
        <v>46596500</v>
      </c>
      <c r="M381" s="2">
        <v>4446084400</v>
      </c>
      <c r="N381" s="2">
        <v>9437000000</v>
      </c>
      <c r="O381" s="2">
        <v>8089022500</v>
      </c>
      <c r="P381" s="2">
        <v>42551000000</v>
      </c>
      <c r="Q381" s="2">
        <v>11418420900</v>
      </c>
      <c r="R381" s="2">
        <v>12659500000</v>
      </c>
      <c r="S381" s="2">
        <f t="shared" si="10"/>
        <v>0.10000000000000009</v>
      </c>
      <c r="T381" s="2">
        <f t="shared" si="11"/>
        <v>24000124300</v>
      </c>
    </row>
    <row r="382" spans="1:20" x14ac:dyDescent="0.3">
      <c r="A382" s="1">
        <v>41592</v>
      </c>
      <c r="B382" t="s">
        <v>332</v>
      </c>
      <c r="C382" t="s">
        <v>23</v>
      </c>
      <c r="D382" t="s">
        <v>65</v>
      </c>
      <c r="E382">
        <v>3.758</v>
      </c>
      <c r="F382">
        <v>3.81</v>
      </c>
      <c r="G382">
        <v>3.7</v>
      </c>
      <c r="H382">
        <v>2.16</v>
      </c>
      <c r="I382" s="2">
        <v>0</v>
      </c>
      <c r="J382" s="2">
        <v>34612100000</v>
      </c>
      <c r="K382" s="2">
        <v>15984557600</v>
      </c>
      <c r="L382" s="2">
        <v>15487200</v>
      </c>
      <c r="M382" s="2">
        <v>2920359000</v>
      </c>
      <c r="N382" s="2">
        <v>5801000000</v>
      </c>
      <c r="O382" s="2">
        <v>7429616000</v>
      </c>
      <c r="P382" s="2">
        <v>22798000000</v>
      </c>
      <c r="Q382" s="2">
        <v>5634582600</v>
      </c>
      <c r="R382" s="2">
        <v>6013100000</v>
      </c>
      <c r="S382" s="2">
        <f t="shared" si="10"/>
        <v>0.10999999999999988</v>
      </c>
      <c r="T382" s="2">
        <f t="shared" si="11"/>
        <v>16000044800</v>
      </c>
    </row>
    <row r="383" spans="1:20" x14ac:dyDescent="0.3">
      <c r="A383" s="1">
        <v>41603</v>
      </c>
      <c r="B383" t="s">
        <v>335</v>
      </c>
      <c r="C383" t="s">
        <v>18</v>
      </c>
      <c r="D383" t="s">
        <v>21</v>
      </c>
      <c r="E383">
        <v>0.28000000000000003</v>
      </c>
      <c r="F383">
        <v>0.3</v>
      </c>
      <c r="G383">
        <v>0.25</v>
      </c>
      <c r="H383">
        <v>3.54</v>
      </c>
      <c r="I383" s="2">
        <v>0</v>
      </c>
      <c r="J383" s="2">
        <v>112919650000</v>
      </c>
      <c r="K383" s="2">
        <v>31742730000</v>
      </c>
      <c r="L383" s="2">
        <v>147326500</v>
      </c>
      <c r="M383" s="2">
        <v>8660150000</v>
      </c>
      <c r="N383" s="2">
        <v>20555150000</v>
      </c>
      <c r="O383" s="2">
        <v>15950840000</v>
      </c>
      <c r="P383" s="2">
        <v>81693000000</v>
      </c>
      <c r="Q383" s="2">
        <v>7131740000</v>
      </c>
      <c r="R383" s="2">
        <v>10671500000</v>
      </c>
      <c r="S383" s="2">
        <f t="shared" si="10"/>
        <v>4.9999999999999989E-2</v>
      </c>
      <c r="T383" s="2">
        <f t="shared" si="11"/>
        <v>31890056500</v>
      </c>
    </row>
    <row r="384" spans="1:20" x14ac:dyDescent="0.3">
      <c r="A384" s="1">
        <v>41604</v>
      </c>
      <c r="B384" t="s">
        <v>334</v>
      </c>
      <c r="C384" t="s">
        <v>18</v>
      </c>
      <c r="D384" t="s">
        <v>19</v>
      </c>
      <c r="E384">
        <v>1.3080000000000001</v>
      </c>
      <c r="F384">
        <v>1.34</v>
      </c>
      <c r="G384">
        <v>1.27</v>
      </c>
      <c r="H384">
        <v>2.61</v>
      </c>
      <c r="I384" s="2">
        <v>0</v>
      </c>
      <c r="J384" s="2">
        <v>91202700000</v>
      </c>
      <c r="K384" s="2">
        <v>34951213800</v>
      </c>
      <c r="L384" s="2">
        <v>43886100</v>
      </c>
      <c r="M384" s="2">
        <v>3777535500</v>
      </c>
      <c r="N384" s="2">
        <v>9401000000</v>
      </c>
      <c r="O384" s="2">
        <v>13697575000</v>
      </c>
      <c r="P384" s="2">
        <v>61989000000</v>
      </c>
      <c r="Q384" s="2">
        <v>17476103300</v>
      </c>
      <c r="R384" s="2">
        <v>19812700000</v>
      </c>
      <c r="S384" s="2">
        <f t="shared" si="10"/>
        <v>7.0000000000000062E-2</v>
      </c>
      <c r="T384" s="2">
        <f t="shared" si="11"/>
        <v>34995099900</v>
      </c>
    </row>
    <row r="385" spans="1:20" x14ac:dyDescent="0.3">
      <c r="A385" s="1">
        <v>41605</v>
      </c>
      <c r="B385" t="s">
        <v>336</v>
      </c>
      <c r="C385" t="s">
        <v>18</v>
      </c>
      <c r="D385" t="s">
        <v>68</v>
      </c>
      <c r="E385">
        <v>2.0590000000000002</v>
      </c>
      <c r="F385">
        <v>2.1059999999999999</v>
      </c>
      <c r="G385">
        <v>1.9950000000000001</v>
      </c>
      <c r="H385">
        <v>2.36</v>
      </c>
      <c r="I385" s="2">
        <v>0</v>
      </c>
      <c r="J385" s="2">
        <v>68480600000</v>
      </c>
      <c r="K385" s="2">
        <v>28990096000</v>
      </c>
      <c r="L385" s="2">
        <v>9979800</v>
      </c>
      <c r="M385" s="2">
        <v>4679000000</v>
      </c>
      <c r="N385" s="2">
        <v>9229000000</v>
      </c>
      <c r="O385" s="2">
        <v>14434000000</v>
      </c>
      <c r="P385" s="2">
        <v>48928000000</v>
      </c>
      <c r="Q385" s="2">
        <v>9877096000</v>
      </c>
      <c r="R385" s="2">
        <v>10323600000</v>
      </c>
      <c r="S385" s="2">
        <f t="shared" si="10"/>
        <v>0.11099999999999977</v>
      </c>
      <c r="T385" s="2">
        <f t="shared" si="11"/>
        <v>29000075800</v>
      </c>
    </row>
    <row r="386" spans="1:20" x14ac:dyDescent="0.3">
      <c r="A386" s="1">
        <v>41618</v>
      </c>
      <c r="B386" t="s">
        <v>337</v>
      </c>
      <c r="C386" t="s">
        <v>18</v>
      </c>
      <c r="D386" t="s">
        <v>52</v>
      </c>
      <c r="E386">
        <v>0.61</v>
      </c>
      <c r="F386">
        <v>0.63100000000000001</v>
      </c>
      <c r="G386">
        <v>0.57899999999999996</v>
      </c>
      <c r="H386">
        <v>3.55</v>
      </c>
      <c r="I386" s="2">
        <v>0</v>
      </c>
      <c r="J386" s="2">
        <v>106454200000</v>
      </c>
      <c r="K386" s="2">
        <v>29871105000</v>
      </c>
      <c r="L386" s="2">
        <v>28895600</v>
      </c>
      <c r="M386" s="2">
        <v>3595000000</v>
      </c>
      <c r="N386" s="2">
        <v>17403000000</v>
      </c>
      <c r="O386" s="2">
        <v>14804905000</v>
      </c>
      <c r="P386" s="2">
        <v>72927000000</v>
      </c>
      <c r="Q386" s="2">
        <v>11471200000</v>
      </c>
      <c r="R386" s="2">
        <v>16124200000</v>
      </c>
      <c r="S386" s="2">
        <f t="shared" ref="S386:S449" si="12">SUM($F386,-$G386)</f>
        <v>5.2000000000000046E-2</v>
      </c>
      <c r="T386" s="2">
        <f t="shared" ref="T386:T449" si="13">SUM(I386,K386,L386)</f>
        <v>29900000600</v>
      </c>
    </row>
    <row r="387" spans="1:20" x14ac:dyDescent="0.3">
      <c r="A387" s="1">
        <v>41619</v>
      </c>
      <c r="B387" t="s">
        <v>333</v>
      </c>
      <c r="C387" t="s">
        <v>18</v>
      </c>
      <c r="D387" t="s">
        <v>29</v>
      </c>
      <c r="E387">
        <v>2.7829999999999999</v>
      </c>
      <c r="F387">
        <v>2.8239999999999998</v>
      </c>
      <c r="G387">
        <v>2.7349999999999999</v>
      </c>
      <c r="H387">
        <v>2.61</v>
      </c>
      <c r="I387" s="2">
        <v>0</v>
      </c>
      <c r="J387" s="2">
        <v>54687850000</v>
      </c>
      <c r="K387" s="2">
        <v>20965762000</v>
      </c>
      <c r="L387" s="2">
        <v>34240000</v>
      </c>
      <c r="M387" s="2">
        <v>2216500000</v>
      </c>
      <c r="N387" s="2">
        <v>5932500000</v>
      </c>
      <c r="O387" s="2">
        <v>8490180000</v>
      </c>
      <c r="P387" s="2">
        <v>37450000000</v>
      </c>
      <c r="Q387" s="2">
        <v>10259082000</v>
      </c>
      <c r="R387" s="2">
        <v>11305350000</v>
      </c>
      <c r="S387" s="2">
        <f t="shared" si="12"/>
        <v>8.8999999999999968E-2</v>
      </c>
      <c r="T387" s="2">
        <f t="shared" si="13"/>
        <v>21000002000</v>
      </c>
    </row>
    <row r="388" spans="1:20" x14ac:dyDescent="0.3">
      <c r="A388" s="1">
        <v>41620</v>
      </c>
      <c r="B388" t="s">
        <v>332</v>
      </c>
      <c r="C388" t="s">
        <v>23</v>
      </c>
      <c r="D388" t="s">
        <v>72</v>
      </c>
      <c r="E388">
        <v>3.859</v>
      </c>
      <c r="F388">
        <v>3.9</v>
      </c>
      <c r="G388">
        <v>3.8</v>
      </c>
      <c r="H388">
        <v>2.35</v>
      </c>
      <c r="I388" s="2">
        <v>0</v>
      </c>
      <c r="J388" s="2">
        <v>30544350000</v>
      </c>
      <c r="K388" s="2">
        <v>12995076400</v>
      </c>
      <c r="L388" s="2">
        <v>4954500</v>
      </c>
      <c r="M388" s="2">
        <v>1630000000</v>
      </c>
      <c r="N388" s="2">
        <v>3842000000</v>
      </c>
      <c r="O388" s="2">
        <v>5386270400</v>
      </c>
      <c r="P388" s="2">
        <v>20175000000</v>
      </c>
      <c r="Q388" s="2">
        <v>5978806000</v>
      </c>
      <c r="R388" s="2">
        <v>6527350000</v>
      </c>
      <c r="S388" s="2">
        <f t="shared" si="12"/>
        <v>0.10000000000000009</v>
      </c>
      <c r="T388" s="2">
        <f t="shared" si="13"/>
        <v>13000030900</v>
      </c>
    </row>
    <row r="389" spans="1:20" x14ac:dyDescent="0.3">
      <c r="A389" s="1">
        <v>41625</v>
      </c>
      <c r="B389" t="s">
        <v>339</v>
      </c>
      <c r="C389" t="s">
        <v>18</v>
      </c>
      <c r="D389" t="s">
        <v>21</v>
      </c>
      <c r="E389">
        <v>0.32900000000000001</v>
      </c>
      <c r="F389">
        <v>0.34499999999999997</v>
      </c>
      <c r="G389">
        <v>0.3</v>
      </c>
      <c r="H389">
        <v>3.77</v>
      </c>
      <c r="I389" s="2">
        <v>0</v>
      </c>
      <c r="J389" s="2">
        <v>120344000000</v>
      </c>
      <c r="K389" s="2">
        <v>31791205000</v>
      </c>
      <c r="L389" s="2">
        <v>108951400</v>
      </c>
      <c r="M389" s="2">
        <v>9614000000</v>
      </c>
      <c r="N389" s="2">
        <v>26993000000</v>
      </c>
      <c r="O389" s="2">
        <v>15326375000</v>
      </c>
      <c r="P389" s="2">
        <v>82975000000</v>
      </c>
      <c r="Q389" s="2">
        <v>6850830000</v>
      </c>
      <c r="R389" s="2">
        <v>10376000000</v>
      </c>
      <c r="S389" s="2">
        <f t="shared" si="12"/>
        <v>4.4999999999999984E-2</v>
      </c>
      <c r="T389" s="2">
        <f t="shared" si="13"/>
        <v>31900156400</v>
      </c>
    </row>
    <row r="390" spans="1:20" x14ac:dyDescent="0.3">
      <c r="A390" s="1">
        <v>41626</v>
      </c>
      <c r="B390" t="s">
        <v>338</v>
      </c>
      <c r="C390" t="s">
        <v>18</v>
      </c>
      <c r="D390" t="s">
        <v>19</v>
      </c>
      <c r="E390">
        <v>1.5549999999999999</v>
      </c>
      <c r="F390">
        <v>1.6</v>
      </c>
      <c r="G390">
        <v>1.4730000000000001</v>
      </c>
      <c r="H390">
        <v>2.42</v>
      </c>
      <c r="I390" s="2">
        <v>0</v>
      </c>
      <c r="J390" s="2">
        <v>84578868000</v>
      </c>
      <c r="K390" s="2">
        <v>34969118000</v>
      </c>
      <c r="L390" s="2">
        <v>30999700</v>
      </c>
      <c r="M390" s="2">
        <v>4125552500</v>
      </c>
      <c r="N390" s="2">
        <v>10760000000</v>
      </c>
      <c r="O390" s="2">
        <v>21814297500</v>
      </c>
      <c r="P390" s="2">
        <v>64789600000</v>
      </c>
      <c r="Q390" s="2">
        <v>9029268000</v>
      </c>
      <c r="R390" s="2">
        <v>9029268000</v>
      </c>
      <c r="S390" s="2">
        <f t="shared" si="12"/>
        <v>0.127</v>
      </c>
      <c r="T390" s="2">
        <f t="shared" si="13"/>
        <v>35000117700</v>
      </c>
    </row>
    <row r="391" spans="1:20" x14ac:dyDescent="0.3">
      <c r="A391" s="1">
        <v>41627</v>
      </c>
      <c r="B391" t="s">
        <v>340</v>
      </c>
      <c r="C391" t="s">
        <v>18</v>
      </c>
      <c r="D391" t="s">
        <v>68</v>
      </c>
      <c r="E391">
        <v>2.3380000000000001</v>
      </c>
      <c r="F391">
        <v>2.3849999999999998</v>
      </c>
      <c r="G391">
        <v>2.27</v>
      </c>
      <c r="H391">
        <v>2.4500000000000002</v>
      </c>
      <c r="I391" s="2">
        <v>0</v>
      </c>
      <c r="J391" s="2">
        <v>71006350000</v>
      </c>
      <c r="K391" s="2">
        <v>28985000800</v>
      </c>
      <c r="L391" s="2">
        <v>15004900</v>
      </c>
      <c r="M391" s="2">
        <v>4945000000</v>
      </c>
      <c r="N391" s="2">
        <v>10415000000</v>
      </c>
      <c r="O391" s="2">
        <v>11941470000</v>
      </c>
      <c r="P391" s="2">
        <v>47929000000</v>
      </c>
      <c r="Q391" s="2">
        <v>12098530800</v>
      </c>
      <c r="R391" s="2">
        <v>12662350000</v>
      </c>
      <c r="S391" s="2">
        <f t="shared" si="12"/>
        <v>0.11499999999999977</v>
      </c>
      <c r="T391" s="2">
        <f t="shared" si="13"/>
        <v>29000005700</v>
      </c>
    </row>
    <row r="392" spans="1:20" x14ac:dyDescent="0.3">
      <c r="A392" s="1">
        <v>41646</v>
      </c>
      <c r="B392" t="s">
        <v>341</v>
      </c>
      <c r="C392" t="s">
        <v>18</v>
      </c>
      <c r="D392" t="s">
        <v>52</v>
      </c>
      <c r="E392">
        <v>0.77900000000000003</v>
      </c>
      <c r="F392">
        <v>0.79900000000000004</v>
      </c>
      <c r="G392">
        <v>0.7</v>
      </c>
      <c r="H392">
        <v>3.25</v>
      </c>
      <c r="I392" s="2">
        <v>0</v>
      </c>
      <c r="J392" s="2">
        <v>97512900000</v>
      </c>
      <c r="K392" s="2">
        <v>29872734000</v>
      </c>
      <c r="L392" s="2">
        <v>27577700</v>
      </c>
      <c r="M392" s="2">
        <v>6752135000</v>
      </c>
      <c r="N392" s="2">
        <v>19184000000</v>
      </c>
      <c r="O392" s="2">
        <v>14770304000</v>
      </c>
      <c r="P392" s="2">
        <v>67380000000</v>
      </c>
      <c r="Q392" s="2">
        <v>8350295000</v>
      </c>
      <c r="R392" s="2">
        <v>10948900000</v>
      </c>
      <c r="S392" s="2">
        <f t="shared" si="12"/>
        <v>9.9000000000000088E-2</v>
      </c>
      <c r="T392" s="2">
        <f t="shared" si="13"/>
        <v>29900311700</v>
      </c>
    </row>
    <row r="393" spans="1:20" x14ac:dyDescent="0.3">
      <c r="A393" s="1">
        <v>41647</v>
      </c>
      <c r="B393" t="s">
        <v>333</v>
      </c>
      <c r="C393" t="s">
        <v>18</v>
      </c>
      <c r="D393" t="s">
        <v>59</v>
      </c>
      <c r="E393">
        <v>2.9750000000000001</v>
      </c>
      <c r="F393">
        <v>3.0089999999999999</v>
      </c>
      <c r="G393">
        <v>2.88</v>
      </c>
      <c r="H393">
        <v>2.68</v>
      </c>
      <c r="I393" s="2">
        <v>0</v>
      </c>
      <c r="J393" s="2">
        <v>56196950000</v>
      </c>
      <c r="K393" s="2">
        <v>20958904200</v>
      </c>
      <c r="L393" s="2">
        <v>41107600</v>
      </c>
      <c r="M393" s="2">
        <v>2854000000</v>
      </c>
      <c r="N393" s="2">
        <v>6981000000</v>
      </c>
      <c r="O393" s="2">
        <v>8333788000</v>
      </c>
      <c r="P393" s="2">
        <v>37367000000</v>
      </c>
      <c r="Q393" s="2">
        <v>9771116200</v>
      </c>
      <c r="R393" s="2">
        <v>11848950000</v>
      </c>
      <c r="S393" s="2">
        <f t="shared" si="12"/>
        <v>0.129</v>
      </c>
      <c r="T393" s="2">
        <f t="shared" si="13"/>
        <v>21000011800</v>
      </c>
    </row>
    <row r="394" spans="1:20" x14ac:dyDescent="0.3">
      <c r="A394" s="1">
        <v>41648</v>
      </c>
      <c r="B394" t="s">
        <v>332</v>
      </c>
      <c r="C394" t="s">
        <v>23</v>
      </c>
      <c r="D394" t="s">
        <v>91</v>
      </c>
      <c r="E394">
        <v>3.86</v>
      </c>
      <c r="F394">
        <v>3.899</v>
      </c>
      <c r="G394">
        <v>3.8</v>
      </c>
      <c r="H394">
        <v>2.57</v>
      </c>
      <c r="I394" s="2">
        <v>0</v>
      </c>
      <c r="J394" s="2">
        <v>33424300000</v>
      </c>
      <c r="K394" s="2">
        <v>12994052600</v>
      </c>
      <c r="L394" s="2">
        <v>5979500</v>
      </c>
      <c r="M394" s="2">
        <v>2272826000</v>
      </c>
      <c r="N394" s="2">
        <v>4408000000</v>
      </c>
      <c r="O394" s="2">
        <v>4948695000</v>
      </c>
      <c r="P394" s="2">
        <v>21579600000</v>
      </c>
      <c r="Q394" s="2">
        <v>5772531600</v>
      </c>
      <c r="R394" s="2">
        <v>7436700000</v>
      </c>
      <c r="S394" s="2">
        <f t="shared" si="12"/>
        <v>9.9000000000000199E-2</v>
      </c>
      <c r="T394" s="2">
        <f t="shared" si="13"/>
        <v>13000032100</v>
      </c>
    </row>
    <row r="395" spans="1:20" x14ac:dyDescent="0.3">
      <c r="A395" s="1">
        <v>41667</v>
      </c>
      <c r="B395" t="s">
        <v>344</v>
      </c>
      <c r="C395" t="s">
        <v>18</v>
      </c>
      <c r="D395" t="s">
        <v>21</v>
      </c>
      <c r="E395">
        <v>0.36</v>
      </c>
      <c r="F395">
        <v>0.38</v>
      </c>
      <c r="G395">
        <v>0.3</v>
      </c>
      <c r="H395">
        <v>3.3</v>
      </c>
      <c r="I395" s="2">
        <v>0</v>
      </c>
      <c r="J395" s="2">
        <v>105211400000</v>
      </c>
      <c r="K395" s="2">
        <v>31709555000</v>
      </c>
      <c r="L395" s="2">
        <v>175460700</v>
      </c>
      <c r="M395" s="2">
        <v>7096000000</v>
      </c>
      <c r="N395" s="2">
        <v>19819000000</v>
      </c>
      <c r="O395" s="2">
        <v>15590150000</v>
      </c>
      <c r="P395" s="2">
        <v>72665000000</v>
      </c>
      <c r="Q395" s="2">
        <v>9023405000</v>
      </c>
      <c r="R395" s="2">
        <v>12727400000</v>
      </c>
      <c r="S395" s="2">
        <f t="shared" si="12"/>
        <v>8.0000000000000016E-2</v>
      </c>
      <c r="T395" s="2">
        <f t="shared" si="13"/>
        <v>31885015700</v>
      </c>
    </row>
    <row r="396" spans="1:20" x14ac:dyDescent="0.3">
      <c r="A396" s="1">
        <v>41669</v>
      </c>
      <c r="B396" t="s">
        <v>343</v>
      </c>
      <c r="C396" t="s">
        <v>18</v>
      </c>
      <c r="D396" t="s">
        <v>68</v>
      </c>
      <c r="E396">
        <v>2.169</v>
      </c>
      <c r="F396">
        <v>2.19</v>
      </c>
      <c r="G396">
        <v>2.1</v>
      </c>
      <c r="H396">
        <v>2.65</v>
      </c>
      <c r="I396" s="2">
        <v>0</v>
      </c>
      <c r="J396" s="2">
        <v>76674000000</v>
      </c>
      <c r="K396" s="2">
        <v>28963610000</v>
      </c>
      <c r="L396" s="2">
        <v>26446200</v>
      </c>
      <c r="M396" s="2">
        <v>5774260000</v>
      </c>
      <c r="N396" s="2">
        <v>12808000000</v>
      </c>
      <c r="O396" s="2">
        <v>9355350000</v>
      </c>
      <c r="P396" s="2">
        <v>47329000000</v>
      </c>
      <c r="Q396" s="2">
        <v>13834000000</v>
      </c>
      <c r="R396" s="2">
        <v>16537000000</v>
      </c>
      <c r="S396" s="2">
        <f t="shared" si="12"/>
        <v>8.9999999999999858E-2</v>
      </c>
      <c r="T396" s="2">
        <f t="shared" si="13"/>
        <v>28990056200</v>
      </c>
    </row>
    <row r="397" spans="1:20" x14ac:dyDescent="0.3">
      <c r="A397" s="1">
        <v>41669</v>
      </c>
      <c r="B397" t="s">
        <v>342</v>
      </c>
      <c r="C397" t="s">
        <v>18</v>
      </c>
      <c r="D397" t="s">
        <v>19</v>
      </c>
      <c r="E397">
        <v>1.5389999999999999</v>
      </c>
      <c r="F397">
        <v>1.5720000000000001</v>
      </c>
      <c r="G397">
        <v>1.47</v>
      </c>
      <c r="H397">
        <v>2.59</v>
      </c>
      <c r="I397" s="2">
        <v>0</v>
      </c>
      <c r="J397" s="2">
        <v>90483400000</v>
      </c>
      <c r="K397" s="2">
        <v>34928010500</v>
      </c>
      <c r="L397" s="2">
        <v>62025300</v>
      </c>
      <c r="M397" s="2">
        <v>3742000000</v>
      </c>
      <c r="N397" s="2">
        <v>10532000000</v>
      </c>
      <c r="O397" s="2">
        <v>15621826000</v>
      </c>
      <c r="P397" s="2">
        <v>61348000000</v>
      </c>
      <c r="Q397" s="2">
        <v>15564184500</v>
      </c>
      <c r="R397" s="2">
        <v>18603400000</v>
      </c>
      <c r="S397" s="2">
        <f t="shared" si="12"/>
        <v>0.10200000000000009</v>
      </c>
      <c r="T397" s="2">
        <f t="shared" si="13"/>
        <v>34990035800</v>
      </c>
    </row>
    <row r="398" spans="1:20" x14ac:dyDescent="0.3">
      <c r="A398" s="1">
        <v>41681</v>
      </c>
      <c r="B398" t="s">
        <v>347</v>
      </c>
      <c r="C398" t="s">
        <v>18</v>
      </c>
      <c r="D398" t="s">
        <v>52</v>
      </c>
      <c r="E398">
        <v>0.69699999999999995</v>
      </c>
      <c r="F398">
        <v>0.71499999999999997</v>
      </c>
      <c r="G398">
        <v>0.65</v>
      </c>
      <c r="H398">
        <v>3.42</v>
      </c>
      <c r="I398" s="2">
        <v>0</v>
      </c>
      <c r="J398" s="2">
        <v>102326000000</v>
      </c>
      <c r="K398" s="2">
        <v>29831677000</v>
      </c>
      <c r="L398" s="2">
        <v>48375800</v>
      </c>
      <c r="M398" s="2">
        <v>4966000000</v>
      </c>
      <c r="N398" s="2">
        <v>17350000000</v>
      </c>
      <c r="O398" s="2">
        <v>12322922000</v>
      </c>
      <c r="P398" s="2">
        <v>69825000000</v>
      </c>
      <c r="Q398" s="2">
        <v>12542755000</v>
      </c>
      <c r="R398" s="2">
        <v>15151000000</v>
      </c>
      <c r="S398" s="2">
        <f t="shared" si="12"/>
        <v>6.4999999999999947E-2</v>
      </c>
      <c r="T398" s="2">
        <f t="shared" si="13"/>
        <v>29880052800</v>
      </c>
    </row>
    <row r="399" spans="1:20" x14ac:dyDescent="0.3">
      <c r="A399" s="1">
        <v>41682</v>
      </c>
      <c r="B399" t="s">
        <v>346</v>
      </c>
      <c r="C399" t="s">
        <v>18</v>
      </c>
      <c r="D399" t="s">
        <v>26</v>
      </c>
      <c r="E399">
        <v>2.7629999999999999</v>
      </c>
      <c r="F399">
        <v>2.7949999999999999</v>
      </c>
      <c r="G399">
        <v>2.68</v>
      </c>
      <c r="H399">
        <v>2.54</v>
      </c>
      <c r="I399" s="2">
        <v>0</v>
      </c>
      <c r="J399" s="2">
        <v>60783750000</v>
      </c>
      <c r="K399" s="2">
        <v>23917803500</v>
      </c>
      <c r="L399" s="2">
        <v>70201900</v>
      </c>
      <c r="M399" s="2">
        <v>3885000000</v>
      </c>
      <c r="N399" s="2">
        <v>6306000000</v>
      </c>
      <c r="O399" s="2">
        <v>8144163500</v>
      </c>
      <c r="P399" s="2">
        <v>40472000000</v>
      </c>
      <c r="Q399" s="2">
        <v>11888640000</v>
      </c>
      <c r="R399" s="2">
        <v>14005750000</v>
      </c>
      <c r="S399" s="2">
        <f t="shared" si="12"/>
        <v>0.11499999999999977</v>
      </c>
      <c r="T399" s="2">
        <f t="shared" si="13"/>
        <v>23988005400</v>
      </c>
    </row>
    <row r="400" spans="1:20" x14ac:dyDescent="0.3">
      <c r="A400" s="1">
        <v>41683</v>
      </c>
      <c r="B400" t="s">
        <v>345</v>
      </c>
      <c r="C400" t="s">
        <v>23</v>
      </c>
      <c r="D400" t="s">
        <v>65</v>
      </c>
      <c r="E400">
        <v>3.66</v>
      </c>
      <c r="F400">
        <v>3.69</v>
      </c>
      <c r="G400">
        <v>3.6</v>
      </c>
      <c r="H400">
        <v>2.27</v>
      </c>
      <c r="I400" s="2">
        <v>0</v>
      </c>
      <c r="J400" s="2">
        <v>36358565000</v>
      </c>
      <c r="K400" s="2">
        <v>15973955600</v>
      </c>
      <c r="L400" s="2">
        <v>16062700</v>
      </c>
      <c r="M400" s="2">
        <v>2224873600</v>
      </c>
      <c r="N400" s="2">
        <v>3131000000</v>
      </c>
      <c r="O400" s="2">
        <v>6520337600</v>
      </c>
      <c r="P400" s="2">
        <v>24560000000</v>
      </c>
      <c r="Q400" s="2">
        <v>7228744400</v>
      </c>
      <c r="R400" s="2">
        <v>8667565000</v>
      </c>
      <c r="S400" s="2">
        <f t="shared" si="12"/>
        <v>8.9999999999999858E-2</v>
      </c>
      <c r="T400" s="2">
        <f t="shared" si="13"/>
        <v>15990018300</v>
      </c>
    </row>
    <row r="401" spans="1:20" x14ac:dyDescent="0.3">
      <c r="A401" s="1">
        <v>41695</v>
      </c>
      <c r="B401" t="s">
        <v>349</v>
      </c>
      <c r="C401" t="s">
        <v>18</v>
      </c>
      <c r="D401" t="s">
        <v>21</v>
      </c>
      <c r="E401">
        <v>0.32</v>
      </c>
      <c r="F401">
        <v>0.34</v>
      </c>
      <c r="G401">
        <v>0.28799999999999998</v>
      </c>
      <c r="H401">
        <v>3.6</v>
      </c>
      <c r="I401" s="2">
        <v>89897700</v>
      </c>
      <c r="J401" s="2">
        <v>115095931000</v>
      </c>
      <c r="K401" s="2">
        <v>31742996100</v>
      </c>
      <c r="L401" s="2">
        <v>157202300</v>
      </c>
      <c r="M401" s="2">
        <v>6118809000</v>
      </c>
      <c r="N401" s="2">
        <v>15975000000</v>
      </c>
      <c r="O401" s="2">
        <v>14734495000</v>
      </c>
      <c r="P401" s="2">
        <v>82600000000</v>
      </c>
      <c r="Q401" s="2">
        <v>10889692100</v>
      </c>
      <c r="R401" s="2">
        <v>16520931000</v>
      </c>
      <c r="S401" s="2">
        <f t="shared" si="12"/>
        <v>5.2000000000000046E-2</v>
      </c>
      <c r="T401" s="2">
        <f t="shared" si="13"/>
        <v>31990096100</v>
      </c>
    </row>
    <row r="402" spans="1:20" x14ac:dyDescent="0.3">
      <c r="A402" s="1">
        <v>41696</v>
      </c>
      <c r="B402" t="s">
        <v>350</v>
      </c>
      <c r="C402" t="s">
        <v>18</v>
      </c>
      <c r="D402" t="s">
        <v>19</v>
      </c>
      <c r="E402">
        <v>1.508</v>
      </c>
      <c r="F402">
        <v>1.53</v>
      </c>
      <c r="G402">
        <v>1.45</v>
      </c>
      <c r="H402">
        <v>2.98</v>
      </c>
      <c r="I402" s="2">
        <v>98325500</v>
      </c>
      <c r="J402" s="2">
        <v>104139700000</v>
      </c>
      <c r="K402" s="2">
        <v>34936216000</v>
      </c>
      <c r="L402" s="2">
        <v>56830200</v>
      </c>
      <c r="M402" s="2">
        <v>3213000000</v>
      </c>
      <c r="N402" s="2">
        <v>10576000000</v>
      </c>
      <c r="O402" s="2">
        <v>14027728000</v>
      </c>
      <c r="P402" s="2">
        <v>70892000000</v>
      </c>
      <c r="Q402" s="2">
        <v>17695488000</v>
      </c>
      <c r="R402" s="2">
        <v>22671700000</v>
      </c>
      <c r="S402" s="2">
        <f t="shared" si="12"/>
        <v>8.0000000000000071E-2</v>
      </c>
      <c r="T402" s="2">
        <f t="shared" si="13"/>
        <v>35091371700</v>
      </c>
    </row>
    <row r="403" spans="1:20" x14ac:dyDescent="0.3">
      <c r="A403" s="1">
        <v>41697</v>
      </c>
      <c r="B403" t="s">
        <v>348</v>
      </c>
      <c r="C403" t="s">
        <v>18</v>
      </c>
      <c r="D403" t="s">
        <v>68</v>
      </c>
      <c r="E403">
        <v>2.073</v>
      </c>
      <c r="F403">
        <v>2.105</v>
      </c>
      <c r="G403">
        <v>2</v>
      </c>
      <c r="H403">
        <v>2.72</v>
      </c>
      <c r="I403" s="2">
        <v>81469700</v>
      </c>
      <c r="J403" s="2">
        <v>78902000000</v>
      </c>
      <c r="K403" s="2">
        <v>28944655500</v>
      </c>
      <c r="L403" s="2">
        <v>40358000</v>
      </c>
      <c r="M403" s="2">
        <v>7121000000</v>
      </c>
      <c r="N403" s="2">
        <v>10279000000</v>
      </c>
      <c r="O403" s="2">
        <v>9921655500</v>
      </c>
      <c r="P403" s="2">
        <v>54291000000</v>
      </c>
      <c r="Q403" s="2">
        <v>11902000000</v>
      </c>
      <c r="R403" s="2">
        <v>14332000000</v>
      </c>
      <c r="S403" s="2">
        <f t="shared" si="12"/>
        <v>0.10499999999999998</v>
      </c>
      <c r="T403" s="2">
        <f t="shared" si="13"/>
        <v>29066483200</v>
      </c>
    </row>
    <row r="404" spans="1:20" x14ac:dyDescent="0.3">
      <c r="A404" s="1">
        <v>41709</v>
      </c>
      <c r="B404" t="s">
        <v>351</v>
      </c>
      <c r="C404" t="s">
        <v>18</v>
      </c>
      <c r="D404" t="s">
        <v>52</v>
      </c>
      <c r="E404">
        <v>0.78</v>
      </c>
      <c r="F404">
        <v>0.80200000000000005</v>
      </c>
      <c r="G404">
        <v>0.74</v>
      </c>
      <c r="H404">
        <v>3.25</v>
      </c>
      <c r="I404" s="2">
        <v>0</v>
      </c>
      <c r="J404" s="2">
        <v>97444000000</v>
      </c>
      <c r="K404" s="2">
        <v>29861190000</v>
      </c>
      <c r="L404" s="2">
        <v>38884200</v>
      </c>
      <c r="M404" s="2">
        <v>4616000000</v>
      </c>
      <c r="N404" s="2">
        <v>11551000000</v>
      </c>
      <c r="O404" s="2">
        <v>16303190000</v>
      </c>
      <c r="P404" s="2">
        <v>74678000000</v>
      </c>
      <c r="Q404" s="2">
        <v>8942000000</v>
      </c>
      <c r="R404" s="2">
        <v>11215000000</v>
      </c>
      <c r="S404" s="2">
        <f t="shared" si="12"/>
        <v>6.2000000000000055E-2</v>
      </c>
      <c r="T404" s="2">
        <f t="shared" si="13"/>
        <v>29900074200</v>
      </c>
    </row>
    <row r="405" spans="1:20" x14ac:dyDescent="0.3">
      <c r="A405" s="1">
        <v>41710</v>
      </c>
      <c r="B405" t="s">
        <v>346</v>
      </c>
      <c r="C405" t="s">
        <v>18</v>
      </c>
      <c r="D405" t="s">
        <v>29</v>
      </c>
      <c r="E405">
        <v>2.7090000000000001</v>
      </c>
      <c r="F405">
        <v>2.7290000000000001</v>
      </c>
      <c r="G405">
        <v>2.64</v>
      </c>
      <c r="H405">
        <v>2.92</v>
      </c>
      <c r="I405" s="2">
        <v>0</v>
      </c>
      <c r="J405" s="2">
        <v>61236150000</v>
      </c>
      <c r="K405" s="2">
        <v>20964124400</v>
      </c>
      <c r="L405" s="2">
        <v>35899500</v>
      </c>
      <c r="M405" s="2">
        <v>5764378000</v>
      </c>
      <c r="N405" s="2">
        <v>6978000000</v>
      </c>
      <c r="O405" s="2">
        <v>6098816400</v>
      </c>
      <c r="P405" s="2">
        <v>42057000000</v>
      </c>
      <c r="Q405" s="2">
        <v>9100930000</v>
      </c>
      <c r="R405" s="2">
        <v>12201150000</v>
      </c>
      <c r="S405" s="2">
        <f t="shared" si="12"/>
        <v>8.8999999999999968E-2</v>
      </c>
      <c r="T405" s="2">
        <f t="shared" si="13"/>
        <v>21000023900</v>
      </c>
    </row>
    <row r="406" spans="1:20" x14ac:dyDescent="0.3">
      <c r="A406" s="1">
        <v>41711</v>
      </c>
      <c r="B406" t="s">
        <v>345</v>
      </c>
      <c r="C406" t="s">
        <v>23</v>
      </c>
      <c r="D406" t="s">
        <v>72</v>
      </c>
      <c r="E406">
        <v>3.5720000000000001</v>
      </c>
      <c r="F406">
        <v>3.63</v>
      </c>
      <c r="G406">
        <v>3.5</v>
      </c>
      <c r="H406">
        <v>2.35</v>
      </c>
      <c r="I406" s="2">
        <v>0</v>
      </c>
      <c r="J406" s="2">
        <v>30569450000</v>
      </c>
      <c r="K406" s="2">
        <v>12983982500</v>
      </c>
      <c r="L406" s="2">
        <v>16024900</v>
      </c>
      <c r="M406" s="2">
        <v>1635215000</v>
      </c>
      <c r="N406" s="2">
        <v>2696100000</v>
      </c>
      <c r="O406" s="2">
        <v>6316369000</v>
      </c>
      <c r="P406" s="2">
        <v>21959400000</v>
      </c>
      <c r="Q406" s="2">
        <v>5032398500</v>
      </c>
      <c r="R406" s="2">
        <v>5913950000</v>
      </c>
      <c r="S406" s="2">
        <f t="shared" si="12"/>
        <v>0.12999999999999989</v>
      </c>
      <c r="T406" s="2">
        <f t="shared" si="13"/>
        <v>13000007400</v>
      </c>
    </row>
    <row r="407" spans="1:20" x14ac:dyDescent="0.3">
      <c r="A407" s="1">
        <v>41723</v>
      </c>
      <c r="B407" t="s">
        <v>354</v>
      </c>
      <c r="C407" t="s">
        <v>18</v>
      </c>
      <c r="D407" t="s">
        <v>21</v>
      </c>
      <c r="E407">
        <v>0.45</v>
      </c>
      <c r="F407">
        <v>0.46899999999999997</v>
      </c>
      <c r="G407">
        <v>0.41499999999999998</v>
      </c>
      <c r="H407">
        <v>3.2</v>
      </c>
      <c r="I407" s="2">
        <v>0</v>
      </c>
      <c r="J407" s="2">
        <v>102133928000</v>
      </c>
      <c r="K407" s="2">
        <v>31745103000</v>
      </c>
      <c r="L407" s="2">
        <v>155010000</v>
      </c>
      <c r="M407" s="2">
        <v>6836000000</v>
      </c>
      <c r="N407" s="2">
        <v>15223000000</v>
      </c>
      <c r="O407" s="2">
        <v>11914475000</v>
      </c>
      <c r="P407" s="2">
        <v>71115000000</v>
      </c>
      <c r="Q407" s="2">
        <v>12994628000</v>
      </c>
      <c r="R407" s="2">
        <v>15795928000</v>
      </c>
      <c r="S407" s="2">
        <f t="shared" si="12"/>
        <v>5.3999999999999992E-2</v>
      </c>
      <c r="T407" s="2">
        <f t="shared" si="13"/>
        <v>31900113000</v>
      </c>
    </row>
    <row r="408" spans="1:20" x14ac:dyDescent="0.3">
      <c r="A408" s="1">
        <v>41724</v>
      </c>
      <c r="B408" t="s">
        <v>353</v>
      </c>
      <c r="C408" t="s">
        <v>18</v>
      </c>
      <c r="D408" t="s">
        <v>19</v>
      </c>
      <c r="E408">
        <v>1.6990000000000001</v>
      </c>
      <c r="F408">
        <v>1.7150000000000001</v>
      </c>
      <c r="G408">
        <v>1.63</v>
      </c>
      <c r="H408">
        <v>2.99</v>
      </c>
      <c r="I408" s="2">
        <v>0</v>
      </c>
      <c r="J408" s="2">
        <v>104507375000</v>
      </c>
      <c r="K408" s="2">
        <v>34929601000</v>
      </c>
      <c r="L408" s="2">
        <v>70798700</v>
      </c>
      <c r="M408" s="2">
        <v>8073300000</v>
      </c>
      <c r="N408" s="2">
        <v>13289000000</v>
      </c>
      <c r="O408" s="2">
        <v>9063140000</v>
      </c>
      <c r="P408" s="2">
        <v>67225000000</v>
      </c>
      <c r="Q408" s="2">
        <v>17793161000</v>
      </c>
      <c r="R408" s="2">
        <v>23993375000</v>
      </c>
      <c r="S408" s="2">
        <f t="shared" si="12"/>
        <v>8.5000000000000187E-2</v>
      </c>
      <c r="T408" s="2">
        <f t="shared" si="13"/>
        <v>35000399700</v>
      </c>
    </row>
    <row r="409" spans="1:20" x14ac:dyDescent="0.3">
      <c r="A409" s="1">
        <v>41725</v>
      </c>
      <c r="B409" t="s">
        <v>352</v>
      </c>
      <c r="C409" t="s">
        <v>18</v>
      </c>
      <c r="D409" t="s">
        <v>68</v>
      </c>
      <c r="E409">
        <v>2.2290000000000001</v>
      </c>
      <c r="F409">
        <v>2.258</v>
      </c>
      <c r="G409">
        <v>2.15</v>
      </c>
      <c r="H409">
        <v>2.59</v>
      </c>
      <c r="I409" s="2">
        <v>0</v>
      </c>
      <c r="J409" s="2">
        <v>75165000000</v>
      </c>
      <c r="K409" s="2">
        <v>28979342500</v>
      </c>
      <c r="L409" s="2">
        <v>10669300</v>
      </c>
      <c r="M409" s="2">
        <v>9449000000</v>
      </c>
      <c r="N409" s="2">
        <v>13104000000</v>
      </c>
      <c r="O409" s="2">
        <v>7523955000</v>
      </c>
      <c r="P409" s="2">
        <v>48379000000</v>
      </c>
      <c r="Q409" s="2">
        <v>12006387500</v>
      </c>
      <c r="R409" s="2">
        <v>13682000000</v>
      </c>
      <c r="S409" s="2">
        <f t="shared" si="12"/>
        <v>0.1080000000000001</v>
      </c>
      <c r="T409" s="2">
        <f t="shared" si="13"/>
        <v>28990011800</v>
      </c>
    </row>
    <row r="410" spans="1:20" x14ac:dyDescent="0.3">
      <c r="A410" s="1">
        <v>41737</v>
      </c>
      <c r="B410" t="s">
        <v>355</v>
      </c>
      <c r="C410" t="s">
        <v>18</v>
      </c>
      <c r="D410" t="s">
        <v>52</v>
      </c>
      <c r="E410">
        <v>0.873</v>
      </c>
      <c r="F410">
        <v>0.89500000000000002</v>
      </c>
      <c r="G410">
        <v>0.81899999999999995</v>
      </c>
      <c r="H410">
        <v>3.36</v>
      </c>
      <c r="I410" s="2">
        <v>0</v>
      </c>
      <c r="J410" s="2">
        <v>100686600000</v>
      </c>
      <c r="K410" s="2">
        <v>29856952000</v>
      </c>
      <c r="L410" s="2">
        <v>43081700</v>
      </c>
      <c r="M410" s="2">
        <v>7155522000</v>
      </c>
      <c r="N410" s="2">
        <v>15276000000</v>
      </c>
      <c r="O410" s="2">
        <v>14562830000</v>
      </c>
      <c r="P410" s="2">
        <v>74690000000</v>
      </c>
      <c r="Q410" s="2">
        <v>8138600000</v>
      </c>
      <c r="R410" s="2">
        <v>10720600000</v>
      </c>
      <c r="S410" s="2">
        <f t="shared" si="12"/>
        <v>7.6000000000000068E-2</v>
      </c>
      <c r="T410" s="2">
        <f t="shared" si="13"/>
        <v>29900033700</v>
      </c>
    </row>
    <row r="411" spans="1:20" x14ac:dyDescent="0.3">
      <c r="A411" s="1">
        <v>41738</v>
      </c>
      <c r="B411" t="s">
        <v>346</v>
      </c>
      <c r="C411" t="s">
        <v>18</v>
      </c>
      <c r="D411" t="s">
        <v>59</v>
      </c>
      <c r="E411">
        <v>2.6859999999999999</v>
      </c>
      <c r="F411">
        <v>2.72</v>
      </c>
      <c r="G411">
        <v>2.61</v>
      </c>
      <c r="H411">
        <v>2.76</v>
      </c>
      <c r="I411" s="2">
        <v>0</v>
      </c>
      <c r="J411" s="2">
        <v>57890400000</v>
      </c>
      <c r="K411" s="2">
        <v>20972618000</v>
      </c>
      <c r="L411" s="2">
        <v>27453200</v>
      </c>
      <c r="M411" s="2">
        <v>3190972000</v>
      </c>
      <c r="N411" s="2">
        <v>5301000000</v>
      </c>
      <c r="O411" s="2">
        <v>8412152000</v>
      </c>
      <c r="P411" s="2">
        <v>41842000000</v>
      </c>
      <c r="Q411" s="2">
        <v>9369494000</v>
      </c>
      <c r="R411" s="2">
        <v>10747400000</v>
      </c>
      <c r="S411" s="2">
        <f t="shared" si="12"/>
        <v>0.11000000000000032</v>
      </c>
      <c r="T411" s="2">
        <f t="shared" si="13"/>
        <v>21000071200</v>
      </c>
    </row>
    <row r="412" spans="1:20" x14ac:dyDescent="0.3">
      <c r="A412" s="1">
        <v>41739</v>
      </c>
      <c r="B412" t="s">
        <v>345</v>
      </c>
      <c r="C412" t="s">
        <v>23</v>
      </c>
      <c r="D412" t="s">
        <v>91</v>
      </c>
      <c r="E412">
        <v>3.4860000000000002</v>
      </c>
      <c r="F412">
        <v>3.5249999999999999</v>
      </c>
      <c r="G412">
        <v>3.43</v>
      </c>
      <c r="H412">
        <v>2.52</v>
      </c>
      <c r="I412" s="2">
        <v>0</v>
      </c>
      <c r="J412" s="2">
        <v>32728450000</v>
      </c>
      <c r="K412" s="2">
        <v>12994814300</v>
      </c>
      <c r="L412" s="2">
        <v>5192400</v>
      </c>
      <c r="M412" s="2">
        <v>2326275700</v>
      </c>
      <c r="N412" s="2">
        <v>3453000000</v>
      </c>
      <c r="O412" s="2">
        <v>5037162500</v>
      </c>
      <c r="P412" s="2">
        <v>21812700000</v>
      </c>
      <c r="Q412" s="2">
        <v>5631376100</v>
      </c>
      <c r="R412" s="2">
        <v>7462750000</v>
      </c>
      <c r="S412" s="2">
        <f t="shared" si="12"/>
        <v>9.4999999999999751E-2</v>
      </c>
      <c r="T412" s="2">
        <f t="shared" si="13"/>
        <v>13000006700</v>
      </c>
    </row>
    <row r="413" spans="1:20" x14ac:dyDescent="0.3">
      <c r="A413" s="1">
        <v>41751</v>
      </c>
      <c r="B413" t="s">
        <v>358</v>
      </c>
      <c r="C413" t="s">
        <v>18</v>
      </c>
      <c r="D413" t="s">
        <v>21</v>
      </c>
      <c r="E413">
        <v>0.435</v>
      </c>
      <c r="F413">
        <v>0.44700000000000001</v>
      </c>
      <c r="G413">
        <v>0.379</v>
      </c>
      <c r="H413">
        <v>3.35</v>
      </c>
      <c r="I413" s="2">
        <v>0</v>
      </c>
      <c r="J413" s="2">
        <v>106803300000</v>
      </c>
      <c r="K413" s="2">
        <v>31760190000</v>
      </c>
      <c r="L413" s="2">
        <v>140283700</v>
      </c>
      <c r="M413" s="2">
        <v>6020442500</v>
      </c>
      <c r="N413" s="2">
        <v>14183000000</v>
      </c>
      <c r="O413" s="2">
        <v>18319942500</v>
      </c>
      <c r="P413" s="2">
        <v>83944000000</v>
      </c>
      <c r="Q413" s="2">
        <v>7419805000</v>
      </c>
      <c r="R413" s="2">
        <v>8676300000</v>
      </c>
      <c r="S413" s="2">
        <f t="shared" si="12"/>
        <v>6.8000000000000005E-2</v>
      </c>
      <c r="T413" s="2">
        <f t="shared" si="13"/>
        <v>31900473700</v>
      </c>
    </row>
    <row r="414" spans="1:20" x14ac:dyDescent="0.3">
      <c r="A414" s="1">
        <v>41752</v>
      </c>
      <c r="B414" t="s">
        <v>357</v>
      </c>
      <c r="C414" t="s">
        <v>18</v>
      </c>
      <c r="D414" t="s">
        <v>19</v>
      </c>
      <c r="E414">
        <v>1.7</v>
      </c>
      <c r="F414">
        <v>1.732</v>
      </c>
      <c r="G414">
        <v>1.63</v>
      </c>
      <c r="H414">
        <v>2.79</v>
      </c>
      <c r="I414" s="2">
        <v>0</v>
      </c>
      <c r="J414" s="2">
        <v>97473200000</v>
      </c>
      <c r="K414" s="2">
        <v>34949035600</v>
      </c>
      <c r="L414" s="2">
        <v>50964800</v>
      </c>
      <c r="M414" s="2">
        <v>6489000000</v>
      </c>
      <c r="N414" s="2">
        <v>11119000000</v>
      </c>
      <c r="O414" s="2">
        <v>12756753000</v>
      </c>
      <c r="P414" s="2">
        <v>67802000000</v>
      </c>
      <c r="Q414" s="2">
        <v>15703282600</v>
      </c>
      <c r="R414" s="2">
        <v>18552200000</v>
      </c>
      <c r="S414" s="2">
        <f t="shared" si="12"/>
        <v>0.10200000000000009</v>
      </c>
      <c r="T414" s="2">
        <f t="shared" si="13"/>
        <v>35000000400</v>
      </c>
    </row>
    <row r="415" spans="1:20" x14ac:dyDescent="0.3">
      <c r="A415" s="1">
        <v>41753</v>
      </c>
      <c r="B415" t="s">
        <v>356</v>
      </c>
      <c r="C415" t="s">
        <v>18</v>
      </c>
      <c r="D415" t="s">
        <v>68</v>
      </c>
      <c r="E415">
        <v>2.278</v>
      </c>
      <c r="F415">
        <v>2.3170000000000002</v>
      </c>
      <c r="G415">
        <v>2.21</v>
      </c>
      <c r="H415">
        <v>2.6</v>
      </c>
      <c r="I415" s="2">
        <v>0</v>
      </c>
      <c r="J415" s="2">
        <v>75348300000</v>
      </c>
      <c r="K415" s="2">
        <v>28978881000</v>
      </c>
      <c r="L415" s="2">
        <v>21140700</v>
      </c>
      <c r="M415" s="2">
        <v>5531000000</v>
      </c>
      <c r="N415" s="2">
        <v>6936000000</v>
      </c>
      <c r="O415" s="2">
        <v>8985581000</v>
      </c>
      <c r="P415" s="2">
        <v>52179000000</v>
      </c>
      <c r="Q415" s="2">
        <v>14462300000</v>
      </c>
      <c r="R415" s="2">
        <v>16233300000</v>
      </c>
      <c r="S415" s="2">
        <f t="shared" si="12"/>
        <v>0.10700000000000021</v>
      </c>
      <c r="T415" s="2">
        <f t="shared" si="13"/>
        <v>29000021700</v>
      </c>
    </row>
    <row r="416" spans="1:20" x14ac:dyDescent="0.3">
      <c r="A416" s="1">
        <v>41765</v>
      </c>
      <c r="B416" t="s">
        <v>359</v>
      </c>
      <c r="C416" t="s">
        <v>18</v>
      </c>
      <c r="D416" t="s">
        <v>52</v>
      </c>
      <c r="E416">
        <v>0.90700000000000003</v>
      </c>
      <c r="F416">
        <v>0.92800000000000005</v>
      </c>
      <c r="G416">
        <v>0.84499999999999997</v>
      </c>
      <c r="H416">
        <v>3.4</v>
      </c>
      <c r="I416" s="2">
        <v>0</v>
      </c>
      <c r="J416" s="2">
        <v>98479100000</v>
      </c>
      <c r="K416" s="2">
        <v>28856160000</v>
      </c>
      <c r="L416" s="2">
        <v>43872600</v>
      </c>
      <c r="M416" s="2">
        <v>7064040000</v>
      </c>
      <c r="N416" s="2">
        <v>15526000000</v>
      </c>
      <c r="O416" s="2">
        <v>13676868000</v>
      </c>
      <c r="P416" s="2">
        <v>72292000000</v>
      </c>
      <c r="Q416" s="2">
        <v>8115252000</v>
      </c>
      <c r="R416" s="2">
        <v>10661100000</v>
      </c>
      <c r="S416" s="2">
        <f t="shared" si="12"/>
        <v>8.3000000000000074E-2</v>
      </c>
      <c r="T416" s="2">
        <f t="shared" si="13"/>
        <v>28900032600</v>
      </c>
    </row>
    <row r="417" spans="1:20" x14ac:dyDescent="0.3">
      <c r="A417" s="1">
        <v>41766</v>
      </c>
      <c r="B417" t="s">
        <v>361</v>
      </c>
      <c r="C417" t="s">
        <v>18</v>
      </c>
      <c r="D417" t="s">
        <v>26</v>
      </c>
      <c r="E417">
        <v>2.585</v>
      </c>
      <c r="F417">
        <v>2.6120000000000001</v>
      </c>
      <c r="G417">
        <v>2.5099999999999998</v>
      </c>
      <c r="H417">
        <v>2.63</v>
      </c>
      <c r="I417" s="2">
        <v>0</v>
      </c>
      <c r="J417" s="2">
        <v>63036000000</v>
      </c>
      <c r="K417" s="2">
        <v>23934170000</v>
      </c>
      <c r="L417" s="2">
        <v>55831500</v>
      </c>
      <c r="M417" s="2">
        <v>5174000000</v>
      </c>
      <c r="N417" s="2">
        <v>6354000000</v>
      </c>
      <c r="O417" s="2">
        <v>6965170000</v>
      </c>
      <c r="P417" s="2">
        <v>42780000000</v>
      </c>
      <c r="Q417" s="2">
        <v>11795000000</v>
      </c>
      <c r="R417" s="2">
        <v>13902000000</v>
      </c>
      <c r="S417" s="2">
        <f t="shared" si="12"/>
        <v>0.10200000000000031</v>
      </c>
      <c r="T417" s="2">
        <f t="shared" si="13"/>
        <v>23990001500</v>
      </c>
    </row>
    <row r="418" spans="1:20" x14ac:dyDescent="0.3">
      <c r="A418" s="1">
        <v>41767</v>
      </c>
      <c r="B418" t="s">
        <v>360</v>
      </c>
      <c r="C418" t="s">
        <v>23</v>
      </c>
      <c r="D418" t="s">
        <v>65</v>
      </c>
      <c r="E418">
        <v>3.3660000000000001</v>
      </c>
      <c r="F418">
        <v>3.44</v>
      </c>
      <c r="G418">
        <v>3.3</v>
      </c>
      <c r="H418">
        <v>2.09</v>
      </c>
      <c r="I418" s="2">
        <v>0</v>
      </c>
      <c r="J418" s="2">
        <v>33336600000</v>
      </c>
      <c r="K418" s="2">
        <v>15972546000</v>
      </c>
      <c r="L418" s="2">
        <v>22462800</v>
      </c>
      <c r="M418" s="2">
        <v>1348000000</v>
      </c>
      <c r="N418" s="2">
        <v>2122000000</v>
      </c>
      <c r="O418" s="2">
        <v>8175221000</v>
      </c>
      <c r="P418" s="2">
        <v>24749000000</v>
      </c>
      <c r="Q418" s="2">
        <v>6449325000</v>
      </c>
      <c r="R418" s="2">
        <v>6465600000</v>
      </c>
      <c r="S418" s="2">
        <f t="shared" si="12"/>
        <v>0.14000000000000012</v>
      </c>
      <c r="T418" s="2">
        <f t="shared" si="13"/>
        <v>15995008800</v>
      </c>
    </row>
    <row r="419" spans="1:20" x14ac:dyDescent="0.3">
      <c r="A419" s="1">
        <v>41786</v>
      </c>
      <c r="B419" t="s">
        <v>363</v>
      </c>
      <c r="C419" t="s">
        <v>18</v>
      </c>
      <c r="D419" t="s">
        <v>21</v>
      </c>
      <c r="E419">
        <v>0.37</v>
      </c>
      <c r="F419">
        <v>0.39200000000000002</v>
      </c>
      <c r="G419">
        <v>0.33300000000000002</v>
      </c>
      <c r="H419">
        <v>3.52</v>
      </c>
      <c r="I419" s="2">
        <v>11925700</v>
      </c>
      <c r="J419" s="2">
        <v>108793300000</v>
      </c>
      <c r="K419" s="2">
        <v>30708385500</v>
      </c>
      <c r="L419" s="2">
        <v>191720900</v>
      </c>
      <c r="M419" s="2">
        <v>7746565000</v>
      </c>
      <c r="N419" s="2">
        <v>15852000000</v>
      </c>
      <c r="O419" s="2">
        <v>17169610500</v>
      </c>
      <c r="P419" s="2">
        <v>84205000000</v>
      </c>
      <c r="Q419" s="2">
        <v>5792210000</v>
      </c>
      <c r="R419" s="2">
        <v>8736300000</v>
      </c>
      <c r="S419" s="2">
        <f t="shared" si="12"/>
        <v>5.8999999999999997E-2</v>
      </c>
      <c r="T419" s="2">
        <f t="shared" si="13"/>
        <v>30912032100</v>
      </c>
    </row>
    <row r="420" spans="1:20" x14ac:dyDescent="0.3">
      <c r="A420" s="1">
        <v>41787</v>
      </c>
      <c r="B420" t="s">
        <v>362</v>
      </c>
      <c r="C420" t="s">
        <v>18</v>
      </c>
      <c r="D420" t="s">
        <v>19</v>
      </c>
      <c r="E420">
        <v>1.47</v>
      </c>
      <c r="F420">
        <v>1.5129999999999999</v>
      </c>
      <c r="G420">
        <v>1.4</v>
      </c>
      <c r="H420">
        <v>2.73</v>
      </c>
      <c r="I420" s="2">
        <v>13464500</v>
      </c>
      <c r="J420" s="2">
        <v>95586650000</v>
      </c>
      <c r="K420" s="2">
        <v>34926472300</v>
      </c>
      <c r="L420" s="2">
        <v>73563100</v>
      </c>
      <c r="M420" s="2">
        <v>3662000000</v>
      </c>
      <c r="N420" s="2">
        <v>10497000000</v>
      </c>
      <c r="O420" s="2">
        <v>13649705000</v>
      </c>
      <c r="P420" s="2">
        <v>65233000000</v>
      </c>
      <c r="Q420" s="2">
        <v>17614767300</v>
      </c>
      <c r="R420" s="2">
        <v>19856650000</v>
      </c>
      <c r="S420" s="2">
        <f t="shared" si="12"/>
        <v>0.11299999999999999</v>
      </c>
      <c r="T420" s="2">
        <f t="shared" si="13"/>
        <v>35013499900</v>
      </c>
    </row>
    <row r="421" spans="1:20" x14ac:dyDescent="0.3">
      <c r="A421" s="1">
        <v>41788</v>
      </c>
      <c r="B421" t="s">
        <v>364</v>
      </c>
      <c r="C421" t="s">
        <v>18</v>
      </c>
      <c r="D421" t="s">
        <v>68</v>
      </c>
      <c r="E421">
        <v>1.97</v>
      </c>
      <c r="F421">
        <v>2.0099999999999998</v>
      </c>
      <c r="G421">
        <v>1.9</v>
      </c>
      <c r="H421">
        <v>2.6</v>
      </c>
      <c r="I421" s="2">
        <v>11156300</v>
      </c>
      <c r="J421" s="2">
        <v>75228300000</v>
      </c>
      <c r="K421" s="2">
        <v>28962173000</v>
      </c>
      <c r="L421" s="2">
        <v>37886800</v>
      </c>
      <c r="M421" s="2">
        <v>6977158000</v>
      </c>
      <c r="N421" s="2">
        <v>8530000000</v>
      </c>
      <c r="O421" s="2">
        <v>10296162000</v>
      </c>
      <c r="P421" s="2">
        <v>54057000000</v>
      </c>
      <c r="Q421" s="2">
        <v>11688853000</v>
      </c>
      <c r="R421" s="2">
        <v>12641300000</v>
      </c>
      <c r="S421" s="2">
        <f t="shared" si="12"/>
        <v>0.10999999999999988</v>
      </c>
      <c r="T421" s="2">
        <f t="shared" si="13"/>
        <v>29011216100</v>
      </c>
    </row>
    <row r="422" spans="1:20" x14ac:dyDescent="0.3">
      <c r="A422" s="1">
        <v>41800</v>
      </c>
      <c r="B422" t="s">
        <v>365</v>
      </c>
      <c r="C422" t="s">
        <v>18</v>
      </c>
      <c r="D422" t="s">
        <v>52</v>
      </c>
      <c r="E422">
        <v>0.90500000000000003</v>
      </c>
      <c r="F422">
        <v>0.93</v>
      </c>
      <c r="G422">
        <v>0.83</v>
      </c>
      <c r="H422">
        <v>3.41</v>
      </c>
      <c r="I422" s="2">
        <v>0</v>
      </c>
      <c r="J422" s="2">
        <v>95439400000</v>
      </c>
      <c r="K422" s="2">
        <v>27842337500</v>
      </c>
      <c r="L422" s="2">
        <v>47778400</v>
      </c>
      <c r="M422" s="2">
        <v>5401447500</v>
      </c>
      <c r="N422" s="2">
        <v>13449000000</v>
      </c>
      <c r="O422" s="2">
        <v>15070850000</v>
      </c>
      <c r="P422" s="2">
        <v>72026000000</v>
      </c>
      <c r="Q422" s="2">
        <v>7370040000</v>
      </c>
      <c r="R422" s="2">
        <v>9964400000</v>
      </c>
      <c r="S422" s="2">
        <f t="shared" si="12"/>
        <v>0.10000000000000009</v>
      </c>
      <c r="T422" s="2">
        <f t="shared" si="13"/>
        <v>27890115900</v>
      </c>
    </row>
    <row r="423" spans="1:20" x14ac:dyDescent="0.3">
      <c r="A423" s="1">
        <v>41801</v>
      </c>
      <c r="B423" t="s">
        <v>361</v>
      </c>
      <c r="C423" t="s">
        <v>18</v>
      </c>
      <c r="D423" t="s">
        <v>29</v>
      </c>
      <c r="E423">
        <v>2.6059999999999999</v>
      </c>
      <c r="F423">
        <v>2.6480000000000001</v>
      </c>
      <c r="G423">
        <v>2.5299999999999998</v>
      </c>
      <c r="H423">
        <v>2.88</v>
      </c>
      <c r="I423" s="2">
        <v>0</v>
      </c>
      <c r="J423" s="2">
        <v>60504100000</v>
      </c>
      <c r="K423" s="2">
        <v>20959604000</v>
      </c>
      <c r="L423" s="2">
        <v>30462200</v>
      </c>
      <c r="M423" s="2">
        <v>4069240000</v>
      </c>
      <c r="N423" s="2">
        <v>5915000000</v>
      </c>
      <c r="O423" s="2">
        <v>9331504000</v>
      </c>
      <c r="P423" s="2">
        <v>40238000000</v>
      </c>
      <c r="Q423" s="2">
        <v>7558860000</v>
      </c>
      <c r="R423" s="2">
        <v>14351100000</v>
      </c>
      <c r="S423" s="2">
        <f t="shared" si="12"/>
        <v>0.11800000000000033</v>
      </c>
      <c r="T423" s="2">
        <f t="shared" si="13"/>
        <v>20990066200</v>
      </c>
    </row>
    <row r="424" spans="1:20" x14ac:dyDescent="0.3">
      <c r="A424" s="1">
        <v>41802</v>
      </c>
      <c r="B424" t="s">
        <v>360</v>
      </c>
      <c r="C424" t="s">
        <v>23</v>
      </c>
      <c r="D424" t="s">
        <v>72</v>
      </c>
      <c r="E424">
        <v>3.4239999999999999</v>
      </c>
      <c r="F424">
        <v>3.444</v>
      </c>
      <c r="G424">
        <v>3.37</v>
      </c>
      <c r="H424">
        <v>2.69</v>
      </c>
      <c r="I424" s="2">
        <v>0</v>
      </c>
      <c r="J424" s="2">
        <v>34988575000</v>
      </c>
      <c r="K424" s="2">
        <v>12992125000</v>
      </c>
      <c r="L424" s="2">
        <v>7876400</v>
      </c>
      <c r="M424" s="2">
        <v>2827000000</v>
      </c>
      <c r="N424" s="2">
        <v>3611000000</v>
      </c>
      <c r="O424" s="2">
        <v>3440310000</v>
      </c>
      <c r="P424" s="2">
        <v>21626600000</v>
      </c>
      <c r="Q424" s="2">
        <v>6724815000</v>
      </c>
      <c r="R424" s="2">
        <v>9750975000</v>
      </c>
      <c r="S424" s="2">
        <f t="shared" si="12"/>
        <v>7.3999999999999844E-2</v>
      </c>
      <c r="T424" s="2">
        <f t="shared" si="13"/>
        <v>13000001400</v>
      </c>
    </row>
    <row r="425" spans="1:20" x14ac:dyDescent="0.3">
      <c r="A425" s="1">
        <v>41814</v>
      </c>
      <c r="B425" t="s">
        <v>367</v>
      </c>
      <c r="C425" t="s">
        <v>18</v>
      </c>
      <c r="D425" t="s">
        <v>21</v>
      </c>
      <c r="E425">
        <v>0.49399999999999999</v>
      </c>
      <c r="F425">
        <v>0.51100000000000001</v>
      </c>
      <c r="G425">
        <v>0.436</v>
      </c>
      <c r="H425">
        <v>3.23</v>
      </c>
      <c r="I425" s="2">
        <v>0</v>
      </c>
      <c r="J425" s="2">
        <v>96689000000</v>
      </c>
      <c r="K425" s="2">
        <v>29754517500</v>
      </c>
      <c r="L425" s="2">
        <v>145512800</v>
      </c>
      <c r="M425" s="2">
        <v>6930135000</v>
      </c>
      <c r="N425" s="2">
        <v>10428000000</v>
      </c>
      <c r="O425" s="2">
        <v>15943032500</v>
      </c>
      <c r="P425" s="2">
        <v>75161000000</v>
      </c>
      <c r="Q425" s="2">
        <v>6881350000</v>
      </c>
      <c r="R425" s="2">
        <v>11100000000</v>
      </c>
      <c r="S425" s="2">
        <f t="shared" si="12"/>
        <v>7.5000000000000011E-2</v>
      </c>
      <c r="T425" s="2">
        <f t="shared" si="13"/>
        <v>29900030300</v>
      </c>
    </row>
    <row r="426" spans="1:20" x14ac:dyDescent="0.3">
      <c r="A426" s="1">
        <v>41815</v>
      </c>
      <c r="B426" t="s">
        <v>366</v>
      </c>
      <c r="C426" t="s">
        <v>18</v>
      </c>
      <c r="D426" t="s">
        <v>19</v>
      </c>
      <c r="E426">
        <v>1.637</v>
      </c>
      <c r="F426">
        <v>1.67</v>
      </c>
      <c r="G426">
        <v>1.57</v>
      </c>
      <c r="H426">
        <v>2.74</v>
      </c>
      <c r="I426" s="2">
        <v>0</v>
      </c>
      <c r="J426" s="2">
        <v>95822200000</v>
      </c>
      <c r="K426" s="2">
        <v>34944550000</v>
      </c>
      <c r="L426" s="2">
        <v>55669200</v>
      </c>
      <c r="M426" s="2">
        <v>3257900000</v>
      </c>
      <c r="N426" s="2">
        <v>10119000000</v>
      </c>
      <c r="O426" s="2">
        <v>13338745000</v>
      </c>
      <c r="P426" s="2">
        <v>64798000000</v>
      </c>
      <c r="Q426" s="2">
        <v>18347905000</v>
      </c>
      <c r="R426" s="2">
        <v>20905200000</v>
      </c>
      <c r="S426" s="2">
        <f t="shared" si="12"/>
        <v>9.9999999999999867E-2</v>
      </c>
      <c r="T426" s="2">
        <f t="shared" si="13"/>
        <v>35000219200</v>
      </c>
    </row>
    <row r="427" spans="1:20" x14ac:dyDescent="0.3">
      <c r="A427" s="1">
        <v>41816</v>
      </c>
      <c r="B427" t="s">
        <v>368</v>
      </c>
      <c r="C427" t="s">
        <v>18</v>
      </c>
      <c r="D427" t="s">
        <v>68</v>
      </c>
      <c r="E427">
        <v>2.11</v>
      </c>
      <c r="F427">
        <v>2.1520000000000001</v>
      </c>
      <c r="G427">
        <v>2.0590000000000002</v>
      </c>
      <c r="H427">
        <v>2.44</v>
      </c>
      <c r="I427" s="2">
        <v>0</v>
      </c>
      <c r="J427" s="2">
        <v>70598900000</v>
      </c>
      <c r="K427" s="2">
        <v>28983440000</v>
      </c>
      <c r="L427" s="2">
        <v>16572900</v>
      </c>
      <c r="M427" s="2">
        <v>4829000000</v>
      </c>
      <c r="N427" s="2">
        <v>6129000000</v>
      </c>
      <c r="O427" s="2">
        <v>12380540000</v>
      </c>
      <c r="P427" s="2">
        <v>50038000000</v>
      </c>
      <c r="Q427" s="2">
        <v>11773900000</v>
      </c>
      <c r="R427" s="2">
        <v>14431900000</v>
      </c>
      <c r="S427" s="2">
        <f t="shared" si="12"/>
        <v>9.2999999999999972E-2</v>
      </c>
      <c r="T427" s="2">
        <f t="shared" si="13"/>
        <v>29000012900</v>
      </c>
    </row>
    <row r="428" spans="1:20" x14ac:dyDescent="0.3">
      <c r="A428" s="1">
        <v>41828</v>
      </c>
      <c r="B428" t="s">
        <v>369</v>
      </c>
      <c r="C428" t="s">
        <v>18</v>
      </c>
      <c r="D428" t="s">
        <v>52</v>
      </c>
      <c r="E428">
        <v>0.97399999999999998</v>
      </c>
      <c r="F428">
        <v>0.99199999999999999</v>
      </c>
      <c r="G428">
        <v>0.89500000000000002</v>
      </c>
      <c r="H428">
        <v>3.38</v>
      </c>
      <c r="I428" s="2">
        <v>0</v>
      </c>
      <c r="J428" s="2">
        <v>91100200000</v>
      </c>
      <c r="K428" s="2">
        <v>26825885000</v>
      </c>
      <c r="L428" s="2">
        <v>74140300</v>
      </c>
      <c r="M428" s="2">
        <v>3413000000</v>
      </c>
      <c r="N428" s="2">
        <v>7323000000</v>
      </c>
      <c r="O428" s="2">
        <v>13165685000</v>
      </c>
      <c r="P428" s="2">
        <v>69210000000</v>
      </c>
      <c r="Q428" s="2">
        <v>10247200000</v>
      </c>
      <c r="R428" s="2">
        <v>14567200000</v>
      </c>
      <c r="S428" s="2">
        <f t="shared" si="12"/>
        <v>9.6999999999999975E-2</v>
      </c>
      <c r="T428" s="2">
        <f t="shared" si="13"/>
        <v>26900025300</v>
      </c>
    </row>
    <row r="429" spans="1:20" x14ac:dyDescent="0.3">
      <c r="A429" s="1">
        <v>41829</v>
      </c>
      <c r="B429" t="s">
        <v>361</v>
      </c>
      <c r="C429" t="s">
        <v>18</v>
      </c>
      <c r="D429" t="s">
        <v>59</v>
      </c>
      <c r="E429">
        <v>2.56</v>
      </c>
      <c r="F429">
        <v>2.597</v>
      </c>
      <c r="G429">
        <v>2.4910000000000001</v>
      </c>
      <c r="H429">
        <v>2.57</v>
      </c>
      <c r="I429" s="2">
        <v>0</v>
      </c>
      <c r="J429" s="2">
        <v>53992400000</v>
      </c>
      <c r="K429" s="2">
        <v>20983520000</v>
      </c>
      <c r="L429" s="2">
        <v>16506800</v>
      </c>
      <c r="M429" s="2">
        <v>2919000000</v>
      </c>
      <c r="N429" s="2">
        <v>4605000000</v>
      </c>
      <c r="O429" s="2">
        <v>9748120000</v>
      </c>
      <c r="P429" s="2">
        <v>40231000000</v>
      </c>
      <c r="Q429" s="2">
        <v>8316400000</v>
      </c>
      <c r="R429" s="2">
        <v>9156400000</v>
      </c>
      <c r="S429" s="2">
        <f t="shared" si="12"/>
        <v>0.10599999999999987</v>
      </c>
      <c r="T429" s="2">
        <f t="shared" si="13"/>
        <v>21000026800</v>
      </c>
    </row>
    <row r="430" spans="1:20" x14ac:dyDescent="0.3">
      <c r="A430" s="1">
        <v>41830</v>
      </c>
      <c r="B430" t="s">
        <v>360</v>
      </c>
      <c r="C430" t="s">
        <v>23</v>
      </c>
      <c r="D430" t="s">
        <v>91</v>
      </c>
      <c r="E430">
        <v>3.3220000000000001</v>
      </c>
      <c r="F430">
        <v>3.3690000000000002</v>
      </c>
      <c r="G430">
        <v>3.25</v>
      </c>
      <c r="H430">
        <v>2.4</v>
      </c>
      <c r="I430" s="2">
        <v>0</v>
      </c>
      <c r="J430" s="2">
        <v>31239500000</v>
      </c>
      <c r="K430" s="2">
        <v>12992272000</v>
      </c>
      <c r="L430" s="2">
        <v>7745100</v>
      </c>
      <c r="M430" s="2">
        <v>1440577000</v>
      </c>
      <c r="N430" s="2">
        <v>2518000000</v>
      </c>
      <c r="O430" s="2">
        <v>4635195000</v>
      </c>
      <c r="P430" s="2">
        <v>20370000000</v>
      </c>
      <c r="Q430" s="2">
        <v>6916500000</v>
      </c>
      <c r="R430" s="2">
        <v>8351500000</v>
      </c>
      <c r="S430" s="2">
        <f t="shared" si="12"/>
        <v>0.11900000000000022</v>
      </c>
      <c r="T430" s="2">
        <f t="shared" si="13"/>
        <v>13000017100</v>
      </c>
    </row>
    <row r="431" spans="1:20" x14ac:dyDescent="0.3">
      <c r="A431" s="1">
        <v>41848</v>
      </c>
      <c r="B431" t="s">
        <v>371</v>
      </c>
      <c r="C431" t="s">
        <v>18</v>
      </c>
      <c r="D431" t="s">
        <v>21</v>
      </c>
      <c r="E431">
        <v>0.52500000000000002</v>
      </c>
      <c r="F431">
        <v>0.54400000000000004</v>
      </c>
      <c r="G431">
        <v>0.48899999999999999</v>
      </c>
      <c r="H431">
        <v>3.22</v>
      </c>
      <c r="I431" s="2">
        <v>9421100</v>
      </c>
      <c r="J431" s="2">
        <v>93115050000</v>
      </c>
      <c r="K431" s="2">
        <v>28731073400</v>
      </c>
      <c r="L431" s="2">
        <v>169134600</v>
      </c>
      <c r="M431" s="2">
        <v>4122449000</v>
      </c>
      <c r="N431" s="2">
        <v>8181000000</v>
      </c>
      <c r="O431" s="2">
        <v>16858134400</v>
      </c>
      <c r="P431" s="2">
        <v>75434000000</v>
      </c>
      <c r="Q431" s="2">
        <v>7750490000</v>
      </c>
      <c r="R431" s="2">
        <v>9500050000</v>
      </c>
      <c r="S431" s="2">
        <f t="shared" si="12"/>
        <v>5.5000000000000049E-2</v>
      </c>
      <c r="T431" s="2">
        <f t="shared" si="13"/>
        <v>28909629100</v>
      </c>
    </row>
    <row r="432" spans="1:20" x14ac:dyDescent="0.3">
      <c r="A432" s="1">
        <v>41849</v>
      </c>
      <c r="B432" t="s">
        <v>370</v>
      </c>
      <c r="C432" t="s">
        <v>18</v>
      </c>
      <c r="D432" t="s">
        <v>19</v>
      </c>
      <c r="E432">
        <v>1.696</v>
      </c>
      <c r="F432">
        <v>1.72</v>
      </c>
      <c r="G432">
        <v>1.609</v>
      </c>
      <c r="H432">
        <v>2.81</v>
      </c>
      <c r="I432" s="2">
        <v>11370100</v>
      </c>
      <c r="J432" s="2">
        <v>98321750000</v>
      </c>
      <c r="K432" s="2">
        <v>34949542000</v>
      </c>
      <c r="L432" s="2">
        <v>50466200</v>
      </c>
      <c r="M432" s="2">
        <v>9047000000</v>
      </c>
      <c r="N432" s="2">
        <v>14183000000</v>
      </c>
      <c r="O432" s="2">
        <v>9051248000</v>
      </c>
      <c r="P432" s="2">
        <v>64906000000</v>
      </c>
      <c r="Q432" s="2">
        <v>16851294000</v>
      </c>
      <c r="R432" s="2">
        <v>19232750000</v>
      </c>
      <c r="S432" s="2">
        <f t="shared" si="12"/>
        <v>0.11099999999999999</v>
      </c>
      <c r="T432" s="2">
        <f t="shared" si="13"/>
        <v>35011378300</v>
      </c>
    </row>
    <row r="433" spans="1:20" x14ac:dyDescent="0.3">
      <c r="A433" s="1">
        <v>41850</v>
      </c>
      <c r="B433" t="s">
        <v>372</v>
      </c>
      <c r="C433" t="s">
        <v>18</v>
      </c>
      <c r="D433" t="s">
        <v>68</v>
      </c>
      <c r="E433">
        <v>2.2050000000000001</v>
      </c>
      <c r="F433">
        <v>2.25</v>
      </c>
      <c r="G433">
        <v>2.13</v>
      </c>
      <c r="H433">
        <v>2.58</v>
      </c>
      <c r="I433" s="2">
        <v>9421000</v>
      </c>
      <c r="J433" s="2">
        <v>74829575000</v>
      </c>
      <c r="K433" s="2">
        <v>28983150200</v>
      </c>
      <c r="L433" s="2">
        <v>16900900</v>
      </c>
      <c r="M433" s="2">
        <v>4406000000</v>
      </c>
      <c r="N433" s="2">
        <v>5626000000</v>
      </c>
      <c r="O433" s="2">
        <v>10839685000</v>
      </c>
      <c r="P433" s="2">
        <v>53859000000</v>
      </c>
      <c r="Q433" s="2">
        <v>13737465200</v>
      </c>
      <c r="R433" s="2">
        <v>15344575000</v>
      </c>
      <c r="S433" s="2">
        <f t="shared" si="12"/>
        <v>0.12000000000000011</v>
      </c>
      <c r="T433" s="2">
        <f t="shared" si="13"/>
        <v>29009472100</v>
      </c>
    </row>
    <row r="434" spans="1:20" x14ac:dyDescent="0.3">
      <c r="A434" s="1">
        <v>41863</v>
      </c>
      <c r="B434" t="s">
        <v>375</v>
      </c>
      <c r="C434" t="s">
        <v>18</v>
      </c>
      <c r="D434" t="s">
        <v>52</v>
      </c>
      <c r="E434">
        <v>0.9</v>
      </c>
      <c r="F434">
        <v>0.92400000000000004</v>
      </c>
      <c r="G434">
        <v>0.83299999999999996</v>
      </c>
      <c r="H434">
        <v>3.03</v>
      </c>
      <c r="I434" s="2">
        <v>0</v>
      </c>
      <c r="J434" s="2">
        <v>81788300000</v>
      </c>
      <c r="K434" s="2">
        <v>26846357000</v>
      </c>
      <c r="L434" s="2">
        <v>53673700</v>
      </c>
      <c r="M434" s="2">
        <v>5108000000</v>
      </c>
      <c r="N434" s="2">
        <v>8863000000</v>
      </c>
      <c r="O434" s="2">
        <v>12020485000</v>
      </c>
      <c r="P434" s="2">
        <v>59851000000</v>
      </c>
      <c r="Q434" s="2">
        <v>9717872000</v>
      </c>
      <c r="R434" s="2">
        <v>13074300000</v>
      </c>
      <c r="S434" s="2">
        <f t="shared" si="12"/>
        <v>9.1000000000000081E-2</v>
      </c>
      <c r="T434" s="2">
        <f t="shared" si="13"/>
        <v>26900030700</v>
      </c>
    </row>
    <row r="435" spans="1:20" x14ac:dyDescent="0.3">
      <c r="A435" s="1">
        <v>41864</v>
      </c>
      <c r="B435" t="s">
        <v>374</v>
      </c>
      <c r="C435" t="s">
        <v>18</v>
      </c>
      <c r="D435" t="s">
        <v>26</v>
      </c>
      <c r="E435">
        <v>2.4</v>
      </c>
      <c r="F435">
        <v>2.4390000000000001</v>
      </c>
      <c r="G435">
        <v>2.3370000000000002</v>
      </c>
      <c r="H435">
        <v>2.83</v>
      </c>
      <c r="I435" s="2">
        <v>0</v>
      </c>
      <c r="J435" s="2">
        <v>67954100000</v>
      </c>
      <c r="K435" s="2">
        <v>23947353000</v>
      </c>
      <c r="L435" s="2">
        <v>52651500</v>
      </c>
      <c r="M435" s="2">
        <v>3617000000</v>
      </c>
      <c r="N435" s="2">
        <v>5639000000</v>
      </c>
      <c r="O435" s="2">
        <v>9078585000</v>
      </c>
      <c r="P435" s="2">
        <v>48737000000</v>
      </c>
      <c r="Q435" s="2">
        <v>11251768000</v>
      </c>
      <c r="R435" s="2">
        <v>13578100000</v>
      </c>
      <c r="S435" s="2">
        <f t="shared" si="12"/>
        <v>0.10199999999999987</v>
      </c>
      <c r="T435" s="2">
        <f t="shared" si="13"/>
        <v>24000004500</v>
      </c>
    </row>
    <row r="436" spans="1:20" x14ac:dyDescent="0.3">
      <c r="A436" s="1">
        <v>41865</v>
      </c>
      <c r="B436" t="s">
        <v>373</v>
      </c>
      <c r="C436" t="s">
        <v>23</v>
      </c>
      <c r="D436" t="s">
        <v>65</v>
      </c>
      <c r="E436">
        <v>3.2090000000000001</v>
      </c>
      <c r="F436">
        <v>3.2240000000000002</v>
      </c>
      <c r="G436">
        <v>3.13</v>
      </c>
      <c r="H436">
        <v>2.6</v>
      </c>
      <c r="I436" s="2">
        <v>0</v>
      </c>
      <c r="J436" s="2">
        <v>41611900000</v>
      </c>
      <c r="K436" s="2">
        <v>15975753000</v>
      </c>
      <c r="L436" s="2">
        <v>24248400</v>
      </c>
      <c r="M436" s="2">
        <v>3891380500</v>
      </c>
      <c r="N436" s="2">
        <v>5496000000</v>
      </c>
      <c r="O436" s="2">
        <v>4758672500</v>
      </c>
      <c r="P436" s="2">
        <v>25313000000</v>
      </c>
      <c r="Q436" s="2">
        <v>7325700000</v>
      </c>
      <c r="R436" s="2">
        <v>10802900000</v>
      </c>
      <c r="S436" s="2">
        <f t="shared" si="12"/>
        <v>9.4000000000000306E-2</v>
      </c>
      <c r="T436" s="2">
        <f t="shared" si="13"/>
        <v>16000001400</v>
      </c>
    </row>
    <row r="437" spans="1:20" x14ac:dyDescent="0.3">
      <c r="A437" s="1">
        <v>41877</v>
      </c>
      <c r="B437" t="s">
        <v>378</v>
      </c>
      <c r="C437" t="s">
        <v>18</v>
      </c>
      <c r="D437" t="s">
        <v>21</v>
      </c>
      <c r="E437">
        <v>0.50700000000000001</v>
      </c>
      <c r="F437">
        <v>0.53</v>
      </c>
      <c r="G437">
        <v>0.47699999999999998</v>
      </c>
      <c r="H437">
        <v>3.48</v>
      </c>
      <c r="I437" s="2">
        <v>1463600</v>
      </c>
      <c r="J437" s="2">
        <v>100623500000</v>
      </c>
      <c r="K437" s="2">
        <v>28720680000</v>
      </c>
      <c r="L437" s="2">
        <v>179427100</v>
      </c>
      <c r="M437" s="2">
        <v>3486000000</v>
      </c>
      <c r="N437" s="2">
        <v>6195000000</v>
      </c>
      <c r="O437" s="2">
        <v>13795900000</v>
      </c>
      <c r="P437" s="2">
        <v>79678000000</v>
      </c>
      <c r="Q437" s="2">
        <v>11438780000</v>
      </c>
      <c r="R437" s="2">
        <v>14750500000</v>
      </c>
      <c r="S437" s="2">
        <f t="shared" si="12"/>
        <v>5.3000000000000047E-2</v>
      </c>
      <c r="T437" s="2">
        <f t="shared" si="13"/>
        <v>28901570700</v>
      </c>
    </row>
    <row r="438" spans="1:20" x14ac:dyDescent="0.3">
      <c r="A438" s="1">
        <v>41878</v>
      </c>
      <c r="B438" t="s">
        <v>377</v>
      </c>
      <c r="C438" t="s">
        <v>18</v>
      </c>
      <c r="D438" t="s">
        <v>19</v>
      </c>
      <c r="E438">
        <v>1.611</v>
      </c>
      <c r="F438">
        <v>1.6459999999999999</v>
      </c>
      <c r="G438">
        <v>1.53</v>
      </c>
      <c r="H438">
        <v>2.81</v>
      </c>
      <c r="I438" s="2">
        <v>1766400</v>
      </c>
      <c r="J438" s="2">
        <v>98379550000</v>
      </c>
      <c r="K438" s="2">
        <v>34908107500</v>
      </c>
      <c r="L438" s="2">
        <v>41893900</v>
      </c>
      <c r="M438" s="2">
        <v>3785000000</v>
      </c>
      <c r="N438" s="2">
        <v>8492000000</v>
      </c>
      <c r="O438" s="2">
        <v>12722520000</v>
      </c>
      <c r="P438" s="2">
        <v>69998000000</v>
      </c>
      <c r="Q438" s="2">
        <v>18400587500</v>
      </c>
      <c r="R438" s="2">
        <v>19889550000</v>
      </c>
      <c r="S438" s="2">
        <f t="shared" si="12"/>
        <v>0.11599999999999988</v>
      </c>
      <c r="T438" s="2">
        <f t="shared" si="13"/>
        <v>34951767800</v>
      </c>
    </row>
    <row r="439" spans="1:20" x14ac:dyDescent="0.3">
      <c r="A439" s="1">
        <v>41879</v>
      </c>
      <c r="B439" t="s">
        <v>376</v>
      </c>
      <c r="C439" t="s">
        <v>18</v>
      </c>
      <c r="D439" t="s">
        <v>68</v>
      </c>
      <c r="E439">
        <v>2</v>
      </c>
      <c r="F439">
        <v>2.0449999999999999</v>
      </c>
      <c r="G439">
        <v>1.95</v>
      </c>
      <c r="H439">
        <v>2.57</v>
      </c>
      <c r="I439" s="2">
        <v>1463500</v>
      </c>
      <c r="J439" s="2">
        <v>74513200000</v>
      </c>
      <c r="K439" s="2">
        <v>28973630000</v>
      </c>
      <c r="L439" s="2">
        <v>26376700</v>
      </c>
      <c r="M439" s="2">
        <v>5919000000</v>
      </c>
      <c r="N439" s="2">
        <v>7304000000</v>
      </c>
      <c r="O439" s="2">
        <v>8903430000</v>
      </c>
      <c r="P439" s="2">
        <v>51511000000</v>
      </c>
      <c r="Q439" s="2">
        <v>14151200000</v>
      </c>
      <c r="R439" s="2">
        <v>15698200000</v>
      </c>
      <c r="S439" s="2">
        <f t="shared" si="12"/>
        <v>9.4999999999999973E-2</v>
      </c>
      <c r="T439" s="2">
        <f t="shared" si="13"/>
        <v>29001470200</v>
      </c>
    </row>
    <row r="440" spans="1:20" x14ac:dyDescent="0.3">
      <c r="A440" s="1">
        <v>41891</v>
      </c>
      <c r="B440" t="s">
        <v>379</v>
      </c>
      <c r="C440" t="s">
        <v>18</v>
      </c>
      <c r="D440" t="s">
        <v>52</v>
      </c>
      <c r="E440">
        <v>1.0349999999999999</v>
      </c>
      <c r="F440">
        <v>1.0660000000000001</v>
      </c>
      <c r="G440">
        <v>0.95</v>
      </c>
      <c r="H440">
        <v>3.17</v>
      </c>
      <c r="I440" s="2">
        <v>0</v>
      </c>
      <c r="J440" s="2">
        <v>85460100000</v>
      </c>
      <c r="K440" s="2">
        <v>26834400000</v>
      </c>
      <c r="L440" s="2">
        <v>65604100</v>
      </c>
      <c r="M440" s="2">
        <v>5438000000</v>
      </c>
      <c r="N440" s="2">
        <v>9293000000</v>
      </c>
      <c r="O440" s="2">
        <v>12511640000</v>
      </c>
      <c r="P440" s="2">
        <v>64879000000</v>
      </c>
      <c r="Q440" s="2">
        <v>8884760000</v>
      </c>
      <c r="R440" s="2">
        <v>11288100000</v>
      </c>
      <c r="S440" s="2">
        <f t="shared" si="12"/>
        <v>0.1160000000000001</v>
      </c>
      <c r="T440" s="2">
        <f t="shared" si="13"/>
        <v>26900004100</v>
      </c>
    </row>
    <row r="441" spans="1:20" x14ac:dyDescent="0.3">
      <c r="A441" s="1">
        <v>41892</v>
      </c>
      <c r="B441" t="s">
        <v>374</v>
      </c>
      <c r="C441" t="s">
        <v>18</v>
      </c>
      <c r="D441" t="s">
        <v>29</v>
      </c>
      <c r="E441">
        <v>2.4910000000000001</v>
      </c>
      <c r="F441">
        <v>2.5350000000000001</v>
      </c>
      <c r="G441">
        <v>2.4300000000000002</v>
      </c>
      <c r="H441">
        <v>2.71</v>
      </c>
      <c r="I441" s="2">
        <v>0</v>
      </c>
      <c r="J441" s="2">
        <v>56795150000</v>
      </c>
      <c r="K441" s="2">
        <v>20985427000</v>
      </c>
      <c r="L441" s="2">
        <v>14595700</v>
      </c>
      <c r="M441" s="2">
        <v>2826613000</v>
      </c>
      <c r="N441" s="2">
        <v>4647450000</v>
      </c>
      <c r="O441" s="2">
        <v>7033484000</v>
      </c>
      <c r="P441" s="2">
        <v>38824000000</v>
      </c>
      <c r="Q441" s="2">
        <v>11125330000</v>
      </c>
      <c r="R441" s="2">
        <v>13323700000</v>
      </c>
      <c r="S441" s="2">
        <f t="shared" si="12"/>
        <v>0.10499999999999998</v>
      </c>
      <c r="T441" s="2">
        <f t="shared" si="13"/>
        <v>21000022700</v>
      </c>
    </row>
    <row r="442" spans="1:20" x14ac:dyDescent="0.3">
      <c r="A442" s="1">
        <v>41893</v>
      </c>
      <c r="B442" t="s">
        <v>373</v>
      </c>
      <c r="C442" t="s">
        <v>23</v>
      </c>
      <c r="D442" t="s">
        <v>72</v>
      </c>
      <c r="E442">
        <v>3.222</v>
      </c>
      <c r="F442">
        <v>3.24</v>
      </c>
      <c r="G442">
        <v>3.15</v>
      </c>
      <c r="H442">
        <v>2.67</v>
      </c>
      <c r="I442" s="2">
        <v>0</v>
      </c>
      <c r="J442" s="2">
        <v>34661035000</v>
      </c>
      <c r="K442" s="2">
        <v>12991801000</v>
      </c>
      <c r="L442" s="2">
        <v>8260200</v>
      </c>
      <c r="M442" s="2">
        <v>2825959400</v>
      </c>
      <c r="N442" s="2">
        <v>4260000000</v>
      </c>
      <c r="O442" s="2">
        <v>4259869000</v>
      </c>
      <c r="P442" s="2">
        <v>21065000000</v>
      </c>
      <c r="Q442" s="2">
        <v>5905972600</v>
      </c>
      <c r="R442" s="2">
        <v>9336035000</v>
      </c>
      <c r="S442" s="2">
        <f t="shared" si="12"/>
        <v>9.0000000000000302E-2</v>
      </c>
      <c r="T442" s="2">
        <f t="shared" si="13"/>
        <v>13000061200</v>
      </c>
    </row>
    <row r="443" spans="1:20" x14ac:dyDescent="0.3">
      <c r="A443" s="1">
        <v>41905</v>
      </c>
      <c r="B443" t="s">
        <v>382</v>
      </c>
      <c r="C443" t="s">
        <v>18</v>
      </c>
      <c r="D443" t="s">
        <v>21</v>
      </c>
      <c r="E443">
        <v>0.56999999999999995</v>
      </c>
      <c r="F443">
        <v>0.58899999999999997</v>
      </c>
      <c r="G443">
        <v>0.52</v>
      </c>
      <c r="H443">
        <v>3.56</v>
      </c>
      <c r="I443" s="2">
        <v>0</v>
      </c>
      <c r="J443" s="2">
        <v>103108200000</v>
      </c>
      <c r="K443" s="2">
        <v>28749197500</v>
      </c>
      <c r="L443" s="2">
        <v>150915600</v>
      </c>
      <c r="M443" s="2">
        <v>4630590000</v>
      </c>
      <c r="N443" s="2">
        <v>8832000000</v>
      </c>
      <c r="O443" s="2">
        <v>12356407500</v>
      </c>
      <c r="P443" s="2">
        <v>77724000000</v>
      </c>
      <c r="Q443" s="2">
        <v>11762200000</v>
      </c>
      <c r="R443" s="2">
        <v>16552200000</v>
      </c>
      <c r="S443" s="2">
        <f t="shared" si="12"/>
        <v>6.899999999999995E-2</v>
      </c>
      <c r="T443" s="2">
        <f t="shared" si="13"/>
        <v>28900113100</v>
      </c>
    </row>
    <row r="444" spans="1:20" x14ac:dyDescent="0.3">
      <c r="A444" s="1">
        <v>41906</v>
      </c>
      <c r="B444" t="s">
        <v>381</v>
      </c>
      <c r="C444" t="s">
        <v>18</v>
      </c>
      <c r="D444" t="s">
        <v>19</v>
      </c>
      <c r="E444">
        <v>1.7629999999999999</v>
      </c>
      <c r="F444">
        <v>1.8</v>
      </c>
      <c r="G444">
        <v>1.69</v>
      </c>
      <c r="H444">
        <v>2.56</v>
      </c>
      <c r="I444" s="2">
        <v>0</v>
      </c>
      <c r="J444" s="2">
        <v>89457500000</v>
      </c>
      <c r="K444" s="2">
        <v>34899950000</v>
      </c>
      <c r="L444" s="2">
        <v>50097100</v>
      </c>
      <c r="M444" s="2">
        <v>3066350000</v>
      </c>
      <c r="N444" s="2">
        <v>6737000000</v>
      </c>
      <c r="O444" s="2">
        <v>14295200000</v>
      </c>
      <c r="P444" s="2">
        <v>63634000000</v>
      </c>
      <c r="Q444" s="2">
        <v>17538400000</v>
      </c>
      <c r="R444" s="2">
        <v>19086500000</v>
      </c>
      <c r="S444" s="2">
        <f t="shared" si="12"/>
        <v>0.1100000000000001</v>
      </c>
      <c r="T444" s="2">
        <f t="shared" si="13"/>
        <v>34950047100</v>
      </c>
    </row>
    <row r="445" spans="1:20" x14ac:dyDescent="0.3">
      <c r="A445" s="1">
        <v>41907</v>
      </c>
      <c r="B445" t="s">
        <v>380</v>
      </c>
      <c r="C445" t="s">
        <v>18</v>
      </c>
      <c r="D445" t="s">
        <v>68</v>
      </c>
      <c r="E445">
        <v>2.1970000000000001</v>
      </c>
      <c r="F445">
        <v>2.2349999999999999</v>
      </c>
      <c r="G445">
        <v>2.117</v>
      </c>
      <c r="H445">
        <v>2.48</v>
      </c>
      <c r="I445" s="2">
        <v>0</v>
      </c>
      <c r="J445" s="2">
        <v>71840400000</v>
      </c>
      <c r="K445" s="2">
        <v>28981216000</v>
      </c>
      <c r="L445" s="2">
        <v>18787500</v>
      </c>
      <c r="M445" s="2">
        <v>2904120000</v>
      </c>
      <c r="N445" s="2">
        <v>5223000000</v>
      </c>
      <c r="O445" s="2">
        <v>12071360000</v>
      </c>
      <c r="P445" s="2">
        <v>51745000000</v>
      </c>
      <c r="Q445" s="2">
        <v>14005736000</v>
      </c>
      <c r="R445" s="2">
        <v>14872400000</v>
      </c>
      <c r="S445" s="2">
        <f t="shared" si="12"/>
        <v>0.11799999999999988</v>
      </c>
      <c r="T445" s="2">
        <f t="shared" si="13"/>
        <v>29000003500</v>
      </c>
    </row>
    <row r="446" spans="1:20" x14ac:dyDescent="0.3">
      <c r="A446" s="1">
        <v>41919</v>
      </c>
      <c r="B446" t="s">
        <v>383</v>
      </c>
      <c r="C446" t="s">
        <v>18</v>
      </c>
      <c r="D446" t="s">
        <v>52</v>
      </c>
      <c r="E446">
        <v>0.97499999999999998</v>
      </c>
      <c r="F446">
        <v>0.99399999999999999</v>
      </c>
      <c r="G446">
        <v>0.89</v>
      </c>
      <c r="H446">
        <v>3.42</v>
      </c>
      <c r="I446" s="2">
        <v>0</v>
      </c>
      <c r="J446" s="2">
        <v>92258600000</v>
      </c>
      <c r="K446" s="2">
        <v>26839681000</v>
      </c>
      <c r="L446" s="2">
        <v>60352800</v>
      </c>
      <c r="M446" s="2">
        <v>4676845000</v>
      </c>
      <c r="N446" s="2">
        <v>9019000000</v>
      </c>
      <c r="O446" s="2">
        <v>12626380000</v>
      </c>
      <c r="P446" s="2">
        <v>69774000000</v>
      </c>
      <c r="Q446" s="2">
        <v>9536456000</v>
      </c>
      <c r="R446" s="2">
        <v>13465600000</v>
      </c>
      <c r="S446" s="2">
        <f t="shared" si="12"/>
        <v>0.10399999999999998</v>
      </c>
      <c r="T446" s="2">
        <f t="shared" si="13"/>
        <v>26900033800</v>
      </c>
    </row>
    <row r="447" spans="1:20" x14ac:dyDescent="0.3">
      <c r="A447" s="1">
        <v>41920</v>
      </c>
      <c r="B447" t="s">
        <v>374</v>
      </c>
      <c r="C447" t="s">
        <v>18</v>
      </c>
      <c r="D447" t="s">
        <v>59</v>
      </c>
      <c r="E447">
        <v>2.34</v>
      </c>
      <c r="F447">
        <v>2.3809999999999998</v>
      </c>
      <c r="G447">
        <v>2.25</v>
      </c>
      <c r="H447">
        <v>2.52</v>
      </c>
      <c r="I447" s="2">
        <v>0</v>
      </c>
      <c r="J447" s="2">
        <v>52969100000</v>
      </c>
      <c r="K447" s="2">
        <v>20984300000</v>
      </c>
      <c r="L447" s="2">
        <v>15706600</v>
      </c>
      <c r="M447" s="2">
        <v>1395000000</v>
      </c>
      <c r="N447" s="2">
        <v>4155000000</v>
      </c>
      <c r="O447" s="2">
        <v>10278200000</v>
      </c>
      <c r="P447" s="2">
        <v>39268000000</v>
      </c>
      <c r="Q447" s="2">
        <v>9311100000</v>
      </c>
      <c r="R447" s="2">
        <v>9546100000</v>
      </c>
      <c r="S447" s="2">
        <f t="shared" si="12"/>
        <v>0.13099999999999978</v>
      </c>
      <c r="T447" s="2">
        <f t="shared" si="13"/>
        <v>21000006600</v>
      </c>
    </row>
    <row r="448" spans="1:20" x14ac:dyDescent="0.3">
      <c r="A448" s="1">
        <v>41921</v>
      </c>
      <c r="B448" t="s">
        <v>373</v>
      </c>
      <c r="C448" t="s">
        <v>23</v>
      </c>
      <c r="D448" t="s">
        <v>91</v>
      </c>
      <c r="E448">
        <v>3.04</v>
      </c>
      <c r="F448">
        <v>3.0739999999999998</v>
      </c>
      <c r="G448">
        <v>2.97</v>
      </c>
      <c r="H448">
        <v>2.4</v>
      </c>
      <c r="I448" s="2">
        <v>0</v>
      </c>
      <c r="J448" s="2">
        <v>31247900000</v>
      </c>
      <c r="K448" s="2">
        <v>12992973000</v>
      </c>
      <c r="L448" s="2">
        <v>2027900</v>
      </c>
      <c r="M448" s="2">
        <v>2799000000</v>
      </c>
      <c r="N448" s="2">
        <v>4707000000</v>
      </c>
      <c r="O448" s="2">
        <v>4189073000</v>
      </c>
      <c r="P448" s="2">
        <v>19498000000</v>
      </c>
      <c r="Q448" s="2">
        <v>6004900000</v>
      </c>
      <c r="R448" s="2">
        <v>7042900000</v>
      </c>
      <c r="S448" s="2">
        <f t="shared" si="12"/>
        <v>0.10399999999999965</v>
      </c>
      <c r="T448" s="2">
        <f t="shared" si="13"/>
        <v>12995000900</v>
      </c>
    </row>
    <row r="449" spans="1:20" x14ac:dyDescent="0.3">
      <c r="A449" s="1">
        <v>41940</v>
      </c>
      <c r="B449" t="s">
        <v>386</v>
      </c>
      <c r="C449" t="s">
        <v>18</v>
      </c>
      <c r="D449" t="s">
        <v>21</v>
      </c>
      <c r="E449">
        <v>0.40400000000000003</v>
      </c>
      <c r="F449">
        <v>0.42499999999999999</v>
      </c>
      <c r="G449">
        <v>0.36899999999999999</v>
      </c>
      <c r="H449">
        <v>3.11</v>
      </c>
      <c r="I449" s="2">
        <v>0</v>
      </c>
      <c r="J449" s="2">
        <v>90021400000</v>
      </c>
      <c r="K449" s="2">
        <v>28731490000</v>
      </c>
      <c r="L449" s="2">
        <v>168669700</v>
      </c>
      <c r="M449" s="2">
        <v>4651000000</v>
      </c>
      <c r="N449" s="2">
        <v>8581000000</v>
      </c>
      <c r="O449" s="2">
        <v>13549190000</v>
      </c>
      <c r="P449" s="2">
        <v>67704000000</v>
      </c>
      <c r="Q449" s="2">
        <v>10531300000</v>
      </c>
      <c r="R449" s="2">
        <v>13736400000</v>
      </c>
      <c r="S449" s="2">
        <f t="shared" si="12"/>
        <v>5.5999999999999994E-2</v>
      </c>
      <c r="T449" s="2">
        <f t="shared" si="13"/>
        <v>28900159700</v>
      </c>
    </row>
    <row r="450" spans="1:20" x14ac:dyDescent="0.3">
      <c r="A450" s="1">
        <v>41941</v>
      </c>
      <c r="B450" t="s">
        <v>385</v>
      </c>
      <c r="C450" t="s">
        <v>18</v>
      </c>
      <c r="D450" t="s">
        <v>19</v>
      </c>
      <c r="E450">
        <v>1.526</v>
      </c>
      <c r="F450">
        <v>1.5669999999999999</v>
      </c>
      <c r="G450">
        <v>1.45</v>
      </c>
      <c r="H450">
        <v>2.36</v>
      </c>
      <c r="I450" s="2">
        <v>0</v>
      </c>
      <c r="J450" s="2">
        <v>82588955000</v>
      </c>
      <c r="K450" s="2">
        <v>34941790000</v>
      </c>
      <c r="L450" s="2">
        <v>58212000</v>
      </c>
      <c r="M450" s="2">
        <v>3668035000</v>
      </c>
      <c r="N450" s="2">
        <v>7974000000</v>
      </c>
      <c r="O450" s="2">
        <v>14574800000</v>
      </c>
      <c r="P450" s="2">
        <v>57056000000</v>
      </c>
      <c r="Q450" s="2">
        <v>16698955000</v>
      </c>
      <c r="R450" s="2">
        <v>17558955000</v>
      </c>
      <c r="S450" s="2">
        <f t="shared" ref="S450:S513" si="14">SUM($F450,-$G450)</f>
        <v>0.11699999999999999</v>
      </c>
      <c r="T450" s="2">
        <f t="shared" ref="T450:T513" si="15">SUM(I450,K450,L450)</f>
        <v>35000002000</v>
      </c>
    </row>
    <row r="451" spans="1:20" x14ac:dyDescent="0.3">
      <c r="A451" s="1">
        <v>41942</v>
      </c>
      <c r="B451" t="s">
        <v>384</v>
      </c>
      <c r="C451" t="s">
        <v>18</v>
      </c>
      <c r="D451" t="s">
        <v>68</v>
      </c>
      <c r="E451">
        <v>1.98</v>
      </c>
      <c r="F451">
        <v>2.0179999999999998</v>
      </c>
      <c r="G451">
        <v>1.919</v>
      </c>
      <c r="H451">
        <v>2.42</v>
      </c>
      <c r="I451" s="2">
        <v>0</v>
      </c>
      <c r="J451" s="2">
        <v>70030400000</v>
      </c>
      <c r="K451" s="2">
        <v>28987713000</v>
      </c>
      <c r="L451" s="2">
        <v>12297100</v>
      </c>
      <c r="M451" s="2">
        <v>4469253000</v>
      </c>
      <c r="N451" s="2">
        <v>6840000000</v>
      </c>
      <c r="O451" s="2">
        <v>11002040000</v>
      </c>
      <c r="P451" s="2">
        <v>48772000000</v>
      </c>
      <c r="Q451" s="2">
        <v>13516420000</v>
      </c>
      <c r="R451" s="2">
        <v>14418400000</v>
      </c>
      <c r="S451" s="2">
        <f t="shared" si="14"/>
        <v>9.8999999999999755E-2</v>
      </c>
      <c r="T451" s="2">
        <f t="shared" si="15"/>
        <v>29000010100</v>
      </c>
    </row>
    <row r="452" spans="1:20" x14ac:dyDescent="0.3">
      <c r="A452" s="1">
        <v>41953</v>
      </c>
      <c r="B452" t="s">
        <v>388</v>
      </c>
      <c r="C452" t="s">
        <v>18</v>
      </c>
      <c r="D452" t="s">
        <v>52</v>
      </c>
      <c r="E452">
        <v>0.96399999999999997</v>
      </c>
      <c r="F452">
        <v>0.998</v>
      </c>
      <c r="G452">
        <v>0.9</v>
      </c>
      <c r="H452">
        <v>3.18</v>
      </c>
      <c r="I452" s="2">
        <v>34696400</v>
      </c>
      <c r="J452" s="2">
        <v>82609700000</v>
      </c>
      <c r="K452" s="2">
        <v>25838249600</v>
      </c>
      <c r="L452" s="2">
        <v>61783700</v>
      </c>
      <c r="M452" s="2">
        <v>3924000000</v>
      </c>
      <c r="N452" s="2">
        <v>7759000000</v>
      </c>
      <c r="O452" s="2">
        <v>12162050000</v>
      </c>
      <c r="P452" s="2">
        <v>63484000000</v>
      </c>
      <c r="Q452" s="2">
        <v>9752199600</v>
      </c>
      <c r="R452" s="2">
        <v>11366700000</v>
      </c>
      <c r="S452" s="2">
        <f t="shared" si="14"/>
        <v>9.7999999999999976E-2</v>
      </c>
      <c r="T452" s="2">
        <f t="shared" si="15"/>
        <v>25934729700</v>
      </c>
    </row>
    <row r="453" spans="1:20" x14ac:dyDescent="0.3">
      <c r="A453" s="1">
        <v>41955</v>
      </c>
      <c r="B453" t="s">
        <v>387</v>
      </c>
      <c r="C453" t="s">
        <v>18</v>
      </c>
      <c r="D453" t="s">
        <v>26</v>
      </c>
      <c r="E453">
        <v>2.3279999999999998</v>
      </c>
      <c r="F453">
        <v>2.3650000000000002</v>
      </c>
      <c r="G453">
        <v>2.25</v>
      </c>
      <c r="H453">
        <v>2.52</v>
      </c>
      <c r="I453" s="2">
        <v>32027400</v>
      </c>
      <c r="J453" s="2">
        <v>60456250000</v>
      </c>
      <c r="K453" s="2">
        <v>23931420000</v>
      </c>
      <c r="L453" s="2">
        <v>48631900</v>
      </c>
      <c r="M453" s="2">
        <v>3204660000</v>
      </c>
      <c r="N453" s="2">
        <v>5111200000</v>
      </c>
      <c r="O453" s="2">
        <v>10039450000</v>
      </c>
      <c r="P453" s="2">
        <v>42313000000</v>
      </c>
      <c r="Q453" s="2">
        <v>10687310000</v>
      </c>
      <c r="R453" s="2">
        <v>13032050000</v>
      </c>
      <c r="S453" s="2">
        <f t="shared" si="14"/>
        <v>0.11500000000000021</v>
      </c>
      <c r="T453" s="2">
        <f t="shared" si="15"/>
        <v>24012079300</v>
      </c>
    </row>
    <row r="454" spans="1:20" x14ac:dyDescent="0.3">
      <c r="A454" s="1">
        <v>41956</v>
      </c>
      <c r="B454" t="s">
        <v>389</v>
      </c>
      <c r="C454" t="s">
        <v>23</v>
      </c>
      <c r="D454" t="s">
        <v>65</v>
      </c>
      <c r="E454">
        <v>3.0449999999999999</v>
      </c>
      <c r="F454">
        <v>3.0920000000000001</v>
      </c>
      <c r="G454">
        <v>2.95</v>
      </c>
      <c r="H454">
        <v>2.29</v>
      </c>
      <c r="I454" s="2">
        <v>21351600</v>
      </c>
      <c r="J454" s="2">
        <v>36653768000</v>
      </c>
      <c r="K454" s="2">
        <v>15979608800</v>
      </c>
      <c r="L454" s="2">
        <v>10391600</v>
      </c>
      <c r="M454" s="2">
        <v>2199000000</v>
      </c>
      <c r="N454" s="2">
        <v>3892000000</v>
      </c>
      <c r="O454" s="2">
        <v>6783978000</v>
      </c>
      <c r="P454" s="2">
        <v>24753800000</v>
      </c>
      <c r="Q454" s="2">
        <v>6996630800</v>
      </c>
      <c r="R454" s="2">
        <v>8007968000</v>
      </c>
      <c r="S454" s="2">
        <f t="shared" si="14"/>
        <v>0.1419999999999999</v>
      </c>
      <c r="T454" s="2">
        <f t="shared" si="15"/>
        <v>16011352000</v>
      </c>
    </row>
    <row r="455" spans="1:20" x14ac:dyDescent="0.3">
      <c r="A455" s="1">
        <v>41967</v>
      </c>
      <c r="B455" t="s">
        <v>392</v>
      </c>
      <c r="C455" t="s">
        <v>18</v>
      </c>
      <c r="D455" t="s">
        <v>21</v>
      </c>
      <c r="E455">
        <v>0.52</v>
      </c>
      <c r="F455">
        <v>0.54200000000000004</v>
      </c>
      <c r="G455">
        <v>0.49</v>
      </c>
      <c r="H455">
        <v>3.71</v>
      </c>
      <c r="I455" s="2">
        <v>0</v>
      </c>
      <c r="J455" s="2">
        <v>103732150000</v>
      </c>
      <c r="K455" s="2">
        <v>27753076800</v>
      </c>
      <c r="L455" s="2">
        <v>147040000</v>
      </c>
      <c r="M455" s="2">
        <v>4496750000</v>
      </c>
      <c r="N455" s="2">
        <v>10207150000</v>
      </c>
      <c r="O455" s="2">
        <v>13313780000</v>
      </c>
      <c r="P455" s="2">
        <v>74408000000</v>
      </c>
      <c r="Q455" s="2">
        <v>9942546800</v>
      </c>
      <c r="R455" s="2">
        <v>19117000000</v>
      </c>
      <c r="S455" s="2">
        <f t="shared" si="14"/>
        <v>5.2000000000000046E-2</v>
      </c>
      <c r="T455" s="2">
        <f t="shared" si="15"/>
        <v>27900116800</v>
      </c>
    </row>
    <row r="456" spans="1:20" x14ac:dyDescent="0.3">
      <c r="A456" s="1">
        <v>41968</v>
      </c>
      <c r="B456" t="s">
        <v>391</v>
      </c>
      <c r="C456" t="s">
        <v>18</v>
      </c>
      <c r="D456" t="s">
        <v>19</v>
      </c>
      <c r="E456">
        <v>1.575</v>
      </c>
      <c r="F456">
        <v>1.595</v>
      </c>
      <c r="G456">
        <v>1.5</v>
      </c>
      <c r="H456">
        <v>2.91</v>
      </c>
      <c r="I456" s="2">
        <v>0</v>
      </c>
      <c r="J456" s="2">
        <v>101741595000</v>
      </c>
      <c r="K456" s="2">
        <v>34946474500</v>
      </c>
      <c r="L456" s="2">
        <v>53643300</v>
      </c>
      <c r="M456" s="2">
        <v>3449827500</v>
      </c>
      <c r="N456" s="2">
        <v>7580020000</v>
      </c>
      <c r="O456" s="2">
        <v>8764195000</v>
      </c>
      <c r="P456" s="2">
        <v>63988000000</v>
      </c>
      <c r="Q456" s="2">
        <v>22732452000</v>
      </c>
      <c r="R456" s="2">
        <v>30173575000</v>
      </c>
      <c r="S456" s="2">
        <f t="shared" si="14"/>
        <v>9.4999999999999973E-2</v>
      </c>
      <c r="T456" s="2">
        <f t="shared" si="15"/>
        <v>35000117800</v>
      </c>
    </row>
    <row r="457" spans="1:20" x14ac:dyDescent="0.3">
      <c r="A457" s="1">
        <v>41969</v>
      </c>
      <c r="B457" t="s">
        <v>390</v>
      </c>
      <c r="C457" t="s">
        <v>18</v>
      </c>
      <c r="D457" t="s">
        <v>68</v>
      </c>
      <c r="E457">
        <v>1.9219999999999999</v>
      </c>
      <c r="F457">
        <v>1.96</v>
      </c>
      <c r="G457">
        <v>1.85</v>
      </c>
      <c r="H457">
        <v>2.63</v>
      </c>
      <c r="I457" s="2">
        <v>0</v>
      </c>
      <c r="J457" s="2">
        <v>76387300000</v>
      </c>
      <c r="K457" s="2">
        <v>28978250000</v>
      </c>
      <c r="L457" s="2">
        <v>21796300</v>
      </c>
      <c r="M457" s="2">
        <v>3721847500</v>
      </c>
      <c r="N457" s="2">
        <v>5969000000</v>
      </c>
      <c r="O457" s="2">
        <v>10759695500</v>
      </c>
      <c r="P457" s="2">
        <v>53565000000</v>
      </c>
      <c r="Q457" s="2">
        <v>14496707000</v>
      </c>
      <c r="R457" s="2">
        <v>16853300000</v>
      </c>
      <c r="S457" s="2">
        <f t="shared" si="14"/>
        <v>0.10999999999999988</v>
      </c>
      <c r="T457" s="2">
        <f t="shared" si="15"/>
        <v>29000046300</v>
      </c>
    </row>
    <row r="458" spans="1:20" x14ac:dyDescent="0.3">
      <c r="A458" s="1">
        <v>41982</v>
      </c>
      <c r="B458" t="s">
        <v>393</v>
      </c>
      <c r="C458" t="s">
        <v>18</v>
      </c>
      <c r="D458" t="s">
        <v>52</v>
      </c>
      <c r="E458">
        <v>1.04</v>
      </c>
      <c r="F458">
        <v>1.0660000000000001</v>
      </c>
      <c r="G458">
        <v>0.96499999999999997</v>
      </c>
      <c r="H458">
        <v>3.24</v>
      </c>
      <c r="I458" s="2">
        <v>0</v>
      </c>
      <c r="J458" s="2">
        <v>80824000000</v>
      </c>
      <c r="K458" s="2">
        <v>24834056000</v>
      </c>
      <c r="L458" s="2">
        <v>65945900</v>
      </c>
      <c r="M458" s="2">
        <v>2502995000</v>
      </c>
      <c r="N458" s="2">
        <v>7580000000</v>
      </c>
      <c r="O458" s="2">
        <v>11854066000</v>
      </c>
      <c r="P458" s="2">
        <v>60813000000</v>
      </c>
      <c r="Q458" s="2">
        <v>10476995000</v>
      </c>
      <c r="R458" s="2">
        <v>12431000000</v>
      </c>
      <c r="S458" s="2">
        <f t="shared" si="14"/>
        <v>0.10100000000000009</v>
      </c>
      <c r="T458" s="2">
        <f t="shared" si="15"/>
        <v>24900001900</v>
      </c>
    </row>
    <row r="459" spans="1:20" x14ac:dyDescent="0.3">
      <c r="A459" s="1">
        <v>41983</v>
      </c>
      <c r="B459" t="s">
        <v>387</v>
      </c>
      <c r="C459" t="s">
        <v>18</v>
      </c>
      <c r="D459" t="s">
        <v>29</v>
      </c>
      <c r="E459">
        <v>2.1789999999999998</v>
      </c>
      <c r="F459">
        <v>2.214</v>
      </c>
      <c r="G459">
        <v>2.1</v>
      </c>
      <c r="H459">
        <v>2.97</v>
      </c>
      <c r="I459" s="2">
        <v>0</v>
      </c>
      <c r="J459" s="2">
        <v>62236960000</v>
      </c>
      <c r="K459" s="2">
        <v>20960300700</v>
      </c>
      <c r="L459" s="2">
        <v>39712700</v>
      </c>
      <c r="M459" s="2">
        <v>1443000000</v>
      </c>
      <c r="N459" s="2">
        <v>3405010000</v>
      </c>
      <c r="O459" s="2">
        <v>8236682500</v>
      </c>
      <c r="P459" s="2">
        <v>44702000000</v>
      </c>
      <c r="Q459" s="2">
        <v>11280618200</v>
      </c>
      <c r="R459" s="2">
        <v>14129950000</v>
      </c>
      <c r="S459" s="2">
        <f t="shared" si="14"/>
        <v>0.11399999999999988</v>
      </c>
      <c r="T459" s="2">
        <f t="shared" si="15"/>
        <v>21000013400</v>
      </c>
    </row>
    <row r="460" spans="1:20" x14ac:dyDescent="0.3">
      <c r="A460" s="1">
        <v>41984</v>
      </c>
      <c r="B460" t="s">
        <v>389</v>
      </c>
      <c r="C460" t="s">
        <v>23</v>
      </c>
      <c r="D460" t="s">
        <v>72</v>
      </c>
      <c r="E460">
        <v>2.819</v>
      </c>
      <c r="F460">
        <v>2.8479999999999999</v>
      </c>
      <c r="G460">
        <v>2.7480000000000002</v>
      </c>
      <c r="H460">
        <v>2.76</v>
      </c>
      <c r="I460" s="2">
        <v>0</v>
      </c>
      <c r="J460" s="2">
        <v>35904500000</v>
      </c>
      <c r="K460" s="2">
        <v>12993900800</v>
      </c>
      <c r="L460" s="2">
        <v>6121500</v>
      </c>
      <c r="M460" s="2">
        <v>3152000000</v>
      </c>
      <c r="N460" s="2">
        <v>4818000000</v>
      </c>
      <c r="O460" s="2">
        <v>3366000000</v>
      </c>
      <c r="P460" s="2">
        <v>20692000000</v>
      </c>
      <c r="Q460" s="2">
        <v>6475900800</v>
      </c>
      <c r="R460" s="2">
        <v>10394500000</v>
      </c>
      <c r="S460" s="2">
        <f t="shared" si="14"/>
        <v>9.9999999999999645E-2</v>
      </c>
      <c r="T460" s="2">
        <f t="shared" si="15"/>
        <v>13000022300</v>
      </c>
    </row>
    <row r="461" spans="1:20" x14ac:dyDescent="0.3">
      <c r="A461" s="1">
        <v>41995</v>
      </c>
      <c r="B461" t="s">
        <v>395</v>
      </c>
      <c r="C461" t="s">
        <v>18</v>
      </c>
      <c r="D461" t="s">
        <v>21</v>
      </c>
      <c r="E461">
        <v>0.67700000000000005</v>
      </c>
      <c r="F461">
        <v>0.70299999999999996</v>
      </c>
      <c r="G461">
        <v>0.63800000000000001</v>
      </c>
      <c r="H461">
        <v>3.21</v>
      </c>
      <c r="I461" s="2">
        <v>0</v>
      </c>
      <c r="J461" s="2">
        <v>86387050000</v>
      </c>
      <c r="K461" s="2">
        <v>26757687500</v>
      </c>
      <c r="L461" s="2">
        <v>142316500</v>
      </c>
      <c r="M461" s="2">
        <v>3891000000</v>
      </c>
      <c r="N461" s="2">
        <v>7766000000</v>
      </c>
      <c r="O461" s="2">
        <v>13326975000</v>
      </c>
      <c r="P461" s="2">
        <v>67105000000</v>
      </c>
      <c r="Q461" s="2">
        <v>9539712500</v>
      </c>
      <c r="R461" s="2">
        <v>11516050000</v>
      </c>
      <c r="S461" s="2">
        <f t="shared" si="14"/>
        <v>6.4999999999999947E-2</v>
      </c>
      <c r="T461" s="2">
        <f t="shared" si="15"/>
        <v>26900004000</v>
      </c>
    </row>
    <row r="462" spans="1:20" x14ac:dyDescent="0.3">
      <c r="A462" s="1">
        <v>41996</v>
      </c>
      <c r="B462" t="s">
        <v>394</v>
      </c>
      <c r="C462" t="s">
        <v>18</v>
      </c>
      <c r="D462" t="s">
        <v>19</v>
      </c>
      <c r="E462">
        <v>1.6950000000000001</v>
      </c>
      <c r="F462">
        <v>1.7390000000000001</v>
      </c>
      <c r="G462">
        <v>1.63</v>
      </c>
      <c r="H462">
        <v>2.39</v>
      </c>
      <c r="I462" s="2">
        <v>0</v>
      </c>
      <c r="J462" s="2">
        <v>83667600000</v>
      </c>
      <c r="K462" s="2">
        <v>34963455500</v>
      </c>
      <c r="L462" s="2">
        <v>36618300</v>
      </c>
      <c r="M462" s="2">
        <v>2569542500</v>
      </c>
      <c r="N462" s="2">
        <v>6759000000</v>
      </c>
      <c r="O462" s="2">
        <v>11857685500</v>
      </c>
      <c r="P462" s="2">
        <v>54849000000</v>
      </c>
      <c r="Q462" s="2">
        <v>20536227500</v>
      </c>
      <c r="R462" s="2">
        <v>22059600000</v>
      </c>
      <c r="S462" s="2">
        <f t="shared" si="14"/>
        <v>0.10900000000000021</v>
      </c>
      <c r="T462" s="2">
        <f t="shared" si="15"/>
        <v>35000073800</v>
      </c>
    </row>
    <row r="463" spans="1:20" x14ac:dyDescent="0.3">
      <c r="A463" s="1">
        <v>41997</v>
      </c>
      <c r="B463" t="s">
        <v>396</v>
      </c>
      <c r="C463" t="s">
        <v>18</v>
      </c>
      <c r="D463" t="s">
        <v>68</v>
      </c>
      <c r="E463">
        <v>2.0870000000000002</v>
      </c>
      <c r="F463">
        <v>2.125</v>
      </c>
      <c r="G463">
        <v>2.0099999999999998</v>
      </c>
      <c r="H463">
        <v>2.39</v>
      </c>
      <c r="I463" s="2">
        <v>0</v>
      </c>
      <c r="J463" s="2">
        <v>69235200000</v>
      </c>
      <c r="K463" s="2">
        <v>28990150000</v>
      </c>
      <c r="L463" s="2">
        <v>9859300</v>
      </c>
      <c r="M463" s="2">
        <v>1715100000</v>
      </c>
      <c r="N463" s="2">
        <v>3493100000</v>
      </c>
      <c r="O463" s="2">
        <v>10895485000</v>
      </c>
      <c r="P463" s="2">
        <v>48145000000</v>
      </c>
      <c r="Q463" s="2">
        <v>16379565000</v>
      </c>
      <c r="R463" s="2">
        <v>17597100000</v>
      </c>
      <c r="S463" s="2">
        <f t="shared" si="14"/>
        <v>0.11500000000000021</v>
      </c>
      <c r="T463" s="2">
        <f t="shared" si="15"/>
        <v>29000009300</v>
      </c>
    </row>
    <row r="464" spans="1:20" x14ac:dyDescent="0.3">
      <c r="A464" s="1">
        <v>42016</v>
      </c>
      <c r="B464" t="s">
        <v>397</v>
      </c>
      <c r="C464" t="s">
        <v>18</v>
      </c>
      <c r="D464" t="s">
        <v>52</v>
      </c>
      <c r="E464">
        <v>0.9</v>
      </c>
      <c r="F464">
        <v>0.92600000000000005</v>
      </c>
      <c r="G464">
        <v>0.83499999999999996</v>
      </c>
      <c r="H464">
        <v>3.33</v>
      </c>
      <c r="I464" s="2">
        <v>0</v>
      </c>
      <c r="J464" s="2">
        <v>79874500000</v>
      </c>
      <c r="K464" s="2">
        <v>23948532600</v>
      </c>
      <c r="L464" s="2">
        <v>51550100</v>
      </c>
      <c r="M464" s="2">
        <v>3554000000</v>
      </c>
      <c r="N464" s="2">
        <v>6524000000</v>
      </c>
      <c r="O464" s="2">
        <v>9430532600</v>
      </c>
      <c r="P464" s="2">
        <v>58628000000</v>
      </c>
      <c r="Q464" s="2">
        <v>10964000000</v>
      </c>
      <c r="R464" s="2">
        <v>14722500000</v>
      </c>
      <c r="S464" s="2">
        <f t="shared" si="14"/>
        <v>9.1000000000000081E-2</v>
      </c>
      <c r="T464" s="2">
        <f t="shared" si="15"/>
        <v>24000082700</v>
      </c>
    </row>
    <row r="465" spans="1:20" x14ac:dyDescent="0.3">
      <c r="A465" s="1">
        <v>42017</v>
      </c>
      <c r="B465" t="s">
        <v>387</v>
      </c>
      <c r="C465" t="s">
        <v>18</v>
      </c>
      <c r="D465" t="s">
        <v>59</v>
      </c>
      <c r="E465">
        <v>1.89</v>
      </c>
      <c r="F465">
        <v>1.93</v>
      </c>
      <c r="G465">
        <v>1.81</v>
      </c>
      <c r="H465">
        <v>2.61</v>
      </c>
      <c r="I465" s="2">
        <v>0</v>
      </c>
      <c r="J465" s="2">
        <v>54793600000</v>
      </c>
      <c r="K465" s="2">
        <v>20987184200</v>
      </c>
      <c r="L465" s="2">
        <v>11367200</v>
      </c>
      <c r="M465" s="2">
        <v>1928739700</v>
      </c>
      <c r="N465" s="2">
        <v>3147000000</v>
      </c>
      <c r="O465" s="2">
        <v>8561070500</v>
      </c>
      <c r="P465" s="2">
        <v>40630000000</v>
      </c>
      <c r="Q465" s="2">
        <v>10497374000</v>
      </c>
      <c r="R465" s="2">
        <v>11016600000</v>
      </c>
      <c r="S465" s="2">
        <f t="shared" si="14"/>
        <v>0.11999999999999988</v>
      </c>
      <c r="T465" s="2">
        <f t="shared" si="15"/>
        <v>20998551400</v>
      </c>
    </row>
    <row r="466" spans="1:20" x14ac:dyDescent="0.3">
      <c r="A466" s="1">
        <v>42018</v>
      </c>
      <c r="B466" t="s">
        <v>389</v>
      </c>
      <c r="C466" t="s">
        <v>23</v>
      </c>
      <c r="D466" t="s">
        <v>91</v>
      </c>
      <c r="E466">
        <v>2.3740000000000001</v>
      </c>
      <c r="F466">
        <v>2.4300000000000002</v>
      </c>
      <c r="G466">
        <v>2.2799999999999998</v>
      </c>
      <c r="H466">
        <v>2.3199999999999998</v>
      </c>
      <c r="I466" s="2">
        <v>0</v>
      </c>
      <c r="J466" s="2">
        <v>30221360000</v>
      </c>
      <c r="K466" s="2">
        <v>12996689000</v>
      </c>
      <c r="L466" s="2">
        <v>3322900</v>
      </c>
      <c r="M466" s="2">
        <v>1779454800</v>
      </c>
      <c r="N466" s="2">
        <v>2585000000</v>
      </c>
      <c r="O466" s="2">
        <v>4860544700</v>
      </c>
      <c r="P466" s="2">
        <v>20033000000</v>
      </c>
      <c r="Q466" s="2">
        <v>6356689500</v>
      </c>
      <c r="R466" s="2">
        <v>7603360000</v>
      </c>
      <c r="S466" s="2">
        <f t="shared" si="14"/>
        <v>0.15000000000000036</v>
      </c>
      <c r="T466" s="2">
        <f t="shared" si="15"/>
        <v>13000011900</v>
      </c>
    </row>
    <row r="467" spans="1:20" x14ac:dyDescent="0.3">
      <c r="A467" s="1">
        <v>42032</v>
      </c>
      <c r="B467" t="s">
        <v>400</v>
      </c>
      <c r="C467" t="s">
        <v>18</v>
      </c>
      <c r="D467" t="s">
        <v>21</v>
      </c>
      <c r="E467">
        <v>0.50900000000000001</v>
      </c>
      <c r="F467">
        <v>0.54</v>
      </c>
      <c r="G467">
        <v>0.47899999999999998</v>
      </c>
      <c r="H467">
        <v>3.74</v>
      </c>
      <c r="I467" s="2">
        <v>0</v>
      </c>
      <c r="J467" s="2">
        <v>96951000000</v>
      </c>
      <c r="K467" s="2">
        <v>25733300000</v>
      </c>
      <c r="L467" s="2">
        <v>166771200</v>
      </c>
      <c r="M467" s="2">
        <v>2252650000</v>
      </c>
      <c r="N467" s="2">
        <v>9005000000</v>
      </c>
      <c r="O467" s="2">
        <v>10962000000</v>
      </c>
      <c r="P467" s="2">
        <v>71344000000</v>
      </c>
      <c r="Q467" s="2">
        <v>12518650000</v>
      </c>
      <c r="R467" s="2">
        <v>16602000000</v>
      </c>
      <c r="S467" s="2">
        <f t="shared" si="14"/>
        <v>6.1000000000000054E-2</v>
      </c>
      <c r="T467" s="2">
        <f t="shared" si="15"/>
        <v>25900071200</v>
      </c>
    </row>
    <row r="468" spans="1:20" x14ac:dyDescent="0.3">
      <c r="A468" s="1">
        <v>42033</v>
      </c>
      <c r="B468" t="s">
        <v>399</v>
      </c>
      <c r="C468" t="s">
        <v>18</v>
      </c>
      <c r="D468" t="s">
        <v>68</v>
      </c>
      <c r="E468">
        <v>1.5549999999999999</v>
      </c>
      <c r="F468">
        <v>1.59</v>
      </c>
      <c r="G468">
        <v>1.4790000000000001</v>
      </c>
      <c r="H468">
        <v>2.5</v>
      </c>
      <c r="I468" s="2">
        <v>0</v>
      </c>
      <c r="J468" s="2">
        <v>72457495000</v>
      </c>
      <c r="K468" s="2">
        <v>28982457500</v>
      </c>
      <c r="L468" s="2">
        <v>12556300</v>
      </c>
      <c r="M468" s="2">
        <v>4315000000</v>
      </c>
      <c r="N468" s="2">
        <v>6220000000</v>
      </c>
      <c r="O468" s="2">
        <v>8416962500</v>
      </c>
      <c r="P468" s="2">
        <v>48519000000</v>
      </c>
      <c r="Q468" s="2">
        <v>16250495000</v>
      </c>
      <c r="R468" s="2">
        <v>17718495000</v>
      </c>
      <c r="S468" s="2">
        <f t="shared" si="14"/>
        <v>0.11099999999999999</v>
      </c>
      <c r="T468" s="2">
        <f t="shared" si="15"/>
        <v>28995013800</v>
      </c>
    </row>
    <row r="469" spans="1:20" x14ac:dyDescent="0.3">
      <c r="A469" s="1">
        <v>42033</v>
      </c>
      <c r="B469" t="s">
        <v>398</v>
      </c>
      <c r="C469" t="s">
        <v>18</v>
      </c>
      <c r="D469" t="s">
        <v>19</v>
      </c>
      <c r="E469">
        <v>1.256</v>
      </c>
      <c r="F469">
        <v>1.288</v>
      </c>
      <c r="G469">
        <v>1.2</v>
      </c>
      <c r="H469">
        <v>2.4900000000000002</v>
      </c>
      <c r="I469" s="2">
        <v>0</v>
      </c>
      <c r="J469" s="2">
        <v>87134930000</v>
      </c>
      <c r="K469" s="2">
        <v>34957398500</v>
      </c>
      <c r="L469" s="2">
        <v>42615900</v>
      </c>
      <c r="M469" s="2">
        <v>3317000000</v>
      </c>
      <c r="N469" s="2">
        <v>5962000000</v>
      </c>
      <c r="O469" s="2">
        <v>9594325000</v>
      </c>
      <c r="P469" s="2">
        <v>56693000000</v>
      </c>
      <c r="Q469" s="2">
        <v>22046073500</v>
      </c>
      <c r="R469" s="2">
        <v>24479930000</v>
      </c>
      <c r="S469" s="2">
        <f t="shared" si="14"/>
        <v>8.8000000000000078E-2</v>
      </c>
      <c r="T469" s="2">
        <f t="shared" si="15"/>
        <v>35000014400</v>
      </c>
    </row>
    <row r="470" spans="1:20" x14ac:dyDescent="0.3">
      <c r="A470" s="1">
        <v>42045</v>
      </c>
      <c r="B470" t="s">
        <v>403</v>
      </c>
      <c r="C470" t="s">
        <v>18</v>
      </c>
      <c r="D470" t="s">
        <v>52</v>
      </c>
      <c r="E470">
        <v>1.02</v>
      </c>
      <c r="F470">
        <v>1.05</v>
      </c>
      <c r="G470">
        <v>0.8</v>
      </c>
      <c r="H470">
        <v>3.34</v>
      </c>
      <c r="I470" s="2">
        <v>905600</v>
      </c>
      <c r="J470" s="2">
        <v>80109800000</v>
      </c>
      <c r="K470" s="2">
        <v>23838254000</v>
      </c>
      <c r="L470" s="2">
        <v>61954000</v>
      </c>
      <c r="M470" s="2">
        <v>1707000000</v>
      </c>
      <c r="N470" s="2">
        <v>5092000000</v>
      </c>
      <c r="O470" s="2">
        <v>10475220000</v>
      </c>
      <c r="P470" s="2">
        <v>60238000000</v>
      </c>
      <c r="Q470" s="2">
        <v>11656034000</v>
      </c>
      <c r="R470" s="2">
        <v>14779800000</v>
      </c>
      <c r="S470" s="2">
        <f t="shared" si="14"/>
        <v>0.25</v>
      </c>
      <c r="T470" s="2">
        <f t="shared" si="15"/>
        <v>23901113600</v>
      </c>
    </row>
    <row r="471" spans="1:20" x14ac:dyDescent="0.3">
      <c r="A471" s="1">
        <v>42046</v>
      </c>
      <c r="B471" t="s">
        <v>402</v>
      </c>
      <c r="C471" t="s">
        <v>18</v>
      </c>
      <c r="D471" t="s">
        <v>26</v>
      </c>
      <c r="E471">
        <v>1.97</v>
      </c>
      <c r="F471">
        <v>2</v>
      </c>
      <c r="G471">
        <v>1.9</v>
      </c>
      <c r="H471">
        <v>2.62</v>
      </c>
      <c r="I471" s="2">
        <v>905600</v>
      </c>
      <c r="J471" s="2">
        <v>62920300000</v>
      </c>
      <c r="K471" s="2">
        <v>23960830000</v>
      </c>
      <c r="L471" s="2">
        <v>36171900</v>
      </c>
      <c r="M471" s="2">
        <v>3043407500</v>
      </c>
      <c r="N471" s="2">
        <v>4259000000</v>
      </c>
      <c r="O471" s="2">
        <v>6658302500</v>
      </c>
      <c r="P471" s="2">
        <v>41952000000</v>
      </c>
      <c r="Q471" s="2">
        <v>14259120000</v>
      </c>
      <c r="R471" s="2">
        <v>16709300000</v>
      </c>
      <c r="S471" s="2">
        <f t="shared" si="14"/>
        <v>0.10000000000000009</v>
      </c>
      <c r="T471" s="2">
        <f t="shared" si="15"/>
        <v>23997907500</v>
      </c>
    </row>
    <row r="472" spans="1:20" x14ac:dyDescent="0.3">
      <c r="A472" s="1">
        <v>42047</v>
      </c>
      <c r="B472" t="s">
        <v>401</v>
      </c>
      <c r="C472" t="s">
        <v>23</v>
      </c>
      <c r="D472" t="s">
        <v>65</v>
      </c>
      <c r="E472">
        <v>2.5059999999999998</v>
      </c>
      <c r="F472">
        <v>2.56</v>
      </c>
      <c r="G472">
        <v>2.41</v>
      </c>
      <c r="H472">
        <v>2.2599999999999998</v>
      </c>
      <c r="I472" s="2">
        <v>603700</v>
      </c>
      <c r="J472" s="2">
        <v>36108895000</v>
      </c>
      <c r="K472" s="2">
        <v>15977833000</v>
      </c>
      <c r="L472" s="2">
        <v>20168800</v>
      </c>
      <c r="M472" s="2">
        <v>2469172000</v>
      </c>
      <c r="N472" s="2">
        <v>3311000000</v>
      </c>
      <c r="O472" s="2">
        <v>5615644000</v>
      </c>
      <c r="P472" s="2">
        <v>24123000000</v>
      </c>
      <c r="Q472" s="2">
        <v>7893017000</v>
      </c>
      <c r="R472" s="2">
        <v>8674895000</v>
      </c>
      <c r="S472" s="2">
        <f t="shared" si="14"/>
        <v>0.14999999999999991</v>
      </c>
      <c r="T472" s="2">
        <f t="shared" si="15"/>
        <v>15998605500</v>
      </c>
    </row>
    <row r="473" spans="1:20" x14ac:dyDescent="0.3">
      <c r="A473" s="1">
        <v>42059</v>
      </c>
      <c r="B473" t="s">
        <v>404</v>
      </c>
      <c r="C473" t="s">
        <v>18</v>
      </c>
      <c r="D473" t="s">
        <v>21</v>
      </c>
      <c r="E473">
        <v>0.57999999999999996</v>
      </c>
      <c r="F473">
        <v>0.60299999999999998</v>
      </c>
      <c r="G473">
        <v>0.53900000000000003</v>
      </c>
      <c r="H473">
        <v>3.45</v>
      </c>
      <c r="I473" s="2">
        <v>0</v>
      </c>
      <c r="J473" s="2">
        <v>89395000000</v>
      </c>
      <c r="K473" s="2">
        <v>25726956400</v>
      </c>
      <c r="L473" s="2">
        <v>173122600</v>
      </c>
      <c r="M473" s="2">
        <v>3415000000</v>
      </c>
      <c r="N473" s="2">
        <v>8020000000</v>
      </c>
      <c r="O473" s="2">
        <v>9908956400</v>
      </c>
      <c r="P473" s="2">
        <v>66522000000</v>
      </c>
      <c r="Q473" s="2">
        <v>12403000000</v>
      </c>
      <c r="R473" s="2">
        <v>14853000000</v>
      </c>
      <c r="S473" s="2">
        <f t="shared" si="14"/>
        <v>6.3999999999999946E-2</v>
      </c>
      <c r="T473" s="2">
        <f t="shared" si="15"/>
        <v>25900079000</v>
      </c>
    </row>
    <row r="474" spans="1:20" x14ac:dyDescent="0.3">
      <c r="A474" s="1">
        <v>42060</v>
      </c>
      <c r="B474" t="s">
        <v>405</v>
      </c>
      <c r="C474" t="s">
        <v>18</v>
      </c>
      <c r="D474" t="s">
        <v>19</v>
      </c>
      <c r="E474">
        <v>1.44</v>
      </c>
      <c r="F474">
        <v>1.48</v>
      </c>
      <c r="G474">
        <v>1.4</v>
      </c>
      <c r="H474">
        <v>2.54</v>
      </c>
      <c r="I474" s="2">
        <v>0</v>
      </c>
      <c r="J474" s="2">
        <v>88792400000</v>
      </c>
      <c r="K474" s="2">
        <v>34939683000</v>
      </c>
      <c r="L474" s="2">
        <v>60350800</v>
      </c>
      <c r="M474" s="2">
        <v>2617554000</v>
      </c>
      <c r="N474" s="2">
        <v>4642000000</v>
      </c>
      <c r="O474" s="2">
        <v>11329210000</v>
      </c>
      <c r="P474" s="2">
        <v>61037000000</v>
      </c>
      <c r="Q474" s="2">
        <v>20992919000</v>
      </c>
      <c r="R474" s="2">
        <v>23113400000</v>
      </c>
      <c r="S474" s="2">
        <f t="shared" si="14"/>
        <v>8.0000000000000071E-2</v>
      </c>
      <c r="T474" s="2">
        <f t="shared" si="15"/>
        <v>35000033800</v>
      </c>
    </row>
    <row r="475" spans="1:20" x14ac:dyDescent="0.3">
      <c r="A475" s="1">
        <v>42061</v>
      </c>
      <c r="B475" t="s">
        <v>406</v>
      </c>
      <c r="C475" t="s">
        <v>18</v>
      </c>
      <c r="D475" t="s">
        <v>68</v>
      </c>
      <c r="E475">
        <v>1.78</v>
      </c>
      <c r="F475">
        <v>1.8340000000000001</v>
      </c>
      <c r="G475">
        <v>1.71</v>
      </c>
      <c r="H475">
        <v>2.37</v>
      </c>
      <c r="I475" s="2">
        <v>0</v>
      </c>
      <c r="J475" s="2">
        <v>68677965000</v>
      </c>
      <c r="K475" s="2">
        <v>28990292200</v>
      </c>
      <c r="L475" s="2">
        <v>9730200</v>
      </c>
      <c r="M475" s="2">
        <v>3054530000</v>
      </c>
      <c r="N475" s="2">
        <v>4761000000</v>
      </c>
      <c r="O475" s="2">
        <v>10768791200</v>
      </c>
      <c r="P475" s="2">
        <v>48003000000</v>
      </c>
      <c r="Q475" s="2">
        <v>15166971000</v>
      </c>
      <c r="R475" s="2">
        <v>15913965000</v>
      </c>
      <c r="S475" s="2">
        <f t="shared" si="14"/>
        <v>0.12400000000000011</v>
      </c>
      <c r="T475" s="2">
        <f t="shared" si="15"/>
        <v>29000022400</v>
      </c>
    </row>
    <row r="476" spans="1:20" x14ac:dyDescent="0.3">
      <c r="A476" s="1">
        <v>42073</v>
      </c>
      <c r="B476" t="s">
        <v>407</v>
      </c>
      <c r="C476" t="s">
        <v>18</v>
      </c>
      <c r="D476" t="s">
        <v>52</v>
      </c>
      <c r="E476">
        <v>1.08</v>
      </c>
      <c r="F476">
        <v>1.1040000000000001</v>
      </c>
      <c r="G476">
        <v>0.9</v>
      </c>
      <c r="H476">
        <v>3.33</v>
      </c>
      <c r="I476" s="2">
        <v>0</v>
      </c>
      <c r="J476" s="2">
        <v>79727575000</v>
      </c>
      <c r="K476" s="2">
        <v>23812015000</v>
      </c>
      <c r="L476" s="2">
        <v>88021900</v>
      </c>
      <c r="M476" s="2">
        <v>1915000000</v>
      </c>
      <c r="N476" s="2">
        <v>4440000000</v>
      </c>
      <c r="O476" s="2">
        <v>9651960000</v>
      </c>
      <c r="P476" s="2">
        <v>60455000000</v>
      </c>
      <c r="Q476" s="2">
        <v>12245055000</v>
      </c>
      <c r="R476" s="2">
        <v>14832575000</v>
      </c>
      <c r="S476" s="2">
        <f t="shared" si="14"/>
        <v>0.20400000000000007</v>
      </c>
      <c r="T476" s="2">
        <f t="shared" si="15"/>
        <v>23900036900</v>
      </c>
    </row>
    <row r="477" spans="1:20" x14ac:dyDescent="0.3">
      <c r="A477" s="1">
        <v>42074</v>
      </c>
      <c r="B477" t="s">
        <v>402</v>
      </c>
      <c r="C477" t="s">
        <v>18</v>
      </c>
      <c r="D477" t="s">
        <v>29</v>
      </c>
      <c r="E477">
        <v>2.105</v>
      </c>
      <c r="F477">
        <v>2.1389999999999998</v>
      </c>
      <c r="G477">
        <v>1.99</v>
      </c>
      <c r="H477">
        <v>2.65</v>
      </c>
      <c r="I477" s="2">
        <v>0</v>
      </c>
      <c r="J477" s="2">
        <v>55554050000</v>
      </c>
      <c r="K477" s="2">
        <v>20977824800</v>
      </c>
      <c r="L477" s="2">
        <v>22250300</v>
      </c>
      <c r="M477" s="2">
        <v>2139200000</v>
      </c>
      <c r="N477" s="2">
        <v>3609700000</v>
      </c>
      <c r="O477" s="2">
        <v>6542770000</v>
      </c>
      <c r="P477" s="2">
        <v>36543000000</v>
      </c>
      <c r="Q477" s="2">
        <v>12295854800</v>
      </c>
      <c r="R477" s="2">
        <v>15401350000</v>
      </c>
      <c r="S477" s="2">
        <f t="shared" si="14"/>
        <v>0.1489999999999998</v>
      </c>
      <c r="T477" s="2">
        <f t="shared" si="15"/>
        <v>21000075100</v>
      </c>
    </row>
    <row r="478" spans="1:20" x14ac:dyDescent="0.3">
      <c r="A478" s="1">
        <v>42075</v>
      </c>
      <c r="B478" t="s">
        <v>401</v>
      </c>
      <c r="C478" t="s">
        <v>23</v>
      </c>
      <c r="D478" t="s">
        <v>72</v>
      </c>
      <c r="E478">
        <v>2.6219999999999999</v>
      </c>
      <c r="F478">
        <v>2.681</v>
      </c>
      <c r="G478">
        <v>2.5099999999999998</v>
      </c>
      <c r="H478">
        <v>2.1800000000000002</v>
      </c>
      <c r="I478" s="2">
        <v>0</v>
      </c>
      <c r="J478" s="2">
        <v>28294515000</v>
      </c>
      <c r="K478" s="2">
        <v>12988700000</v>
      </c>
      <c r="L478" s="2">
        <v>11301400</v>
      </c>
      <c r="M478" s="2">
        <v>1501918500</v>
      </c>
      <c r="N478" s="2">
        <v>2249000000</v>
      </c>
      <c r="O478" s="2">
        <v>4748500000</v>
      </c>
      <c r="P478" s="2">
        <v>19059500000</v>
      </c>
      <c r="Q478" s="2">
        <v>6738281500</v>
      </c>
      <c r="R478" s="2">
        <v>6986015000</v>
      </c>
      <c r="S478" s="2">
        <f t="shared" si="14"/>
        <v>0.17100000000000026</v>
      </c>
      <c r="T478" s="2">
        <f t="shared" si="15"/>
        <v>13000001400</v>
      </c>
    </row>
    <row r="479" spans="1:20" x14ac:dyDescent="0.3">
      <c r="A479" s="1">
        <v>42087</v>
      </c>
      <c r="B479" t="s">
        <v>410</v>
      </c>
      <c r="C479" t="s">
        <v>18</v>
      </c>
      <c r="D479" t="s">
        <v>21</v>
      </c>
      <c r="E479">
        <v>0.56000000000000005</v>
      </c>
      <c r="F479">
        <v>0.59799999999999998</v>
      </c>
      <c r="G479">
        <v>0.5</v>
      </c>
      <c r="H479">
        <v>3.46</v>
      </c>
      <c r="I479" s="2">
        <v>0</v>
      </c>
      <c r="J479" s="2">
        <v>89616150000</v>
      </c>
      <c r="K479" s="2">
        <v>25743302500</v>
      </c>
      <c r="L479" s="2">
        <v>156705100</v>
      </c>
      <c r="M479" s="2">
        <v>4712822500</v>
      </c>
      <c r="N479" s="2">
        <v>8090000000</v>
      </c>
      <c r="O479" s="2">
        <v>9265000000</v>
      </c>
      <c r="P479" s="2">
        <v>67615000000</v>
      </c>
      <c r="Q479" s="2">
        <v>11765480000</v>
      </c>
      <c r="R479" s="2">
        <v>13911150000</v>
      </c>
      <c r="S479" s="2">
        <f t="shared" si="14"/>
        <v>9.7999999999999976E-2</v>
      </c>
      <c r="T479" s="2">
        <f t="shared" si="15"/>
        <v>25900007600</v>
      </c>
    </row>
    <row r="480" spans="1:20" x14ac:dyDescent="0.3">
      <c r="A480" s="1">
        <v>42088</v>
      </c>
      <c r="B480" t="s">
        <v>409</v>
      </c>
      <c r="C480" t="s">
        <v>18</v>
      </c>
      <c r="D480" t="s">
        <v>19</v>
      </c>
      <c r="E480">
        <v>1.3380000000000001</v>
      </c>
      <c r="F480">
        <v>1.387</v>
      </c>
      <c r="G480">
        <v>1.27</v>
      </c>
      <c r="H480">
        <v>2.35</v>
      </c>
      <c r="I480" s="2">
        <v>0</v>
      </c>
      <c r="J480" s="2">
        <v>82005900000</v>
      </c>
      <c r="K480" s="2">
        <v>34864745000</v>
      </c>
      <c r="L480" s="2">
        <v>35287500</v>
      </c>
      <c r="M480" s="2">
        <v>1647000000</v>
      </c>
      <c r="N480" s="2">
        <v>3947000000</v>
      </c>
      <c r="O480" s="2">
        <v>13801845000</v>
      </c>
      <c r="P480" s="2">
        <v>58083000000</v>
      </c>
      <c r="Q480" s="2">
        <v>19415900000</v>
      </c>
      <c r="R480" s="2">
        <v>19975900000</v>
      </c>
      <c r="S480" s="2">
        <f t="shared" si="14"/>
        <v>0.11699999999999999</v>
      </c>
      <c r="T480" s="2">
        <f t="shared" si="15"/>
        <v>34900032500</v>
      </c>
    </row>
    <row r="481" spans="1:20" x14ac:dyDescent="0.3">
      <c r="A481" s="1">
        <v>42089</v>
      </c>
      <c r="B481" t="s">
        <v>408</v>
      </c>
      <c r="C481" t="s">
        <v>18</v>
      </c>
      <c r="D481" t="s">
        <v>68</v>
      </c>
      <c r="E481">
        <v>1.7350000000000001</v>
      </c>
      <c r="F481">
        <v>1.792</v>
      </c>
      <c r="G481">
        <v>1.65</v>
      </c>
      <c r="H481">
        <v>2.3199999999999998</v>
      </c>
      <c r="I481" s="2">
        <v>0</v>
      </c>
      <c r="J481" s="2">
        <v>67183798000</v>
      </c>
      <c r="K481" s="2">
        <v>28987122000</v>
      </c>
      <c r="L481" s="2">
        <v>12880000</v>
      </c>
      <c r="M481" s="2">
        <v>3564000000</v>
      </c>
      <c r="N481" s="2">
        <v>5199000000</v>
      </c>
      <c r="O481" s="2">
        <v>10780324000</v>
      </c>
      <c r="P481" s="2">
        <v>47227000000</v>
      </c>
      <c r="Q481" s="2">
        <v>14642798000</v>
      </c>
      <c r="R481" s="2">
        <v>14757798000</v>
      </c>
      <c r="S481" s="2">
        <f t="shared" si="14"/>
        <v>0.14200000000000013</v>
      </c>
      <c r="T481" s="2">
        <f t="shared" si="15"/>
        <v>29000002000</v>
      </c>
    </row>
    <row r="482" spans="1:20" x14ac:dyDescent="0.3">
      <c r="A482" s="1">
        <v>42101</v>
      </c>
      <c r="B482" t="s">
        <v>411</v>
      </c>
      <c r="C482" t="s">
        <v>18</v>
      </c>
      <c r="D482" t="s">
        <v>52</v>
      </c>
      <c r="E482">
        <v>0.83499999999999996</v>
      </c>
      <c r="F482">
        <v>0.86499999999999999</v>
      </c>
      <c r="G482">
        <v>0.7</v>
      </c>
      <c r="H482">
        <v>3.25</v>
      </c>
      <c r="I482" s="2">
        <v>0</v>
      </c>
      <c r="J482" s="2">
        <v>77847564000</v>
      </c>
      <c r="K482" s="2">
        <v>23787644000</v>
      </c>
      <c r="L482" s="2">
        <v>62362600</v>
      </c>
      <c r="M482" s="2">
        <v>2632000000</v>
      </c>
      <c r="N482" s="2">
        <v>5647000000</v>
      </c>
      <c r="O482" s="2">
        <v>9399360000</v>
      </c>
      <c r="P482" s="2">
        <v>59906000000</v>
      </c>
      <c r="Q482" s="2">
        <v>11756284000</v>
      </c>
      <c r="R482" s="2">
        <v>12294564000</v>
      </c>
      <c r="S482" s="2">
        <f t="shared" si="14"/>
        <v>0.16500000000000004</v>
      </c>
      <c r="T482" s="2">
        <f t="shared" si="15"/>
        <v>23850006600</v>
      </c>
    </row>
    <row r="483" spans="1:20" x14ac:dyDescent="0.3">
      <c r="A483" s="1">
        <v>42102</v>
      </c>
      <c r="B483" t="s">
        <v>402</v>
      </c>
      <c r="C483" t="s">
        <v>18</v>
      </c>
      <c r="D483" t="s">
        <v>59</v>
      </c>
      <c r="E483">
        <v>1.8879999999999999</v>
      </c>
      <c r="F483">
        <v>1.925</v>
      </c>
      <c r="G483">
        <v>1.84</v>
      </c>
      <c r="H483">
        <v>2.62</v>
      </c>
      <c r="I483" s="2">
        <v>0</v>
      </c>
      <c r="J483" s="2">
        <v>54907297000</v>
      </c>
      <c r="K483" s="2">
        <v>20987829000</v>
      </c>
      <c r="L483" s="2">
        <v>12184500</v>
      </c>
      <c r="M483" s="2">
        <v>1951567000</v>
      </c>
      <c r="N483" s="2">
        <v>3396567000</v>
      </c>
      <c r="O483" s="2">
        <v>6767432000</v>
      </c>
      <c r="P483" s="2">
        <v>38590000000</v>
      </c>
      <c r="Q483" s="2">
        <v>12268830000</v>
      </c>
      <c r="R483" s="2">
        <v>12920730000</v>
      </c>
      <c r="S483" s="2">
        <f t="shared" si="14"/>
        <v>8.4999999999999964E-2</v>
      </c>
      <c r="T483" s="2">
        <f t="shared" si="15"/>
        <v>21000013500</v>
      </c>
    </row>
    <row r="484" spans="1:20" x14ac:dyDescent="0.3">
      <c r="A484" s="1">
        <v>42103</v>
      </c>
      <c r="B484" t="s">
        <v>401</v>
      </c>
      <c r="C484" t="s">
        <v>23</v>
      </c>
      <c r="D484" t="s">
        <v>91</v>
      </c>
      <c r="E484">
        <v>2.5289999999999999</v>
      </c>
      <c r="F484">
        <v>2.597</v>
      </c>
      <c r="G484">
        <v>2.4500000000000002</v>
      </c>
      <c r="H484">
        <v>2.1800000000000002</v>
      </c>
      <c r="I484" s="2">
        <v>0</v>
      </c>
      <c r="J484" s="2">
        <v>28329707000</v>
      </c>
      <c r="K484" s="2">
        <v>12991787000</v>
      </c>
      <c r="L484" s="2">
        <v>8225600</v>
      </c>
      <c r="M484" s="2">
        <v>906000000</v>
      </c>
      <c r="N484" s="2">
        <v>1477000000</v>
      </c>
      <c r="O484" s="2">
        <v>5426360000</v>
      </c>
      <c r="P484" s="2">
        <v>19946000000</v>
      </c>
      <c r="Q484" s="2">
        <v>6659427000</v>
      </c>
      <c r="R484" s="2">
        <v>6906707000</v>
      </c>
      <c r="S484" s="2">
        <f t="shared" si="14"/>
        <v>0.1469999999999998</v>
      </c>
      <c r="T484" s="2">
        <f t="shared" si="15"/>
        <v>13000012600</v>
      </c>
    </row>
    <row r="485" spans="1:20" x14ac:dyDescent="0.3">
      <c r="A485" s="1">
        <v>42121</v>
      </c>
      <c r="B485" t="s">
        <v>414</v>
      </c>
      <c r="C485" t="s">
        <v>18</v>
      </c>
      <c r="D485" t="s">
        <v>21</v>
      </c>
      <c r="E485">
        <v>0.505</v>
      </c>
      <c r="F485">
        <v>0.54</v>
      </c>
      <c r="G485">
        <v>0.45</v>
      </c>
      <c r="H485">
        <v>3.3</v>
      </c>
      <c r="I485" s="2">
        <v>95109300</v>
      </c>
      <c r="J485" s="2">
        <v>85536150000</v>
      </c>
      <c r="K485" s="2">
        <v>25733048200</v>
      </c>
      <c r="L485" s="2">
        <v>167025600</v>
      </c>
      <c r="M485" s="2">
        <v>3759000000</v>
      </c>
      <c r="N485" s="2">
        <v>7541000000</v>
      </c>
      <c r="O485" s="2">
        <v>12171898200</v>
      </c>
      <c r="P485" s="2">
        <v>67693000000</v>
      </c>
      <c r="Q485" s="2">
        <v>9802150000</v>
      </c>
      <c r="R485" s="2">
        <v>10302150000</v>
      </c>
      <c r="S485" s="2">
        <f t="shared" si="14"/>
        <v>9.0000000000000024E-2</v>
      </c>
      <c r="T485" s="2">
        <f t="shared" si="15"/>
        <v>25995183100</v>
      </c>
    </row>
    <row r="486" spans="1:20" x14ac:dyDescent="0.3">
      <c r="A486" s="1">
        <v>42122</v>
      </c>
      <c r="B486" t="s">
        <v>413</v>
      </c>
      <c r="C486" t="s">
        <v>18</v>
      </c>
      <c r="D486" t="s">
        <v>19</v>
      </c>
      <c r="E486">
        <v>1.3480000000000001</v>
      </c>
      <c r="F486">
        <v>1.38</v>
      </c>
      <c r="G486">
        <v>1.29</v>
      </c>
      <c r="H486">
        <v>2.56</v>
      </c>
      <c r="I486" s="2">
        <v>128031700</v>
      </c>
      <c r="J486" s="2">
        <v>89407200000</v>
      </c>
      <c r="K486" s="2">
        <v>34964631500</v>
      </c>
      <c r="L486" s="2">
        <v>35434200</v>
      </c>
      <c r="M486" s="2">
        <v>1949000000</v>
      </c>
      <c r="N486" s="2">
        <v>6110000000</v>
      </c>
      <c r="O486" s="2">
        <v>11617699500</v>
      </c>
      <c r="P486" s="2">
        <v>59912000000</v>
      </c>
      <c r="Q486" s="2">
        <v>21397932000</v>
      </c>
      <c r="R486" s="2">
        <v>23385200000</v>
      </c>
      <c r="S486" s="2">
        <f t="shared" si="14"/>
        <v>8.9999999999999858E-2</v>
      </c>
      <c r="T486" s="2">
        <f t="shared" si="15"/>
        <v>35128097400</v>
      </c>
    </row>
    <row r="487" spans="1:20" x14ac:dyDescent="0.3">
      <c r="A487" s="1">
        <v>42123</v>
      </c>
      <c r="B487" t="s">
        <v>412</v>
      </c>
      <c r="C487" t="s">
        <v>18</v>
      </c>
      <c r="D487" t="s">
        <v>68</v>
      </c>
      <c r="E487">
        <v>1.78</v>
      </c>
      <c r="F487">
        <v>1.82</v>
      </c>
      <c r="G487">
        <v>1.7250000000000001</v>
      </c>
      <c r="H487">
        <v>2.44</v>
      </c>
      <c r="I487" s="2">
        <v>106083400</v>
      </c>
      <c r="J487" s="2">
        <v>70601024000</v>
      </c>
      <c r="K487" s="2">
        <v>28982414000</v>
      </c>
      <c r="L487" s="2">
        <v>17586300</v>
      </c>
      <c r="M487" s="2">
        <v>3721000000</v>
      </c>
      <c r="N487" s="2">
        <v>5461000000</v>
      </c>
      <c r="O487" s="2">
        <v>9578390000</v>
      </c>
      <c r="P487" s="2">
        <v>48668000000</v>
      </c>
      <c r="Q487" s="2">
        <v>15683024000</v>
      </c>
      <c r="R487" s="2">
        <v>16472024000</v>
      </c>
      <c r="S487" s="2">
        <f t="shared" si="14"/>
        <v>9.4999999999999973E-2</v>
      </c>
      <c r="T487" s="2">
        <f t="shared" si="15"/>
        <v>29106083700</v>
      </c>
    </row>
    <row r="488" spans="1:20" x14ac:dyDescent="0.3">
      <c r="A488" s="1">
        <v>42136</v>
      </c>
      <c r="B488" t="s">
        <v>416</v>
      </c>
      <c r="C488" t="s">
        <v>18</v>
      </c>
      <c r="D488" t="s">
        <v>52</v>
      </c>
      <c r="E488">
        <v>0.96899999999999997</v>
      </c>
      <c r="F488">
        <v>1</v>
      </c>
      <c r="G488">
        <v>0.8</v>
      </c>
      <c r="H488">
        <v>3.34</v>
      </c>
      <c r="I488" s="2">
        <v>542818700</v>
      </c>
      <c r="J488" s="2">
        <v>79878825000</v>
      </c>
      <c r="K488" s="2">
        <v>23779044500</v>
      </c>
      <c r="L488" s="2">
        <v>71096400</v>
      </c>
      <c r="M488" s="2">
        <v>2759202500</v>
      </c>
      <c r="N488" s="2">
        <v>5577025000</v>
      </c>
      <c r="O488" s="2">
        <v>8488042000</v>
      </c>
      <c r="P488" s="2">
        <v>60561000000</v>
      </c>
      <c r="Q488" s="2">
        <v>12531800000</v>
      </c>
      <c r="R488" s="2">
        <v>13740800000</v>
      </c>
      <c r="S488" s="2">
        <f t="shared" si="14"/>
        <v>0.19999999999999996</v>
      </c>
      <c r="T488" s="2">
        <f t="shared" si="15"/>
        <v>24392959600</v>
      </c>
    </row>
    <row r="489" spans="1:20" x14ac:dyDescent="0.3">
      <c r="A489" s="1">
        <v>42137</v>
      </c>
      <c r="B489" t="s">
        <v>415</v>
      </c>
      <c r="C489" t="s">
        <v>18</v>
      </c>
      <c r="D489" t="s">
        <v>26</v>
      </c>
      <c r="E489">
        <v>2.2200000000000002</v>
      </c>
      <c r="F489">
        <v>2.2370000000000001</v>
      </c>
      <c r="G489">
        <v>2.19</v>
      </c>
      <c r="H489">
        <v>2.72</v>
      </c>
      <c r="I489" s="2">
        <v>542818600</v>
      </c>
      <c r="J489" s="2">
        <v>65248625000</v>
      </c>
      <c r="K489" s="2">
        <v>23950105000</v>
      </c>
      <c r="L489" s="2">
        <v>46264900</v>
      </c>
      <c r="M489" s="2">
        <v>5004000000</v>
      </c>
      <c r="N489" s="2">
        <v>7393000000</v>
      </c>
      <c r="O489" s="2">
        <v>4535000000</v>
      </c>
      <c r="P489" s="2">
        <v>39924000000</v>
      </c>
      <c r="Q489" s="2">
        <v>14411105000</v>
      </c>
      <c r="R489" s="2">
        <v>17931625000</v>
      </c>
      <c r="S489" s="2">
        <f t="shared" si="14"/>
        <v>4.7000000000000153E-2</v>
      </c>
      <c r="T489" s="2">
        <f t="shared" si="15"/>
        <v>24539188500</v>
      </c>
    </row>
    <row r="490" spans="1:20" x14ac:dyDescent="0.3">
      <c r="A490" s="1">
        <v>42138</v>
      </c>
      <c r="B490" t="s">
        <v>417</v>
      </c>
      <c r="C490" t="s">
        <v>23</v>
      </c>
      <c r="D490" t="s">
        <v>65</v>
      </c>
      <c r="E490">
        <v>2.98</v>
      </c>
      <c r="F490">
        <v>3.044</v>
      </c>
      <c r="G490">
        <v>2.9</v>
      </c>
      <c r="H490">
        <v>2.2000000000000002</v>
      </c>
      <c r="I490" s="2">
        <v>361879100</v>
      </c>
      <c r="J490" s="2">
        <v>35169250000</v>
      </c>
      <c r="K490" s="2">
        <v>15980095000</v>
      </c>
      <c r="L490" s="2">
        <v>13923700</v>
      </c>
      <c r="M490" s="2">
        <v>1780000000</v>
      </c>
      <c r="N490" s="2">
        <v>2735000000</v>
      </c>
      <c r="O490" s="2">
        <v>6079270000</v>
      </c>
      <c r="P490" s="2">
        <v>23411000000</v>
      </c>
      <c r="Q490" s="2">
        <v>8120825000</v>
      </c>
      <c r="R490" s="2">
        <v>9023250000</v>
      </c>
      <c r="S490" s="2">
        <f t="shared" si="14"/>
        <v>0.14400000000000013</v>
      </c>
      <c r="T490" s="2">
        <f t="shared" si="15"/>
        <v>16355897800</v>
      </c>
    </row>
    <row r="491" spans="1:20" x14ac:dyDescent="0.3">
      <c r="A491" s="1">
        <v>42150</v>
      </c>
      <c r="B491" t="s">
        <v>253</v>
      </c>
      <c r="C491" t="s">
        <v>18</v>
      </c>
      <c r="D491" t="s">
        <v>21</v>
      </c>
      <c r="E491">
        <v>0.62</v>
      </c>
      <c r="F491">
        <v>0.64800000000000002</v>
      </c>
      <c r="G491">
        <v>0.59</v>
      </c>
      <c r="H491">
        <v>3.4</v>
      </c>
      <c r="I491" s="2">
        <v>0</v>
      </c>
      <c r="J491" s="2">
        <v>88061345000</v>
      </c>
      <c r="K491" s="2">
        <v>25768857500</v>
      </c>
      <c r="L491" s="2">
        <v>131205200</v>
      </c>
      <c r="M491" s="2">
        <v>4441537500</v>
      </c>
      <c r="N491" s="2">
        <v>8167000000</v>
      </c>
      <c r="O491" s="2">
        <v>10434975000</v>
      </c>
      <c r="P491" s="2">
        <v>63092000000</v>
      </c>
      <c r="Q491" s="2">
        <v>10892345000</v>
      </c>
      <c r="R491" s="2">
        <v>16802345000</v>
      </c>
      <c r="S491" s="2">
        <f t="shared" si="14"/>
        <v>5.8000000000000052E-2</v>
      </c>
      <c r="T491" s="2">
        <f t="shared" si="15"/>
        <v>25900062700</v>
      </c>
    </row>
    <row r="492" spans="1:20" x14ac:dyDescent="0.3">
      <c r="A492" s="1">
        <v>42151</v>
      </c>
      <c r="B492" t="s">
        <v>419</v>
      </c>
      <c r="C492" t="s">
        <v>18</v>
      </c>
      <c r="D492" t="s">
        <v>19</v>
      </c>
      <c r="E492">
        <v>1.52</v>
      </c>
      <c r="F492">
        <v>1.56</v>
      </c>
      <c r="G492">
        <v>1.4410000000000001</v>
      </c>
      <c r="H492">
        <v>2.46</v>
      </c>
      <c r="I492" s="2">
        <v>0</v>
      </c>
      <c r="J492" s="2">
        <v>85886000000</v>
      </c>
      <c r="K492" s="2">
        <v>34846340000</v>
      </c>
      <c r="L492" s="2">
        <v>53686300</v>
      </c>
      <c r="M492" s="2">
        <v>3471000000</v>
      </c>
      <c r="N492" s="2">
        <v>6814000000</v>
      </c>
      <c r="O492" s="2">
        <v>10996920000</v>
      </c>
      <c r="P492" s="2">
        <v>57523000000</v>
      </c>
      <c r="Q492" s="2">
        <v>20378420000</v>
      </c>
      <c r="R492" s="2">
        <v>21549000000</v>
      </c>
      <c r="S492" s="2">
        <f t="shared" si="14"/>
        <v>0.11899999999999999</v>
      </c>
      <c r="T492" s="2">
        <f t="shared" si="15"/>
        <v>34900026300</v>
      </c>
    </row>
    <row r="493" spans="1:20" x14ac:dyDescent="0.3">
      <c r="A493" s="1">
        <v>42152</v>
      </c>
      <c r="B493" t="s">
        <v>418</v>
      </c>
      <c r="C493" t="s">
        <v>18</v>
      </c>
      <c r="D493" t="s">
        <v>68</v>
      </c>
      <c r="E493">
        <v>1.8580000000000001</v>
      </c>
      <c r="F493">
        <v>1.8879999999999999</v>
      </c>
      <c r="G493">
        <v>1.79</v>
      </c>
      <c r="H493">
        <v>2.4900000000000002</v>
      </c>
      <c r="I493" s="2">
        <v>0</v>
      </c>
      <c r="J493" s="2">
        <v>72278850000</v>
      </c>
      <c r="K493" s="2">
        <v>28985144500</v>
      </c>
      <c r="L493" s="2">
        <v>14876600</v>
      </c>
      <c r="M493" s="2">
        <v>3475374500</v>
      </c>
      <c r="N493" s="2">
        <v>6349000000</v>
      </c>
      <c r="O493" s="2">
        <v>9908455000</v>
      </c>
      <c r="P493" s="2">
        <v>48734900000</v>
      </c>
      <c r="Q493" s="2">
        <v>15601315000</v>
      </c>
      <c r="R493" s="2">
        <v>17194950000</v>
      </c>
      <c r="S493" s="2">
        <f t="shared" si="14"/>
        <v>9.7999999999999865E-2</v>
      </c>
      <c r="T493" s="2">
        <f t="shared" si="15"/>
        <v>29000021100</v>
      </c>
    </row>
    <row r="494" spans="1:20" x14ac:dyDescent="0.3">
      <c r="A494" s="1">
        <v>42164</v>
      </c>
      <c r="B494" t="s">
        <v>420</v>
      </c>
      <c r="C494" t="s">
        <v>18</v>
      </c>
      <c r="D494" t="s">
        <v>52</v>
      </c>
      <c r="E494">
        <v>1.0900000000000001</v>
      </c>
      <c r="F494">
        <v>1.125</v>
      </c>
      <c r="G494">
        <v>0.9</v>
      </c>
      <c r="H494">
        <v>3.33</v>
      </c>
      <c r="I494" s="2">
        <v>0</v>
      </c>
      <c r="J494" s="2">
        <v>79518900000</v>
      </c>
      <c r="K494" s="2">
        <v>23707395000</v>
      </c>
      <c r="L494" s="2">
        <v>92785400</v>
      </c>
      <c r="M494" s="2">
        <v>2291535000</v>
      </c>
      <c r="N494" s="2">
        <v>7065000000</v>
      </c>
      <c r="O494" s="2">
        <v>9395900000</v>
      </c>
      <c r="P494" s="2">
        <v>59720000000</v>
      </c>
      <c r="Q494" s="2">
        <v>12019960000</v>
      </c>
      <c r="R494" s="2">
        <v>12733900000</v>
      </c>
      <c r="S494" s="2">
        <f t="shared" si="14"/>
        <v>0.22499999999999998</v>
      </c>
      <c r="T494" s="2">
        <f t="shared" si="15"/>
        <v>23800180400</v>
      </c>
    </row>
    <row r="495" spans="1:20" x14ac:dyDescent="0.3">
      <c r="A495" s="1">
        <v>42165</v>
      </c>
      <c r="B495" t="s">
        <v>415</v>
      </c>
      <c r="C495" t="s">
        <v>18</v>
      </c>
      <c r="D495" t="s">
        <v>29</v>
      </c>
      <c r="E495">
        <v>2.4340000000000002</v>
      </c>
      <c r="F495">
        <v>2.4609999999999999</v>
      </c>
      <c r="G495">
        <v>2.3959999999999999</v>
      </c>
      <c r="H495">
        <v>2.74</v>
      </c>
      <c r="I495" s="2">
        <v>0</v>
      </c>
      <c r="J495" s="2">
        <v>57467670000</v>
      </c>
      <c r="K495" s="2">
        <v>20976310000</v>
      </c>
      <c r="L495" s="2">
        <v>23703200</v>
      </c>
      <c r="M495" s="2">
        <v>2548000000</v>
      </c>
      <c r="N495" s="2">
        <v>4643000000</v>
      </c>
      <c r="O495" s="2">
        <v>6285790000</v>
      </c>
      <c r="P495" s="2">
        <v>36936000000</v>
      </c>
      <c r="Q495" s="2">
        <v>12142520000</v>
      </c>
      <c r="R495" s="2">
        <v>15888670000</v>
      </c>
      <c r="S495" s="2">
        <f t="shared" si="14"/>
        <v>6.4999999999999947E-2</v>
      </c>
      <c r="T495" s="2">
        <f t="shared" si="15"/>
        <v>21000013200</v>
      </c>
    </row>
    <row r="496" spans="1:20" x14ac:dyDescent="0.3">
      <c r="A496" s="1">
        <v>42166</v>
      </c>
      <c r="B496" t="s">
        <v>417</v>
      </c>
      <c r="C496" t="s">
        <v>23</v>
      </c>
      <c r="D496" t="s">
        <v>72</v>
      </c>
      <c r="E496">
        <v>3.1</v>
      </c>
      <c r="F496">
        <v>3.1379999999999999</v>
      </c>
      <c r="G496">
        <v>3</v>
      </c>
      <c r="H496">
        <v>2.54</v>
      </c>
      <c r="I496" s="2">
        <v>0</v>
      </c>
      <c r="J496" s="2">
        <v>32950910000</v>
      </c>
      <c r="K496" s="2">
        <v>12990127000</v>
      </c>
      <c r="L496" s="2">
        <v>9933100</v>
      </c>
      <c r="M496" s="2">
        <v>1870280000</v>
      </c>
      <c r="N496" s="2">
        <v>3044280000</v>
      </c>
      <c r="O496" s="2">
        <v>4364485000</v>
      </c>
      <c r="P496" s="2">
        <v>20728000000</v>
      </c>
      <c r="Q496" s="2">
        <v>6755362000</v>
      </c>
      <c r="R496" s="2">
        <v>9178630000</v>
      </c>
      <c r="S496" s="2">
        <f t="shared" si="14"/>
        <v>0.1379999999999999</v>
      </c>
      <c r="T496" s="2">
        <f t="shared" si="15"/>
        <v>13000060100</v>
      </c>
    </row>
    <row r="497" spans="1:20" x14ac:dyDescent="0.3">
      <c r="A497" s="1">
        <v>42178</v>
      </c>
      <c r="B497" t="s">
        <v>423</v>
      </c>
      <c r="C497" t="s">
        <v>18</v>
      </c>
      <c r="D497" t="s">
        <v>21</v>
      </c>
      <c r="E497">
        <v>0.66</v>
      </c>
      <c r="F497">
        <v>0.69199999999999995</v>
      </c>
      <c r="G497">
        <v>0.6</v>
      </c>
      <c r="H497">
        <v>3.28</v>
      </c>
      <c r="I497" s="2">
        <v>0</v>
      </c>
      <c r="J497" s="2">
        <v>84930580000</v>
      </c>
      <c r="K497" s="2">
        <v>25758660000</v>
      </c>
      <c r="L497" s="2">
        <v>141346500</v>
      </c>
      <c r="M497" s="2">
        <v>2613510000</v>
      </c>
      <c r="N497" s="2">
        <v>7219000000</v>
      </c>
      <c r="O497" s="2">
        <v>9593530000</v>
      </c>
      <c r="P497" s="2">
        <v>60690000000</v>
      </c>
      <c r="Q497" s="2">
        <v>13551620000</v>
      </c>
      <c r="R497" s="2">
        <v>17021580000</v>
      </c>
      <c r="S497" s="2">
        <f t="shared" si="14"/>
        <v>9.1999999999999971E-2</v>
      </c>
      <c r="T497" s="2">
        <f t="shared" si="15"/>
        <v>25900006500</v>
      </c>
    </row>
    <row r="498" spans="1:20" x14ac:dyDescent="0.3">
      <c r="A498" s="1">
        <v>42179</v>
      </c>
      <c r="B498" t="s">
        <v>422</v>
      </c>
      <c r="C498" t="s">
        <v>18</v>
      </c>
      <c r="D498" t="s">
        <v>19</v>
      </c>
      <c r="E498">
        <v>1.6679999999999999</v>
      </c>
      <c r="F498">
        <v>1.71</v>
      </c>
      <c r="G498">
        <v>1.6</v>
      </c>
      <c r="H498">
        <v>2.39</v>
      </c>
      <c r="I498" s="2">
        <v>0</v>
      </c>
      <c r="J498" s="2">
        <v>83539140000</v>
      </c>
      <c r="K498" s="2">
        <v>34846722000</v>
      </c>
      <c r="L498" s="2">
        <v>53419000</v>
      </c>
      <c r="M498" s="2">
        <v>1937310000</v>
      </c>
      <c r="N498" s="2">
        <v>6716000000</v>
      </c>
      <c r="O498" s="2">
        <v>13195585000</v>
      </c>
      <c r="P498" s="2">
        <v>56061000000</v>
      </c>
      <c r="Q498" s="2">
        <v>19713827000</v>
      </c>
      <c r="R498" s="2">
        <v>20762140000</v>
      </c>
      <c r="S498" s="2">
        <f t="shared" si="14"/>
        <v>0.10999999999999988</v>
      </c>
      <c r="T498" s="2">
        <f t="shared" si="15"/>
        <v>34900141000</v>
      </c>
    </row>
    <row r="499" spans="1:20" x14ac:dyDescent="0.3">
      <c r="A499" s="1">
        <v>42180</v>
      </c>
      <c r="B499" t="s">
        <v>421</v>
      </c>
      <c r="C499" t="s">
        <v>18</v>
      </c>
      <c r="D499" t="s">
        <v>68</v>
      </c>
      <c r="E499">
        <v>2.12</v>
      </c>
      <c r="F499">
        <v>2.153</v>
      </c>
      <c r="G499">
        <v>2.0499999999999998</v>
      </c>
      <c r="H499">
        <v>2.38</v>
      </c>
      <c r="I499" s="2">
        <v>0</v>
      </c>
      <c r="J499" s="2">
        <v>69107600000</v>
      </c>
      <c r="K499" s="2">
        <v>28985640000</v>
      </c>
      <c r="L499" s="2">
        <v>14374000</v>
      </c>
      <c r="M499" s="2">
        <v>3447000000</v>
      </c>
      <c r="N499" s="2">
        <v>5851000000</v>
      </c>
      <c r="O499" s="2">
        <v>9120434000</v>
      </c>
      <c r="P499" s="2">
        <v>45530000000</v>
      </c>
      <c r="Q499" s="2">
        <v>16418206000</v>
      </c>
      <c r="R499" s="2">
        <v>17726600000</v>
      </c>
      <c r="S499" s="2">
        <f t="shared" si="14"/>
        <v>0.1030000000000002</v>
      </c>
      <c r="T499" s="2">
        <f t="shared" si="15"/>
        <v>29000014000</v>
      </c>
    </row>
    <row r="500" spans="1:20" x14ac:dyDescent="0.3">
      <c r="A500" s="1">
        <v>42192</v>
      </c>
      <c r="B500" t="s">
        <v>424</v>
      </c>
      <c r="C500" t="s">
        <v>18</v>
      </c>
      <c r="D500" t="s">
        <v>52</v>
      </c>
      <c r="E500">
        <v>0.89</v>
      </c>
      <c r="F500">
        <v>0.93200000000000005</v>
      </c>
      <c r="G500">
        <v>0.7</v>
      </c>
      <c r="H500">
        <v>3.16</v>
      </c>
      <c r="I500" s="2">
        <v>0</v>
      </c>
      <c r="J500" s="2">
        <v>75610300000</v>
      </c>
      <c r="K500" s="2">
        <v>23860550000</v>
      </c>
      <c r="L500" s="2">
        <v>39476200</v>
      </c>
      <c r="M500" s="2">
        <v>3313000000</v>
      </c>
      <c r="N500" s="2">
        <v>6598000000</v>
      </c>
      <c r="O500" s="2">
        <v>9157030000</v>
      </c>
      <c r="P500" s="2">
        <v>56649000000</v>
      </c>
      <c r="Q500" s="2">
        <v>11390520000</v>
      </c>
      <c r="R500" s="2">
        <v>12363300000</v>
      </c>
      <c r="S500" s="2">
        <f t="shared" si="14"/>
        <v>0.2320000000000001</v>
      </c>
      <c r="T500" s="2">
        <f t="shared" si="15"/>
        <v>23900026200</v>
      </c>
    </row>
    <row r="501" spans="1:20" x14ac:dyDescent="0.3">
      <c r="A501" s="1">
        <v>42193</v>
      </c>
      <c r="B501" t="s">
        <v>415</v>
      </c>
      <c r="C501" t="s">
        <v>18</v>
      </c>
      <c r="D501" t="s">
        <v>59</v>
      </c>
      <c r="E501">
        <v>2.19</v>
      </c>
      <c r="F501">
        <v>2.2250000000000001</v>
      </c>
      <c r="G501">
        <v>2.12</v>
      </c>
      <c r="H501">
        <v>2.72</v>
      </c>
      <c r="I501" s="2">
        <v>0</v>
      </c>
      <c r="J501" s="2">
        <v>57103450000</v>
      </c>
      <c r="K501" s="2">
        <v>20962212500</v>
      </c>
      <c r="L501" s="2">
        <v>37794500</v>
      </c>
      <c r="M501" s="2">
        <v>2533000000</v>
      </c>
      <c r="N501" s="2">
        <v>4495000000</v>
      </c>
      <c r="O501" s="2">
        <v>6245625000</v>
      </c>
      <c r="P501" s="2">
        <v>38728000000</v>
      </c>
      <c r="Q501" s="2">
        <v>12183587500</v>
      </c>
      <c r="R501" s="2">
        <v>13880450000</v>
      </c>
      <c r="S501" s="2">
        <f t="shared" si="14"/>
        <v>0.10499999999999998</v>
      </c>
      <c r="T501" s="2">
        <f t="shared" si="15"/>
        <v>21000007000</v>
      </c>
    </row>
    <row r="502" spans="1:20" x14ac:dyDescent="0.3">
      <c r="A502" s="1">
        <v>42194</v>
      </c>
      <c r="B502" t="s">
        <v>417</v>
      </c>
      <c r="C502" t="s">
        <v>23</v>
      </c>
      <c r="D502" t="s">
        <v>91</v>
      </c>
      <c r="E502">
        <v>3.0230000000000001</v>
      </c>
      <c r="F502">
        <v>3.0840000000000001</v>
      </c>
      <c r="G502">
        <v>2.9340000000000002</v>
      </c>
      <c r="H502">
        <v>2.23</v>
      </c>
      <c r="I502" s="2">
        <v>0</v>
      </c>
      <c r="J502" s="2">
        <v>28993300000</v>
      </c>
      <c r="K502" s="2">
        <v>12990135000</v>
      </c>
      <c r="L502" s="2">
        <v>9866200</v>
      </c>
      <c r="M502" s="2">
        <v>1055000000</v>
      </c>
      <c r="N502" s="2">
        <v>2209000000</v>
      </c>
      <c r="O502" s="2">
        <v>5300000000</v>
      </c>
      <c r="P502" s="2">
        <v>19630000000</v>
      </c>
      <c r="Q502" s="2">
        <v>6635135000</v>
      </c>
      <c r="R502" s="2">
        <v>7154300000</v>
      </c>
      <c r="S502" s="2">
        <f t="shared" si="14"/>
        <v>0.14999999999999991</v>
      </c>
      <c r="T502" s="2">
        <f t="shared" si="15"/>
        <v>13000001200</v>
      </c>
    </row>
    <row r="503" spans="1:20" x14ac:dyDescent="0.3">
      <c r="A503" s="1">
        <v>42213</v>
      </c>
      <c r="B503" t="s">
        <v>427</v>
      </c>
      <c r="C503" t="s">
        <v>18</v>
      </c>
      <c r="D503" t="s">
        <v>21</v>
      </c>
      <c r="E503">
        <v>0.65100000000000002</v>
      </c>
      <c r="F503">
        <v>0.69</v>
      </c>
      <c r="G503">
        <v>0.59299999999999997</v>
      </c>
      <c r="H503">
        <v>3.42</v>
      </c>
      <c r="I503" s="2">
        <v>0</v>
      </c>
      <c r="J503" s="2">
        <v>88607000000</v>
      </c>
      <c r="K503" s="2">
        <v>25731815000</v>
      </c>
      <c r="L503" s="2">
        <v>168249100</v>
      </c>
      <c r="M503" s="2">
        <v>4600955000</v>
      </c>
      <c r="N503" s="2">
        <v>9397000000</v>
      </c>
      <c r="O503" s="2">
        <v>7141355000</v>
      </c>
      <c r="P503" s="2">
        <v>62325000000</v>
      </c>
      <c r="Q503" s="2">
        <v>13989505000</v>
      </c>
      <c r="R503" s="2">
        <v>16885000000</v>
      </c>
      <c r="S503" s="2">
        <f t="shared" si="14"/>
        <v>9.6999999999999975E-2</v>
      </c>
      <c r="T503" s="2">
        <f t="shared" si="15"/>
        <v>25900064100</v>
      </c>
    </row>
    <row r="504" spans="1:20" x14ac:dyDescent="0.3">
      <c r="A504" s="1">
        <v>42214</v>
      </c>
      <c r="B504" t="s">
        <v>426</v>
      </c>
      <c r="C504" t="s">
        <v>18</v>
      </c>
      <c r="D504" t="s">
        <v>19</v>
      </c>
      <c r="E504">
        <v>1.59</v>
      </c>
      <c r="F504">
        <v>1.625</v>
      </c>
      <c r="G504">
        <v>1.5</v>
      </c>
      <c r="H504">
        <v>2.58</v>
      </c>
      <c r="I504" s="2">
        <v>0</v>
      </c>
      <c r="J504" s="2">
        <v>90059270000</v>
      </c>
      <c r="K504" s="2">
        <v>34855273000</v>
      </c>
      <c r="L504" s="2">
        <v>44743700</v>
      </c>
      <c r="M504" s="2">
        <v>1847980000</v>
      </c>
      <c r="N504" s="2">
        <v>6556000000</v>
      </c>
      <c r="O504" s="2">
        <v>9484980000</v>
      </c>
      <c r="P504" s="2">
        <v>58162000000</v>
      </c>
      <c r="Q504" s="2">
        <v>23522313000</v>
      </c>
      <c r="R504" s="2">
        <v>25341270000</v>
      </c>
      <c r="S504" s="2">
        <f t="shared" si="14"/>
        <v>0.125</v>
      </c>
      <c r="T504" s="2">
        <f t="shared" si="15"/>
        <v>34900016700</v>
      </c>
    </row>
    <row r="505" spans="1:20" x14ac:dyDescent="0.3">
      <c r="A505" s="1">
        <v>42215</v>
      </c>
      <c r="B505" t="s">
        <v>425</v>
      </c>
      <c r="C505" t="s">
        <v>18</v>
      </c>
      <c r="D505" t="s">
        <v>68</v>
      </c>
      <c r="E505">
        <v>1.9750000000000001</v>
      </c>
      <c r="F505">
        <v>2.0209999999999999</v>
      </c>
      <c r="G505">
        <v>1.9</v>
      </c>
      <c r="H505">
        <v>2.4700000000000002</v>
      </c>
      <c r="I505" s="2">
        <v>0</v>
      </c>
      <c r="J505" s="2">
        <v>71554200000</v>
      </c>
      <c r="K505" s="2">
        <v>28986811300</v>
      </c>
      <c r="L505" s="2">
        <v>13197300</v>
      </c>
      <c r="M505" s="2">
        <v>3480000000</v>
      </c>
      <c r="N505" s="2">
        <v>5993000000</v>
      </c>
      <c r="O505" s="2">
        <v>11259837500</v>
      </c>
      <c r="P505" s="2">
        <v>50874000000</v>
      </c>
      <c r="Q505" s="2">
        <v>14246973800</v>
      </c>
      <c r="R505" s="2">
        <v>14687200000</v>
      </c>
      <c r="S505" s="2">
        <f t="shared" si="14"/>
        <v>0.121</v>
      </c>
      <c r="T505" s="2">
        <f t="shared" si="15"/>
        <v>29000008600</v>
      </c>
    </row>
    <row r="506" spans="1:20" x14ac:dyDescent="0.3">
      <c r="A506" s="1">
        <v>42227</v>
      </c>
      <c r="B506" t="s">
        <v>430</v>
      </c>
      <c r="C506" t="s">
        <v>18</v>
      </c>
      <c r="D506" t="s">
        <v>52</v>
      </c>
      <c r="E506">
        <v>0.96499999999999997</v>
      </c>
      <c r="F506">
        <v>1.0129999999999999</v>
      </c>
      <c r="G506">
        <v>0.8</v>
      </c>
      <c r="H506">
        <v>3.34</v>
      </c>
      <c r="I506" s="2">
        <v>482460400</v>
      </c>
      <c r="J506" s="2">
        <v>79938900000</v>
      </c>
      <c r="K506" s="2">
        <v>23834489000</v>
      </c>
      <c r="L506" s="2">
        <v>65514300</v>
      </c>
      <c r="M506" s="2">
        <v>1944823000</v>
      </c>
      <c r="N506" s="2">
        <v>5356000000</v>
      </c>
      <c r="O506" s="2">
        <v>9303565000</v>
      </c>
      <c r="P506" s="2">
        <v>59170000000</v>
      </c>
      <c r="Q506" s="2">
        <v>12586101000</v>
      </c>
      <c r="R506" s="2">
        <v>15412900000</v>
      </c>
      <c r="S506" s="2">
        <f t="shared" si="14"/>
        <v>0.21299999999999986</v>
      </c>
      <c r="T506" s="2">
        <f t="shared" si="15"/>
        <v>24382463700</v>
      </c>
    </row>
    <row r="507" spans="1:20" x14ac:dyDescent="0.3">
      <c r="A507" s="1">
        <v>42228</v>
      </c>
      <c r="B507" t="s">
        <v>429</v>
      </c>
      <c r="C507" t="s">
        <v>18</v>
      </c>
      <c r="D507" t="s">
        <v>26</v>
      </c>
      <c r="E507">
        <v>2.0499999999999998</v>
      </c>
      <c r="F507">
        <v>2.1150000000000002</v>
      </c>
      <c r="G507">
        <v>1.95</v>
      </c>
      <c r="H507">
        <v>2.4</v>
      </c>
      <c r="I507" s="2">
        <v>482460400</v>
      </c>
      <c r="J507" s="2">
        <v>57472200000</v>
      </c>
      <c r="K507" s="2">
        <v>23964984000</v>
      </c>
      <c r="L507" s="2">
        <v>35032600</v>
      </c>
      <c r="M507" s="2">
        <v>1394000000</v>
      </c>
      <c r="N507" s="2">
        <v>4006000000</v>
      </c>
      <c r="O507" s="2">
        <v>8159184000</v>
      </c>
      <c r="P507" s="2">
        <v>38191000000</v>
      </c>
      <c r="Q507" s="2">
        <v>14411800000</v>
      </c>
      <c r="R507" s="2">
        <v>15275200000</v>
      </c>
      <c r="S507" s="2">
        <f t="shared" si="14"/>
        <v>0.16500000000000026</v>
      </c>
      <c r="T507" s="2">
        <f t="shared" si="15"/>
        <v>24482477000</v>
      </c>
    </row>
    <row r="508" spans="1:20" x14ac:dyDescent="0.3">
      <c r="A508" s="1">
        <v>42229</v>
      </c>
      <c r="B508" t="s">
        <v>428</v>
      </c>
      <c r="C508" t="s">
        <v>23</v>
      </c>
      <c r="D508" t="s">
        <v>65</v>
      </c>
      <c r="E508">
        <v>2.81</v>
      </c>
      <c r="F508">
        <v>2.88</v>
      </c>
      <c r="G508">
        <v>2.7080000000000002</v>
      </c>
      <c r="H508">
        <v>2.2599999999999998</v>
      </c>
      <c r="I508" s="2">
        <v>321640200</v>
      </c>
      <c r="J508" s="2">
        <v>36192760000</v>
      </c>
      <c r="K508" s="2">
        <v>15991233000</v>
      </c>
      <c r="L508" s="2">
        <v>5774600</v>
      </c>
      <c r="M508" s="2">
        <v>1587000000</v>
      </c>
      <c r="N508" s="2">
        <v>3041000000</v>
      </c>
      <c r="O508" s="2">
        <v>6107735000</v>
      </c>
      <c r="P508" s="2">
        <v>24577000000</v>
      </c>
      <c r="Q508" s="2">
        <v>8296498000</v>
      </c>
      <c r="R508" s="2">
        <v>8574760000</v>
      </c>
      <c r="S508" s="2">
        <f t="shared" si="14"/>
        <v>0.17199999999999971</v>
      </c>
      <c r="T508" s="2">
        <f t="shared" si="15"/>
        <v>16318647800</v>
      </c>
    </row>
    <row r="509" spans="1:20" x14ac:dyDescent="0.3">
      <c r="A509" s="1">
        <v>42241</v>
      </c>
      <c r="B509" t="s">
        <v>267</v>
      </c>
      <c r="C509" t="s">
        <v>18</v>
      </c>
      <c r="D509" t="s">
        <v>21</v>
      </c>
      <c r="E509">
        <v>0.64</v>
      </c>
      <c r="F509">
        <v>0.66300000000000003</v>
      </c>
      <c r="G509">
        <v>0.53</v>
      </c>
      <c r="H509">
        <v>3.16</v>
      </c>
      <c r="I509" s="2">
        <v>0</v>
      </c>
      <c r="J509" s="2">
        <v>82034585000</v>
      </c>
      <c r="K509" s="2">
        <v>25762078400</v>
      </c>
      <c r="L509" s="2">
        <v>138040400</v>
      </c>
      <c r="M509" s="2">
        <v>2646765000</v>
      </c>
      <c r="N509" s="2">
        <v>7076000000</v>
      </c>
      <c r="O509" s="2">
        <v>10983958000</v>
      </c>
      <c r="P509" s="2">
        <v>61977000000</v>
      </c>
      <c r="Q509" s="2">
        <v>12131355400</v>
      </c>
      <c r="R509" s="2">
        <v>12981585000</v>
      </c>
      <c r="S509" s="2">
        <f t="shared" si="14"/>
        <v>0.13300000000000001</v>
      </c>
      <c r="T509" s="2">
        <f t="shared" si="15"/>
        <v>25900118800</v>
      </c>
    </row>
    <row r="510" spans="1:20" x14ac:dyDescent="0.3">
      <c r="A510" s="1">
        <v>42242</v>
      </c>
      <c r="B510" t="s">
        <v>432</v>
      </c>
      <c r="C510" t="s">
        <v>18</v>
      </c>
      <c r="D510" t="s">
        <v>19</v>
      </c>
      <c r="E510">
        <v>1.417</v>
      </c>
      <c r="F510">
        <v>1.4630000000000001</v>
      </c>
      <c r="G510">
        <v>1.2</v>
      </c>
      <c r="H510">
        <v>2.34</v>
      </c>
      <c r="I510" s="2">
        <v>0</v>
      </c>
      <c r="J510" s="2">
        <v>82037280000</v>
      </c>
      <c r="K510" s="2">
        <v>34963820000</v>
      </c>
      <c r="L510" s="2">
        <v>36193600</v>
      </c>
      <c r="M510" s="2">
        <v>2606000000</v>
      </c>
      <c r="N510" s="2">
        <v>6356000000</v>
      </c>
      <c r="O510" s="2">
        <v>14853540000</v>
      </c>
      <c r="P510" s="2">
        <v>56862000000</v>
      </c>
      <c r="Q510" s="2">
        <v>17504280000</v>
      </c>
      <c r="R510" s="2">
        <v>18819280000</v>
      </c>
      <c r="S510" s="2">
        <f t="shared" si="14"/>
        <v>0.26300000000000012</v>
      </c>
      <c r="T510" s="2">
        <f t="shared" si="15"/>
        <v>35000013600</v>
      </c>
    </row>
    <row r="511" spans="1:20" x14ac:dyDescent="0.3">
      <c r="A511" s="1">
        <v>42243</v>
      </c>
      <c r="B511" t="s">
        <v>431</v>
      </c>
      <c r="C511" t="s">
        <v>18</v>
      </c>
      <c r="D511" t="s">
        <v>68</v>
      </c>
      <c r="E511">
        <v>1.89</v>
      </c>
      <c r="F511">
        <v>1.93</v>
      </c>
      <c r="G511">
        <v>1.8080000000000001</v>
      </c>
      <c r="H511">
        <v>2.5299999999999998</v>
      </c>
      <c r="I511" s="2">
        <v>0</v>
      </c>
      <c r="J511" s="2">
        <v>73250835000</v>
      </c>
      <c r="K511" s="2">
        <v>28985391800</v>
      </c>
      <c r="L511" s="2">
        <v>14610400</v>
      </c>
      <c r="M511" s="2">
        <v>4102455000</v>
      </c>
      <c r="N511" s="2">
        <v>6732455000</v>
      </c>
      <c r="O511" s="2">
        <v>10146100000</v>
      </c>
      <c r="P511" s="2">
        <v>50490000000</v>
      </c>
      <c r="Q511" s="2">
        <v>14736836800</v>
      </c>
      <c r="R511" s="2">
        <v>16028380000</v>
      </c>
      <c r="S511" s="2">
        <f t="shared" si="14"/>
        <v>0.12199999999999989</v>
      </c>
      <c r="T511" s="2">
        <f t="shared" si="15"/>
        <v>29000002200</v>
      </c>
    </row>
    <row r="512" spans="1:20" x14ac:dyDescent="0.3">
      <c r="A512" s="1">
        <v>42255</v>
      </c>
      <c r="B512" t="s">
        <v>433</v>
      </c>
      <c r="C512" t="s">
        <v>18</v>
      </c>
      <c r="D512" t="s">
        <v>52</v>
      </c>
      <c r="E512">
        <v>1.0149999999999999</v>
      </c>
      <c r="F512">
        <v>1.056</v>
      </c>
      <c r="G512">
        <v>0.8</v>
      </c>
      <c r="H512">
        <v>3.23</v>
      </c>
      <c r="I512" s="2">
        <v>0</v>
      </c>
      <c r="J512" s="2">
        <v>77561200000</v>
      </c>
      <c r="K512" s="2">
        <v>23960270000</v>
      </c>
      <c r="L512" s="2">
        <v>39783300</v>
      </c>
      <c r="M512" s="2">
        <v>1906000000</v>
      </c>
      <c r="N512" s="2">
        <v>5881000000</v>
      </c>
      <c r="O512" s="2">
        <v>9828385000</v>
      </c>
      <c r="P512" s="2">
        <v>58292000000</v>
      </c>
      <c r="Q512" s="2">
        <v>12225885000</v>
      </c>
      <c r="R512" s="2">
        <v>13388200000</v>
      </c>
      <c r="S512" s="2">
        <f t="shared" si="14"/>
        <v>0.25600000000000001</v>
      </c>
      <c r="T512" s="2">
        <f t="shared" si="15"/>
        <v>24000053300</v>
      </c>
    </row>
    <row r="513" spans="1:20" x14ac:dyDescent="0.3">
      <c r="A513" s="1">
        <v>42256</v>
      </c>
      <c r="B513" t="s">
        <v>429</v>
      </c>
      <c r="C513" t="s">
        <v>18</v>
      </c>
      <c r="D513" t="s">
        <v>29</v>
      </c>
      <c r="E513">
        <v>2.19</v>
      </c>
      <c r="F513">
        <v>2.2349999999999999</v>
      </c>
      <c r="G513">
        <v>2.1</v>
      </c>
      <c r="H513">
        <v>2.7</v>
      </c>
      <c r="I513" s="2">
        <v>0</v>
      </c>
      <c r="J513" s="2">
        <v>56752220000</v>
      </c>
      <c r="K513" s="2">
        <v>20991158000</v>
      </c>
      <c r="L513" s="2">
        <v>8874900</v>
      </c>
      <c r="M513" s="2">
        <v>2896998000</v>
      </c>
      <c r="N513" s="2">
        <v>5092000000</v>
      </c>
      <c r="O513" s="2">
        <v>6014440000</v>
      </c>
      <c r="P513" s="2">
        <v>37637500000</v>
      </c>
      <c r="Q513" s="2">
        <v>12079720000</v>
      </c>
      <c r="R513" s="2">
        <v>14022720000</v>
      </c>
      <c r="S513" s="2">
        <f t="shared" si="14"/>
        <v>0.13499999999999979</v>
      </c>
      <c r="T513" s="2">
        <f t="shared" si="15"/>
        <v>21000032900</v>
      </c>
    </row>
    <row r="514" spans="1:20" x14ac:dyDescent="0.3">
      <c r="A514" s="1">
        <v>42257</v>
      </c>
      <c r="B514" t="s">
        <v>428</v>
      </c>
      <c r="C514" t="s">
        <v>23</v>
      </c>
      <c r="D514" t="s">
        <v>72</v>
      </c>
      <c r="E514">
        <v>2.95</v>
      </c>
      <c r="F514">
        <v>2.98</v>
      </c>
      <c r="G514">
        <v>2.8879999999999999</v>
      </c>
      <c r="H514">
        <v>2.54</v>
      </c>
      <c r="I514" s="2">
        <v>0</v>
      </c>
      <c r="J514" s="2">
        <v>32948395000</v>
      </c>
      <c r="K514" s="2">
        <v>12986627000</v>
      </c>
      <c r="L514" s="2">
        <v>13422000</v>
      </c>
      <c r="M514" s="2">
        <v>961000000</v>
      </c>
      <c r="N514" s="2">
        <v>2100000000</v>
      </c>
      <c r="O514" s="2">
        <v>3450632000</v>
      </c>
      <c r="P514" s="2">
        <v>20764000000</v>
      </c>
      <c r="Q514" s="2">
        <v>8574995000</v>
      </c>
      <c r="R514" s="2">
        <v>10084395000</v>
      </c>
      <c r="S514" s="2">
        <f t="shared" ref="S514:S577" si="16">SUM($F514,-$G514)</f>
        <v>9.2000000000000082E-2</v>
      </c>
      <c r="T514" s="2">
        <f t="shared" ref="T514:T577" si="17">SUM(I514,K514,L514)</f>
        <v>13000049000</v>
      </c>
    </row>
    <row r="515" spans="1:20" x14ac:dyDescent="0.3">
      <c r="A515" s="1">
        <v>42269</v>
      </c>
      <c r="B515" t="s">
        <v>271</v>
      </c>
      <c r="C515" t="s">
        <v>18</v>
      </c>
      <c r="D515" t="s">
        <v>21</v>
      </c>
      <c r="E515">
        <v>0.66800000000000004</v>
      </c>
      <c r="F515">
        <v>0.69899999999999995</v>
      </c>
      <c r="G515">
        <v>0.53</v>
      </c>
      <c r="H515">
        <v>3.27</v>
      </c>
      <c r="I515" s="2">
        <v>0</v>
      </c>
      <c r="J515" s="2">
        <v>84860750000</v>
      </c>
      <c r="K515" s="2">
        <v>25857186400</v>
      </c>
      <c r="L515" s="2">
        <v>142863100</v>
      </c>
      <c r="M515" s="2">
        <v>3441000000</v>
      </c>
      <c r="N515" s="2">
        <v>8146000000</v>
      </c>
      <c r="O515" s="2">
        <v>11241500000</v>
      </c>
      <c r="P515" s="2">
        <v>61435000000</v>
      </c>
      <c r="Q515" s="2">
        <v>11174686400</v>
      </c>
      <c r="R515" s="2">
        <v>15279750000</v>
      </c>
      <c r="S515" s="2">
        <f t="shared" si="16"/>
        <v>0.16899999999999993</v>
      </c>
      <c r="T515" s="2">
        <f t="shared" si="17"/>
        <v>26000049500</v>
      </c>
    </row>
    <row r="516" spans="1:20" x14ac:dyDescent="0.3">
      <c r="A516" s="1">
        <v>42270</v>
      </c>
      <c r="B516" t="s">
        <v>435</v>
      </c>
      <c r="C516" t="s">
        <v>18</v>
      </c>
      <c r="D516" t="s">
        <v>19</v>
      </c>
      <c r="E516">
        <v>1.4339999999999999</v>
      </c>
      <c r="F516">
        <v>1.4670000000000001</v>
      </c>
      <c r="G516">
        <v>1.35</v>
      </c>
      <c r="H516">
        <v>2.57</v>
      </c>
      <c r="I516" s="2">
        <v>0</v>
      </c>
      <c r="J516" s="2">
        <v>89980500000</v>
      </c>
      <c r="K516" s="2">
        <v>34965484800</v>
      </c>
      <c r="L516" s="2">
        <v>34516100</v>
      </c>
      <c r="M516" s="2">
        <v>1755000000</v>
      </c>
      <c r="N516" s="2">
        <v>6605000000</v>
      </c>
      <c r="O516" s="2">
        <v>11020000000</v>
      </c>
      <c r="P516" s="2">
        <v>59254000000</v>
      </c>
      <c r="Q516" s="2">
        <v>22190484800</v>
      </c>
      <c r="R516" s="2">
        <v>24121500000</v>
      </c>
      <c r="S516" s="2">
        <f t="shared" si="16"/>
        <v>0.11699999999999999</v>
      </c>
      <c r="T516" s="2">
        <f t="shared" si="17"/>
        <v>35000000900</v>
      </c>
    </row>
    <row r="517" spans="1:20" x14ac:dyDescent="0.3">
      <c r="A517" s="1">
        <v>42271</v>
      </c>
      <c r="B517" t="s">
        <v>434</v>
      </c>
      <c r="C517" t="s">
        <v>18</v>
      </c>
      <c r="D517" t="s">
        <v>68</v>
      </c>
      <c r="E517">
        <v>1.776</v>
      </c>
      <c r="F517">
        <v>1.8129999999999999</v>
      </c>
      <c r="G517">
        <v>1.7</v>
      </c>
      <c r="H517">
        <v>2.5099999999999998</v>
      </c>
      <c r="I517" s="2">
        <v>0</v>
      </c>
      <c r="J517" s="2">
        <v>72912050000</v>
      </c>
      <c r="K517" s="2">
        <v>28983895600</v>
      </c>
      <c r="L517" s="2">
        <v>16105200</v>
      </c>
      <c r="M517" s="2">
        <v>2577000000</v>
      </c>
      <c r="N517" s="2">
        <v>5392000000</v>
      </c>
      <c r="O517" s="2">
        <v>8267000000</v>
      </c>
      <c r="P517" s="2">
        <v>48167000000</v>
      </c>
      <c r="Q517" s="2">
        <v>18139895600</v>
      </c>
      <c r="R517" s="2">
        <v>19353050000</v>
      </c>
      <c r="S517" s="2">
        <f t="shared" si="16"/>
        <v>0.11299999999999999</v>
      </c>
      <c r="T517" s="2">
        <f t="shared" si="17"/>
        <v>29000000800</v>
      </c>
    </row>
    <row r="518" spans="1:20" x14ac:dyDescent="0.3">
      <c r="A518" s="1">
        <v>42283</v>
      </c>
      <c r="B518" t="s">
        <v>436</v>
      </c>
      <c r="C518" t="s">
        <v>18</v>
      </c>
      <c r="D518" t="s">
        <v>52</v>
      </c>
      <c r="E518">
        <v>0.85499999999999998</v>
      </c>
      <c r="F518">
        <v>0.89500000000000002</v>
      </c>
      <c r="G518">
        <v>0.7</v>
      </c>
      <c r="H518">
        <v>3.14</v>
      </c>
      <c r="I518" s="2">
        <v>0</v>
      </c>
      <c r="J518" s="2">
        <v>75265300000</v>
      </c>
      <c r="K518" s="2">
        <v>23958404000</v>
      </c>
      <c r="L518" s="2">
        <v>41624000</v>
      </c>
      <c r="M518" s="2">
        <v>2670000000</v>
      </c>
      <c r="N518" s="2">
        <v>6880000000</v>
      </c>
      <c r="O518" s="2">
        <v>9851180000</v>
      </c>
      <c r="P518" s="2">
        <v>56391500000</v>
      </c>
      <c r="Q518" s="2">
        <v>11437224000</v>
      </c>
      <c r="R518" s="2">
        <v>11993800000</v>
      </c>
      <c r="S518" s="2">
        <f t="shared" si="16"/>
        <v>0.19500000000000006</v>
      </c>
      <c r="T518" s="2">
        <f t="shared" si="17"/>
        <v>24000028000</v>
      </c>
    </row>
    <row r="519" spans="1:20" x14ac:dyDescent="0.3">
      <c r="A519" s="1">
        <v>42284</v>
      </c>
      <c r="B519" t="s">
        <v>429</v>
      </c>
      <c r="C519" t="s">
        <v>18</v>
      </c>
      <c r="D519" t="s">
        <v>59</v>
      </c>
      <c r="E519">
        <v>2.02</v>
      </c>
      <c r="F519">
        <v>2.0659999999999998</v>
      </c>
      <c r="G519">
        <v>1.9450000000000001</v>
      </c>
      <c r="H519">
        <v>2.59</v>
      </c>
      <c r="I519" s="2">
        <v>0</v>
      </c>
      <c r="J519" s="2">
        <v>54462130000</v>
      </c>
      <c r="K519" s="2">
        <v>20992429500</v>
      </c>
      <c r="L519" s="2">
        <v>7572200</v>
      </c>
      <c r="M519" s="2">
        <v>2152000000</v>
      </c>
      <c r="N519" s="2">
        <v>4152000000</v>
      </c>
      <c r="O519" s="2">
        <v>5781254500</v>
      </c>
      <c r="P519" s="2">
        <v>35917500000</v>
      </c>
      <c r="Q519" s="2">
        <v>13059175000</v>
      </c>
      <c r="R519" s="2">
        <v>14392630000</v>
      </c>
      <c r="S519" s="2">
        <f t="shared" si="16"/>
        <v>0.12099999999999977</v>
      </c>
      <c r="T519" s="2">
        <f t="shared" si="17"/>
        <v>21000001700</v>
      </c>
    </row>
    <row r="520" spans="1:20" x14ac:dyDescent="0.3">
      <c r="A520" s="1">
        <v>42285</v>
      </c>
      <c r="B520" t="s">
        <v>428</v>
      </c>
      <c r="C520" t="s">
        <v>23</v>
      </c>
      <c r="D520" t="s">
        <v>91</v>
      </c>
      <c r="E520">
        <v>2.8740000000000001</v>
      </c>
      <c r="F520">
        <v>2.9140000000000001</v>
      </c>
      <c r="G520">
        <v>2.7949999999999999</v>
      </c>
      <c r="H520">
        <v>2.46</v>
      </c>
      <c r="I520" s="2">
        <v>0</v>
      </c>
      <c r="J520" s="2">
        <v>31979971000</v>
      </c>
      <c r="K520" s="2">
        <v>12998353300</v>
      </c>
      <c r="L520" s="2">
        <v>1652000</v>
      </c>
      <c r="M520" s="2">
        <v>2017000000</v>
      </c>
      <c r="N520" s="2">
        <v>3571000000</v>
      </c>
      <c r="O520" s="2">
        <v>3652370000</v>
      </c>
      <c r="P520" s="2">
        <v>20715500000</v>
      </c>
      <c r="Q520" s="2">
        <v>7328983300</v>
      </c>
      <c r="R520" s="2">
        <v>7693471000</v>
      </c>
      <c r="S520" s="2">
        <f t="shared" si="16"/>
        <v>0.11900000000000022</v>
      </c>
      <c r="T520" s="2">
        <f t="shared" si="17"/>
        <v>13000005300</v>
      </c>
    </row>
    <row r="521" spans="1:20" x14ac:dyDescent="0.3">
      <c r="A521" s="1">
        <v>42305</v>
      </c>
      <c r="B521" t="s">
        <v>437</v>
      </c>
      <c r="C521" t="s">
        <v>18</v>
      </c>
      <c r="D521" t="s">
        <v>19</v>
      </c>
      <c r="E521">
        <v>1.36</v>
      </c>
      <c r="F521">
        <v>1.415</v>
      </c>
      <c r="G521">
        <v>1.2669999999999999</v>
      </c>
      <c r="H521">
        <v>2.4300000000000002</v>
      </c>
      <c r="I521" s="2">
        <v>0</v>
      </c>
      <c r="J521" s="2">
        <v>84876800000</v>
      </c>
      <c r="K521" s="2">
        <v>34958894000</v>
      </c>
      <c r="L521" s="2">
        <v>41206200</v>
      </c>
      <c r="M521" s="2">
        <v>1331000000</v>
      </c>
      <c r="N521" s="2">
        <v>5531000000</v>
      </c>
      <c r="O521" s="2">
        <v>13020994000</v>
      </c>
      <c r="P521" s="2">
        <v>57818000000</v>
      </c>
      <c r="Q521" s="2">
        <v>20606900000</v>
      </c>
      <c r="R521" s="2">
        <v>21527800000</v>
      </c>
      <c r="S521" s="2">
        <f t="shared" si="16"/>
        <v>0.14800000000000013</v>
      </c>
      <c r="T521" s="2">
        <f t="shared" si="17"/>
        <v>35000100200</v>
      </c>
    </row>
    <row r="522" spans="1:20" x14ac:dyDescent="0.3">
      <c r="A522" s="1">
        <v>42306</v>
      </c>
      <c r="B522" t="s">
        <v>438</v>
      </c>
      <c r="C522" t="s">
        <v>18</v>
      </c>
      <c r="D522" t="s">
        <v>68</v>
      </c>
      <c r="E522">
        <v>1.845</v>
      </c>
      <c r="F522">
        <v>1.885</v>
      </c>
      <c r="G522">
        <v>1.7649999999999999</v>
      </c>
      <c r="H522">
        <v>2.5499999999999998</v>
      </c>
      <c r="I522" s="2">
        <v>0</v>
      </c>
      <c r="J522" s="2">
        <v>73843553000</v>
      </c>
      <c r="K522" s="2">
        <v>28989633000</v>
      </c>
      <c r="L522" s="2">
        <v>10385200</v>
      </c>
      <c r="M522" s="2">
        <v>4057000000</v>
      </c>
      <c r="N522" s="2">
        <v>6337000000</v>
      </c>
      <c r="O522" s="2">
        <v>6861080000</v>
      </c>
      <c r="P522" s="2">
        <v>48601000000</v>
      </c>
      <c r="Q522" s="2">
        <v>18071553000</v>
      </c>
      <c r="R522" s="2">
        <v>18905553000</v>
      </c>
      <c r="S522" s="2">
        <f t="shared" si="16"/>
        <v>0.12000000000000011</v>
      </c>
      <c r="T522" s="2">
        <f t="shared" si="17"/>
        <v>29000018200</v>
      </c>
    </row>
    <row r="523" spans="1:20" x14ac:dyDescent="0.3">
      <c r="A523" s="1">
        <v>42312</v>
      </c>
      <c r="B523" t="s">
        <v>275</v>
      </c>
      <c r="C523" t="s">
        <v>18</v>
      </c>
      <c r="D523" t="s">
        <v>21</v>
      </c>
      <c r="E523">
        <v>0.8</v>
      </c>
      <c r="F523">
        <v>0.82399999999999995</v>
      </c>
      <c r="G523">
        <v>0.68799999999999994</v>
      </c>
      <c r="H523">
        <v>3.01</v>
      </c>
      <c r="I523" s="2">
        <v>0</v>
      </c>
      <c r="J523" s="2">
        <v>78260790000</v>
      </c>
      <c r="K523" s="2">
        <v>25933500000</v>
      </c>
      <c r="L523" s="2">
        <v>66564400</v>
      </c>
      <c r="M523" s="2">
        <v>2860000000</v>
      </c>
      <c r="N523" s="2">
        <v>7035000000</v>
      </c>
      <c r="O523" s="2">
        <v>12687710000</v>
      </c>
      <c r="P523" s="2">
        <v>60640000000</v>
      </c>
      <c r="Q523" s="2">
        <v>10385790000</v>
      </c>
      <c r="R523" s="2">
        <v>10585790000</v>
      </c>
      <c r="S523" s="2">
        <f t="shared" si="16"/>
        <v>0.13600000000000001</v>
      </c>
      <c r="T523" s="2">
        <f t="shared" si="17"/>
        <v>26000064400</v>
      </c>
    </row>
    <row r="524" spans="1:20" x14ac:dyDescent="0.3">
      <c r="A524" s="1">
        <v>42317</v>
      </c>
      <c r="B524" t="s">
        <v>441</v>
      </c>
      <c r="C524" t="s">
        <v>18</v>
      </c>
      <c r="D524" t="s">
        <v>52</v>
      </c>
      <c r="E524">
        <v>1.234</v>
      </c>
      <c r="F524">
        <v>1.2709999999999999</v>
      </c>
      <c r="G524">
        <v>0.88800000000000001</v>
      </c>
      <c r="H524">
        <v>2.82</v>
      </c>
      <c r="I524" s="2">
        <v>122282300</v>
      </c>
      <c r="J524" s="2">
        <v>67693300000</v>
      </c>
      <c r="K524" s="2">
        <v>23924892500</v>
      </c>
      <c r="L524" s="2">
        <v>75107800</v>
      </c>
      <c r="M524" s="2">
        <v>3612000000</v>
      </c>
      <c r="N524" s="2">
        <v>7002000000</v>
      </c>
      <c r="O524" s="2">
        <v>10548000000</v>
      </c>
      <c r="P524" s="2">
        <v>49133000000</v>
      </c>
      <c r="Q524" s="2">
        <v>9764892500</v>
      </c>
      <c r="R524" s="2">
        <v>11558300000</v>
      </c>
      <c r="S524" s="2">
        <f t="shared" si="16"/>
        <v>0.3829999999999999</v>
      </c>
      <c r="T524" s="2">
        <f t="shared" si="17"/>
        <v>24122282600</v>
      </c>
    </row>
    <row r="525" spans="1:20" x14ac:dyDescent="0.3">
      <c r="A525" s="1">
        <v>42318</v>
      </c>
      <c r="B525" t="s">
        <v>440</v>
      </c>
      <c r="C525" t="s">
        <v>18</v>
      </c>
      <c r="D525" t="s">
        <v>26</v>
      </c>
      <c r="E525">
        <v>2.2749999999999999</v>
      </c>
      <c r="F525">
        <v>2.3039999999999998</v>
      </c>
      <c r="G525">
        <v>2.1949999999999998</v>
      </c>
      <c r="H525">
        <v>2.58</v>
      </c>
      <c r="I525" s="2">
        <v>122282200</v>
      </c>
      <c r="J525" s="2">
        <v>61905880000</v>
      </c>
      <c r="K525" s="2">
        <v>23937360000</v>
      </c>
      <c r="L525" s="2">
        <v>62649100</v>
      </c>
      <c r="M525" s="2">
        <v>3414000000</v>
      </c>
      <c r="N525" s="2">
        <v>5834000000</v>
      </c>
      <c r="O525" s="2">
        <v>6032950000</v>
      </c>
      <c r="P525" s="2">
        <v>39447000000</v>
      </c>
      <c r="Q525" s="2">
        <v>14490410000</v>
      </c>
      <c r="R525" s="2">
        <v>16624880000</v>
      </c>
      <c r="S525" s="2">
        <f t="shared" si="16"/>
        <v>0.10899999999999999</v>
      </c>
      <c r="T525" s="2">
        <f t="shared" si="17"/>
        <v>24122291300</v>
      </c>
    </row>
    <row r="526" spans="1:20" x14ac:dyDescent="0.3">
      <c r="A526" s="1">
        <v>42320</v>
      </c>
      <c r="B526" t="s">
        <v>439</v>
      </c>
      <c r="C526" t="s">
        <v>23</v>
      </c>
      <c r="D526" t="s">
        <v>65</v>
      </c>
      <c r="E526">
        <v>3.03</v>
      </c>
      <c r="F526">
        <v>3.07</v>
      </c>
      <c r="G526">
        <v>2.9359999999999999</v>
      </c>
      <c r="H526">
        <v>2.41</v>
      </c>
      <c r="I526" s="2">
        <v>81521500</v>
      </c>
      <c r="J526" s="2">
        <v>38528920000</v>
      </c>
      <c r="K526" s="2">
        <v>15984180000</v>
      </c>
      <c r="L526" s="2">
        <v>15822700</v>
      </c>
      <c r="M526" s="2">
        <v>1624688500</v>
      </c>
      <c r="N526" s="2">
        <v>3299000000</v>
      </c>
      <c r="O526" s="2">
        <v>4728746500</v>
      </c>
      <c r="P526" s="2">
        <v>24174200000</v>
      </c>
      <c r="Q526" s="2">
        <v>9630745000</v>
      </c>
      <c r="R526" s="2">
        <v>11055720000</v>
      </c>
      <c r="S526" s="2">
        <f t="shared" si="16"/>
        <v>0.1339999999999999</v>
      </c>
      <c r="T526" s="2">
        <f t="shared" si="17"/>
        <v>16081524200</v>
      </c>
    </row>
    <row r="527" spans="1:20" x14ac:dyDescent="0.3">
      <c r="A527" s="1">
        <v>42331</v>
      </c>
      <c r="B527" t="s">
        <v>444</v>
      </c>
      <c r="C527" t="s">
        <v>18</v>
      </c>
      <c r="D527" t="s">
        <v>21</v>
      </c>
      <c r="E527">
        <v>0.91</v>
      </c>
      <c r="F527">
        <v>0.94799999999999995</v>
      </c>
      <c r="G527">
        <v>0.85</v>
      </c>
      <c r="H527">
        <v>3.15</v>
      </c>
      <c r="I527" s="2">
        <v>0</v>
      </c>
      <c r="J527" s="2">
        <v>81834800000</v>
      </c>
      <c r="K527" s="2">
        <v>25837205000</v>
      </c>
      <c r="L527" s="2">
        <v>162823800</v>
      </c>
      <c r="M527" s="2">
        <v>4912000000</v>
      </c>
      <c r="N527" s="2">
        <v>8182000000</v>
      </c>
      <c r="O527" s="2">
        <v>9121910000</v>
      </c>
      <c r="P527" s="2">
        <v>61414000000</v>
      </c>
      <c r="Q527" s="2">
        <v>11803295000</v>
      </c>
      <c r="R527" s="2">
        <v>12238800000</v>
      </c>
      <c r="S527" s="2">
        <f t="shared" si="16"/>
        <v>9.7999999999999976E-2</v>
      </c>
      <c r="T527" s="2">
        <f t="shared" si="17"/>
        <v>26000028800</v>
      </c>
    </row>
    <row r="528" spans="1:20" x14ac:dyDescent="0.3">
      <c r="A528" s="1">
        <v>42332</v>
      </c>
      <c r="B528" t="s">
        <v>443</v>
      </c>
      <c r="C528" t="s">
        <v>18</v>
      </c>
      <c r="D528" t="s">
        <v>19</v>
      </c>
      <c r="E528">
        <v>1.62</v>
      </c>
      <c r="F528">
        <v>1.67</v>
      </c>
      <c r="G528">
        <v>1.55</v>
      </c>
      <c r="H528">
        <v>2.52</v>
      </c>
      <c r="I528" s="2">
        <v>0</v>
      </c>
      <c r="J528" s="2">
        <v>88203670000</v>
      </c>
      <c r="K528" s="2">
        <v>34958126000</v>
      </c>
      <c r="L528" s="2">
        <v>41926000</v>
      </c>
      <c r="M528" s="2">
        <v>3547000000</v>
      </c>
      <c r="N528" s="2">
        <v>8062000000</v>
      </c>
      <c r="O528" s="2">
        <v>11594856000</v>
      </c>
      <c r="P528" s="2">
        <v>59326000000</v>
      </c>
      <c r="Q528" s="2">
        <v>19816270000</v>
      </c>
      <c r="R528" s="2">
        <v>20815670000</v>
      </c>
      <c r="S528" s="2">
        <f t="shared" si="16"/>
        <v>0.11999999999999988</v>
      </c>
      <c r="T528" s="2">
        <f t="shared" si="17"/>
        <v>35000052000</v>
      </c>
    </row>
    <row r="529" spans="1:20" x14ac:dyDescent="0.3">
      <c r="A529" s="1">
        <v>42333</v>
      </c>
      <c r="B529" t="s">
        <v>442</v>
      </c>
      <c r="C529" t="s">
        <v>18</v>
      </c>
      <c r="D529" t="s">
        <v>68</v>
      </c>
      <c r="E529">
        <v>1.9710000000000001</v>
      </c>
      <c r="F529">
        <v>2.0129999999999999</v>
      </c>
      <c r="G529">
        <v>1.895</v>
      </c>
      <c r="H529">
        <v>2.5099999999999998</v>
      </c>
      <c r="I529" s="2">
        <v>0</v>
      </c>
      <c r="J529" s="2">
        <v>72799995000</v>
      </c>
      <c r="K529" s="2">
        <v>28979345000</v>
      </c>
      <c r="L529" s="2">
        <v>20679100</v>
      </c>
      <c r="M529" s="2">
        <v>3920000000</v>
      </c>
      <c r="N529" s="2">
        <v>6524000000</v>
      </c>
      <c r="O529" s="2">
        <v>8846225000</v>
      </c>
      <c r="P529" s="2">
        <v>48070975000</v>
      </c>
      <c r="Q529" s="2">
        <v>16213120000</v>
      </c>
      <c r="R529" s="2">
        <v>18205020000</v>
      </c>
      <c r="S529" s="2">
        <f t="shared" si="16"/>
        <v>0.11799999999999988</v>
      </c>
      <c r="T529" s="2">
        <f t="shared" si="17"/>
        <v>29000024100</v>
      </c>
    </row>
    <row r="530" spans="1:20" x14ac:dyDescent="0.3">
      <c r="A530" s="1">
        <v>42346</v>
      </c>
      <c r="B530" t="s">
        <v>445</v>
      </c>
      <c r="C530" t="s">
        <v>18</v>
      </c>
      <c r="D530" t="s">
        <v>52</v>
      </c>
      <c r="E530">
        <v>1.22</v>
      </c>
      <c r="F530">
        <v>1.2549999999999999</v>
      </c>
      <c r="G530">
        <v>1.1000000000000001</v>
      </c>
      <c r="H530">
        <v>3.14</v>
      </c>
      <c r="I530" s="2">
        <v>0</v>
      </c>
      <c r="J530" s="2">
        <v>75270925000</v>
      </c>
      <c r="K530" s="2">
        <v>23919822500</v>
      </c>
      <c r="L530" s="2">
        <v>80201900</v>
      </c>
      <c r="M530" s="2">
        <v>4440300000</v>
      </c>
      <c r="N530" s="2">
        <v>8498300000</v>
      </c>
      <c r="O530" s="2">
        <v>8131897500</v>
      </c>
      <c r="P530" s="2">
        <v>53415000000</v>
      </c>
      <c r="Q530" s="2">
        <v>11347625000</v>
      </c>
      <c r="R530" s="2">
        <v>13357625000</v>
      </c>
      <c r="S530" s="2">
        <f t="shared" si="16"/>
        <v>0.1549999999999998</v>
      </c>
      <c r="T530" s="2">
        <f t="shared" si="17"/>
        <v>24000024400</v>
      </c>
    </row>
    <row r="531" spans="1:20" x14ac:dyDescent="0.3">
      <c r="A531" s="1">
        <v>42347</v>
      </c>
      <c r="B531" t="s">
        <v>440</v>
      </c>
      <c r="C531" t="s">
        <v>18</v>
      </c>
      <c r="D531" t="s">
        <v>29</v>
      </c>
      <c r="E531">
        <v>2.1800000000000002</v>
      </c>
      <c r="F531">
        <v>2.2330000000000001</v>
      </c>
      <c r="G531">
        <v>2.0499999999999998</v>
      </c>
      <c r="H531">
        <v>2.64</v>
      </c>
      <c r="I531" s="2">
        <v>0</v>
      </c>
      <c r="J531" s="2">
        <v>55492860000</v>
      </c>
      <c r="K531" s="2">
        <v>20985272500</v>
      </c>
      <c r="L531" s="2">
        <v>14738300</v>
      </c>
      <c r="M531" s="2">
        <v>2531000000</v>
      </c>
      <c r="N531" s="2">
        <v>4636000000</v>
      </c>
      <c r="O531" s="2">
        <v>5452530000</v>
      </c>
      <c r="P531" s="2">
        <v>36660600000</v>
      </c>
      <c r="Q531" s="2">
        <v>13001742500</v>
      </c>
      <c r="R531" s="2">
        <v>14196260000</v>
      </c>
      <c r="S531" s="2">
        <f t="shared" si="16"/>
        <v>0.18300000000000027</v>
      </c>
      <c r="T531" s="2">
        <f t="shared" si="17"/>
        <v>21000010800</v>
      </c>
    </row>
    <row r="532" spans="1:20" x14ac:dyDescent="0.3">
      <c r="A532" s="1">
        <v>42348</v>
      </c>
      <c r="B532" t="s">
        <v>439</v>
      </c>
      <c r="C532" t="s">
        <v>23</v>
      </c>
      <c r="D532" t="s">
        <v>72</v>
      </c>
      <c r="E532">
        <v>2.93</v>
      </c>
      <c r="F532">
        <v>2.9780000000000002</v>
      </c>
      <c r="G532">
        <v>2.85</v>
      </c>
      <c r="H532">
        <v>2.42</v>
      </c>
      <c r="I532" s="2">
        <v>0</v>
      </c>
      <c r="J532" s="2">
        <v>31475640000</v>
      </c>
      <c r="K532" s="2">
        <v>12990084500</v>
      </c>
      <c r="L532" s="2">
        <v>9918300</v>
      </c>
      <c r="M532" s="2">
        <v>1349000000</v>
      </c>
      <c r="N532" s="2">
        <v>2523000000</v>
      </c>
      <c r="O532" s="2">
        <v>3342227000</v>
      </c>
      <c r="P532" s="2">
        <v>20130100000</v>
      </c>
      <c r="Q532" s="2">
        <v>8298857500</v>
      </c>
      <c r="R532" s="2">
        <v>8822540000</v>
      </c>
      <c r="S532" s="2">
        <f t="shared" si="16"/>
        <v>0.12800000000000011</v>
      </c>
      <c r="T532" s="2">
        <f t="shared" si="17"/>
        <v>13000002800</v>
      </c>
    </row>
    <row r="533" spans="1:20" x14ac:dyDescent="0.3">
      <c r="A533" s="1">
        <v>42366</v>
      </c>
      <c r="B533" t="s">
        <v>446</v>
      </c>
      <c r="C533" t="s">
        <v>18</v>
      </c>
      <c r="D533" t="s">
        <v>21</v>
      </c>
      <c r="E533">
        <v>1.03</v>
      </c>
      <c r="F533">
        <v>1.056</v>
      </c>
      <c r="G533">
        <v>0.88800000000000001</v>
      </c>
      <c r="H533">
        <v>2.8</v>
      </c>
      <c r="I533" s="2">
        <v>0</v>
      </c>
      <c r="J533" s="2">
        <v>72534100000</v>
      </c>
      <c r="K533" s="2">
        <v>25835900000</v>
      </c>
      <c r="L533" s="2">
        <v>164186200</v>
      </c>
      <c r="M533" s="2">
        <v>6993800000</v>
      </c>
      <c r="N533" s="2">
        <v>11123800000</v>
      </c>
      <c r="O533" s="2">
        <v>9150250000</v>
      </c>
      <c r="P533" s="2">
        <v>50102000000</v>
      </c>
      <c r="Q533" s="2">
        <v>9691850000</v>
      </c>
      <c r="R533" s="2">
        <v>11308300000</v>
      </c>
      <c r="S533" s="2">
        <f t="shared" si="16"/>
        <v>0.16800000000000004</v>
      </c>
      <c r="T533" s="2">
        <f t="shared" si="17"/>
        <v>26000086200</v>
      </c>
    </row>
    <row r="534" spans="1:20" x14ac:dyDescent="0.3">
      <c r="A534" s="1">
        <v>42367</v>
      </c>
      <c r="B534" t="s">
        <v>448</v>
      </c>
      <c r="C534" t="s">
        <v>18</v>
      </c>
      <c r="D534" t="s">
        <v>19</v>
      </c>
      <c r="E534">
        <v>1.734</v>
      </c>
      <c r="F534">
        <v>1.7849999999999999</v>
      </c>
      <c r="G534">
        <v>1.6</v>
      </c>
      <c r="H534">
        <v>2.3199999999999998</v>
      </c>
      <c r="I534" s="2">
        <v>0</v>
      </c>
      <c r="J534" s="2">
        <v>81017000000</v>
      </c>
      <c r="K534" s="2">
        <v>34954117500</v>
      </c>
      <c r="L534" s="2">
        <v>45901600</v>
      </c>
      <c r="M534" s="2">
        <v>3831470000</v>
      </c>
      <c r="N534" s="2">
        <v>6704100000</v>
      </c>
      <c r="O534" s="2">
        <v>12766097500</v>
      </c>
      <c r="P534" s="2">
        <v>55518200000</v>
      </c>
      <c r="Q534" s="2">
        <v>18356550000</v>
      </c>
      <c r="R534" s="2">
        <v>18794700000</v>
      </c>
      <c r="S534" s="2">
        <f t="shared" si="16"/>
        <v>0.18499999999999983</v>
      </c>
      <c r="T534" s="2">
        <f t="shared" si="17"/>
        <v>35000019100</v>
      </c>
    </row>
    <row r="535" spans="1:20" x14ac:dyDescent="0.3">
      <c r="A535" s="1">
        <v>42368</v>
      </c>
      <c r="B535" t="s">
        <v>447</v>
      </c>
      <c r="C535" t="s">
        <v>18</v>
      </c>
      <c r="D535" t="s">
        <v>68</v>
      </c>
      <c r="E535">
        <v>2.1150000000000002</v>
      </c>
      <c r="F535">
        <v>2.161</v>
      </c>
      <c r="G535">
        <v>1.8879999999999999</v>
      </c>
      <c r="H535">
        <v>2.34</v>
      </c>
      <c r="I535" s="2">
        <v>0</v>
      </c>
      <c r="J535" s="2">
        <v>67985647000</v>
      </c>
      <c r="K535" s="2">
        <v>28982792000</v>
      </c>
      <c r="L535" s="2">
        <v>17216300</v>
      </c>
      <c r="M535" s="2">
        <v>4076000000</v>
      </c>
      <c r="N535" s="2">
        <v>6983000000</v>
      </c>
      <c r="O535" s="2">
        <v>11252430000</v>
      </c>
      <c r="P535" s="2">
        <v>47158000000</v>
      </c>
      <c r="Q535" s="2">
        <v>13654362000</v>
      </c>
      <c r="R535" s="2">
        <v>13844647000</v>
      </c>
      <c r="S535" s="2">
        <f t="shared" si="16"/>
        <v>0.27300000000000013</v>
      </c>
      <c r="T535" s="2">
        <f t="shared" si="17"/>
        <v>29000008300</v>
      </c>
    </row>
    <row r="536" spans="1:20" x14ac:dyDescent="0.3">
      <c r="A536" s="1">
        <v>42381</v>
      </c>
      <c r="B536" t="s">
        <v>449</v>
      </c>
      <c r="C536" t="s">
        <v>18</v>
      </c>
      <c r="D536" t="s">
        <v>52</v>
      </c>
      <c r="E536">
        <v>1.1399999999999999</v>
      </c>
      <c r="F536">
        <v>1.1739999999999999</v>
      </c>
      <c r="G536">
        <v>0.88800000000000001</v>
      </c>
      <c r="H536">
        <v>2.94</v>
      </c>
      <c r="I536" s="2">
        <v>0</v>
      </c>
      <c r="J536" s="2">
        <v>70617430000</v>
      </c>
      <c r="K536" s="2">
        <v>23954858000</v>
      </c>
      <c r="L536" s="2">
        <v>45145800</v>
      </c>
      <c r="M536" s="2">
        <v>2250728000</v>
      </c>
      <c r="N536" s="2">
        <v>5111300000</v>
      </c>
      <c r="O536" s="2">
        <v>6659000000</v>
      </c>
      <c r="P536" s="2">
        <v>50155000000</v>
      </c>
      <c r="Q536" s="2">
        <v>15045130000</v>
      </c>
      <c r="R536" s="2">
        <v>15351130000</v>
      </c>
      <c r="S536" s="2">
        <f t="shared" si="16"/>
        <v>0.28599999999999992</v>
      </c>
      <c r="T536" s="2">
        <f t="shared" si="17"/>
        <v>24000003800</v>
      </c>
    </row>
    <row r="537" spans="1:20" x14ac:dyDescent="0.3">
      <c r="A537" s="1">
        <v>42382</v>
      </c>
      <c r="B537" t="s">
        <v>440</v>
      </c>
      <c r="C537" t="s">
        <v>18</v>
      </c>
      <c r="D537" t="s">
        <v>59</v>
      </c>
      <c r="E537">
        <v>2.048</v>
      </c>
      <c r="F537">
        <v>2.09</v>
      </c>
      <c r="G537">
        <v>1.9850000000000001</v>
      </c>
      <c r="H537">
        <v>2.77</v>
      </c>
      <c r="I537" s="2">
        <v>0</v>
      </c>
      <c r="J537" s="2">
        <v>58112930000</v>
      </c>
      <c r="K537" s="2">
        <v>20980572000</v>
      </c>
      <c r="L537" s="2">
        <v>19469600</v>
      </c>
      <c r="M537" s="2">
        <v>2369000000</v>
      </c>
      <c r="N537" s="2">
        <v>4185000000</v>
      </c>
      <c r="O537" s="2">
        <v>3717708000</v>
      </c>
      <c r="P537" s="2">
        <v>37050000000</v>
      </c>
      <c r="Q537" s="2">
        <v>14893864000</v>
      </c>
      <c r="R537" s="2">
        <v>16877930000</v>
      </c>
      <c r="S537" s="2">
        <f t="shared" si="16"/>
        <v>0.10499999999999976</v>
      </c>
      <c r="T537" s="2">
        <f t="shared" si="17"/>
        <v>21000041600</v>
      </c>
    </row>
    <row r="538" spans="1:20" x14ac:dyDescent="0.3">
      <c r="A538" s="1">
        <v>42383</v>
      </c>
      <c r="B538" t="s">
        <v>439</v>
      </c>
      <c r="C538" t="s">
        <v>23</v>
      </c>
      <c r="D538" t="s">
        <v>91</v>
      </c>
      <c r="E538">
        <v>2.8420000000000001</v>
      </c>
      <c r="F538">
        <v>2.9049999999999998</v>
      </c>
      <c r="G538">
        <v>2.7149999999999999</v>
      </c>
      <c r="H538">
        <v>2.29</v>
      </c>
      <c r="I538" s="2">
        <v>0</v>
      </c>
      <c r="J538" s="2">
        <v>29735630000</v>
      </c>
      <c r="K538" s="2">
        <v>12987262000</v>
      </c>
      <c r="L538" s="2">
        <v>12740300</v>
      </c>
      <c r="M538" s="2">
        <v>1409000000</v>
      </c>
      <c r="N538" s="2">
        <v>2437000000</v>
      </c>
      <c r="O538" s="2">
        <v>4238018500</v>
      </c>
      <c r="P538" s="2">
        <v>19596500000</v>
      </c>
      <c r="Q538" s="2">
        <v>7340243500</v>
      </c>
      <c r="R538" s="2">
        <v>7702130000</v>
      </c>
      <c r="S538" s="2">
        <f t="shared" si="16"/>
        <v>0.18999999999999995</v>
      </c>
      <c r="T538" s="2">
        <f t="shared" si="17"/>
        <v>13000002300</v>
      </c>
    </row>
    <row r="539" spans="1:20" x14ac:dyDescent="0.3">
      <c r="A539" s="1">
        <v>42395</v>
      </c>
      <c r="B539" t="s">
        <v>452</v>
      </c>
      <c r="C539" t="s">
        <v>18</v>
      </c>
      <c r="D539" t="s">
        <v>21</v>
      </c>
      <c r="E539">
        <v>0.83</v>
      </c>
      <c r="F539">
        <v>0.86</v>
      </c>
      <c r="G539">
        <v>0.68799999999999994</v>
      </c>
      <c r="H539">
        <v>2.9</v>
      </c>
      <c r="I539" s="2">
        <v>473307900</v>
      </c>
      <c r="J539" s="2">
        <v>75175150000</v>
      </c>
      <c r="K539" s="2">
        <v>25827813300</v>
      </c>
      <c r="L539" s="2">
        <v>172235600</v>
      </c>
      <c r="M539" s="2">
        <v>3176515000</v>
      </c>
      <c r="N539" s="2">
        <v>7538000000</v>
      </c>
      <c r="O539" s="2">
        <v>7709298300</v>
      </c>
      <c r="P539" s="2">
        <v>51000150000</v>
      </c>
      <c r="Q539" s="2">
        <v>14942000000</v>
      </c>
      <c r="R539" s="2">
        <v>16637000000</v>
      </c>
      <c r="S539" s="2">
        <f t="shared" si="16"/>
        <v>0.17200000000000004</v>
      </c>
      <c r="T539" s="2">
        <f t="shared" si="17"/>
        <v>26473356800</v>
      </c>
    </row>
    <row r="540" spans="1:20" x14ac:dyDescent="0.3">
      <c r="A540" s="1">
        <v>42396</v>
      </c>
      <c r="B540" t="s">
        <v>451</v>
      </c>
      <c r="C540" t="s">
        <v>18</v>
      </c>
      <c r="D540" t="s">
        <v>19</v>
      </c>
      <c r="E540">
        <v>1.4390000000000001</v>
      </c>
      <c r="F540">
        <v>1.496</v>
      </c>
      <c r="G540">
        <v>1.3</v>
      </c>
      <c r="H540">
        <v>2.44</v>
      </c>
      <c r="I540" s="2">
        <v>637145100</v>
      </c>
      <c r="J540" s="2">
        <v>85290370000</v>
      </c>
      <c r="K540" s="2">
        <v>34949540000</v>
      </c>
      <c r="L540" s="2">
        <v>50482200</v>
      </c>
      <c r="M540" s="2">
        <v>3021000000</v>
      </c>
      <c r="N540" s="2">
        <v>7701000000</v>
      </c>
      <c r="O540" s="2">
        <v>13215370000</v>
      </c>
      <c r="P540" s="2">
        <v>58543200000</v>
      </c>
      <c r="Q540" s="2">
        <v>18713170000</v>
      </c>
      <c r="R540" s="2">
        <v>19046170000</v>
      </c>
      <c r="S540" s="2">
        <f t="shared" si="16"/>
        <v>0.19599999999999995</v>
      </c>
      <c r="T540" s="2">
        <f t="shared" si="17"/>
        <v>35637167300</v>
      </c>
    </row>
    <row r="541" spans="1:20" x14ac:dyDescent="0.3">
      <c r="A541" s="1">
        <v>42397</v>
      </c>
      <c r="B541" t="s">
        <v>450</v>
      </c>
      <c r="C541" t="s">
        <v>18</v>
      </c>
      <c r="D541" t="s">
        <v>68</v>
      </c>
      <c r="E541">
        <v>1.72</v>
      </c>
      <c r="F541">
        <v>1.7589999999999999</v>
      </c>
      <c r="G541">
        <v>1.5880000000000001</v>
      </c>
      <c r="H541">
        <v>2.63</v>
      </c>
      <c r="I541" s="2">
        <v>527920200</v>
      </c>
      <c r="J541" s="2">
        <v>76257225000</v>
      </c>
      <c r="K541" s="2">
        <v>28973484000</v>
      </c>
      <c r="L541" s="2">
        <v>26592700</v>
      </c>
      <c r="M541" s="2">
        <v>4295410000</v>
      </c>
      <c r="N541" s="2">
        <v>7760000000</v>
      </c>
      <c r="O541" s="2">
        <v>4576127000</v>
      </c>
      <c r="P541" s="2">
        <v>45929500000</v>
      </c>
      <c r="Q541" s="2">
        <v>20101947000</v>
      </c>
      <c r="R541" s="2">
        <v>22567725000</v>
      </c>
      <c r="S541" s="2">
        <f t="shared" si="16"/>
        <v>0.17099999999999982</v>
      </c>
      <c r="T541" s="2">
        <f t="shared" si="17"/>
        <v>29527996900</v>
      </c>
    </row>
    <row r="542" spans="1:20" x14ac:dyDescent="0.3">
      <c r="A542" s="1">
        <v>42409</v>
      </c>
      <c r="B542" t="s">
        <v>455</v>
      </c>
      <c r="C542" t="s">
        <v>18</v>
      </c>
      <c r="D542" t="s">
        <v>52</v>
      </c>
      <c r="E542">
        <v>0.81</v>
      </c>
      <c r="F542">
        <v>0.84399999999999997</v>
      </c>
      <c r="G542">
        <v>0.7</v>
      </c>
      <c r="H542">
        <v>2.74</v>
      </c>
      <c r="I542" s="2">
        <v>1884490100</v>
      </c>
      <c r="J542" s="2">
        <v>65751520000</v>
      </c>
      <c r="K542" s="2">
        <v>23938790000</v>
      </c>
      <c r="L542" s="2">
        <v>61217800</v>
      </c>
      <c r="M542" s="2">
        <v>3586000000</v>
      </c>
      <c r="N542" s="2">
        <v>7306000000</v>
      </c>
      <c r="O542" s="2">
        <v>10424290000</v>
      </c>
      <c r="P542" s="2">
        <v>48438000000</v>
      </c>
      <c r="Q542" s="2">
        <v>9928500000</v>
      </c>
      <c r="R542" s="2">
        <v>10007520000</v>
      </c>
      <c r="S542" s="2">
        <f t="shared" si="16"/>
        <v>0.14400000000000002</v>
      </c>
      <c r="T542" s="2">
        <f t="shared" si="17"/>
        <v>25884497900</v>
      </c>
    </row>
    <row r="543" spans="1:20" x14ac:dyDescent="0.3">
      <c r="A543" s="1">
        <v>42410</v>
      </c>
      <c r="B543" t="s">
        <v>454</v>
      </c>
      <c r="C543" t="s">
        <v>18</v>
      </c>
      <c r="D543" t="s">
        <v>26</v>
      </c>
      <c r="E543">
        <v>1.69</v>
      </c>
      <c r="F543">
        <v>1.73</v>
      </c>
      <c r="G543">
        <v>1.63</v>
      </c>
      <c r="H543">
        <v>2.56</v>
      </c>
      <c r="I543" s="2">
        <v>1805969700</v>
      </c>
      <c r="J543" s="2">
        <v>58855750000</v>
      </c>
      <c r="K543" s="2">
        <v>22975657800</v>
      </c>
      <c r="L543" s="2">
        <v>24374000</v>
      </c>
      <c r="M543" s="2">
        <v>3523586800</v>
      </c>
      <c r="N543" s="2">
        <v>6284000000</v>
      </c>
      <c r="O543" s="2">
        <v>5136875000</v>
      </c>
      <c r="P543" s="2">
        <v>36212000000</v>
      </c>
      <c r="Q543" s="2">
        <v>14315196000</v>
      </c>
      <c r="R543" s="2">
        <v>16359750000</v>
      </c>
      <c r="S543" s="2">
        <f t="shared" si="16"/>
        <v>0.10000000000000009</v>
      </c>
      <c r="T543" s="2">
        <f t="shared" si="17"/>
        <v>24806001500</v>
      </c>
    </row>
    <row r="544" spans="1:20" x14ac:dyDescent="0.3">
      <c r="A544" s="1">
        <v>42411</v>
      </c>
      <c r="B544" t="s">
        <v>453</v>
      </c>
      <c r="C544" t="s">
        <v>23</v>
      </c>
      <c r="D544" t="s">
        <v>65</v>
      </c>
      <c r="E544">
        <v>2.391</v>
      </c>
      <c r="F544">
        <v>2.5</v>
      </c>
      <c r="G544">
        <v>2.2999999999999998</v>
      </c>
      <c r="H544">
        <v>2.09</v>
      </c>
      <c r="I544" s="2">
        <v>1177806200</v>
      </c>
      <c r="J544" s="2">
        <v>31365770000</v>
      </c>
      <c r="K544" s="2">
        <v>14983581200</v>
      </c>
      <c r="L544" s="2">
        <v>16443100</v>
      </c>
      <c r="M544" s="2">
        <v>1535876000</v>
      </c>
      <c r="N544" s="2">
        <v>2649000000</v>
      </c>
      <c r="O544" s="2">
        <v>4754480000</v>
      </c>
      <c r="P544" s="2">
        <v>19766300000</v>
      </c>
      <c r="Q544" s="2">
        <v>8693225200</v>
      </c>
      <c r="R544" s="2">
        <v>8950470000</v>
      </c>
      <c r="S544" s="2">
        <f t="shared" si="16"/>
        <v>0.20000000000000018</v>
      </c>
      <c r="T544" s="2">
        <f t="shared" si="17"/>
        <v>16177830500</v>
      </c>
    </row>
    <row r="545" spans="1:20" x14ac:dyDescent="0.3">
      <c r="A545" s="1">
        <v>42423</v>
      </c>
      <c r="B545" t="s">
        <v>295</v>
      </c>
      <c r="C545" t="s">
        <v>18</v>
      </c>
      <c r="D545" t="s">
        <v>21</v>
      </c>
      <c r="E545">
        <v>0.71</v>
      </c>
      <c r="F545">
        <v>0.752</v>
      </c>
      <c r="G545">
        <v>0.66</v>
      </c>
      <c r="H545">
        <v>2.91</v>
      </c>
      <c r="I545" s="2">
        <v>8713837300</v>
      </c>
      <c r="J545" s="2">
        <v>75405700000</v>
      </c>
      <c r="K545" s="2">
        <v>25827900000</v>
      </c>
      <c r="L545" s="2">
        <v>172124800</v>
      </c>
      <c r="M545" s="2">
        <v>2789000000</v>
      </c>
      <c r="N545" s="2">
        <v>9329000000</v>
      </c>
      <c r="O545" s="2">
        <v>8633000000</v>
      </c>
      <c r="P545" s="2">
        <v>49223000000</v>
      </c>
      <c r="Q545" s="2">
        <v>14405900000</v>
      </c>
      <c r="R545" s="2">
        <v>16853700000</v>
      </c>
      <c r="S545" s="2">
        <f t="shared" si="16"/>
        <v>9.1999999999999971E-2</v>
      </c>
      <c r="T545" s="2">
        <f t="shared" si="17"/>
        <v>34713862100</v>
      </c>
    </row>
    <row r="546" spans="1:20" x14ac:dyDescent="0.3">
      <c r="A546" s="1">
        <v>42424</v>
      </c>
      <c r="B546" t="s">
        <v>457</v>
      </c>
      <c r="C546" t="s">
        <v>18</v>
      </c>
      <c r="D546" t="s">
        <v>19</v>
      </c>
      <c r="E546">
        <v>1.1200000000000001</v>
      </c>
      <c r="F546">
        <v>1.169</v>
      </c>
      <c r="G546">
        <v>1</v>
      </c>
      <c r="H546">
        <v>2.44</v>
      </c>
      <c r="I546" s="2">
        <v>11395017900</v>
      </c>
      <c r="J546" s="2">
        <v>83014135000</v>
      </c>
      <c r="K546" s="2">
        <v>33944285000</v>
      </c>
      <c r="L546" s="2">
        <v>55729100</v>
      </c>
      <c r="M546" s="2">
        <v>3402000000</v>
      </c>
      <c r="N546" s="2">
        <v>6182000000</v>
      </c>
      <c r="O546" s="2">
        <v>7713720000</v>
      </c>
      <c r="P546" s="2">
        <v>52713000000</v>
      </c>
      <c r="Q546" s="2">
        <v>22828565000</v>
      </c>
      <c r="R546" s="2">
        <v>24119135000</v>
      </c>
      <c r="S546" s="2">
        <f t="shared" si="16"/>
        <v>0.16900000000000004</v>
      </c>
      <c r="T546" s="2">
        <f t="shared" si="17"/>
        <v>45395032000</v>
      </c>
    </row>
    <row r="547" spans="1:20" x14ac:dyDescent="0.3">
      <c r="A547" s="1">
        <v>42426</v>
      </c>
      <c r="B547" t="s">
        <v>456</v>
      </c>
      <c r="C547" t="s">
        <v>18</v>
      </c>
      <c r="D547" t="s">
        <v>68</v>
      </c>
      <c r="E547">
        <v>1.51</v>
      </c>
      <c r="F547">
        <v>1.5680000000000001</v>
      </c>
      <c r="G547">
        <v>1.42</v>
      </c>
      <c r="H547">
        <v>2.25</v>
      </c>
      <c r="I547" s="2">
        <v>9384132400</v>
      </c>
      <c r="J547" s="2">
        <v>62865910000</v>
      </c>
      <c r="K547" s="2">
        <v>27979590000</v>
      </c>
      <c r="L547" s="2">
        <v>20432100</v>
      </c>
      <c r="M547" s="2">
        <v>3973000000</v>
      </c>
      <c r="N547" s="2">
        <v>6363000000</v>
      </c>
      <c r="O547" s="2">
        <v>9042600000</v>
      </c>
      <c r="P547" s="2">
        <v>41179000000</v>
      </c>
      <c r="Q547" s="2">
        <v>14963990000</v>
      </c>
      <c r="R547" s="2">
        <v>15323910000</v>
      </c>
      <c r="S547" s="2">
        <f t="shared" si="16"/>
        <v>0.14800000000000013</v>
      </c>
      <c r="T547" s="2">
        <f t="shared" si="17"/>
        <v>37384154500</v>
      </c>
    </row>
    <row r="548" spans="1:20" x14ac:dyDescent="0.3">
      <c r="A548" s="1">
        <v>42437</v>
      </c>
      <c r="B548" t="s">
        <v>458</v>
      </c>
      <c r="C548" t="s">
        <v>18</v>
      </c>
      <c r="D548" t="s">
        <v>52</v>
      </c>
      <c r="E548">
        <v>1</v>
      </c>
      <c r="F548">
        <v>1.0389999999999999</v>
      </c>
      <c r="G548">
        <v>0.9</v>
      </c>
      <c r="H548">
        <v>2.71</v>
      </c>
      <c r="I548" s="2">
        <v>0</v>
      </c>
      <c r="J548" s="2">
        <v>64984800000</v>
      </c>
      <c r="K548" s="2">
        <v>23946760000</v>
      </c>
      <c r="L548" s="2">
        <v>53247400</v>
      </c>
      <c r="M548" s="2">
        <v>2168320000</v>
      </c>
      <c r="N548" s="2">
        <v>5156000000</v>
      </c>
      <c r="O548" s="2">
        <v>10714640000</v>
      </c>
      <c r="P548" s="2">
        <v>47225000000</v>
      </c>
      <c r="Q548" s="2">
        <v>11063800000</v>
      </c>
      <c r="R548" s="2">
        <v>12603800000</v>
      </c>
      <c r="S548" s="2">
        <f t="shared" si="16"/>
        <v>0.1389999999999999</v>
      </c>
      <c r="T548" s="2">
        <f t="shared" si="17"/>
        <v>24000007400</v>
      </c>
    </row>
    <row r="549" spans="1:20" x14ac:dyDescent="0.3">
      <c r="A549" s="1">
        <v>42438</v>
      </c>
      <c r="B549" t="s">
        <v>454</v>
      </c>
      <c r="C549" t="s">
        <v>18</v>
      </c>
      <c r="D549" t="s">
        <v>29</v>
      </c>
      <c r="E549">
        <v>1.83</v>
      </c>
      <c r="F549">
        <v>1.895</v>
      </c>
      <c r="G549">
        <v>1.7609999999999999</v>
      </c>
      <c r="H549">
        <v>2.4900000000000002</v>
      </c>
      <c r="I549" s="2">
        <v>0</v>
      </c>
      <c r="J549" s="2">
        <v>49754660000</v>
      </c>
      <c r="K549" s="2">
        <v>19986700000</v>
      </c>
      <c r="L549" s="2">
        <v>13348200</v>
      </c>
      <c r="M549" s="2">
        <v>2217000000</v>
      </c>
      <c r="N549" s="2">
        <v>3767000000</v>
      </c>
      <c r="O549" s="2">
        <v>6471180000</v>
      </c>
      <c r="P549" s="2">
        <v>34477200000</v>
      </c>
      <c r="Q549" s="2">
        <v>11298520000</v>
      </c>
      <c r="R549" s="2">
        <v>11510460000</v>
      </c>
      <c r="S549" s="2">
        <f t="shared" si="16"/>
        <v>0.13400000000000012</v>
      </c>
      <c r="T549" s="2">
        <f t="shared" si="17"/>
        <v>20000048200</v>
      </c>
    </row>
    <row r="550" spans="1:20" x14ac:dyDescent="0.3">
      <c r="A550" s="1">
        <v>42439</v>
      </c>
      <c r="B550" t="s">
        <v>453</v>
      </c>
      <c r="C550" t="s">
        <v>23</v>
      </c>
      <c r="D550" t="s">
        <v>72</v>
      </c>
      <c r="E550">
        <v>2.6749999999999998</v>
      </c>
      <c r="F550">
        <v>2.72</v>
      </c>
      <c r="G550">
        <v>2.5920000000000001</v>
      </c>
      <c r="H550">
        <v>2.33</v>
      </c>
      <c r="I550" s="2">
        <v>0</v>
      </c>
      <c r="J550" s="2">
        <v>27923110000</v>
      </c>
      <c r="K550" s="2">
        <v>11996210600</v>
      </c>
      <c r="L550" s="2">
        <v>3789500</v>
      </c>
      <c r="M550" s="2">
        <v>1441000000</v>
      </c>
      <c r="N550" s="2">
        <v>2354000000</v>
      </c>
      <c r="O550" s="2">
        <v>3243823000</v>
      </c>
      <c r="P550" s="2">
        <v>17142500000</v>
      </c>
      <c r="Q550" s="2">
        <v>7311387600</v>
      </c>
      <c r="R550" s="2">
        <v>8426610000</v>
      </c>
      <c r="S550" s="2">
        <f t="shared" si="16"/>
        <v>0.12800000000000011</v>
      </c>
      <c r="T550" s="2">
        <f t="shared" si="17"/>
        <v>12000000100</v>
      </c>
    </row>
    <row r="551" spans="1:20" x14ac:dyDescent="0.3">
      <c r="A551" s="1">
        <v>42457</v>
      </c>
      <c r="B551" t="s">
        <v>461</v>
      </c>
      <c r="C551" t="s">
        <v>18</v>
      </c>
      <c r="D551" t="s">
        <v>21</v>
      </c>
      <c r="E551">
        <v>0.83</v>
      </c>
      <c r="F551">
        <v>0.877</v>
      </c>
      <c r="G551">
        <v>0.8</v>
      </c>
      <c r="H551">
        <v>2.58</v>
      </c>
      <c r="I551" s="2">
        <v>6194612100</v>
      </c>
      <c r="J551" s="2">
        <v>66858641000</v>
      </c>
      <c r="K551" s="2">
        <v>25829771000</v>
      </c>
      <c r="L551" s="2">
        <v>170233900</v>
      </c>
      <c r="M551" s="2">
        <v>3923370000</v>
      </c>
      <c r="N551" s="2">
        <v>7436000000</v>
      </c>
      <c r="O551" s="2">
        <v>9658760000</v>
      </c>
      <c r="P551" s="2">
        <v>47060000000</v>
      </c>
      <c r="Q551" s="2">
        <v>12247641000</v>
      </c>
      <c r="R551" s="2">
        <v>12362641000</v>
      </c>
      <c r="S551" s="2">
        <f t="shared" si="16"/>
        <v>7.6999999999999957E-2</v>
      </c>
      <c r="T551" s="2">
        <f t="shared" si="17"/>
        <v>32194617000</v>
      </c>
    </row>
    <row r="552" spans="1:20" x14ac:dyDescent="0.3">
      <c r="A552" s="1">
        <v>42458</v>
      </c>
      <c r="B552" t="s">
        <v>460</v>
      </c>
      <c r="C552" t="s">
        <v>18</v>
      </c>
      <c r="D552" t="s">
        <v>19</v>
      </c>
      <c r="E552">
        <v>1.27</v>
      </c>
      <c r="F552">
        <v>1.335</v>
      </c>
      <c r="G552">
        <v>1.2</v>
      </c>
      <c r="H552">
        <v>2.38</v>
      </c>
      <c r="I552" s="2">
        <v>8100646500</v>
      </c>
      <c r="J552" s="2">
        <v>80737072000</v>
      </c>
      <c r="K552" s="2">
        <v>33943566400</v>
      </c>
      <c r="L552" s="2">
        <v>56473600</v>
      </c>
      <c r="M552" s="2">
        <v>2431246400</v>
      </c>
      <c r="N552" s="2">
        <v>5002000000</v>
      </c>
      <c r="O552" s="2">
        <v>13212248000</v>
      </c>
      <c r="P552" s="2">
        <v>55750000000</v>
      </c>
      <c r="Q552" s="2">
        <v>18300072000</v>
      </c>
      <c r="R552" s="2">
        <v>19985072000</v>
      </c>
      <c r="S552" s="2">
        <f t="shared" si="16"/>
        <v>0.13500000000000001</v>
      </c>
      <c r="T552" s="2">
        <f t="shared" si="17"/>
        <v>42100686500</v>
      </c>
    </row>
    <row r="553" spans="1:20" x14ac:dyDescent="0.3">
      <c r="A553" s="1">
        <v>42459</v>
      </c>
      <c r="B553" t="s">
        <v>459</v>
      </c>
      <c r="C553" t="s">
        <v>18</v>
      </c>
      <c r="D553" t="s">
        <v>68</v>
      </c>
      <c r="E553">
        <v>1.5529999999999999</v>
      </c>
      <c r="F553">
        <v>1.6060000000000001</v>
      </c>
      <c r="G553">
        <v>1.4950000000000001</v>
      </c>
      <c r="H553">
        <v>2.5099999999999998</v>
      </c>
      <c r="I553" s="2">
        <v>6671120600</v>
      </c>
      <c r="J553" s="2">
        <v>70133297000</v>
      </c>
      <c r="K553" s="2">
        <v>27982057000</v>
      </c>
      <c r="L553" s="2">
        <v>17956900</v>
      </c>
      <c r="M553" s="2">
        <v>4336000000</v>
      </c>
      <c r="N553" s="2">
        <v>6654000000</v>
      </c>
      <c r="O553" s="2">
        <v>7468260000</v>
      </c>
      <c r="P553" s="2">
        <v>46133500000</v>
      </c>
      <c r="Q553" s="2">
        <v>16177797000</v>
      </c>
      <c r="R553" s="2">
        <v>17345797000</v>
      </c>
      <c r="S553" s="2">
        <f t="shared" si="16"/>
        <v>0.11099999999999999</v>
      </c>
      <c r="T553" s="2">
        <f t="shared" si="17"/>
        <v>34671134500</v>
      </c>
    </row>
    <row r="554" spans="1:20" x14ac:dyDescent="0.3">
      <c r="A554" s="1">
        <v>42472</v>
      </c>
      <c r="B554" t="s">
        <v>462</v>
      </c>
      <c r="C554" t="s">
        <v>18</v>
      </c>
      <c r="D554" t="s">
        <v>52</v>
      </c>
      <c r="E554">
        <v>0.84</v>
      </c>
      <c r="F554">
        <v>0.89</v>
      </c>
      <c r="G554">
        <v>0.745</v>
      </c>
      <c r="H554">
        <v>2.72</v>
      </c>
      <c r="I554" s="2">
        <v>168895300</v>
      </c>
      <c r="J554" s="2">
        <v>65150300000</v>
      </c>
      <c r="K554" s="2">
        <v>23848430000</v>
      </c>
      <c r="L554" s="2">
        <v>51602500</v>
      </c>
      <c r="M554" s="2">
        <v>2733817500</v>
      </c>
      <c r="N554" s="2">
        <v>5563000000</v>
      </c>
      <c r="O554" s="2">
        <v>7768420000</v>
      </c>
      <c r="P554" s="2">
        <v>45623000000</v>
      </c>
      <c r="Q554" s="2">
        <v>13346192500</v>
      </c>
      <c r="R554" s="2">
        <v>13964300000</v>
      </c>
      <c r="S554" s="2">
        <f t="shared" si="16"/>
        <v>0.14500000000000002</v>
      </c>
      <c r="T554" s="2">
        <f t="shared" si="17"/>
        <v>24068927800</v>
      </c>
    </row>
    <row r="555" spans="1:20" x14ac:dyDescent="0.3">
      <c r="A555" s="1">
        <v>42473</v>
      </c>
      <c r="B555" t="s">
        <v>454</v>
      </c>
      <c r="C555" t="s">
        <v>18</v>
      </c>
      <c r="D555" t="s">
        <v>59</v>
      </c>
      <c r="E555">
        <v>1.7250000000000001</v>
      </c>
      <c r="F555">
        <v>1.7649999999999999</v>
      </c>
      <c r="G555">
        <v>1.651</v>
      </c>
      <c r="H555">
        <v>2.75</v>
      </c>
      <c r="I555" s="2">
        <v>140746000</v>
      </c>
      <c r="J555" s="2">
        <v>54958220000</v>
      </c>
      <c r="K555" s="2">
        <v>19992376000</v>
      </c>
      <c r="L555" s="2">
        <v>7636900</v>
      </c>
      <c r="M555" s="2">
        <v>3052000000</v>
      </c>
      <c r="N555" s="2">
        <v>4757000000</v>
      </c>
      <c r="O555" s="2">
        <v>4952011600</v>
      </c>
      <c r="P555" s="2">
        <v>36626200000</v>
      </c>
      <c r="Q555" s="2">
        <v>11988364400</v>
      </c>
      <c r="R555" s="2">
        <v>13575020000</v>
      </c>
      <c r="S555" s="2">
        <f t="shared" si="16"/>
        <v>0.11399999999999988</v>
      </c>
      <c r="T555" s="2">
        <f t="shared" si="17"/>
        <v>20140758900</v>
      </c>
    </row>
    <row r="556" spans="1:20" x14ac:dyDescent="0.3">
      <c r="A556" s="1">
        <v>42474</v>
      </c>
      <c r="B556" t="s">
        <v>453</v>
      </c>
      <c r="C556" t="s">
        <v>23</v>
      </c>
      <c r="D556" t="s">
        <v>91</v>
      </c>
      <c r="E556">
        <v>2.56</v>
      </c>
      <c r="F556">
        <v>2.5960000000000001</v>
      </c>
      <c r="G556">
        <v>2.3879999999999999</v>
      </c>
      <c r="H556">
        <v>2.4</v>
      </c>
      <c r="I556" s="2">
        <v>84447600</v>
      </c>
      <c r="J556" s="2">
        <v>28813850000</v>
      </c>
      <c r="K556" s="2">
        <v>11987516000</v>
      </c>
      <c r="L556" s="2">
        <v>12487500</v>
      </c>
      <c r="M556" s="2">
        <v>1296500000</v>
      </c>
      <c r="N556" s="2">
        <v>2333500000</v>
      </c>
      <c r="O556" s="2">
        <v>2886345000</v>
      </c>
      <c r="P556" s="2">
        <v>17238500000</v>
      </c>
      <c r="Q556" s="2">
        <v>7804671000</v>
      </c>
      <c r="R556" s="2">
        <v>9241850000</v>
      </c>
      <c r="S556" s="2">
        <f t="shared" si="16"/>
        <v>0.20800000000000018</v>
      </c>
      <c r="T556" s="2">
        <f t="shared" si="17"/>
        <v>12084451100</v>
      </c>
    </row>
    <row r="557" spans="1:20" x14ac:dyDescent="0.3">
      <c r="A557" s="1">
        <v>42485</v>
      </c>
      <c r="B557" t="s">
        <v>464</v>
      </c>
      <c r="C557" t="s">
        <v>18</v>
      </c>
      <c r="D557" t="s">
        <v>21</v>
      </c>
      <c r="E557">
        <v>0.80500000000000005</v>
      </c>
      <c r="F557">
        <v>0.84199999999999997</v>
      </c>
      <c r="G557">
        <v>0.76</v>
      </c>
      <c r="H557">
        <v>2.64</v>
      </c>
      <c r="I557" s="2">
        <v>6909230600</v>
      </c>
      <c r="J557" s="2">
        <v>68568350000</v>
      </c>
      <c r="K557" s="2">
        <v>25859390000</v>
      </c>
      <c r="L557" s="2">
        <v>140635500</v>
      </c>
      <c r="M557" s="2">
        <v>3751000000</v>
      </c>
      <c r="N557" s="2">
        <v>5536000000</v>
      </c>
      <c r="O557" s="2">
        <v>9919440000</v>
      </c>
      <c r="P557" s="2">
        <v>50418400000</v>
      </c>
      <c r="Q557" s="2">
        <v>12188950000</v>
      </c>
      <c r="R557" s="2">
        <v>12613950000</v>
      </c>
      <c r="S557" s="2">
        <f t="shared" si="16"/>
        <v>8.1999999999999962E-2</v>
      </c>
      <c r="T557" s="2">
        <f t="shared" si="17"/>
        <v>32909256100</v>
      </c>
    </row>
    <row r="558" spans="1:20" x14ac:dyDescent="0.3">
      <c r="A558" s="1">
        <v>42486</v>
      </c>
      <c r="B558" t="s">
        <v>463</v>
      </c>
      <c r="C558" t="s">
        <v>18</v>
      </c>
      <c r="D558" t="s">
        <v>19</v>
      </c>
      <c r="E558">
        <v>1.36</v>
      </c>
      <c r="F558">
        <v>1.41</v>
      </c>
      <c r="G558">
        <v>1.2</v>
      </c>
      <c r="H558">
        <v>2.41</v>
      </c>
      <c r="I558" s="2">
        <v>9035147700</v>
      </c>
      <c r="J558" s="2">
        <v>81731140000</v>
      </c>
      <c r="K558" s="2">
        <v>33947734000</v>
      </c>
      <c r="L558" s="2">
        <v>52280000</v>
      </c>
      <c r="M558" s="2">
        <v>2296000000</v>
      </c>
      <c r="N558" s="2">
        <v>3891000000</v>
      </c>
      <c r="O558" s="2">
        <v>10112874000</v>
      </c>
      <c r="P558" s="2">
        <v>54686900000</v>
      </c>
      <c r="Q558" s="2">
        <v>21538860000</v>
      </c>
      <c r="R558" s="2">
        <v>23153240000</v>
      </c>
      <c r="S558" s="2">
        <f t="shared" si="16"/>
        <v>0.20999999999999996</v>
      </c>
      <c r="T558" s="2">
        <f t="shared" si="17"/>
        <v>43035161700</v>
      </c>
    </row>
    <row r="559" spans="1:20" x14ac:dyDescent="0.3">
      <c r="A559" s="1">
        <v>42488</v>
      </c>
      <c r="B559" t="s">
        <v>465</v>
      </c>
      <c r="C559" t="s">
        <v>18</v>
      </c>
      <c r="D559" t="s">
        <v>68</v>
      </c>
      <c r="E559">
        <v>1.6</v>
      </c>
      <c r="F559">
        <v>1.6339999999999999</v>
      </c>
      <c r="G559">
        <v>1.49</v>
      </c>
      <c r="H559">
        <v>2.65</v>
      </c>
      <c r="I559" s="2">
        <v>7440709800</v>
      </c>
      <c r="J559" s="2">
        <v>74243465000</v>
      </c>
      <c r="K559" s="2">
        <v>27973669000</v>
      </c>
      <c r="L559" s="2">
        <v>26339300</v>
      </c>
      <c r="M559" s="2">
        <v>3979000000</v>
      </c>
      <c r="N559" s="2">
        <v>5179000000</v>
      </c>
      <c r="O559" s="2">
        <v>5659035000</v>
      </c>
      <c r="P559" s="2">
        <v>48563500000</v>
      </c>
      <c r="Q559" s="2">
        <v>18335634000</v>
      </c>
      <c r="R559" s="2">
        <v>20500965000</v>
      </c>
      <c r="S559" s="2">
        <f t="shared" si="16"/>
        <v>0.14399999999999991</v>
      </c>
      <c r="T559" s="2">
        <f t="shared" si="17"/>
        <v>35440718100</v>
      </c>
    </row>
    <row r="560" spans="1:20" x14ac:dyDescent="0.3">
      <c r="A560" s="1">
        <v>42500</v>
      </c>
      <c r="B560" t="s">
        <v>468</v>
      </c>
      <c r="C560" t="s">
        <v>18</v>
      </c>
      <c r="D560" t="s">
        <v>52</v>
      </c>
      <c r="E560">
        <v>0.84499999999999997</v>
      </c>
      <c r="F560">
        <v>0.875</v>
      </c>
      <c r="G560">
        <v>0.75</v>
      </c>
      <c r="H560">
        <v>2.93</v>
      </c>
      <c r="I560" s="2">
        <v>5427606600</v>
      </c>
      <c r="J560" s="2">
        <v>70334050000</v>
      </c>
      <c r="K560" s="2">
        <v>23930900000</v>
      </c>
      <c r="L560" s="2">
        <v>69141800</v>
      </c>
      <c r="M560" s="2">
        <v>2447000000</v>
      </c>
      <c r="N560" s="2">
        <v>5257000000</v>
      </c>
      <c r="O560" s="2">
        <v>6766080000</v>
      </c>
      <c r="P560" s="2">
        <v>48131400000</v>
      </c>
      <c r="Q560" s="2">
        <v>14717820000</v>
      </c>
      <c r="R560" s="2">
        <v>16945650000</v>
      </c>
      <c r="S560" s="2">
        <f t="shared" si="16"/>
        <v>0.125</v>
      </c>
      <c r="T560" s="2">
        <f t="shared" si="17"/>
        <v>29427648400</v>
      </c>
    </row>
    <row r="561" spans="1:20" x14ac:dyDescent="0.3">
      <c r="A561" s="1">
        <v>42501</v>
      </c>
      <c r="B561" t="s">
        <v>467</v>
      </c>
      <c r="C561" t="s">
        <v>18</v>
      </c>
      <c r="D561" t="s">
        <v>26</v>
      </c>
      <c r="E561">
        <v>1.68</v>
      </c>
      <c r="F561">
        <v>1.71</v>
      </c>
      <c r="G561">
        <v>1.6</v>
      </c>
      <c r="H561">
        <v>2.68</v>
      </c>
      <c r="I561" s="2">
        <v>5201456300</v>
      </c>
      <c r="J561" s="2">
        <v>61673680000</v>
      </c>
      <c r="K561" s="2">
        <v>22968975500</v>
      </c>
      <c r="L561" s="2">
        <v>31051400</v>
      </c>
      <c r="M561" s="2">
        <v>2708000000</v>
      </c>
      <c r="N561" s="2">
        <v>3655000000</v>
      </c>
      <c r="O561" s="2">
        <v>3382496000</v>
      </c>
      <c r="P561" s="2">
        <v>38851900000</v>
      </c>
      <c r="Q561" s="2">
        <v>16878479500</v>
      </c>
      <c r="R561" s="2">
        <v>19166780000</v>
      </c>
      <c r="S561" s="2">
        <f t="shared" si="16"/>
        <v>0.10999999999999988</v>
      </c>
      <c r="T561" s="2">
        <f t="shared" si="17"/>
        <v>28201483200</v>
      </c>
    </row>
    <row r="562" spans="1:20" x14ac:dyDescent="0.3">
      <c r="A562" s="1">
        <v>42502</v>
      </c>
      <c r="B562" t="s">
        <v>466</v>
      </c>
      <c r="C562" t="s">
        <v>23</v>
      </c>
      <c r="D562" t="s">
        <v>65</v>
      </c>
      <c r="E562">
        <v>2.5539999999999998</v>
      </c>
      <c r="F562">
        <v>2.6150000000000002</v>
      </c>
      <c r="G562">
        <v>2.3879999999999999</v>
      </c>
      <c r="H562">
        <v>2.19</v>
      </c>
      <c r="I562" s="2">
        <v>3392254100</v>
      </c>
      <c r="J562" s="2">
        <v>32875816000</v>
      </c>
      <c r="K562" s="2">
        <v>14984696000</v>
      </c>
      <c r="L562" s="2">
        <v>15338800</v>
      </c>
      <c r="M562" s="2">
        <v>1315000000</v>
      </c>
      <c r="N562" s="2">
        <v>1930000000</v>
      </c>
      <c r="O562" s="2">
        <v>4719288000</v>
      </c>
      <c r="P562" s="2">
        <v>21041200000</v>
      </c>
      <c r="Q562" s="2">
        <v>8950408000</v>
      </c>
      <c r="R562" s="2">
        <v>9904616000</v>
      </c>
      <c r="S562" s="2">
        <f t="shared" si="16"/>
        <v>0.22700000000000031</v>
      </c>
      <c r="T562" s="2">
        <f t="shared" si="17"/>
        <v>18392288900</v>
      </c>
    </row>
    <row r="563" spans="1:20" x14ac:dyDescent="0.3">
      <c r="A563" s="1">
        <v>42514</v>
      </c>
      <c r="B563" t="s">
        <v>471</v>
      </c>
      <c r="C563" t="s">
        <v>18</v>
      </c>
      <c r="D563" t="s">
        <v>21</v>
      </c>
      <c r="E563">
        <v>0.9</v>
      </c>
      <c r="F563">
        <v>0.92</v>
      </c>
      <c r="G563">
        <v>0.8</v>
      </c>
      <c r="H563">
        <v>3</v>
      </c>
      <c r="I563" s="2">
        <v>6630728300</v>
      </c>
      <c r="J563" s="2">
        <v>77861588000</v>
      </c>
      <c r="K563" s="2">
        <v>25792767000</v>
      </c>
      <c r="L563" s="2">
        <v>207242100</v>
      </c>
      <c r="M563" s="2">
        <v>8387350000</v>
      </c>
      <c r="N563" s="2">
        <v>10791000000</v>
      </c>
      <c r="O563" s="2">
        <v>4564245000</v>
      </c>
      <c r="P563" s="2">
        <v>51636400000</v>
      </c>
      <c r="Q563" s="2">
        <v>12841172000</v>
      </c>
      <c r="R563" s="2">
        <v>15434188000</v>
      </c>
      <c r="S563" s="2">
        <f t="shared" si="16"/>
        <v>0.12</v>
      </c>
      <c r="T563" s="2">
        <f t="shared" si="17"/>
        <v>32630737400</v>
      </c>
    </row>
    <row r="564" spans="1:20" x14ac:dyDescent="0.3">
      <c r="A564" s="1">
        <v>42515</v>
      </c>
      <c r="B564" t="s">
        <v>470</v>
      </c>
      <c r="C564" t="s">
        <v>18</v>
      </c>
      <c r="D564" t="s">
        <v>19</v>
      </c>
      <c r="E564">
        <v>1.35</v>
      </c>
      <c r="F564">
        <v>1.395</v>
      </c>
      <c r="G564">
        <v>1.2849999999999999</v>
      </c>
      <c r="H564">
        <v>2.6</v>
      </c>
      <c r="I564" s="2">
        <v>8670952300</v>
      </c>
      <c r="J564" s="2">
        <v>88289420000</v>
      </c>
      <c r="K564" s="2">
        <v>33942055000</v>
      </c>
      <c r="L564" s="2">
        <v>58080700</v>
      </c>
      <c r="M564" s="2">
        <v>3925000000</v>
      </c>
      <c r="N564" s="2">
        <v>5545000000</v>
      </c>
      <c r="O564" s="2">
        <v>7404000000</v>
      </c>
      <c r="P564" s="2">
        <v>56349000000</v>
      </c>
      <c r="Q564" s="2">
        <v>22613055000</v>
      </c>
      <c r="R564" s="2">
        <v>26395420000</v>
      </c>
      <c r="S564" s="2">
        <f t="shared" si="16"/>
        <v>0.1100000000000001</v>
      </c>
      <c r="T564" s="2">
        <f t="shared" si="17"/>
        <v>42671088000</v>
      </c>
    </row>
    <row r="565" spans="1:20" x14ac:dyDescent="0.3">
      <c r="A565" s="1">
        <v>42516</v>
      </c>
      <c r="B565" t="s">
        <v>469</v>
      </c>
      <c r="C565" t="s">
        <v>18</v>
      </c>
      <c r="D565" t="s">
        <v>68</v>
      </c>
      <c r="E565">
        <v>1.615</v>
      </c>
      <c r="F565">
        <v>1.6519999999999999</v>
      </c>
      <c r="G565">
        <v>1.5</v>
      </c>
      <c r="H565">
        <v>2.57</v>
      </c>
      <c r="I565" s="2">
        <v>7140784200</v>
      </c>
      <c r="J565" s="2">
        <v>72018527000</v>
      </c>
      <c r="K565" s="2">
        <v>27975020500</v>
      </c>
      <c r="L565" s="2">
        <v>24990000</v>
      </c>
      <c r="M565" s="2">
        <v>4717000000</v>
      </c>
      <c r="N565" s="2">
        <v>5848000000</v>
      </c>
      <c r="O565" s="2">
        <v>5183087500</v>
      </c>
      <c r="P565" s="2">
        <v>45513800000</v>
      </c>
      <c r="Q565" s="2">
        <v>18074933000</v>
      </c>
      <c r="R565" s="2">
        <v>20656727000</v>
      </c>
      <c r="S565" s="2">
        <f t="shared" si="16"/>
        <v>0.15199999999999991</v>
      </c>
      <c r="T565" s="2">
        <f t="shared" si="17"/>
        <v>35140794700</v>
      </c>
    </row>
    <row r="566" spans="1:20" x14ac:dyDescent="0.3">
      <c r="A566" s="1">
        <v>42528</v>
      </c>
      <c r="B566" t="s">
        <v>472</v>
      </c>
      <c r="C566" t="s">
        <v>18</v>
      </c>
      <c r="D566" t="s">
        <v>52</v>
      </c>
      <c r="E566">
        <v>0.88</v>
      </c>
      <c r="F566">
        <v>0.93</v>
      </c>
      <c r="G566">
        <v>0.68799999999999994</v>
      </c>
      <c r="H566">
        <v>2.79</v>
      </c>
      <c r="I566" s="2">
        <v>0</v>
      </c>
      <c r="J566" s="2">
        <v>66970700000</v>
      </c>
      <c r="K566" s="2">
        <v>23970054500</v>
      </c>
      <c r="L566" s="2">
        <v>30001900</v>
      </c>
      <c r="M566" s="2">
        <v>2660000000</v>
      </c>
      <c r="N566" s="2">
        <v>4380000000</v>
      </c>
      <c r="O566" s="2">
        <v>9784110000</v>
      </c>
      <c r="P566" s="2">
        <v>50163400000</v>
      </c>
      <c r="Q566" s="2">
        <v>11525944500</v>
      </c>
      <c r="R566" s="2">
        <v>12427300000</v>
      </c>
      <c r="S566" s="2">
        <f t="shared" si="16"/>
        <v>0.2420000000000001</v>
      </c>
      <c r="T566" s="2">
        <f t="shared" si="17"/>
        <v>24000056400</v>
      </c>
    </row>
    <row r="567" spans="1:20" x14ac:dyDescent="0.3">
      <c r="A567" s="1">
        <v>42529</v>
      </c>
      <c r="B567" t="s">
        <v>467</v>
      </c>
      <c r="C567" t="s">
        <v>18</v>
      </c>
      <c r="D567" t="s">
        <v>29</v>
      </c>
      <c r="E567">
        <v>1.66</v>
      </c>
      <c r="F567">
        <v>1.702</v>
      </c>
      <c r="G567">
        <v>1.595</v>
      </c>
      <c r="H567">
        <v>2.7</v>
      </c>
      <c r="I567" s="2">
        <v>0</v>
      </c>
      <c r="J567" s="2">
        <v>54007440000</v>
      </c>
      <c r="K567" s="2">
        <v>19987961500</v>
      </c>
      <c r="L567" s="2">
        <v>12054100</v>
      </c>
      <c r="M567" s="2">
        <v>1430000000</v>
      </c>
      <c r="N567" s="2">
        <v>2300000000</v>
      </c>
      <c r="O567" s="2">
        <v>3840695500</v>
      </c>
      <c r="P567" s="2">
        <v>35130900000</v>
      </c>
      <c r="Q567" s="2">
        <v>14717266000</v>
      </c>
      <c r="R567" s="2">
        <v>16576540000</v>
      </c>
      <c r="S567" s="2">
        <f t="shared" si="16"/>
        <v>0.10699999999999998</v>
      </c>
      <c r="T567" s="2">
        <f t="shared" si="17"/>
        <v>20000015600</v>
      </c>
    </row>
    <row r="568" spans="1:20" x14ac:dyDescent="0.3">
      <c r="A568" s="1">
        <v>42530</v>
      </c>
      <c r="B568" t="s">
        <v>466</v>
      </c>
      <c r="C568" t="s">
        <v>23</v>
      </c>
      <c r="D568" t="s">
        <v>72</v>
      </c>
      <c r="E568">
        <v>2.4300000000000002</v>
      </c>
      <c r="F568">
        <v>2.4750000000000001</v>
      </c>
      <c r="G568">
        <v>2.2999999999999998</v>
      </c>
      <c r="H568">
        <v>2.42</v>
      </c>
      <c r="I568" s="2">
        <v>0</v>
      </c>
      <c r="J568" s="2">
        <v>29078129000</v>
      </c>
      <c r="K568" s="2">
        <v>11997283500</v>
      </c>
      <c r="L568" s="2">
        <v>2731100</v>
      </c>
      <c r="M568" s="2">
        <v>970174500</v>
      </c>
      <c r="N568" s="2">
        <v>1477000000</v>
      </c>
      <c r="O568" s="2">
        <v>3236609500</v>
      </c>
      <c r="P568" s="2">
        <v>18684200000</v>
      </c>
      <c r="Q568" s="2">
        <v>7790499500</v>
      </c>
      <c r="R568" s="2">
        <v>8916929000</v>
      </c>
      <c r="S568" s="2">
        <f t="shared" si="16"/>
        <v>0.17500000000000027</v>
      </c>
      <c r="T568" s="2">
        <f t="shared" si="17"/>
        <v>12000014600</v>
      </c>
    </row>
    <row r="569" spans="1:20" x14ac:dyDescent="0.3">
      <c r="A569" s="1">
        <v>42541</v>
      </c>
      <c r="B569" t="s">
        <v>475</v>
      </c>
      <c r="C569" t="s">
        <v>18</v>
      </c>
      <c r="D569" t="s">
        <v>21</v>
      </c>
      <c r="E569">
        <v>0.7</v>
      </c>
      <c r="F569">
        <v>0.745</v>
      </c>
      <c r="G569">
        <v>0.38800000000000001</v>
      </c>
      <c r="H569">
        <v>2.72</v>
      </c>
      <c r="I569" s="2">
        <v>3792895400</v>
      </c>
      <c r="J569" s="2">
        <v>70540600000</v>
      </c>
      <c r="K569" s="2">
        <v>25861780000</v>
      </c>
      <c r="L569" s="2">
        <v>138285400</v>
      </c>
      <c r="M569" s="2">
        <v>2565000000</v>
      </c>
      <c r="N569" s="2">
        <v>3715000000</v>
      </c>
      <c r="O569" s="2">
        <v>11049385000</v>
      </c>
      <c r="P569" s="2">
        <v>54307000000</v>
      </c>
      <c r="Q569" s="2">
        <v>12247395000</v>
      </c>
      <c r="R569" s="2">
        <v>12518600000</v>
      </c>
      <c r="S569" s="2">
        <f t="shared" si="16"/>
        <v>0.35699999999999998</v>
      </c>
      <c r="T569" s="2">
        <f t="shared" si="17"/>
        <v>29792960800</v>
      </c>
    </row>
    <row r="570" spans="1:20" x14ac:dyDescent="0.3">
      <c r="A570" s="1">
        <v>42542</v>
      </c>
      <c r="B570" t="s">
        <v>474</v>
      </c>
      <c r="C570" t="s">
        <v>18</v>
      </c>
      <c r="D570" t="s">
        <v>19</v>
      </c>
      <c r="E570">
        <v>1.165</v>
      </c>
      <c r="F570">
        <v>1.218</v>
      </c>
      <c r="G570">
        <v>1.1000000000000001</v>
      </c>
      <c r="H570">
        <v>2.29</v>
      </c>
      <c r="I570" s="2">
        <v>4959940200</v>
      </c>
      <c r="J570" s="2">
        <v>77855800000</v>
      </c>
      <c r="K570" s="2">
        <v>33968028600</v>
      </c>
      <c r="L570" s="2">
        <v>32013100</v>
      </c>
      <c r="M570" s="2">
        <v>1266000000</v>
      </c>
      <c r="N570" s="2">
        <v>2716000000</v>
      </c>
      <c r="O570" s="2">
        <v>13268228600</v>
      </c>
      <c r="P570" s="2">
        <v>55599000000</v>
      </c>
      <c r="Q570" s="2">
        <v>19433800000</v>
      </c>
      <c r="R570" s="2">
        <v>19540800000</v>
      </c>
      <c r="S570" s="2">
        <f t="shared" si="16"/>
        <v>0.11799999999999988</v>
      </c>
      <c r="T570" s="2">
        <f t="shared" si="17"/>
        <v>38959981900</v>
      </c>
    </row>
    <row r="571" spans="1:20" x14ac:dyDescent="0.3">
      <c r="A571" s="1">
        <v>42543</v>
      </c>
      <c r="B571" t="s">
        <v>473</v>
      </c>
      <c r="C571" t="s">
        <v>18</v>
      </c>
      <c r="D571" t="s">
        <v>68</v>
      </c>
      <c r="E571">
        <v>1.4490000000000001</v>
      </c>
      <c r="F571">
        <v>1.4970000000000001</v>
      </c>
      <c r="G571">
        <v>1.35</v>
      </c>
      <c r="H571">
        <v>2.56</v>
      </c>
      <c r="I571" s="2">
        <v>4084656500</v>
      </c>
      <c r="J571" s="2">
        <v>71633493000</v>
      </c>
      <c r="K571" s="2">
        <v>27992960200</v>
      </c>
      <c r="L571" s="2">
        <v>7047200</v>
      </c>
      <c r="M571" s="2">
        <v>2557000000</v>
      </c>
      <c r="N571" s="2">
        <v>3827000000</v>
      </c>
      <c r="O571" s="2">
        <v>7076240000</v>
      </c>
      <c r="P571" s="2">
        <v>48109000000</v>
      </c>
      <c r="Q571" s="2">
        <v>18359720200</v>
      </c>
      <c r="R571" s="2">
        <v>19697493000</v>
      </c>
      <c r="S571" s="2">
        <f t="shared" si="16"/>
        <v>0.14700000000000002</v>
      </c>
      <c r="T571" s="2">
        <f t="shared" si="17"/>
        <v>32084663900</v>
      </c>
    </row>
    <row r="572" spans="1:20" x14ac:dyDescent="0.3">
      <c r="A572" s="1">
        <v>42562</v>
      </c>
      <c r="B572" t="s">
        <v>476</v>
      </c>
      <c r="C572" t="s">
        <v>18</v>
      </c>
      <c r="D572" t="s">
        <v>52</v>
      </c>
      <c r="E572">
        <v>0.73</v>
      </c>
      <c r="F572">
        <v>0.76500000000000001</v>
      </c>
      <c r="G572">
        <v>0.6</v>
      </c>
      <c r="H572">
        <v>2.69</v>
      </c>
      <c r="I572" s="2">
        <v>1563173600</v>
      </c>
      <c r="J572" s="2">
        <v>64405300000</v>
      </c>
      <c r="K572" s="2">
        <v>23952075000</v>
      </c>
      <c r="L572" s="2">
        <v>47951700</v>
      </c>
      <c r="M572" s="2">
        <v>3791000000</v>
      </c>
      <c r="N572" s="2">
        <v>5301000000</v>
      </c>
      <c r="O572" s="2">
        <v>9442870000</v>
      </c>
      <c r="P572" s="2">
        <v>47444000000</v>
      </c>
      <c r="Q572" s="2">
        <v>10718205000</v>
      </c>
      <c r="R572" s="2">
        <v>11660300000</v>
      </c>
      <c r="S572" s="2">
        <f t="shared" si="16"/>
        <v>0.16500000000000004</v>
      </c>
      <c r="T572" s="2">
        <f t="shared" si="17"/>
        <v>25563200300</v>
      </c>
    </row>
    <row r="573" spans="1:20" x14ac:dyDescent="0.3">
      <c r="A573" s="1">
        <v>42563</v>
      </c>
      <c r="B573" t="s">
        <v>467</v>
      </c>
      <c r="C573" t="s">
        <v>18</v>
      </c>
      <c r="D573" t="s">
        <v>59</v>
      </c>
      <c r="E573">
        <v>1.47</v>
      </c>
      <c r="F573">
        <v>1.516</v>
      </c>
      <c r="G573">
        <v>1.395</v>
      </c>
      <c r="H573">
        <v>2.33</v>
      </c>
      <c r="I573" s="2">
        <v>1302644700</v>
      </c>
      <c r="J573" s="2">
        <v>46568336000</v>
      </c>
      <c r="K573" s="2">
        <v>19995341000</v>
      </c>
      <c r="L573" s="2">
        <v>4660500</v>
      </c>
      <c r="M573" s="2">
        <v>1588155000</v>
      </c>
      <c r="N573" s="2">
        <v>2390000000</v>
      </c>
      <c r="O573" s="2">
        <v>7546850000</v>
      </c>
      <c r="P573" s="2">
        <v>33028000000</v>
      </c>
      <c r="Q573" s="2">
        <v>10860336000</v>
      </c>
      <c r="R573" s="2">
        <v>11150336000</v>
      </c>
      <c r="S573" s="2">
        <f t="shared" si="16"/>
        <v>0.121</v>
      </c>
      <c r="T573" s="2">
        <f t="shared" si="17"/>
        <v>21302646200</v>
      </c>
    </row>
    <row r="574" spans="1:20" x14ac:dyDescent="0.3">
      <c r="A574" s="1">
        <v>42564</v>
      </c>
      <c r="B574" t="s">
        <v>466</v>
      </c>
      <c r="C574" t="s">
        <v>23</v>
      </c>
      <c r="D574" t="s">
        <v>91</v>
      </c>
      <c r="E574">
        <v>2.13</v>
      </c>
      <c r="F574">
        <v>2.1720000000000002</v>
      </c>
      <c r="G574">
        <v>2</v>
      </c>
      <c r="H574">
        <v>2.48</v>
      </c>
      <c r="I574" s="2">
        <v>781586800</v>
      </c>
      <c r="J574" s="2">
        <v>29813473000</v>
      </c>
      <c r="K574" s="2">
        <v>11996909400</v>
      </c>
      <c r="L574" s="2">
        <v>3090800</v>
      </c>
      <c r="M574" s="2">
        <v>1009500000</v>
      </c>
      <c r="N574" s="2">
        <v>1518500000</v>
      </c>
      <c r="O574" s="2">
        <v>2770188000</v>
      </c>
      <c r="P574" s="2">
        <v>18086000000</v>
      </c>
      <c r="Q574" s="2">
        <v>8217221400</v>
      </c>
      <c r="R574" s="2">
        <v>10208973000</v>
      </c>
      <c r="S574" s="2">
        <f t="shared" si="16"/>
        <v>0.17200000000000015</v>
      </c>
      <c r="T574" s="2">
        <f t="shared" si="17"/>
        <v>12781587000</v>
      </c>
    </row>
    <row r="575" spans="1:20" x14ac:dyDescent="0.3">
      <c r="A575" s="1">
        <v>42576</v>
      </c>
      <c r="B575" t="s">
        <v>479</v>
      </c>
      <c r="C575" t="s">
        <v>18</v>
      </c>
      <c r="D575" t="s">
        <v>21</v>
      </c>
      <c r="E575">
        <v>0.72699999999999998</v>
      </c>
      <c r="F575">
        <v>0.76</v>
      </c>
      <c r="G575">
        <v>0.6</v>
      </c>
      <c r="H575">
        <v>2.52</v>
      </c>
      <c r="I575" s="2">
        <v>1815682000</v>
      </c>
      <c r="J575" s="2">
        <v>65354250000</v>
      </c>
      <c r="K575" s="2">
        <v>25827210000</v>
      </c>
      <c r="L575" s="2">
        <v>172949100</v>
      </c>
      <c r="M575" s="2">
        <v>2668000000</v>
      </c>
      <c r="N575" s="2">
        <v>4168000000</v>
      </c>
      <c r="O575" s="2">
        <v>15442960000</v>
      </c>
      <c r="P575" s="2">
        <v>53470000000</v>
      </c>
      <c r="Q575" s="2">
        <v>7716250000</v>
      </c>
      <c r="R575" s="2">
        <v>7716250000</v>
      </c>
      <c r="S575" s="2">
        <f t="shared" si="16"/>
        <v>0.16000000000000003</v>
      </c>
      <c r="T575" s="2">
        <f t="shared" si="17"/>
        <v>27815841100</v>
      </c>
    </row>
    <row r="576" spans="1:20" x14ac:dyDescent="0.3">
      <c r="A576" s="1">
        <v>42577</v>
      </c>
      <c r="B576" t="s">
        <v>478</v>
      </c>
      <c r="C576" t="s">
        <v>18</v>
      </c>
      <c r="D576" t="s">
        <v>19</v>
      </c>
      <c r="E576">
        <v>1.1299999999999999</v>
      </c>
      <c r="F576">
        <v>1.18</v>
      </c>
      <c r="G576">
        <v>1.04</v>
      </c>
      <c r="H576">
        <v>2.27</v>
      </c>
      <c r="I576" s="2">
        <v>2374353200</v>
      </c>
      <c r="J576" s="2">
        <v>77082777000</v>
      </c>
      <c r="K576" s="2">
        <v>33969972000</v>
      </c>
      <c r="L576" s="2">
        <v>30112700</v>
      </c>
      <c r="M576" s="2">
        <v>1606000000</v>
      </c>
      <c r="N576" s="2">
        <v>3206000000</v>
      </c>
      <c r="O576" s="2">
        <v>14141442500</v>
      </c>
      <c r="P576" s="2">
        <v>55619000000</v>
      </c>
      <c r="Q576" s="2">
        <v>18222529500</v>
      </c>
      <c r="R576" s="2">
        <v>18257777000</v>
      </c>
      <c r="S576" s="2">
        <f t="shared" si="16"/>
        <v>0.1399999999999999</v>
      </c>
      <c r="T576" s="2">
        <f t="shared" si="17"/>
        <v>36374437900</v>
      </c>
    </row>
    <row r="577" spans="1:20" x14ac:dyDescent="0.3">
      <c r="A577" s="1">
        <v>42579</v>
      </c>
      <c r="B577" t="s">
        <v>477</v>
      </c>
      <c r="C577" t="s">
        <v>18</v>
      </c>
      <c r="D577" t="s">
        <v>68</v>
      </c>
      <c r="E577">
        <v>1.2969999999999999</v>
      </c>
      <c r="F577">
        <v>1.34</v>
      </c>
      <c r="G577">
        <v>1.2</v>
      </c>
      <c r="H577">
        <v>2.5099999999999998</v>
      </c>
      <c r="I577" s="2">
        <v>1955349700</v>
      </c>
      <c r="J577" s="2">
        <v>70368277000</v>
      </c>
      <c r="K577" s="2">
        <v>27985785000</v>
      </c>
      <c r="L577" s="2">
        <v>14288800</v>
      </c>
      <c r="M577" s="2">
        <v>2158752000</v>
      </c>
      <c r="N577" s="2">
        <v>3378000000</v>
      </c>
      <c r="O577" s="2">
        <v>7507176000</v>
      </c>
      <c r="P577" s="2">
        <v>47487000000</v>
      </c>
      <c r="Q577" s="2">
        <v>18319857000</v>
      </c>
      <c r="R577" s="2">
        <v>19503277000</v>
      </c>
      <c r="S577" s="2">
        <f t="shared" si="16"/>
        <v>0.14000000000000012</v>
      </c>
      <c r="T577" s="2">
        <f t="shared" si="17"/>
        <v>29955423500</v>
      </c>
    </row>
    <row r="578" spans="1:20" x14ac:dyDescent="0.3">
      <c r="A578" s="1">
        <v>42591</v>
      </c>
      <c r="B578" t="s">
        <v>481</v>
      </c>
      <c r="C578" t="s">
        <v>18</v>
      </c>
      <c r="D578" t="s">
        <v>52</v>
      </c>
      <c r="E578">
        <v>0.8</v>
      </c>
      <c r="F578">
        <v>0.85</v>
      </c>
      <c r="G578">
        <v>0.68799999999999994</v>
      </c>
      <c r="H578">
        <v>2.98</v>
      </c>
      <c r="I578" s="2">
        <v>2458280200</v>
      </c>
      <c r="J578" s="2">
        <v>71565400000</v>
      </c>
      <c r="K578" s="2">
        <v>23958877000</v>
      </c>
      <c r="L578" s="2">
        <v>41168600</v>
      </c>
      <c r="M578" s="2">
        <v>2268000000</v>
      </c>
      <c r="N578" s="2">
        <v>3828000000</v>
      </c>
      <c r="O578" s="2">
        <v>8069477000</v>
      </c>
      <c r="P578" s="2">
        <v>51955000000</v>
      </c>
      <c r="Q578" s="2">
        <v>13621400000</v>
      </c>
      <c r="R578" s="2">
        <v>15782400000</v>
      </c>
      <c r="S578" s="2">
        <f t="shared" ref="S578:S641" si="18">SUM($F578,-$G578)</f>
        <v>0.16200000000000003</v>
      </c>
      <c r="T578" s="2">
        <f t="shared" ref="T578:T641" si="19">SUM(I578,K578,L578)</f>
        <v>26458325800</v>
      </c>
    </row>
    <row r="579" spans="1:20" x14ac:dyDescent="0.3">
      <c r="A579" s="1">
        <v>42592</v>
      </c>
      <c r="B579" t="s">
        <v>482</v>
      </c>
      <c r="C579" t="s">
        <v>18</v>
      </c>
      <c r="D579" t="s">
        <v>26</v>
      </c>
      <c r="E579">
        <v>1.45</v>
      </c>
      <c r="F579">
        <v>1.5029999999999999</v>
      </c>
      <c r="G579">
        <v>1.3879999999999999</v>
      </c>
      <c r="H579">
        <v>2.4300000000000002</v>
      </c>
      <c r="I579" s="2">
        <v>2355851800</v>
      </c>
      <c r="J579" s="2">
        <v>55889450000</v>
      </c>
      <c r="K579" s="2">
        <v>22983250000</v>
      </c>
      <c r="L579" s="2">
        <v>16778600</v>
      </c>
      <c r="M579" s="2">
        <v>1757000000</v>
      </c>
      <c r="N579" s="2">
        <v>2802000000</v>
      </c>
      <c r="O579" s="2">
        <v>4636800000</v>
      </c>
      <c r="P579" s="2">
        <v>34894000000</v>
      </c>
      <c r="Q579" s="2">
        <v>16589450000</v>
      </c>
      <c r="R579" s="2">
        <v>18193450000</v>
      </c>
      <c r="S579" s="2">
        <f t="shared" si="18"/>
        <v>0.11499999999999999</v>
      </c>
      <c r="T579" s="2">
        <f t="shared" si="19"/>
        <v>25355880400</v>
      </c>
    </row>
    <row r="580" spans="1:20" x14ac:dyDescent="0.3">
      <c r="A580" s="1">
        <v>42593</v>
      </c>
      <c r="B580" t="s">
        <v>480</v>
      </c>
      <c r="C580" t="s">
        <v>23</v>
      </c>
      <c r="D580" t="s">
        <v>65</v>
      </c>
      <c r="E580">
        <v>2.2050000000000001</v>
      </c>
      <c r="F580">
        <v>2.274</v>
      </c>
      <c r="G580">
        <v>2.0880000000000001</v>
      </c>
      <c r="H580">
        <v>2.2400000000000002</v>
      </c>
      <c r="I580" s="2">
        <v>1536425000</v>
      </c>
      <c r="J580" s="2">
        <v>33527371000</v>
      </c>
      <c r="K580" s="2">
        <v>14994474400</v>
      </c>
      <c r="L580" s="2">
        <v>5545200</v>
      </c>
      <c r="M580" s="2">
        <v>1633980000</v>
      </c>
      <c r="N580" s="2">
        <v>2437000000</v>
      </c>
      <c r="O580" s="2">
        <v>4146168000</v>
      </c>
      <c r="P580" s="2">
        <v>21066000000</v>
      </c>
      <c r="Q580" s="2">
        <v>9214326400</v>
      </c>
      <c r="R580" s="2">
        <v>10024371000</v>
      </c>
      <c r="S580" s="2">
        <f t="shared" si="18"/>
        <v>0.18599999999999994</v>
      </c>
      <c r="T580" s="2">
        <f t="shared" si="19"/>
        <v>16536444600</v>
      </c>
    </row>
    <row r="581" spans="1:20" x14ac:dyDescent="0.3">
      <c r="A581" s="1">
        <v>42605</v>
      </c>
      <c r="B581" t="s">
        <v>485</v>
      </c>
      <c r="C581" t="s">
        <v>18</v>
      </c>
      <c r="D581" t="s">
        <v>21</v>
      </c>
      <c r="E581">
        <v>0.71</v>
      </c>
      <c r="F581">
        <v>0.76</v>
      </c>
      <c r="G581">
        <v>0.65</v>
      </c>
      <c r="H581">
        <v>2.83</v>
      </c>
      <c r="I581" s="2">
        <v>1778095100</v>
      </c>
      <c r="J581" s="2">
        <v>73423000000</v>
      </c>
      <c r="K581" s="2">
        <v>25821775000</v>
      </c>
      <c r="L581" s="2">
        <v>178336300</v>
      </c>
      <c r="M581" s="2">
        <v>6498400000</v>
      </c>
      <c r="N581" s="2">
        <v>9294000000</v>
      </c>
      <c r="O581" s="2">
        <v>7492210000</v>
      </c>
      <c r="P581" s="2">
        <v>50023000000</v>
      </c>
      <c r="Q581" s="2">
        <v>11831165000</v>
      </c>
      <c r="R581" s="2">
        <v>14106000000</v>
      </c>
      <c r="S581" s="2">
        <f t="shared" si="18"/>
        <v>0.10999999999999999</v>
      </c>
      <c r="T581" s="2">
        <f t="shared" si="19"/>
        <v>27778206400</v>
      </c>
    </row>
    <row r="582" spans="1:20" x14ac:dyDescent="0.3">
      <c r="A582" s="1">
        <v>42606</v>
      </c>
      <c r="B582" t="s">
        <v>484</v>
      </c>
      <c r="C582" t="s">
        <v>18</v>
      </c>
      <c r="D582" t="s">
        <v>19</v>
      </c>
      <c r="E582">
        <v>1.08</v>
      </c>
      <c r="F582">
        <v>1.125</v>
      </c>
      <c r="G582">
        <v>1.03</v>
      </c>
      <c r="H582">
        <v>2.54</v>
      </c>
      <c r="I582" s="2">
        <v>2325201200</v>
      </c>
      <c r="J582" s="2">
        <v>86405895000</v>
      </c>
      <c r="K582" s="2">
        <v>33957302600</v>
      </c>
      <c r="L582" s="2">
        <v>42787000</v>
      </c>
      <c r="M582" s="2">
        <v>2089000000</v>
      </c>
      <c r="N582" s="2">
        <v>3219000000</v>
      </c>
      <c r="O582" s="2">
        <v>8537314000</v>
      </c>
      <c r="P582" s="2">
        <v>56985000000</v>
      </c>
      <c r="Q582" s="2">
        <v>23330988600</v>
      </c>
      <c r="R582" s="2">
        <v>26201895000</v>
      </c>
      <c r="S582" s="2">
        <f t="shared" si="18"/>
        <v>9.4999999999999973E-2</v>
      </c>
      <c r="T582" s="2">
        <f t="shared" si="19"/>
        <v>36325290800</v>
      </c>
    </row>
    <row r="583" spans="1:20" x14ac:dyDescent="0.3">
      <c r="A583" s="1">
        <v>42607</v>
      </c>
      <c r="B583" t="s">
        <v>483</v>
      </c>
      <c r="C583" t="s">
        <v>18</v>
      </c>
      <c r="D583" t="s">
        <v>68</v>
      </c>
      <c r="E583">
        <v>1.37</v>
      </c>
      <c r="F583">
        <v>1.423</v>
      </c>
      <c r="G583">
        <v>1.288</v>
      </c>
      <c r="H583">
        <v>2.38</v>
      </c>
      <c r="I583" s="2">
        <v>1914871600</v>
      </c>
      <c r="J583" s="2">
        <v>66718623000</v>
      </c>
      <c r="K583" s="2">
        <v>27986923000</v>
      </c>
      <c r="L583" s="2">
        <v>13084000</v>
      </c>
      <c r="M583" s="2">
        <v>2907000000</v>
      </c>
      <c r="N583" s="2">
        <v>3907000000</v>
      </c>
      <c r="O583" s="2">
        <v>8754300000</v>
      </c>
      <c r="P583" s="2">
        <v>46216000000</v>
      </c>
      <c r="Q583" s="2">
        <v>16325623000</v>
      </c>
      <c r="R583" s="2">
        <v>16595623000</v>
      </c>
      <c r="S583" s="2">
        <f t="shared" si="18"/>
        <v>0.13500000000000001</v>
      </c>
      <c r="T583" s="2">
        <f t="shared" si="19"/>
        <v>29914878600</v>
      </c>
    </row>
    <row r="584" spans="1:20" x14ac:dyDescent="0.3">
      <c r="A584" s="1">
        <v>42625</v>
      </c>
      <c r="B584" t="s">
        <v>482</v>
      </c>
      <c r="C584" t="s">
        <v>18</v>
      </c>
      <c r="D584" t="s">
        <v>29</v>
      </c>
      <c r="E584">
        <v>1.64</v>
      </c>
      <c r="F584">
        <v>1.6990000000000001</v>
      </c>
      <c r="G584">
        <v>1.59</v>
      </c>
      <c r="H584">
        <v>2.35</v>
      </c>
      <c r="I584" s="2">
        <v>0</v>
      </c>
      <c r="J584" s="2">
        <v>46992750000</v>
      </c>
      <c r="K584" s="2">
        <v>19983257000</v>
      </c>
      <c r="L584" s="2">
        <v>16756000</v>
      </c>
      <c r="M584" s="2">
        <v>678000000</v>
      </c>
      <c r="N584" s="2">
        <v>1541000000</v>
      </c>
      <c r="O584" s="2">
        <v>6893210500</v>
      </c>
      <c r="P584" s="2">
        <v>32120000000</v>
      </c>
      <c r="Q584" s="2">
        <v>12412046500</v>
      </c>
      <c r="R584" s="2">
        <v>13331750000</v>
      </c>
      <c r="S584" s="2">
        <f t="shared" si="18"/>
        <v>0.10899999999999999</v>
      </c>
      <c r="T584" s="2">
        <f t="shared" si="19"/>
        <v>20000013000</v>
      </c>
    </row>
    <row r="585" spans="1:20" x14ac:dyDescent="0.3">
      <c r="A585" s="1">
        <v>42625</v>
      </c>
      <c r="B585" t="s">
        <v>486</v>
      </c>
      <c r="C585" t="s">
        <v>18</v>
      </c>
      <c r="D585" t="s">
        <v>52</v>
      </c>
      <c r="E585">
        <v>0.91900000000000004</v>
      </c>
      <c r="F585">
        <v>0.94699999999999995</v>
      </c>
      <c r="G585">
        <v>0.8</v>
      </c>
      <c r="H585">
        <v>2.77</v>
      </c>
      <c r="I585" s="2">
        <v>0</v>
      </c>
      <c r="J585" s="2">
        <v>66502100000</v>
      </c>
      <c r="K585" s="2">
        <v>23952000000</v>
      </c>
      <c r="L585" s="2">
        <v>48039100</v>
      </c>
      <c r="M585" s="2">
        <v>1115980000</v>
      </c>
      <c r="N585" s="2">
        <v>2706000000</v>
      </c>
      <c r="O585" s="2">
        <v>9711000000</v>
      </c>
      <c r="P585" s="2">
        <v>48791000000</v>
      </c>
      <c r="Q585" s="2">
        <v>13125020000</v>
      </c>
      <c r="R585" s="2">
        <v>15005100000</v>
      </c>
      <c r="S585" s="2">
        <f t="shared" si="18"/>
        <v>0.14699999999999991</v>
      </c>
      <c r="T585" s="2">
        <f t="shared" si="19"/>
        <v>24000039100</v>
      </c>
    </row>
    <row r="586" spans="1:20" x14ac:dyDescent="0.3">
      <c r="A586" s="1">
        <v>42626</v>
      </c>
      <c r="B586" t="s">
        <v>480</v>
      </c>
      <c r="C586" t="s">
        <v>23</v>
      </c>
      <c r="D586" t="s">
        <v>72</v>
      </c>
      <c r="E586">
        <v>2.4</v>
      </c>
      <c r="F586">
        <v>2.4750000000000001</v>
      </c>
      <c r="G586">
        <v>2.1880000000000002</v>
      </c>
      <c r="H586">
        <v>2.13</v>
      </c>
      <c r="I586" s="2">
        <v>0</v>
      </c>
      <c r="J586" s="2">
        <v>25528661000</v>
      </c>
      <c r="K586" s="2">
        <v>11981287900</v>
      </c>
      <c r="L586" s="2">
        <v>18729900</v>
      </c>
      <c r="M586" s="2">
        <v>549493200</v>
      </c>
      <c r="N586" s="2">
        <v>980000000</v>
      </c>
      <c r="O586" s="2">
        <v>4489864800</v>
      </c>
      <c r="P586" s="2">
        <v>17345300000</v>
      </c>
      <c r="Q586" s="2">
        <v>6941929900</v>
      </c>
      <c r="R586" s="2">
        <v>7203361000</v>
      </c>
      <c r="S586" s="2">
        <f t="shared" si="18"/>
        <v>0.28699999999999992</v>
      </c>
      <c r="T586" s="2">
        <f t="shared" si="19"/>
        <v>12000017800</v>
      </c>
    </row>
    <row r="587" spans="1:20" x14ac:dyDescent="0.3">
      <c r="A587" s="1">
        <v>42639</v>
      </c>
      <c r="B587" t="s">
        <v>488</v>
      </c>
      <c r="C587" t="s">
        <v>18</v>
      </c>
      <c r="D587" t="s">
        <v>21</v>
      </c>
      <c r="E587">
        <v>0.72499999999999998</v>
      </c>
      <c r="F587">
        <v>0.75</v>
      </c>
      <c r="G587">
        <v>0.65</v>
      </c>
      <c r="H587">
        <v>2.65</v>
      </c>
      <c r="I587" s="2">
        <v>1584917700</v>
      </c>
      <c r="J587" s="2">
        <v>68790850000</v>
      </c>
      <c r="K587" s="2">
        <v>25825977500</v>
      </c>
      <c r="L587" s="2">
        <v>174197100</v>
      </c>
      <c r="M587" s="2">
        <v>4898250000</v>
      </c>
      <c r="N587" s="2">
        <v>6757000000</v>
      </c>
      <c r="O587" s="2">
        <v>11459237500</v>
      </c>
      <c r="P587" s="2">
        <v>52083200000</v>
      </c>
      <c r="Q587" s="2">
        <v>9468490000</v>
      </c>
      <c r="R587" s="2">
        <v>9950650000</v>
      </c>
      <c r="S587" s="2">
        <f t="shared" si="18"/>
        <v>9.9999999999999978E-2</v>
      </c>
      <c r="T587" s="2">
        <f t="shared" si="19"/>
        <v>27585092300</v>
      </c>
    </row>
    <row r="588" spans="1:20" x14ac:dyDescent="0.3">
      <c r="A588" s="1">
        <v>42640</v>
      </c>
      <c r="B588" t="s">
        <v>489</v>
      </c>
      <c r="C588" t="s">
        <v>18</v>
      </c>
      <c r="D588" t="s">
        <v>19</v>
      </c>
      <c r="E588">
        <v>1.0900000000000001</v>
      </c>
      <c r="F588">
        <v>1.129</v>
      </c>
      <c r="G588">
        <v>1.03</v>
      </c>
      <c r="H588">
        <v>2.39</v>
      </c>
      <c r="I588" s="2">
        <v>2072584500</v>
      </c>
      <c r="J588" s="2">
        <v>81251036000</v>
      </c>
      <c r="K588" s="2">
        <v>33962157800</v>
      </c>
      <c r="L588" s="2">
        <v>37897800</v>
      </c>
      <c r="M588" s="2">
        <v>1504276000</v>
      </c>
      <c r="N588" s="2">
        <v>2800000000</v>
      </c>
      <c r="O588" s="2">
        <v>11593594000</v>
      </c>
      <c r="P588" s="2">
        <v>55196600000</v>
      </c>
      <c r="Q588" s="2">
        <v>20864287800</v>
      </c>
      <c r="R588" s="2">
        <v>23254436000</v>
      </c>
      <c r="S588" s="2">
        <f t="shared" si="18"/>
        <v>9.8999999999999977E-2</v>
      </c>
      <c r="T588" s="2">
        <f t="shared" si="19"/>
        <v>36072640100</v>
      </c>
    </row>
    <row r="589" spans="1:20" x14ac:dyDescent="0.3">
      <c r="A589" s="1">
        <v>42641</v>
      </c>
      <c r="B589" t="s">
        <v>487</v>
      </c>
      <c r="C589" t="s">
        <v>18</v>
      </c>
      <c r="D589" t="s">
        <v>68</v>
      </c>
      <c r="E589">
        <v>1.347</v>
      </c>
      <c r="F589">
        <v>1.389</v>
      </c>
      <c r="G589">
        <v>1.25</v>
      </c>
      <c r="H589">
        <v>2.4700000000000002</v>
      </c>
      <c r="I589" s="2">
        <v>1706834300</v>
      </c>
      <c r="J589" s="2">
        <v>69246619000</v>
      </c>
      <c r="K589" s="2">
        <v>27986791500</v>
      </c>
      <c r="L589" s="2">
        <v>13209000</v>
      </c>
      <c r="M589" s="2">
        <v>2927000000</v>
      </c>
      <c r="N589" s="2">
        <v>4002000000</v>
      </c>
      <c r="O589" s="2">
        <v>8444592500</v>
      </c>
      <c r="P589" s="2">
        <v>46527000000</v>
      </c>
      <c r="Q589" s="2">
        <v>16615199000</v>
      </c>
      <c r="R589" s="2">
        <v>18717619000</v>
      </c>
      <c r="S589" s="2">
        <f t="shared" si="18"/>
        <v>0.13900000000000001</v>
      </c>
      <c r="T589" s="2">
        <f t="shared" si="19"/>
        <v>29706834800</v>
      </c>
    </row>
    <row r="590" spans="1:20" x14ac:dyDescent="0.3">
      <c r="A590" s="1">
        <v>42655</v>
      </c>
      <c r="B590" t="s">
        <v>482</v>
      </c>
      <c r="C590" t="s">
        <v>18</v>
      </c>
      <c r="D590" t="s">
        <v>59</v>
      </c>
      <c r="E590">
        <v>1.7490000000000001</v>
      </c>
      <c r="F590">
        <v>1.7929999999999999</v>
      </c>
      <c r="G590">
        <v>1.65</v>
      </c>
      <c r="H590">
        <v>2.5299999999999998</v>
      </c>
      <c r="I590" s="2">
        <v>0</v>
      </c>
      <c r="J590" s="2">
        <v>50544925000</v>
      </c>
      <c r="K590" s="2">
        <v>19991812500</v>
      </c>
      <c r="L590" s="2">
        <v>8208600</v>
      </c>
      <c r="M590" s="2">
        <v>1325150000</v>
      </c>
      <c r="N590" s="2">
        <v>2400000000</v>
      </c>
      <c r="O590" s="2">
        <v>6125650000</v>
      </c>
      <c r="P590" s="2">
        <v>34091200000</v>
      </c>
      <c r="Q590" s="2">
        <v>12541012500</v>
      </c>
      <c r="R590" s="2">
        <v>14053725000</v>
      </c>
      <c r="S590" s="2">
        <f t="shared" si="18"/>
        <v>0.14300000000000002</v>
      </c>
      <c r="T590" s="2">
        <f t="shared" si="19"/>
        <v>20000021100</v>
      </c>
    </row>
    <row r="591" spans="1:20" x14ac:dyDescent="0.3">
      <c r="A591" s="1">
        <v>42655</v>
      </c>
      <c r="B591" t="s">
        <v>490</v>
      </c>
      <c r="C591" t="s">
        <v>18</v>
      </c>
      <c r="D591" t="s">
        <v>52</v>
      </c>
      <c r="E591">
        <v>1</v>
      </c>
      <c r="F591">
        <v>1.0449999999999999</v>
      </c>
      <c r="G591">
        <v>0.9</v>
      </c>
      <c r="H591">
        <v>2.92</v>
      </c>
      <c r="I591" s="2">
        <v>0</v>
      </c>
      <c r="J591" s="2">
        <v>70082800000</v>
      </c>
      <c r="K591" s="2">
        <v>23960507200</v>
      </c>
      <c r="L591" s="2">
        <v>39545700</v>
      </c>
      <c r="M591" s="2">
        <v>2423960000</v>
      </c>
      <c r="N591" s="2">
        <v>4847000000</v>
      </c>
      <c r="O591" s="2">
        <v>9044147200</v>
      </c>
      <c r="P591" s="2">
        <v>52043400000</v>
      </c>
      <c r="Q591" s="2">
        <v>12492400000</v>
      </c>
      <c r="R591" s="2">
        <v>13192400000</v>
      </c>
      <c r="S591" s="2">
        <f t="shared" si="18"/>
        <v>0.14499999999999991</v>
      </c>
      <c r="T591" s="2">
        <f t="shared" si="19"/>
        <v>24000052900</v>
      </c>
    </row>
    <row r="592" spans="1:20" x14ac:dyDescent="0.3">
      <c r="A592" s="1">
        <v>42656</v>
      </c>
      <c r="B592" t="s">
        <v>480</v>
      </c>
      <c r="C592" t="s">
        <v>23</v>
      </c>
      <c r="D592" t="s">
        <v>91</v>
      </c>
      <c r="E592">
        <v>2.4249999999999998</v>
      </c>
      <c r="F592">
        <v>2.4700000000000002</v>
      </c>
      <c r="G592">
        <v>2.2999999999999998</v>
      </c>
      <c r="H592">
        <v>2.44</v>
      </c>
      <c r="I592" s="2">
        <v>0</v>
      </c>
      <c r="J592" s="2">
        <v>29261599000</v>
      </c>
      <c r="K592" s="2">
        <v>11993142200</v>
      </c>
      <c r="L592" s="2">
        <v>6888800</v>
      </c>
      <c r="M592" s="2">
        <v>735000000</v>
      </c>
      <c r="N592" s="2">
        <v>1367000000</v>
      </c>
      <c r="O592" s="2">
        <v>3415405000</v>
      </c>
      <c r="P592" s="2">
        <v>18367500000</v>
      </c>
      <c r="Q592" s="2">
        <v>7842737200</v>
      </c>
      <c r="R592" s="2">
        <v>9527099000</v>
      </c>
      <c r="S592" s="2">
        <f t="shared" si="18"/>
        <v>0.17000000000000037</v>
      </c>
      <c r="T592" s="2">
        <f t="shared" si="19"/>
        <v>12000031000</v>
      </c>
    </row>
    <row r="593" spans="1:20" x14ac:dyDescent="0.3">
      <c r="A593" s="1">
        <v>42668</v>
      </c>
      <c r="B593" t="s">
        <v>492</v>
      </c>
      <c r="C593" t="s">
        <v>18</v>
      </c>
      <c r="D593" t="s">
        <v>21</v>
      </c>
      <c r="E593">
        <v>0.82899999999999996</v>
      </c>
      <c r="F593">
        <v>0.85499999999999998</v>
      </c>
      <c r="G593">
        <v>0.75</v>
      </c>
      <c r="H593">
        <v>2.5299999999999998</v>
      </c>
      <c r="I593" s="2">
        <v>1571797000</v>
      </c>
      <c r="J593" s="2">
        <v>65676689000</v>
      </c>
      <c r="K593" s="2">
        <v>25816184600</v>
      </c>
      <c r="L593" s="2">
        <v>183887800</v>
      </c>
      <c r="M593" s="2">
        <v>2602780000</v>
      </c>
      <c r="N593" s="2">
        <v>4214000000</v>
      </c>
      <c r="O593" s="2">
        <v>14507789600</v>
      </c>
      <c r="P593" s="2">
        <v>51964000000</v>
      </c>
      <c r="Q593" s="2">
        <v>8705615000</v>
      </c>
      <c r="R593" s="2">
        <v>9498689000</v>
      </c>
      <c r="S593" s="2">
        <f t="shared" si="18"/>
        <v>0.10499999999999998</v>
      </c>
      <c r="T593" s="2">
        <f t="shared" si="19"/>
        <v>27571869400</v>
      </c>
    </row>
    <row r="594" spans="1:20" x14ac:dyDescent="0.3">
      <c r="A594" s="1">
        <v>42669</v>
      </c>
      <c r="B594" t="s">
        <v>493</v>
      </c>
      <c r="C594" t="s">
        <v>18</v>
      </c>
      <c r="D594" t="s">
        <v>19</v>
      </c>
      <c r="E594">
        <v>1.26</v>
      </c>
      <c r="F594">
        <v>1.3029999999999999</v>
      </c>
      <c r="G594">
        <v>1.1950000000000001</v>
      </c>
      <c r="H594">
        <v>2.4900000000000002</v>
      </c>
      <c r="I594" s="2">
        <v>2055426700</v>
      </c>
      <c r="J594" s="2">
        <v>84474943000</v>
      </c>
      <c r="K594" s="2">
        <v>33966348500</v>
      </c>
      <c r="L594" s="2">
        <v>33703300</v>
      </c>
      <c r="M594" s="2">
        <v>1650000000</v>
      </c>
      <c r="N594" s="2">
        <v>3215000000</v>
      </c>
      <c r="O594" s="2">
        <v>12021660000</v>
      </c>
      <c r="P594" s="2">
        <v>58742600000</v>
      </c>
      <c r="Q594" s="2">
        <v>20294688500</v>
      </c>
      <c r="R594" s="2">
        <v>22517343000</v>
      </c>
      <c r="S594" s="2">
        <f t="shared" si="18"/>
        <v>0.10799999999999987</v>
      </c>
      <c r="T594" s="2">
        <f t="shared" si="19"/>
        <v>36055478500</v>
      </c>
    </row>
    <row r="595" spans="1:20" x14ac:dyDescent="0.3">
      <c r="A595" s="1">
        <v>42670</v>
      </c>
      <c r="B595" t="s">
        <v>491</v>
      </c>
      <c r="C595" t="s">
        <v>18</v>
      </c>
      <c r="D595" t="s">
        <v>68</v>
      </c>
      <c r="E595">
        <v>1.6</v>
      </c>
      <c r="F595">
        <v>1.653</v>
      </c>
      <c r="G595">
        <v>1.5349999999999999</v>
      </c>
      <c r="H595">
        <v>2.4900000000000002</v>
      </c>
      <c r="I595" s="2">
        <v>1692704300</v>
      </c>
      <c r="J595" s="2">
        <v>69733741000</v>
      </c>
      <c r="K595" s="2">
        <v>27984258400</v>
      </c>
      <c r="L595" s="2">
        <v>15742800</v>
      </c>
      <c r="M595" s="2">
        <v>3684000000</v>
      </c>
      <c r="N595" s="2">
        <v>4619000000</v>
      </c>
      <c r="O595" s="2">
        <v>7087321800</v>
      </c>
      <c r="P595" s="2">
        <v>45848800000</v>
      </c>
      <c r="Q595" s="2">
        <v>17212936600</v>
      </c>
      <c r="R595" s="2">
        <v>19265941000</v>
      </c>
      <c r="S595" s="2">
        <f t="shared" si="18"/>
        <v>0.1180000000000001</v>
      </c>
      <c r="T595" s="2">
        <f t="shared" si="19"/>
        <v>29692705500</v>
      </c>
    </row>
    <row r="596" spans="1:20" x14ac:dyDescent="0.3">
      <c r="A596" s="1">
        <v>42682</v>
      </c>
      <c r="B596" t="s">
        <v>496</v>
      </c>
      <c r="C596" t="s">
        <v>18</v>
      </c>
      <c r="D596" t="s">
        <v>52</v>
      </c>
      <c r="E596">
        <v>1</v>
      </c>
      <c r="F596">
        <v>1.034</v>
      </c>
      <c r="G596">
        <v>0.89500000000000002</v>
      </c>
      <c r="H596">
        <v>2.69</v>
      </c>
      <c r="I596" s="2">
        <v>5254109900</v>
      </c>
      <c r="J596" s="2">
        <v>64630575000</v>
      </c>
      <c r="K596" s="2">
        <v>23959084800</v>
      </c>
      <c r="L596" s="2">
        <v>40993600</v>
      </c>
      <c r="M596" s="2">
        <v>1831000000</v>
      </c>
      <c r="N596" s="2">
        <v>2881000000</v>
      </c>
      <c r="O596" s="2">
        <v>11910842300</v>
      </c>
      <c r="P596" s="2">
        <v>49420000000</v>
      </c>
      <c r="Q596" s="2">
        <v>10217242500</v>
      </c>
      <c r="R596" s="2">
        <v>12329575000</v>
      </c>
      <c r="S596" s="2">
        <f t="shared" si="18"/>
        <v>0.13900000000000001</v>
      </c>
      <c r="T596" s="2">
        <f t="shared" si="19"/>
        <v>29254188300</v>
      </c>
    </row>
    <row r="597" spans="1:20" x14ac:dyDescent="0.3">
      <c r="A597" s="1">
        <v>42683</v>
      </c>
      <c r="B597" t="s">
        <v>495</v>
      </c>
      <c r="C597" t="s">
        <v>18</v>
      </c>
      <c r="D597" t="s">
        <v>26</v>
      </c>
      <c r="E597">
        <v>1.95</v>
      </c>
      <c r="F597">
        <v>2.02</v>
      </c>
      <c r="G597">
        <v>1.85</v>
      </c>
      <c r="H597">
        <v>2.2200000000000002</v>
      </c>
      <c r="I597" s="2">
        <v>5035188500</v>
      </c>
      <c r="J597" s="2">
        <v>50993850000</v>
      </c>
      <c r="K597" s="2">
        <v>22979766000</v>
      </c>
      <c r="L597" s="2">
        <v>20302400</v>
      </c>
      <c r="M597" s="2">
        <v>1917558000</v>
      </c>
      <c r="N597" s="2">
        <v>2886000000</v>
      </c>
      <c r="O597" s="2">
        <v>9000303000</v>
      </c>
      <c r="P597" s="2">
        <v>34576000000</v>
      </c>
      <c r="Q597" s="2">
        <v>12061905000</v>
      </c>
      <c r="R597" s="2">
        <v>13531850000</v>
      </c>
      <c r="S597" s="2">
        <f t="shared" si="18"/>
        <v>0.16999999999999993</v>
      </c>
      <c r="T597" s="2">
        <f t="shared" si="19"/>
        <v>28035256900</v>
      </c>
    </row>
    <row r="598" spans="1:20" x14ac:dyDescent="0.3">
      <c r="A598" s="1">
        <v>42684</v>
      </c>
      <c r="B598" t="s">
        <v>494</v>
      </c>
      <c r="C598" t="s">
        <v>23</v>
      </c>
      <c r="D598" t="s">
        <v>65</v>
      </c>
      <c r="E598">
        <v>2.8260000000000001</v>
      </c>
      <c r="F598">
        <v>2.9020000000000001</v>
      </c>
      <c r="G598">
        <v>2.6880000000000002</v>
      </c>
      <c r="H598">
        <v>2.11</v>
      </c>
      <c r="I598" s="2">
        <v>3283818600</v>
      </c>
      <c r="J598" s="2">
        <v>31592896000</v>
      </c>
      <c r="K598" s="2">
        <v>14990499200</v>
      </c>
      <c r="L598" s="2">
        <v>9500800</v>
      </c>
      <c r="M598" s="2">
        <v>1873000000</v>
      </c>
      <c r="N598" s="2">
        <v>2768000000</v>
      </c>
      <c r="O598" s="2">
        <v>4955112000</v>
      </c>
      <c r="P598" s="2">
        <v>19720000000</v>
      </c>
      <c r="Q598" s="2">
        <v>8162387200</v>
      </c>
      <c r="R598" s="2">
        <v>9104896000</v>
      </c>
      <c r="S598" s="2">
        <f t="shared" si="18"/>
        <v>0.21399999999999997</v>
      </c>
      <c r="T598" s="2">
        <f t="shared" si="19"/>
        <v>18283818600</v>
      </c>
    </row>
    <row r="599" spans="1:20" x14ac:dyDescent="0.3">
      <c r="A599" s="1">
        <v>42695</v>
      </c>
      <c r="B599" t="s">
        <v>499</v>
      </c>
      <c r="C599" t="s">
        <v>18</v>
      </c>
      <c r="D599" t="s">
        <v>21</v>
      </c>
      <c r="E599">
        <v>1.05</v>
      </c>
      <c r="F599">
        <v>1.085</v>
      </c>
      <c r="G599">
        <v>0.88800000000000001</v>
      </c>
      <c r="H599">
        <v>2.73</v>
      </c>
      <c r="I599" s="2">
        <v>2767228700</v>
      </c>
      <c r="J599" s="2">
        <v>70889430000</v>
      </c>
      <c r="K599" s="2">
        <v>25845402500</v>
      </c>
      <c r="L599" s="2">
        <v>154824700</v>
      </c>
      <c r="M599" s="2">
        <v>3471600000</v>
      </c>
      <c r="N599" s="2">
        <v>6132000000</v>
      </c>
      <c r="O599" s="2">
        <v>13121590000</v>
      </c>
      <c r="P599" s="2">
        <v>54042400000</v>
      </c>
      <c r="Q599" s="2">
        <v>9252212500</v>
      </c>
      <c r="R599" s="2">
        <v>10715030000</v>
      </c>
      <c r="S599" s="2">
        <f t="shared" si="18"/>
        <v>0.19699999999999995</v>
      </c>
      <c r="T599" s="2">
        <f t="shared" si="19"/>
        <v>28767455900</v>
      </c>
    </row>
    <row r="600" spans="1:20" x14ac:dyDescent="0.3">
      <c r="A600" s="1">
        <v>42696</v>
      </c>
      <c r="B600" t="s">
        <v>498</v>
      </c>
      <c r="C600" t="s">
        <v>18</v>
      </c>
      <c r="D600" t="s">
        <v>19</v>
      </c>
      <c r="E600">
        <v>1.71</v>
      </c>
      <c r="F600">
        <v>1.76</v>
      </c>
      <c r="G600">
        <v>1.62</v>
      </c>
      <c r="H600">
        <v>2.44</v>
      </c>
      <c r="I600" s="2">
        <v>3618683700</v>
      </c>
      <c r="J600" s="2">
        <v>82800228000</v>
      </c>
      <c r="K600" s="2">
        <v>33958792000</v>
      </c>
      <c r="L600" s="2">
        <v>41228200</v>
      </c>
      <c r="M600" s="2">
        <v>1539000000</v>
      </c>
      <c r="N600" s="2">
        <v>3064000000</v>
      </c>
      <c r="O600" s="2">
        <v>12119965500</v>
      </c>
      <c r="P600" s="2">
        <v>58375900000</v>
      </c>
      <c r="Q600" s="2">
        <v>20299826500</v>
      </c>
      <c r="R600" s="2">
        <v>21360328000</v>
      </c>
      <c r="S600" s="2">
        <f t="shared" si="18"/>
        <v>0.1399999999999999</v>
      </c>
      <c r="T600" s="2">
        <f t="shared" si="19"/>
        <v>37618703900</v>
      </c>
    </row>
    <row r="601" spans="1:20" x14ac:dyDescent="0.3">
      <c r="A601" s="1">
        <v>42697</v>
      </c>
      <c r="B601" t="s">
        <v>497</v>
      </c>
      <c r="C601" t="s">
        <v>18</v>
      </c>
      <c r="D601" t="s">
        <v>68</v>
      </c>
      <c r="E601">
        <v>2.17</v>
      </c>
      <c r="F601">
        <v>2.2149999999999999</v>
      </c>
      <c r="G601">
        <v>2.0409999999999999</v>
      </c>
      <c r="H601">
        <v>2.68</v>
      </c>
      <c r="I601" s="2">
        <v>2980092400</v>
      </c>
      <c r="J601" s="2">
        <v>75097349000</v>
      </c>
      <c r="K601" s="2">
        <v>27983649000</v>
      </c>
      <c r="L601" s="2">
        <v>16389300</v>
      </c>
      <c r="M601" s="2">
        <v>2618000000</v>
      </c>
      <c r="N601" s="2">
        <v>5153000000</v>
      </c>
      <c r="O601" s="2">
        <v>5034150000</v>
      </c>
      <c r="P601" s="2">
        <v>44645400000</v>
      </c>
      <c r="Q601" s="2">
        <v>20331499000</v>
      </c>
      <c r="R601" s="2">
        <v>25298949000</v>
      </c>
      <c r="S601" s="2">
        <f t="shared" si="18"/>
        <v>0.17399999999999993</v>
      </c>
      <c r="T601" s="2">
        <f t="shared" si="19"/>
        <v>30980130700</v>
      </c>
    </row>
    <row r="602" spans="1:20" x14ac:dyDescent="0.3">
      <c r="A602" s="1">
        <v>42716</v>
      </c>
      <c r="B602" t="s">
        <v>495</v>
      </c>
      <c r="C602" t="s">
        <v>18</v>
      </c>
      <c r="D602" t="s">
        <v>29</v>
      </c>
      <c r="E602">
        <v>2.44</v>
      </c>
      <c r="F602">
        <v>2.4849999999999999</v>
      </c>
      <c r="G602">
        <v>2.38</v>
      </c>
      <c r="H602">
        <v>2.39</v>
      </c>
      <c r="I602" s="2">
        <v>0</v>
      </c>
      <c r="J602" s="2">
        <v>47688300000</v>
      </c>
      <c r="K602" s="2">
        <v>19981417000</v>
      </c>
      <c r="L602" s="2">
        <v>18631000</v>
      </c>
      <c r="M602" s="2">
        <v>1200500000</v>
      </c>
      <c r="N602" s="2">
        <v>2010500000</v>
      </c>
      <c r="O602" s="2">
        <v>7292097000</v>
      </c>
      <c r="P602" s="2">
        <v>31715000000</v>
      </c>
      <c r="Q602" s="2">
        <v>11488820000</v>
      </c>
      <c r="R602" s="2">
        <v>13962800000</v>
      </c>
      <c r="S602" s="2">
        <f t="shared" si="18"/>
        <v>0.10499999999999998</v>
      </c>
      <c r="T602" s="2">
        <f t="shared" si="19"/>
        <v>20000048000</v>
      </c>
    </row>
    <row r="603" spans="1:20" x14ac:dyDescent="0.3">
      <c r="A603" s="1">
        <v>42716</v>
      </c>
      <c r="B603" t="s">
        <v>500</v>
      </c>
      <c r="C603" t="s">
        <v>18</v>
      </c>
      <c r="D603" t="s">
        <v>52</v>
      </c>
      <c r="E603">
        <v>1.43</v>
      </c>
      <c r="F603">
        <v>1.452</v>
      </c>
      <c r="G603">
        <v>1.32</v>
      </c>
      <c r="H603">
        <v>2.65</v>
      </c>
      <c r="I603" s="2">
        <v>0</v>
      </c>
      <c r="J603" s="2">
        <v>63616000000</v>
      </c>
      <c r="K603" s="2">
        <v>23947682500</v>
      </c>
      <c r="L603" s="2">
        <v>52469300</v>
      </c>
      <c r="M603" s="2">
        <v>2145000000</v>
      </c>
      <c r="N603" s="2">
        <v>4075000000</v>
      </c>
      <c r="O603" s="2">
        <v>11608835000</v>
      </c>
      <c r="P603" s="2">
        <v>47810000000</v>
      </c>
      <c r="Q603" s="2">
        <v>10193847500</v>
      </c>
      <c r="R603" s="2">
        <v>11731000000</v>
      </c>
      <c r="S603" s="2">
        <f t="shared" si="18"/>
        <v>0.1319999999999999</v>
      </c>
      <c r="T603" s="2">
        <f t="shared" si="19"/>
        <v>24000151800</v>
      </c>
    </row>
    <row r="604" spans="1:20" x14ac:dyDescent="0.3">
      <c r="A604" s="1">
        <v>42717</v>
      </c>
      <c r="B604" t="s">
        <v>494</v>
      </c>
      <c r="C604" t="s">
        <v>23</v>
      </c>
      <c r="D604" t="s">
        <v>72</v>
      </c>
      <c r="E604">
        <v>3.1</v>
      </c>
      <c r="F604">
        <v>3.1520000000000001</v>
      </c>
      <c r="G604">
        <v>2.8879999999999999</v>
      </c>
      <c r="H604">
        <v>2.39</v>
      </c>
      <c r="I604" s="2">
        <v>0</v>
      </c>
      <c r="J604" s="2">
        <v>28698311000</v>
      </c>
      <c r="K604" s="2">
        <v>11994987400</v>
      </c>
      <c r="L604" s="2">
        <v>5046300</v>
      </c>
      <c r="M604" s="2">
        <v>1115700000</v>
      </c>
      <c r="N604" s="2">
        <v>1607700000</v>
      </c>
      <c r="O604" s="2">
        <v>3219265000</v>
      </c>
      <c r="P604" s="2">
        <v>17640000000</v>
      </c>
      <c r="Q604" s="2">
        <v>7660022400</v>
      </c>
      <c r="R604" s="2">
        <v>9450611000</v>
      </c>
      <c r="S604" s="2">
        <f t="shared" si="18"/>
        <v>0.26400000000000023</v>
      </c>
      <c r="T604" s="2">
        <f t="shared" si="19"/>
        <v>12000033700</v>
      </c>
    </row>
    <row r="605" spans="1:20" x14ac:dyDescent="0.3">
      <c r="A605" s="1">
        <v>42731</v>
      </c>
      <c r="B605" t="s">
        <v>503</v>
      </c>
      <c r="C605" t="s">
        <v>18</v>
      </c>
      <c r="D605" t="s">
        <v>21</v>
      </c>
      <c r="E605">
        <v>1.252</v>
      </c>
      <c r="F605">
        <v>1.28</v>
      </c>
      <c r="G605">
        <v>1.1000000000000001</v>
      </c>
      <c r="H605">
        <v>2.44</v>
      </c>
      <c r="I605" s="2">
        <v>3457357000</v>
      </c>
      <c r="J605" s="2">
        <v>63174335000</v>
      </c>
      <c r="K605" s="2">
        <v>25826223000</v>
      </c>
      <c r="L605" s="2">
        <v>173824400</v>
      </c>
      <c r="M605" s="2">
        <v>2394440000</v>
      </c>
      <c r="N605" s="2">
        <v>3454000000</v>
      </c>
      <c r="O605" s="2">
        <v>14976848000</v>
      </c>
      <c r="P605" s="2">
        <v>49925000000</v>
      </c>
      <c r="Q605" s="2">
        <v>8454935000</v>
      </c>
      <c r="R605" s="2">
        <v>9795335000</v>
      </c>
      <c r="S605" s="2">
        <f t="shared" si="18"/>
        <v>0.17999999999999994</v>
      </c>
      <c r="T605" s="2">
        <f t="shared" si="19"/>
        <v>29457404400</v>
      </c>
    </row>
    <row r="606" spans="1:20" x14ac:dyDescent="0.3">
      <c r="A606" s="1">
        <v>42732</v>
      </c>
      <c r="B606" t="s">
        <v>502</v>
      </c>
      <c r="C606" t="s">
        <v>18</v>
      </c>
      <c r="D606" t="s">
        <v>19</v>
      </c>
      <c r="E606">
        <v>2.02</v>
      </c>
      <c r="F606">
        <v>2.0569999999999999</v>
      </c>
      <c r="G606">
        <v>1.9</v>
      </c>
      <c r="H606">
        <v>2.72</v>
      </c>
      <c r="I606" s="2">
        <v>4521159000</v>
      </c>
      <c r="J606" s="2">
        <v>92443760000</v>
      </c>
      <c r="K606" s="2">
        <v>33949174000</v>
      </c>
      <c r="L606" s="2">
        <v>50940600</v>
      </c>
      <c r="M606" s="2">
        <v>1404410000</v>
      </c>
      <c r="N606" s="2">
        <v>3029410000</v>
      </c>
      <c r="O606" s="2">
        <v>8302740000</v>
      </c>
      <c r="P606" s="2">
        <v>55580000000</v>
      </c>
      <c r="Q606" s="2">
        <v>24242024000</v>
      </c>
      <c r="R606" s="2">
        <v>33834350000</v>
      </c>
      <c r="S606" s="2">
        <f t="shared" si="18"/>
        <v>0.15700000000000003</v>
      </c>
      <c r="T606" s="2">
        <f t="shared" si="19"/>
        <v>38521273600</v>
      </c>
    </row>
    <row r="607" spans="1:20" x14ac:dyDescent="0.3">
      <c r="A607" s="1">
        <v>42733</v>
      </c>
      <c r="B607" t="s">
        <v>501</v>
      </c>
      <c r="C607" t="s">
        <v>18</v>
      </c>
      <c r="D607" t="s">
        <v>68</v>
      </c>
      <c r="E607">
        <v>2.2400000000000002</v>
      </c>
      <c r="F607">
        <v>2.2839999999999998</v>
      </c>
      <c r="G607">
        <v>1.8879999999999999</v>
      </c>
      <c r="H607">
        <v>2.54</v>
      </c>
      <c r="I607" s="2">
        <v>3723307400</v>
      </c>
      <c r="J607" s="2">
        <v>71231195000</v>
      </c>
      <c r="K607" s="2">
        <v>27984987000</v>
      </c>
      <c r="L607" s="2">
        <v>15111400</v>
      </c>
      <c r="M607" s="2">
        <v>5311700000</v>
      </c>
      <c r="N607" s="2">
        <v>7504000000</v>
      </c>
      <c r="O607" s="2">
        <v>4769472000</v>
      </c>
      <c r="P607" s="2">
        <v>42546000000</v>
      </c>
      <c r="Q607" s="2">
        <v>17903815000</v>
      </c>
      <c r="R607" s="2">
        <v>21181195000</v>
      </c>
      <c r="S607" s="2">
        <f t="shared" si="18"/>
        <v>0.39599999999999991</v>
      </c>
      <c r="T607" s="2">
        <f t="shared" si="19"/>
        <v>31723405800</v>
      </c>
    </row>
    <row r="608" spans="1:20" x14ac:dyDescent="0.3">
      <c r="A608" s="1">
        <v>42745</v>
      </c>
      <c r="B608" t="s">
        <v>504</v>
      </c>
      <c r="C608" t="s">
        <v>18</v>
      </c>
      <c r="D608" t="s">
        <v>52</v>
      </c>
      <c r="E608">
        <v>1.43</v>
      </c>
      <c r="F608">
        <v>1.472</v>
      </c>
      <c r="G608">
        <v>1.35</v>
      </c>
      <c r="H608">
        <v>2.97</v>
      </c>
      <c r="I608" s="2">
        <v>1329851600</v>
      </c>
      <c r="J608" s="2">
        <v>71191550000</v>
      </c>
      <c r="K608" s="2">
        <v>23948026000</v>
      </c>
      <c r="L608" s="2">
        <v>52061300</v>
      </c>
      <c r="M608" s="2">
        <v>1591000000</v>
      </c>
      <c r="N608" s="2">
        <v>3214000000</v>
      </c>
      <c r="O608" s="2">
        <v>9281376000</v>
      </c>
      <c r="P608" s="2">
        <v>51732900000</v>
      </c>
      <c r="Q608" s="2">
        <v>13075650000</v>
      </c>
      <c r="R608" s="2">
        <v>16244650000</v>
      </c>
      <c r="S608" s="2">
        <f t="shared" si="18"/>
        <v>0.12199999999999989</v>
      </c>
      <c r="T608" s="2">
        <f t="shared" si="19"/>
        <v>25329938900</v>
      </c>
    </row>
    <row r="609" spans="1:20" x14ac:dyDescent="0.3">
      <c r="A609" s="1">
        <v>42746</v>
      </c>
      <c r="B609" t="s">
        <v>495</v>
      </c>
      <c r="C609" t="s">
        <v>18</v>
      </c>
      <c r="D609" t="s">
        <v>59</v>
      </c>
      <c r="E609">
        <v>2.2999999999999998</v>
      </c>
      <c r="F609">
        <v>2.3420000000000001</v>
      </c>
      <c r="G609">
        <v>2.25</v>
      </c>
      <c r="H609">
        <v>2.58</v>
      </c>
      <c r="I609" s="2">
        <v>1108209600</v>
      </c>
      <c r="J609" s="2">
        <v>51588870000</v>
      </c>
      <c r="K609" s="2">
        <v>19986520000</v>
      </c>
      <c r="L609" s="2">
        <v>13537700</v>
      </c>
      <c r="M609" s="2">
        <v>1748650000</v>
      </c>
      <c r="N609" s="2">
        <v>2862000000</v>
      </c>
      <c r="O609" s="2">
        <v>4142500000</v>
      </c>
      <c r="P609" s="2">
        <v>32001500000</v>
      </c>
      <c r="Q609" s="2">
        <v>14095370000</v>
      </c>
      <c r="R609" s="2">
        <v>16725370000</v>
      </c>
      <c r="S609" s="2">
        <f t="shared" si="18"/>
        <v>9.2000000000000082E-2</v>
      </c>
      <c r="T609" s="2">
        <f t="shared" si="19"/>
        <v>21108267300</v>
      </c>
    </row>
    <row r="610" spans="1:20" x14ac:dyDescent="0.3">
      <c r="A610" s="1">
        <v>42747</v>
      </c>
      <c r="B610" t="s">
        <v>494</v>
      </c>
      <c r="C610" t="s">
        <v>23</v>
      </c>
      <c r="D610" t="s">
        <v>91</v>
      </c>
      <c r="E610">
        <v>2.85</v>
      </c>
      <c r="F610">
        <v>2.9140000000000001</v>
      </c>
      <c r="G610">
        <v>2.75</v>
      </c>
      <c r="H610">
        <v>2.3199999999999998</v>
      </c>
      <c r="I610" s="2">
        <v>664925700</v>
      </c>
      <c r="J610" s="2">
        <v>27781329000</v>
      </c>
      <c r="K610" s="2">
        <v>11994935000</v>
      </c>
      <c r="L610" s="2">
        <v>5068600</v>
      </c>
      <c r="M610" s="2">
        <v>544000000</v>
      </c>
      <c r="N610" s="2">
        <v>1119000000</v>
      </c>
      <c r="O610" s="2">
        <v>3455500000</v>
      </c>
      <c r="P610" s="2">
        <v>17462500000</v>
      </c>
      <c r="Q610" s="2">
        <v>7995435000</v>
      </c>
      <c r="R610" s="2">
        <v>9199829000</v>
      </c>
      <c r="S610" s="2">
        <f t="shared" si="18"/>
        <v>0.16400000000000015</v>
      </c>
      <c r="T610" s="2">
        <f t="shared" si="19"/>
        <v>12664929300</v>
      </c>
    </row>
    <row r="611" spans="1:20" x14ac:dyDescent="0.3">
      <c r="A611" s="1">
        <v>42759</v>
      </c>
      <c r="B611" t="s">
        <v>507</v>
      </c>
      <c r="C611" t="s">
        <v>18</v>
      </c>
      <c r="D611" t="s">
        <v>21</v>
      </c>
      <c r="E611">
        <v>1.1499999999999999</v>
      </c>
      <c r="F611">
        <v>1.21</v>
      </c>
      <c r="G611">
        <v>0.88800000000000001</v>
      </c>
      <c r="H611">
        <v>2.68</v>
      </c>
      <c r="I611" s="2">
        <v>1648772700</v>
      </c>
      <c r="J611" s="2">
        <v>69583300000</v>
      </c>
      <c r="K611" s="2">
        <v>25846671000</v>
      </c>
      <c r="L611" s="2">
        <v>153408800</v>
      </c>
      <c r="M611" s="2">
        <v>2406100000</v>
      </c>
      <c r="N611" s="2">
        <v>4031100000</v>
      </c>
      <c r="O611" s="2">
        <v>10822100000</v>
      </c>
      <c r="P611" s="2">
        <v>52930000000</v>
      </c>
      <c r="Q611" s="2">
        <v>12618471000</v>
      </c>
      <c r="R611" s="2">
        <v>12622200000</v>
      </c>
      <c r="S611" s="2">
        <f t="shared" si="18"/>
        <v>0.32199999999999995</v>
      </c>
      <c r="T611" s="2">
        <f t="shared" si="19"/>
        <v>27648852500</v>
      </c>
    </row>
    <row r="612" spans="1:20" x14ac:dyDescent="0.3">
      <c r="A612" s="1">
        <v>42760</v>
      </c>
      <c r="B612" t="s">
        <v>505</v>
      </c>
      <c r="C612" t="s">
        <v>18</v>
      </c>
      <c r="D612" t="s">
        <v>19</v>
      </c>
      <c r="E612">
        <v>1.9239999999999999</v>
      </c>
      <c r="F612">
        <v>1.988</v>
      </c>
      <c r="G612">
        <v>1.845</v>
      </c>
      <c r="H612">
        <v>2.38</v>
      </c>
      <c r="I612" s="2">
        <v>2156087400</v>
      </c>
      <c r="J612" s="2">
        <v>80891326000</v>
      </c>
      <c r="K612" s="2">
        <v>33955508400</v>
      </c>
      <c r="L612" s="2">
        <v>44555200</v>
      </c>
      <c r="M612" s="2">
        <v>1577000000</v>
      </c>
      <c r="N612" s="2">
        <v>3207000000</v>
      </c>
      <c r="O612" s="2">
        <v>10893680000</v>
      </c>
      <c r="P612" s="2">
        <v>54685000000</v>
      </c>
      <c r="Q612" s="2">
        <v>21484828400</v>
      </c>
      <c r="R612" s="2">
        <v>22999326000</v>
      </c>
      <c r="S612" s="2">
        <f t="shared" si="18"/>
        <v>0.14300000000000002</v>
      </c>
      <c r="T612" s="2">
        <f t="shared" si="19"/>
        <v>36156151000</v>
      </c>
    </row>
    <row r="613" spans="1:20" x14ac:dyDescent="0.3">
      <c r="A613" s="1">
        <v>42761</v>
      </c>
      <c r="B613" t="s">
        <v>506</v>
      </c>
      <c r="C613" t="s">
        <v>18</v>
      </c>
      <c r="D613" t="s">
        <v>68</v>
      </c>
      <c r="E613">
        <v>2.2890000000000001</v>
      </c>
      <c r="F613">
        <v>2.335</v>
      </c>
      <c r="G613">
        <v>2.21</v>
      </c>
      <c r="H613">
        <v>2.4500000000000002</v>
      </c>
      <c r="I613" s="2">
        <v>1775601300</v>
      </c>
      <c r="J613" s="2">
        <v>68703793000</v>
      </c>
      <c r="K613" s="2">
        <v>27986313000</v>
      </c>
      <c r="L613" s="2">
        <v>13733500</v>
      </c>
      <c r="M613" s="2">
        <v>1834075000</v>
      </c>
      <c r="N613" s="2">
        <v>3860000000</v>
      </c>
      <c r="O613" s="2">
        <v>5780025000</v>
      </c>
      <c r="P613" s="2">
        <v>42179000000</v>
      </c>
      <c r="Q613" s="2">
        <v>20372213000</v>
      </c>
      <c r="R613" s="2">
        <v>22664793000</v>
      </c>
      <c r="S613" s="2">
        <f t="shared" si="18"/>
        <v>0.125</v>
      </c>
      <c r="T613" s="2">
        <f t="shared" si="19"/>
        <v>29775647800</v>
      </c>
    </row>
    <row r="614" spans="1:20" x14ac:dyDescent="0.3">
      <c r="A614" s="1">
        <v>42773</v>
      </c>
      <c r="B614" t="s">
        <v>510</v>
      </c>
      <c r="C614" t="s">
        <v>18</v>
      </c>
      <c r="D614" t="s">
        <v>52</v>
      </c>
      <c r="E614">
        <v>1.36</v>
      </c>
      <c r="F614">
        <v>1.423</v>
      </c>
      <c r="G614">
        <v>1.1879999999999999</v>
      </c>
      <c r="H614">
        <v>2.78</v>
      </c>
      <c r="I614" s="2">
        <v>2771052800</v>
      </c>
      <c r="J614" s="2">
        <v>66729000000</v>
      </c>
      <c r="K614" s="2">
        <v>23949604000</v>
      </c>
      <c r="L614" s="2">
        <v>50458100</v>
      </c>
      <c r="M614" s="2">
        <v>1940000000</v>
      </c>
      <c r="N614" s="2">
        <v>3465000000</v>
      </c>
      <c r="O614" s="2">
        <v>8308604000</v>
      </c>
      <c r="P614" s="2">
        <v>49078000000</v>
      </c>
      <c r="Q614" s="2">
        <v>13701000000</v>
      </c>
      <c r="R614" s="2">
        <v>14186000000</v>
      </c>
      <c r="S614" s="2">
        <f t="shared" si="18"/>
        <v>0.2350000000000001</v>
      </c>
      <c r="T614" s="2">
        <f t="shared" si="19"/>
        <v>26771114900</v>
      </c>
    </row>
    <row r="615" spans="1:20" x14ac:dyDescent="0.3">
      <c r="A615" s="1">
        <v>42774</v>
      </c>
      <c r="B615" t="s">
        <v>509</v>
      </c>
      <c r="C615" t="s">
        <v>18</v>
      </c>
      <c r="D615" t="s">
        <v>26</v>
      </c>
      <c r="E615">
        <v>2.2599999999999998</v>
      </c>
      <c r="F615">
        <v>2.3330000000000002</v>
      </c>
      <c r="G615">
        <v>2.2010000000000001</v>
      </c>
      <c r="H615">
        <v>2.29</v>
      </c>
      <c r="I615" s="2">
        <v>2655592300</v>
      </c>
      <c r="J615" s="2">
        <v>52562600000</v>
      </c>
      <c r="K615" s="2">
        <v>22965537000</v>
      </c>
      <c r="L615" s="2">
        <v>33470000</v>
      </c>
      <c r="M615" s="2">
        <v>1007000000</v>
      </c>
      <c r="N615" s="2">
        <v>2182000000</v>
      </c>
      <c r="O615" s="2">
        <v>7016937000</v>
      </c>
      <c r="P615" s="2">
        <v>34142000000</v>
      </c>
      <c r="Q615" s="2">
        <v>14941600000</v>
      </c>
      <c r="R615" s="2">
        <v>16238600000</v>
      </c>
      <c r="S615" s="2">
        <f t="shared" si="18"/>
        <v>0.13200000000000012</v>
      </c>
      <c r="T615" s="2">
        <f t="shared" si="19"/>
        <v>25654599300</v>
      </c>
    </row>
    <row r="616" spans="1:20" x14ac:dyDescent="0.3">
      <c r="A616" s="1">
        <v>42775</v>
      </c>
      <c r="B616" t="s">
        <v>508</v>
      </c>
      <c r="C616" t="s">
        <v>23</v>
      </c>
      <c r="D616" t="s">
        <v>65</v>
      </c>
      <c r="E616">
        <v>2.944</v>
      </c>
      <c r="F616">
        <v>3.0049999999999999</v>
      </c>
      <c r="G616">
        <v>2.8879999999999999</v>
      </c>
      <c r="H616">
        <v>2.25</v>
      </c>
      <c r="I616" s="2">
        <v>1731907900</v>
      </c>
      <c r="J616" s="2">
        <v>33729499000</v>
      </c>
      <c r="K616" s="2">
        <v>14995499500</v>
      </c>
      <c r="L616" s="2">
        <v>4500700</v>
      </c>
      <c r="M616" s="2">
        <v>735000000</v>
      </c>
      <c r="N616" s="2">
        <v>1425000000</v>
      </c>
      <c r="O616" s="2">
        <v>4331882500</v>
      </c>
      <c r="P616" s="2">
        <v>21084000000</v>
      </c>
      <c r="Q616" s="2">
        <v>9928617000</v>
      </c>
      <c r="R616" s="2">
        <v>11220499000</v>
      </c>
      <c r="S616" s="2">
        <f t="shared" si="18"/>
        <v>0.11699999999999999</v>
      </c>
      <c r="T616" s="2">
        <f t="shared" si="19"/>
        <v>16731908100</v>
      </c>
    </row>
    <row r="617" spans="1:20" x14ac:dyDescent="0.3">
      <c r="A617" s="1">
        <v>42787</v>
      </c>
      <c r="B617" t="s">
        <v>513</v>
      </c>
      <c r="C617" t="s">
        <v>18</v>
      </c>
      <c r="D617" t="s">
        <v>21</v>
      </c>
      <c r="E617">
        <v>1.19</v>
      </c>
      <c r="F617">
        <v>1.23</v>
      </c>
      <c r="G617">
        <v>0.88800000000000001</v>
      </c>
      <c r="H617">
        <v>2.82</v>
      </c>
      <c r="I617" s="2">
        <v>3605863300</v>
      </c>
      <c r="J617" s="2">
        <v>73136900000</v>
      </c>
      <c r="K617" s="2">
        <v>25838140000</v>
      </c>
      <c r="L617" s="2">
        <v>161871500</v>
      </c>
      <c r="M617" s="2">
        <v>5190000000</v>
      </c>
      <c r="N617" s="2">
        <v>6415000000</v>
      </c>
      <c r="O617" s="2">
        <v>7784400000</v>
      </c>
      <c r="P617" s="2">
        <v>53188000000</v>
      </c>
      <c r="Q617" s="2">
        <v>12863740000</v>
      </c>
      <c r="R617" s="2">
        <v>13533900000</v>
      </c>
      <c r="S617" s="2">
        <f t="shared" si="18"/>
        <v>0.34199999999999997</v>
      </c>
      <c r="T617" s="2">
        <f t="shared" si="19"/>
        <v>29605874800</v>
      </c>
    </row>
    <row r="618" spans="1:20" x14ac:dyDescent="0.3">
      <c r="A618" s="1">
        <v>42788</v>
      </c>
      <c r="B618" t="s">
        <v>512</v>
      </c>
      <c r="C618" t="s">
        <v>18</v>
      </c>
      <c r="D618" t="s">
        <v>19</v>
      </c>
      <c r="E618">
        <v>1.87</v>
      </c>
      <c r="F618">
        <v>1.9370000000000001</v>
      </c>
      <c r="G618">
        <v>1.79</v>
      </c>
      <c r="H618">
        <v>2.29</v>
      </c>
      <c r="I618" s="2">
        <v>4715359700</v>
      </c>
      <c r="J618" s="2">
        <v>77885243000</v>
      </c>
      <c r="K618" s="2">
        <v>33947683000</v>
      </c>
      <c r="L618" s="2">
        <v>52358900</v>
      </c>
      <c r="M618" s="2">
        <v>2864400000</v>
      </c>
      <c r="N618" s="2">
        <v>4374400000</v>
      </c>
      <c r="O618" s="2">
        <v>11321540000</v>
      </c>
      <c r="P618" s="2">
        <v>53267000000</v>
      </c>
      <c r="Q618" s="2">
        <v>19761743000</v>
      </c>
      <c r="R618" s="2">
        <v>20243843000</v>
      </c>
      <c r="S618" s="2">
        <f t="shared" si="18"/>
        <v>0.14700000000000002</v>
      </c>
      <c r="T618" s="2">
        <f t="shared" si="19"/>
        <v>38715401600</v>
      </c>
    </row>
    <row r="619" spans="1:20" x14ac:dyDescent="0.3">
      <c r="A619" s="1">
        <v>42789</v>
      </c>
      <c r="B619" t="s">
        <v>511</v>
      </c>
      <c r="C619" t="s">
        <v>18</v>
      </c>
      <c r="D619" t="s">
        <v>68</v>
      </c>
      <c r="E619">
        <v>2.141</v>
      </c>
      <c r="F619">
        <v>2.1970000000000001</v>
      </c>
      <c r="G619">
        <v>1.8879999999999999</v>
      </c>
      <c r="H619">
        <v>2.4900000000000002</v>
      </c>
      <c r="I619" s="2">
        <v>3883237300</v>
      </c>
      <c r="J619" s="2">
        <v>69726895000</v>
      </c>
      <c r="K619" s="2">
        <v>27992594500</v>
      </c>
      <c r="L619" s="2">
        <v>7409700</v>
      </c>
      <c r="M619" s="2">
        <v>3188200000</v>
      </c>
      <c r="N619" s="2">
        <v>4363200000</v>
      </c>
      <c r="O619" s="2">
        <v>6946830000</v>
      </c>
      <c r="P619" s="2">
        <v>45496000000</v>
      </c>
      <c r="Q619" s="2">
        <v>17857564500</v>
      </c>
      <c r="R619" s="2">
        <v>19867695000</v>
      </c>
      <c r="S619" s="2">
        <f t="shared" si="18"/>
        <v>0.30900000000000016</v>
      </c>
      <c r="T619" s="2">
        <f t="shared" si="19"/>
        <v>31883241500</v>
      </c>
    </row>
    <row r="620" spans="1:20" x14ac:dyDescent="0.3">
      <c r="A620" s="1">
        <v>42801</v>
      </c>
      <c r="B620" t="s">
        <v>514</v>
      </c>
      <c r="C620" t="s">
        <v>18</v>
      </c>
      <c r="D620" t="s">
        <v>52</v>
      </c>
      <c r="E620">
        <v>1.57</v>
      </c>
      <c r="F620">
        <v>1.63</v>
      </c>
      <c r="G620">
        <v>1.5</v>
      </c>
      <c r="H620">
        <v>2.74</v>
      </c>
      <c r="I620" s="2">
        <v>0</v>
      </c>
      <c r="J620" s="2">
        <v>65609200000</v>
      </c>
      <c r="K620" s="2">
        <v>23838790000</v>
      </c>
      <c r="L620" s="2">
        <v>61238000</v>
      </c>
      <c r="M620" s="2">
        <v>1999770000</v>
      </c>
      <c r="N620" s="2">
        <v>5008000000</v>
      </c>
      <c r="O620" s="2">
        <v>10069650000</v>
      </c>
      <c r="P620" s="2">
        <v>47913000000</v>
      </c>
      <c r="Q620" s="2">
        <v>11769370000</v>
      </c>
      <c r="R620" s="2">
        <v>12688200000</v>
      </c>
      <c r="S620" s="2">
        <f t="shared" si="18"/>
        <v>0.12999999999999989</v>
      </c>
      <c r="T620" s="2">
        <f t="shared" si="19"/>
        <v>23900028000</v>
      </c>
    </row>
    <row r="621" spans="1:20" x14ac:dyDescent="0.3">
      <c r="A621" s="1">
        <v>42802</v>
      </c>
      <c r="B621" t="s">
        <v>509</v>
      </c>
      <c r="C621" t="s">
        <v>18</v>
      </c>
      <c r="D621" t="s">
        <v>29</v>
      </c>
      <c r="E621">
        <v>2.5099999999999998</v>
      </c>
      <c r="F621">
        <v>2.56</v>
      </c>
      <c r="G621">
        <v>2.4489999999999998</v>
      </c>
      <c r="H621">
        <v>2.66</v>
      </c>
      <c r="I621" s="2">
        <v>0</v>
      </c>
      <c r="J621" s="2">
        <v>53099900000</v>
      </c>
      <c r="K621" s="2">
        <v>19990395000</v>
      </c>
      <c r="L621" s="2">
        <v>9671600</v>
      </c>
      <c r="M621" s="2">
        <v>3136025000</v>
      </c>
      <c r="N621" s="2">
        <v>4420000000</v>
      </c>
      <c r="O621" s="2">
        <v>3709102500</v>
      </c>
      <c r="P621" s="2">
        <v>32715000000</v>
      </c>
      <c r="Q621" s="2">
        <v>13145267500</v>
      </c>
      <c r="R621" s="2">
        <v>15964900000</v>
      </c>
      <c r="S621" s="2">
        <f t="shared" si="18"/>
        <v>0.11100000000000021</v>
      </c>
      <c r="T621" s="2">
        <f t="shared" si="19"/>
        <v>20000066600</v>
      </c>
    </row>
    <row r="622" spans="1:20" x14ac:dyDescent="0.3">
      <c r="A622" s="1">
        <v>42803</v>
      </c>
      <c r="B622" t="s">
        <v>508</v>
      </c>
      <c r="C622" t="s">
        <v>23</v>
      </c>
      <c r="D622" t="s">
        <v>72</v>
      </c>
      <c r="E622">
        <v>3.12</v>
      </c>
      <c r="F622">
        <v>3.17</v>
      </c>
      <c r="G622">
        <v>3</v>
      </c>
      <c r="H622">
        <v>2.34</v>
      </c>
      <c r="I622" s="2">
        <v>0</v>
      </c>
      <c r="J622" s="2">
        <v>28038786000</v>
      </c>
      <c r="K622" s="2">
        <v>11993718400</v>
      </c>
      <c r="L622" s="2">
        <v>6284700</v>
      </c>
      <c r="M622" s="2">
        <v>1573065400</v>
      </c>
      <c r="N622" s="2">
        <v>2130000000</v>
      </c>
      <c r="O622" s="2">
        <v>3098049500</v>
      </c>
      <c r="P622" s="2">
        <v>17062000000</v>
      </c>
      <c r="Q622" s="2">
        <v>7322603500</v>
      </c>
      <c r="R622" s="2">
        <v>8846786000</v>
      </c>
      <c r="S622" s="2">
        <f t="shared" si="18"/>
        <v>0.16999999999999993</v>
      </c>
      <c r="T622" s="2">
        <f t="shared" si="19"/>
        <v>12000003100</v>
      </c>
    </row>
    <row r="623" spans="1:20" x14ac:dyDescent="0.3">
      <c r="A623" s="1">
        <v>42821</v>
      </c>
      <c r="B623" t="s">
        <v>516</v>
      </c>
      <c r="C623" t="s">
        <v>18</v>
      </c>
      <c r="D623" t="s">
        <v>21</v>
      </c>
      <c r="E623">
        <v>1.2</v>
      </c>
      <c r="F623">
        <v>1.2609999999999999</v>
      </c>
      <c r="G623">
        <v>1.1399999999999999</v>
      </c>
      <c r="H623">
        <v>2.73</v>
      </c>
      <c r="I623" s="2">
        <v>3147708100</v>
      </c>
      <c r="J623" s="2">
        <v>70617400000</v>
      </c>
      <c r="K623" s="2">
        <v>25728012500</v>
      </c>
      <c r="L623" s="2">
        <v>165320800</v>
      </c>
      <c r="M623" s="2">
        <v>2768000000</v>
      </c>
      <c r="N623" s="2">
        <v>4268000000</v>
      </c>
      <c r="O623" s="2">
        <v>9174612500</v>
      </c>
      <c r="P623" s="2">
        <v>52185000000</v>
      </c>
      <c r="Q623" s="2">
        <v>13785400000</v>
      </c>
      <c r="R623" s="2">
        <v>14164400000</v>
      </c>
      <c r="S623" s="2">
        <f t="shared" si="18"/>
        <v>0.121</v>
      </c>
      <c r="T623" s="2">
        <f t="shared" si="19"/>
        <v>29041041400</v>
      </c>
    </row>
    <row r="624" spans="1:20" x14ac:dyDescent="0.3">
      <c r="A624" s="1">
        <v>42822</v>
      </c>
      <c r="B624" t="s">
        <v>515</v>
      </c>
      <c r="C624" t="s">
        <v>18</v>
      </c>
      <c r="D624" t="s">
        <v>19</v>
      </c>
      <c r="E624">
        <v>1.89</v>
      </c>
      <c r="F624">
        <v>1.95</v>
      </c>
      <c r="G624">
        <v>1.8</v>
      </c>
      <c r="H624">
        <v>2.37</v>
      </c>
      <c r="I624" s="2">
        <v>4116233700</v>
      </c>
      <c r="J624" s="2">
        <v>80563832000</v>
      </c>
      <c r="K624" s="2">
        <v>33941214500</v>
      </c>
      <c r="L624" s="2">
        <v>58794200</v>
      </c>
      <c r="M624" s="2">
        <v>1613000000</v>
      </c>
      <c r="N624" s="2">
        <v>3128000000</v>
      </c>
      <c r="O624" s="2">
        <v>8948845000</v>
      </c>
      <c r="P624" s="2">
        <v>53403000000</v>
      </c>
      <c r="Q624" s="2">
        <v>23379369500</v>
      </c>
      <c r="R624" s="2">
        <v>24032832000</v>
      </c>
      <c r="S624" s="2">
        <f t="shared" si="18"/>
        <v>0.14999999999999991</v>
      </c>
      <c r="T624" s="2">
        <f t="shared" si="19"/>
        <v>38116242400</v>
      </c>
    </row>
    <row r="625" spans="1:20" x14ac:dyDescent="0.3">
      <c r="A625" s="1">
        <v>42823</v>
      </c>
      <c r="B625" t="s">
        <v>517</v>
      </c>
      <c r="C625" t="s">
        <v>18</v>
      </c>
      <c r="D625" t="s">
        <v>68</v>
      </c>
      <c r="E625">
        <v>2.1749999999999998</v>
      </c>
      <c r="F625">
        <v>2.2149999999999999</v>
      </c>
      <c r="G625">
        <v>1.8879999999999999</v>
      </c>
      <c r="H625">
        <v>2.56</v>
      </c>
      <c r="I625" s="2">
        <v>3389839400</v>
      </c>
      <c r="J625" s="2">
        <v>71765824000</v>
      </c>
      <c r="K625" s="2">
        <v>27987754000</v>
      </c>
      <c r="L625" s="2">
        <v>12254000</v>
      </c>
      <c r="M625" s="2">
        <v>2350000000</v>
      </c>
      <c r="N625" s="2">
        <v>4862000000</v>
      </c>
      <c r="O625" s="2">
        <v>5736880000</v>
      </c>
      <c r="P625" s="2">
        <v>45420000000</v>
      </c>
      <c r="Q625" s="2">
        <v>19900874000</v>
      </c>
      <c r="R625" s="2">
        <v>21483824000</v>
      </c>
      <c r="S625" s="2">
        <f t="shared" si="18"/>
        <v>0.32699999999999996</v>
      </c>
      <c r="T625" s="2">
        <f t="shared" si="19"/>
        <v>31389847400</v>
      </c>
    </row>
    <row r="626" spans="1:20" x14ac:dyDescent="0.3">
      <c r="A626" s="1">
        <v>42835</v>
      </c>
      <c r="B626" t="s">
        <v>518</v>
      </c>
      <c r="C626" t="s">
        <v>18</v>
      </c>
      <c r="D626" t="s">
        <v>52</v>
      </c>
      <c r="E626">
        <v>1.46</v>
      </c>
      <c r="F626">
        <v>1.5249999999999999</v>
      </c>
      <c r="G626">
        <v>1.38</v>
      </c>
      <c r="H626">
        <v>2.62</v>
      </c>
      <c r="I626" s="2">
        <v>197264200</v>
      </c>
      <c r="J626" s="2">
        <v>62723750000</v>
      </c>
      <c r="K626" s="2">
        <v>23847530000</v>
      </c>
      <c r="L626" s="2">
        <v>52498200</v>
      </c>
      <c r="M626" s="2">
        <v>1981000000</v>
      </c>
      <c r="N626" s="2">
        <v>3481000000</v>
      </c>
      <c r="O626" s="2">
        <v>9508780000</v>
      </c>
      <c r="P626" s="2">
        <v>46830000000</v>
      </c>
      <c r="Q626" s="2">
        <v>12357750000</v>
      </c>
      <c r="R626" s="2">
        <v>12412750000</v>
      </c>
      <c r="S626" s="2">
        <f t="shared" si="18"/>
        <v>0.14500000000000002</v>
      </c>
      <c r="T626" s="2">
        <f t="shared" si="19"/>
        <v>24097292400</v>
      </c>
    </row>
    <row r="627" spans="1:20" x14ac:dyDescent="0.3">
      <c r="A627" s="1">
        <v>42836</v>
      </c>
      <c r="B627" t="s">
        <v>509</v>
      </c>
      <c r="C627" t="s">
        <v>18</v>
      </c>
      <c r="D627" t="s">
        <v>59</v>
      </c>
      <c r="E627">
        <v>2.2599999999999998</v>
      </c>
      <c r="F627">
        <v>2.3319999999999999</v>
      </c>
      <c r="G627">
        <v>1.8879999999999999</v>
      </c>
      <c r="H627">
        <v>2.48</v>
      </c>
      <c r="I627" s="2">
        <v>164386800</v>
      </c>
      <c r="J627" s="2">
        <v>49511500000</v>
      </c>
      <c r="K627" s="2">
        <v>19992757500</v>
      </c>
      <c r="L627" s="2">
        <v>7274500</v>
      </c>
      <c r="M627" s="2">
        <v>1063000000</v>
      </c>
      <c r="N627" s="2">
        <v>2513000000</v>
      </c>
      <c r="O627" s="2">
        <v>5890517500</v>
      </c>
      <c r="P627" s="2">
        <v>31384000000</v>
      </c>
      <c r="Q627" s="2">
        <v>13039240000</v>
      </c>
      <c r="R627" s="2">
        <v>15614500000</v>
      </c>
      <c r="S627" s="2">
        <f t="shared" si="18"/>
        <v>0.44399999999999995</v>
      </c>
      <c r="T627" s="2">
        <f t="shared" si="19"/>
        <v>20164418800</v>
      </c>
    </row>
    <row r="628" spans="1:20" x14ac:dyDescent="0.3">
      <c r="A628" s="1">
        <v>42837</v>
      </c>
      <c r="B628" t="s">
        <v>508</v>
      </c>
      <c r="C628" t="s">
        <v>23</v>
      </c>
      <c r="D628" t="s">
        <v>91</v>
      </c>
      <c r="E628">
        <v>2.8610000000000002</v>
      </c>
      <c r="F628">
        <v>2.9380000000000002</v>
      </c>
      <c r="G628">
        <v>2.8</v>
      </c>
      <c r="H628">
        <v>2.23</v>
      </c>
      <c r="I628" s="2">
        <v>98632100</v>
      </c>
      <c r="J628" s="2">
        <v>26705679000</v>
      </c>
      <c r="K628" s="2">
        <v>11992750500</v>
      </c>
      <c r="L628" s="2">
        <v>7259000</v>
      </c>
      <c r="M628" s="2">
        <v>698000000</v>
      </c>
      <c r="N628" s="2">
        <v>1248000000</v>
      </c>
      <c r="O628" s="2">
        <v>3563515000</v>
      </c>
      <c r="P628" s="2">
        <v>16728000000</v>
      </c>
      <c r="Q628" s="2">
        <v>7731235500</v>
      </c>
      <c r="R628" s="2">
        <v>8729679000</v>
      </c>
      <c r="S628" s="2">
        <f t="shared" si="18"/>
        <v>0.13800000000000034</v>
      </c>
      <c r="T628" s="2">
        <f t="shared" si="19"/>
        <v>12098641600</v>
      </c>
    </row>
    <row r="629" spans="1:20" x14ac:dyDescent="0.3">
      <c r="A629" s="1">
        <v>42850</v>
      </c>
      <c r="B629" t="s">
        <v>246</v>
      </c>
      <c r="C629" t="s">
        <v>18</v>
      </c>
      <c r="D629" t="s">
        <v>21</v>
      </c>
      <c r="E629">
        <v>1.22</v>
      </c>
      <c r="F629">
        <v>1.28</v>
      </c>
      <c r="G629">
        <v>0.88800000000000001</v>
      </c>
      <c r="H629">
        <v>2.85</v>
      </c>
      <c r="I629" s="2">
        <v>3548611100</v>
      </c>
      <c r="J629" s="2">
        <v>73901755000</v>
      </c>
      <c r="K629" s="2">
        <v>25730103000</v>
      </c>
      <c r="L629" s="2">
        <v>169962300</v>
      </c>
      <c r="M629" s="2">
        <v>2941000000</v>
      </c>
      <c r="N629" s="2">
        <v>4711000000</v>
      </c>
      <c r="O629" s="2">
        <v>7629348000</v>
      </c>
      <c r="P629" s="2">
        <v>52858000000</v>
      </c>
      <c r="Q629" s="2">
        <v>15159755000</v>
      </c>
      <c r="R629" s="2">
        <v>16332755000</v>
      </c>
      <c r="S629" s="2">
        <f t="shared" si="18"/>
        <v>0.39200000000000002</v>
      </c>
      <c r="T629" s="2">
        <f t="shared" si="19"/>
        <v>29448676400</v>
      </c>
    </row>
    <row r="630" spans="1:20" x14ac:dyDescent="0.3">
      <c r="A630" s="1">
        <v>42851</v>
      </c>
      <c r="B630" t="s">
        <v>520</v>
      </c>
      <c r="C630" t="s">
        <v>18</v>
      </c>
      <c r="D630" t="s">
        <v>19</v>
      </c>
      <c r="E630">
        <v>1.82</v>
      </c>
      <c r="F630">
        <v>1.875</v>
      </c>
      <c r="G630">
        <v>1.73</v>
      </c>
      <c r="H630">
        <v>2.34</v>
      </c>
      <c r="I630" s="2">
        <v>4640491300</v>
      </c>
      <c r="J630" s="2">
        <v>79394724000</v>
      </c>
      <c r="K630" s="2">
        <v>33963391400</v>
      </c>
      <c r="L630" s="2">
        <v>37002500</v>
      </c>
      <c r="M630" s="2">
        <v>1796090000</v>
      </c>
      <c r="N630" s="2">
        <v>3378000000</v>
      </c>
      <c r="O630" s="2">
        <v>12708157400</v>
      </c>
      <c r="P630" s="2">
        <v>55602300000</v>
      </c>
      <c r="Q630" s="2">
        <v>19459144000</v>
      </c>
      <c r="R630" s="2">
        <v>20414424000</v>
      </c>
      <c r="S630" s="2">
        <f t="shared" si="18"/>
        <v>0.14500000000000002</v>
      </c>
      <c r="T630" s="2">
        <f t="shared" si="19"/>
        <v>38640885200</v>
      </c>
    </row>
    <row r="631" spans="1:20" x14ac:dyDescent="0.3">
      <c r="A631" s="1">
        <v>42852</v>
      </c>
      <c r="B631" t="s">
        <v>519</v>
      </c>
      <c r="C631" t="s">
        <v>18</v>
      </c>
      <c r="D631" t="s">
        <v>68</v>
      </c>
      <c r="E631">
        <v>2.0499999999999998</v>
      </c>
      <c r="F631">
        <v>2.0840000000000001</v>
      </c>
      <c r="G631">
        <v>1.8879999999999999</v>
      </c>
      <c r="H631">
        <v>2.73</v>
      </c>
      <c r="I631" s="2">
        <v>3821581100</v>
      </c>
      <c r="J631" s="2">
        <v>76513652000</v>
      </c>
      <c r="K631" s="2">
        <v>27991657000</v>
      </c>
      <c r="L631" s="2">
        <v>8347000</v>
      </c>
      <c r="M631" s="2">
        <v>2669000000</v>
      </c>
      <c r="N631" s="2">
        <v>4729000000</v>
      </c>
      <c r="O631" s="2">
        <v>2456885000</v>
      </c>
      <c r="P631" s="2">
        <v>46208500000</v>
      </c>
      <c r="Q631" s="2">
        <v>22865772000</v>
      </c>
      <c r="R631" s="2">
        <v>25576152000</v>
      </c>
      <c r="S631" s="2">
        <f t="shared" si="18"/>
        <v>0.19600000000000017</v>
      </c>
      <c r="T631" s="2">
        <f t="shared" si="19"/>
        <v>31821585100</v>
      </c>
    </row>
    <row r="632" spans="1:20" x14ac:dyDescent="0.3">
      <c r="A632" s="1">
        <v>42864</v>
      </c>
      <c r="B632" t="s">
        <v>521</v>
      </c>
      <c r="C632" t="s">
        <v>18</v>
      </c>
      <c r="D632" t="s">
        <v>52</v>
      </c>
      <c r="E632">
        <v>1.5289999999999999</v>
      </c>
      <c r="F632">
        <v>1.5720000000000001</v>
      </c>
      <c r="G632">
        <v>1.288</v>
      </c>
      <c r="H632">
        <v>2.76</v>
      </c>
      <c r="I632" s="2">
        <v>7929035700</v>
      </c>
      <c r="J632" s="2">
        <v>66075700000</v>
      </c>
      <c r="K632" s="2">
        <v>23850350000</v>
      </c>
      <c r="L632" s="2">
        <v>49666200</v>
      </c>
      <c r="M632" s="2">
        <v>2222000000</v>
      </c>
      <c r="N632" s="2">
        <v>3722000000</v>
      </c>
      <c r="O632" s="2">
        <v>9519850000</v>
      </c>
      <c r="P632" s="2">
        <v>50145200000</v>
      </c>
      <c r="Q632" s="2">
        <v>12108500000</v>
      </c>
      <c r="R632" s="2">
        <v>12208500000</v>
      </c>
      <c r="S632" s="2">
        <f t="shared" si="18"/>
        <v>0.28400000000000003</v>
      </c>
      <c r="T632" s="2">
        <f t="shared" si="19"/>
        <v>31829051900</v>
      </c>
    </row>
    <row r="633" spans="1:20" x14ac:dyDescent="0.3">
      <c r="A633" s="1">
        <v>42865</v>
      </c>
      <c r="B633" t="s">
        <v>523</v>
      </c>
      <c r="C633" t="s">
        <v>18</v>
      </c>
      <c r="D633" t="s">
        <v>26</v>
      </c>
      <c r="E633">
        <v>2.3420000000000001</v>
      </c>
      <c r="F633">
        <v>2.4</v>
      </c>
      <c r="G633">
        <v>2.2810000000000001</v>
      </c>
      <c r="H633">
        <v>2.33</v>
      </c>
      <c r="I633" s="2">
        <v>7598659100</v>
      </c>
      <c r="J633" s="2">
        <v>53606000000</v>
      </c>
      <c r="K633" s="2">
        <v>22972960000</v>
      </c>
      <c r="L633" s="2">
        <v>27173800</v>
      </c>
      <c r="M633" s="2">
        <v>1161920000</v>
      </c>
      <c r="N633" s="2">
        <v>2942000000</v>
      </c>
      <c r="O633" s="2">
        <v>7861440000</v>
      </c>
      <c r="P633" s="2">
        <v>34897200000</v>
      </c>
      <c r="Q633" s="2">
        <v>13949600000</v>
      </c>
      <c r="R633" s="2">
        <v>15766800000</v>
      </c>
      <c r="S633" s="2">
        <f t="shared" si="18"/>
        <v>0.11899999999999977</v>
      </c>
      <c r="T633" s="2">
        <f t="shared" si="19"/>
        <v>30598792900</v>
      </c>
    </row>
    <row r="634" spans="1:20" x14ac:dyDescent="0.3">
      <c r="A634" s="1">
        <v>42866</v>
      </c>
      <c r="B634" t="s">
        <v>522</v>
      </c>
      <c r="C634" t="s">
        <v>23</v>
      </c>
      <c r="D634" t="s">
        <v>65</v>
      </c>
      <c r="E634">
        <v>3</v>
      </c>
      <c r="F634">
        <v>3.05</v>
      </c>
      <c r="G634">
        <v>2.92</v>
      </c>
      <c r="H634">
        <v>2.19</v>
      </c>
      <c r="I634" s="2">
        <v>4955647200</v>
      </c>
      <c r="J634" s="2">
        <v>32851698000</v>
      </c>
      <c r="K634" s="2">
        <v>14987803000</v>
      </c>
      <c r="L634" s="2">
        <v>12215000</v>
      </c>
      <c r="M634" s="2">
        <v>792000000</v>
      </c>
      <c r="N634" s="2">
        <v>1442000000</v>
      </c>
      <c r="O634" s="2">
        <v>5341230000</v>
      </c>
      <c r="P634" s="2">
        <v>21410100000</v>
      </c>
      <c r="Q634" s="2">
        <v>8854573000</v>
      </c>
      <c r="R634" s="2">
        <v>9999598000</v>
      </c>
      <c r="S634" s="2">
        <f t="shared" si="18"/>
        <v>0.12999999999999989</v>
      </c>
      <c r="T634" s="2">
        <f t="shared" si="19"/>
        <v>19955665200</v>
      </c>
    </row>
    <row r="635" spans="1:20" x14ac:dyDescent="0.3">
      <c r="A635" s="1">
        <v>42878</v>
      </c>
      <c r="B635" t="s">
        <v>526</v>
      </c>
      <c r="C635" t="s">
        <v>18</v>
      </c>
      <c r="D635" t="s">
        <v>21</v>
      </c>
      <c r="E635">
        <v>1.26</v>
      </c>
      <c r="F635">
        <v>1.3160000000000001</v>
      </c>
      <c r="G635">
        <v>0.88800000000000001</v>
      </c>
      <c r="H635">
        <v>2.9</v>
      </c>
      <c r="I635" s="2">
        <v>3127905400</v>
      </c>
      <c r="J635" s="2">
        <v>75271735000</v>
      </c>
      <c r="K635" s="2">
        <v>25776462000</v>
      </c>
      <c r="L635" s="2">
        <v>123580600</v>
      </c>
      <c r="M635" s="2">
        <v>3197000000</v>
      </c>
      <c r="N635" s="2">
        <v>7217000000</v>
      </c>
      <c r="O635" s="2">
        <v>7848100000</v>
      </c>
      <c r="P635" s="2">
        <v>50850400000</v>
      </c>
      <c r="Q635" s="2">
        <v>14731362000</v>
      </c>
      <c r="R635" s="2">
        <v>17204335000</v>
      </c>
      <c r="S635" s="2">
        <f t="shared" si="18"/>
        <v>0.42800000000000005</v>
      </c>
      <c r="T635" s="2">
        <f t="shared" si="19"/>
        <v>29027948000</v>
      </c>
    </row>
    <row r="636" spans="1:20" x14ac:dyDescent="0.3">
      <c r="A636" s="1">
        <v>42879</v>
      </c>
      <c r="B636" t="s">
        <v>525</v>
      </c>
      <c r="C636" t="s">
        <v>18</v>
      </c>
      <c r="D636" t="s">
        <v>19</v>
      </c>
      <c r="E636">
        <v>1.8</v>
      </c>
      <c r="F636">
        <v>1.831</v>
      </c>
      <c r="G636">
        <v>1.7150000000000001</v>
      </c>
      <c r="H636">
        <v>2.67</v>
      </c>
      <c r="I636" s="2">
        <v>4090337700</v>
      </c>
      <c r="J636" s="2">
        <v>90877594000</v>
      </c>
      <c r="K636" s="2">
        <v>33931858000</v>
      </c>
      <c r="L636" s="2">
        <v>68154200</v>
      </c>
      <c r="M636" s="2">
        <v>2916000000</v>
      </c>
      <c r="N636" s="2">
        <v>4341000000</v>
      </c>
      <c r="O636" s="2">
        <v>7713724000</v>
      </c>
      <c r="P636" s="2">
        <v>57201300000</v>
      </c>
      <c r="Q636" s="2">
        <v>23302134000</v>
      </c>
      <c r="R636" s="2">
        <v>29335294000</v>
      </c>
      <c r="S636" s="2">
        <f t="shared" si="18"/>
        <v>0.11599999999999988</v>
      </c>
      <c r="T636" s="2">
        <f t="shared" si="19"/>
        <v>38090349900</v>
      </c>
    </row>
    <row r="637" spans="1:20" x14ac:dyDescent="0.3">
      <c r="A637" s="1">
        <v>42880</v>
      </c>
      <c r="B637" t="s">
        <v>524</v>
      </c>
      <c r="C637" t="s">
        <v>18</v>
      </c>
      <c r="D637" t="s">
        <v>68</v>
      </c>
      <c r="E637">
        <v>2.0099999999999998</v>
      </c>
      <c r="F637">
        <v>2.06</v>
      </c>
      <c r="G637">
        <v>1.8879999999999999</v>
      </c>
      <c r="H637">
        <v>2.54</v>
      </c>
      <c r="I637" s="2">
        <v>3368513400</v>
      </c>
      <c r="J637" s="2">
        <v>71131256000</v>
      </c>
      <c r="K637" s="2">
        <v>27991040000</v>
      </c>
      <c r="L637" s="2">
        <v>9000000</v>
      </c>
      <c r="M637" s="2">
        <v>4806408000</v>
      </c>
      <c r="N637" s="2">
        <v>5969000000</v>
      </c>
      <c r="O637" s="2">
        <v>6043716000</v>
      </c>
      <c r="P637" s="2">
        <v>44695500000</v>
      </c>
      <c r="Q637" s="2">
        <v>17140916000</v>
      </c>
      <c r="R637" s="2">
        <v>20466756000</v>
      </c>
      <c r="S637" s="2">
        <f t="shared" si="18"/>
        <v>0.17200000000000015</v>
      </c>
      <c r="T637" s="2">
        <f t="shared" si="19"/>
        <v>31368553400</v>
      </c>
    </row>
    <row r="638" spans="1:20" x14ac:dyDescent="0.3">
      <c r="A638" s="1">
        <v>42898</v>
      </c>
      <c r="B638" t="s">
        <v>523</v>
      </c>
      <c r="C638" t="s">
        <v>18</v>
      </c>
      <c r="D638" t="s">
        <v>29</v>
      </c>
      <c r="E638">
        <v>2.15</v>
      </c>
      <c r="F638">
        <v>2.1949999999999998</v>
      </c>
      <c r="G638">
        <v>2.09</v>
      </c>
      <c r="H638">
        <v>2.54</v>
      </c>
      <c r="I638" s="2">
        <v>0</v>
      </c>
      <c r="J638" s="2">
        <v>50867800000</v>
      </c>
      <c r="K638" s="2">
        <v>19990115500</v>
      </c>
      <c r="L638" s="2">
        <v>9945100</v>
      </c>
      <c r="M638" s="2">
        <v>1061063000</v>
      </c>
      <c r="N638" s="2">
        <v>1896000000</v>
      </c>
      <c r="O638" s="2">
        <v>5707695000</v>
      </c>
      <c r="P638" s="2">
        <v>31978600000</v>
      </c>
      <c r="Q638" s="2">
        <v>13221357500</v>
      </c>
      <c r="R638" s="2">
        <v>16993200000</v>
      </c>
      <c r="S638" s="2">
        <f t="shared" si="18"/>
        <v>0.10499999999999998</v>
      </c>
      <c r="T638" s="2">
        <f t="shared" si="19"/>
        <v>20000060600</v>
      </c>
    </row>
    <row r="639" spans="1:20" x14ac:dyDescent="0.3">
      <c r="A639" s="1">
        <v>42898</v>
      </c>
      <c r="B639" t="s">
        <v>527</v>
      </c>
      <c r="C639" t="s">
        <v>18</v>
      </c>
      <c r="D639" t="s">
        <v>52</v>
      </c>
      <c r="E639">
        <v>1.46</v>
      </c>
      <c r="F639">
        <v>1.5</v>
      </c>
      <c r="G639">
        <v>1.38</v>
      </c>
      <c r="H639">
        <v>3</v>
      </c>
      <c r="I639" s="2">
        <v>0</v>
      </c>
      <c r="J639" s="2">
        <v>71932800000</v>
      </c>
      <c r="K639" s="2">
        <v>23823072000</v>
      </c>
      <c r="L639" s="2">
        <v>77007600</v>
      </c>
      <c r="M639" s="2">
        <v>1484000000</v>
      </c>
      <c r="N639" s="2">
        <v>3059000000</v>
      </c>
      <c r="O639" s="2">
        <v>6707164000</v>
      </c>
      <c r="P639" s="2">
        <v>46577900000</v>
      </c>
      <c r="Q639" s="2">
        <v>15631908000</v>
      </c>
      <c r="R639" s="2">
        <v>22295900000</v>
      </c>
      <c r="S639" s="2">
        <f t="shared" si="18"/>
        <v>0.12000000000000011</v>
      </c>
      <c r="T639" s="2">
        <f t="shared" si="19"/>
        <v>23900079600</v>
      </c>
    </row>
    <row r="640" spans="1:20" x14ac:dyDescent="0.3">
      <c r="A640" s="1">
        <v>42899</v>
      </c>
      <c r="B640" t="s">
        <v>522</v>
      </c>
      <c r="C640" t="s">
        <v>23</v>
      </c>
      <c r="D640" t="s">
        <v>72</v>
      </c>
      <c r="E640">
        <v>2.82</v>
      </c>
      <c r="F640">
        <v>2.87</v>
      </c>
      <c r="G640">
        <v>2.72</v>
      </c>
      <c r="H640">
        <v>2.3199999999999998</v>
      </c>
      <c r="I640" s="2">
        <v>0</v>
      </c>
      <c r="J640" s="2">
        <v>27827256000</v>
      </c>
      <c r="K640" s="2">
        <v>11997542500</v>
      </c>
      <c r="L640" s="2">
        <v>2460700</v>
      </c>
      <c r="M640" s="2">
        <v>805000000</v>
      </c>
      <c r="N640" s="2">
        <v>1335000000</v>
      </c>
      <c r="O640" s="2">
        <v>3548471000</v>
      </c>
      <c r="P640" s="2">
        <v>17633700000</v>
      </c>
      <c r="Q640" s="2">
        <v>7644071500</v>
      </c>
      <c r="R640" s="2">
        <v>8858556000</v>
      </c>
      <c r="S640" s="2">
        <f t="shared" si="18"/>
        <v>0.14999999999999991</v>
      </c>
      <c r="T640" s="2">
        <f t="shared" si="19"/>
        <v>12000003200</v>
      </c>
    </row>
    <row r="641" spans="1:20" x14ac:dyDescent="0.3">
      <c r="A641" s="1">
        <v>42912</v>
      </c>
      <c r="B641" t="s">
        <v>530</v>
      </c>
      <c r="C641" t="s">
        <v>18</v>
      </c>
      <c r="D641" t="s">
        <v>21</v>
      </c>
      <c r="E641">
        <v>1.3</v>
      </c>
      <c r="F641">
        <v>1.3480000000000001</v>
      </c>
      <c r="G641">
        <v>1.1879999999999999</v>
      </c>
      <c r="H641">
        <v>3.03</v>
      </c>
      <c r="I641" s="2">
        <v>3160424300</v>
      </c>
      <c r="J641" s="2">
        <v>78528404900</v>
      </c>
      <c r="K641" s="2">
        <v>25723844900</v>
      </c>
      <c r="L641" s="2">
        <v>176234400</v>
      </c>
      <c r="M641" s="2">
        <v>4720000000</v>
      </c>
      <c r="N641" s="2">
        <v>7220000000</v>
      </c>
      <c r="O641" s="2">
        <v>6440040000</v>
      </c>
      <c r="P641" s="2">
        <v>50612000000</v>
      </c>
      <c r="Q641" s="2">
        <v>14563804900</v>
      </c>
      <c r="R641" s="2">
        <v>20696404900</v>
      </c>
      <c r="S641" s="2">
        <f t="shared" si="18"/>
        <v>0.16000000000000014</v>
      </c>
      <c r="T641" s="2">
        <f t="shared" si="19"/>
        <v>29060503600</v>
      </c>
    </row>
    <row r="642" spans="1:20" x14ac:dyDescent="0.3">
      <c r="A642" s="1">
        <v>42913</v>
      </c>
      <c r="B642" t="s">
        <v>529</v>
      </c>
      <c r="C642" t="s">
        <v>18</v>
      </c>
      <c r="D642" t="s">
        <v>19</v>
      </c>
      <c r="E642">
        <v>1.77</v>
      </c>
      <c r="F642">
        <v>1.8280000000000001</v>
      </c>
      <c r="G642">
        <v>1.7</v>
      </c>
      <c r="H642">
        <v>2.33</v>
      </c>
      <c r="I642" s="2">
        <v>4132862500</v>
      </c>
      <c r="J642" s="2">
        <v>79168317000</v>
      </c>
      <c r="K642" s="2">
        <v>33949132000</v>
      </c>
      <c r="L642" s="2">
        <v>50879000</v>
      </c>
      <c r="M642" s="2">
        <v>3118000000</v>
      </c>
      <c r="N642" s="2">
        <v>4633000000</v>
      </c>
      <c r="O642" s="2">
        <v>8691815000</v>
      </c>
      <c r="P642" s="2">
        <v>48899000000</v>
      </c>
      <c r="Q642" s="2">
        <v>22139317000</v>
      </c>
      <c r="R642" s="2">
        <v>25636317000</v>
      </c>
      <c r="S642" s="2">
        <f t="shared" ref="S642:S705" si="20">SUM($F642,-$G642)</f>
        <v>0.12800000000000011</v>
      </c>
      <c r="T642" s="2">
        <f t="shared" ref="T642:T705" si="21">SUM(I642,K642,L642)</f>
        <v>38132873500</v>
      </c>
    </row>
    <row r="643" spans="1:20" x14ac:dyDescent="0.3">
      <c r="A643" s="1">
        <v>42914</v>
      </c>
      <c r="B643" t="s">
        <v>528</v>
      </c>
      <c r="C643" t="s">
        <v>18</v>
      </c>
      <c r="D643" t="s">
        <v>68</v>
      </c>
      <c r="E643">
        <v>2.0169999999999999</v>
      </c>
      <c r="F643">
        <v>2.056</v>
      </c>
      <c r="G643">
        <v>1.9350000000000001</v>
      </c>
      <c r="H643">
        <v>2.46</v>
      </c>
      <c r="I643" s="2">
        <v>3403533800</v>
      </c>
      <c r="J643" s="2">
        <v>68891893000</v>
      </c>
      <c r="K643" s="2">
        <v>27988950500</v>
      </c>
      <c r="L643" s="2">
        <v>11083600</v>
      </c>
      <c r="M643" s="2">
        <v>2634000000</v>
      </c>
      <c r="N643" s="2">
        <v>4044000000</v>
      </c>
      <c r="O643" s="2">
        <v>7041487500</v>
      </c>
      <c r="P643" s="2">
        <v>44032000000</v>
      </c>
      <c r="Q643" s="2">
        <v>18313463000</v>
      </c>
      <c r="R643" s="2">
        <v>20815893000</v>
      </c>
      <c r="S643" s="2">
        <f t="shared" si="20"/>
        <v>0.121</v>
      </c>
      <c r="T643" s="2">
        <f t="shared" si="21"/>
        <v>31403567900</v>
      </c>
    </row>
    <row r="644" spans="1:20" x14ac:dyDescent="0.3">
      <c r="A644" s="1">
        <v>42927</v>
      </c>
      <c r="B644" t="s">
        <v>531</v>
      </c>
      <c r="C644" t="s">
        <v>18</v>
      </c>
      <c r="D644" t="s">
        <v>52</v>
      </c>
      <c r="E644">
        <v>1.5289999999999999</v>
      </c>
      <c r="F644">
        <v>1.573</v>
      </c>
      <c r="G644">
        <v>1.4610000000000001</v>
      </c>
      <c r="H644">
        <v>2.87</v>
      </c>
      <c r="I644" s="2">
        <v>547813900</v>
      </c>
      <c r="J644" s="2">
        <v>68715200000</v>
      </c>
      <c r="K644" s="2">
        <v>23831954000</v>
      </c>
      <c r="L644" s="2">
        <v>68055100</v>
      </c>
      <c r="M644" s="2">
        <v>2348000000</v>
      </c>
      <c r="N644" s="2">
        <v>3348000000</v>
      </c>
      <c r="O644" s="2">
        <v>8950362500</v>
      </c>
      <c r="P644" s="2">
        <v>47786000000</v>
      </c>
      <c r="Q644" s="2">
        <v>12533591500</v>
      </c>
      <c r="R644" s="2">
        <v>17581200000</v>
      </c>
      <c r="S644" s="2">
        <f t="shared" si="20"/>
        <v>0.11199999999999988</v>
      </c>
      <c r="T644" s="2">
        <f t="shared" si="21"/>
        <v>24447823000</v>
      </c>
    </row>
    <row r="645" spans="1:20" x14ac:dyDescent="0.3">
      <c r="A645" s="1">
        <v>42928</v>
      </c>
      <c r="B645" t="s">
        <v>523</v>
      </c>
      <c r="C645" t="s">
        <v>18</v>
      </c>
      <c r="D645" t="s">
        <v>59</v>
      </c>
      <c r="E645">
        <v>2.2799999999999998</v>
      </c>
      <c r="F645">
        <v>2.3250000000000002</v>
      </c>
      <c r="G645">
        <v>2.2000000000000002</v>
      </c>
      <c r="H645">
        <v>2.4500000000000002</v>
      </c>
      <c r="I645" s="2">
        <v>456511600</v>
      </c>
      <c r="J645" s="2">
        <v>48948000000</v>
      </c>
      <c r="K645" s="2">
        <v>19988308600</v>
      </c>
      <c r="L645" s="2">
        <v>11744900</v>
      </c>
      <c r="M645" s="2">
        <v>1149000000</v>
      </c>
      <c r="N645" s="2">
        <v>2559000000</v>
      </c>
      <c r="O645" s="2">
        <v>5887165000</v>
      </c>
      <c r="P645" s="2">
        <v>30915000000</v>
      </c>
      <c r="Q645" s="2">
        <v>12952143600</v>
      </c>
      <c r="R645" s="2">
        <v>15474000000</v>
      </c>
      <c r="S645" s="2">
        <f t="shared" si="20"/>
        <v>0.125</v>
      </c>
      <c r="T645" s="2">
        <f t="shared" si="21"/>
        <v>20456565100</v>
      </c>
    </row>
    <row r="646" spans="1:20" x14ac:dyDescent="0.3">
      <c r="A646" s="1">
        <v>42929</v>
      </c>
      <c r="B646" t="s">
        <v>522</v>
      </c>
      <c r="C646" t="s">
        <v>23</v>
      </c>
      <c r="D646" t="s">
        <v>91</v>
      </c>
      <c r="E646">
        <v>2.87</v>
      </c>
      <c r="F646">
        <v>2.9359999999999999</v>
      </c>
      <c r="G646">
        <v>2.5</v>
      </c>
      <c r="H646">
        <v>2.31</v>
      </c>
      <c r="I646" s="2">
        <v>273906900</v>
      </c>
      <c r="J646" s="2">
        <v>27671990000</v>
      </c>
      <c r="K646" s="2">
        <v>11995970000</v>
      </c>
      <c r="L646" s="2">
        <v>4044300</v>
      </c>
      <c r="M646" s="2">
        <v>765000000</v>
      </c>
      <c r="N646" s="2">
        <v>1295000000</v>
      </c>
      <c r="O646" s="2">
        <v>3831640000</v>
      </c>
      <c r="P646" s="2">
        <v>18116000000</v>
      </c>
      <c r="Q646" s="2">
        <v>7399330000</v>
      </c>
      <c r="R646" s="2">
        <v>8260990000</v>
      </c>
      <c r="S646" s="2">
        <f t="shared" si="20"/>
        <v>0.43599999999999994</v>
      </c>
      <c r="T646" s="2">
        <f t="shared" si="21"/>
        <v>12273921200</v>
      </c>
    </row>
    <row r="647" spans="1:20" x14ac:dyDescent="0.3">
      <c r="A647" s="1">
        <v>42941</v>
      </c>
      <c r="B647" t="s">
        <v>534</v>
      </c>
      <c r="C647" t="s">
        <v>18</v>
      </c>
      <c r="D647" t="s">
        <v>21</v>
      </c>
      <c r="E647">
        <v>1.34</v>
      </c>
      <c r="F647">
        <v>1.395</v>
      </c>
      <c r="G647">
        <v>1.1879999999999999</v>
      </c>
      <c r="H647">
        <v>3.06</v>
      </c>
      <c r="I647" s="2">
        <v>2643540300</v>
      </c>
      <c r="J647" s="2">
        <v>79200805000</v>
      </c>
      <c r="K647" s="2">
        <v>25716736500</v>
      </c>
      <c r="L647" s="2">
        <v>183283900</v>
      </c>
      <c r="M647" s="2">
        <v>4347150000</v>
      </c>
      <c r="N647" s="2">
        <v>6244000000</v>
      </c>
      <c r="O647" s="2">
        <v>6335781500</v>
      </c>
      <c r="P647" s="2">
        <v>51183000000</v>
      </c>
      <c r="Q647" s="2">
        <v>15033805000</v>
      </c>
      <c r="R647" s="2">
        <v>21773805000</v>
      </c>
      <c r="S647" s="2">
        <f t="shared" si="20"/>
        <v>0.20700000000000007</v>
      </c>
      <c r="T647" s="2">
        <f t="shared" si="21"/>
        <v>28543560700</v>
      </c>
    </row>
    <row r="648" spans="1:20" x14ac:dyDescent="0.3">
      <c r="A648" s="1">
        <v>42942</v>
      </c>
      <c r="B648" t="s">
        <v>533</v>
      </c>
      <c r="C648" t="s">
        <v>18</v>
      </c>
      <c r="D648" t="s">
        <v>19</v>
      </c>
      <c r="E648">
        <v>1.84</v>
      </c>
      <c r="F648">
        <v>1.8839999999999999</v>
      </c>
      <c r="G648">
        <v>1.77</v>
      </c>
      <c r="H648">
        <v>2.58</v>
      </c>
      <c r="I648" s="2">
        <v>3456937200</v>
      </c>
      <c r="J648" s="2">
        <v>87553396000</v>
      </c>
      <c r="K648" s="2">
        <v>33962774900</v>
      </c>
      <c r="L648" s="2">
        <v>37326800</v>
      </c>
      <c r="M648" s="2">
        <v>2100000000</v>
      </c>
      <c r="N648" s="2">
        <v>3725000000</v>
      </c>
      <c r="O648" s="2">
        <v>8170590500</v>
      </c>
      <c r="P648" s="2">
        <v>54382000000</v>
      </c>
      <c r="Q648" s="2">
        <v>23692184400</v>
      </c>
      <c r="R648" s="2">
        <v>29446396000</v>
      </c>
      <c r="S648" s="2">
        <f t="shared" si="20"/>
        <v>0.11399999999999988</v>
      </c>
      <c r="T648" s="2">
        <f t="shared" si="21"/>
        <v>37457038900</v>
      </c>
    </row>
    <row r="649" spans="1:20" x14ac:dyDescent="0.3">
      <c r="A649" s="1">
        <v>42943</v>
      </c>
      <c r="B649" t="s">
        <v>532</v>
      </c>
      <c r="C649" t="s">
        <v>18</v>
      </c>
      <c r="D649" t="s">
        <v>68</v>
      </c>
      <c r="E649">
        <v>2.08</v>
      </c>
      <c r="F649">
        <v>2.1259999999999999</v>
      </c>
      <c r="G649">
        <v>2.0099999999999998</v>
      </c>
      <c r="H649">
        <v>2.54</v>
      </c>
      <c r="I649" s="2">
        <v>2846889500</v>
      </c>
      <c r="J649" s="2">
        <v>71141375000</v>
      </c>
      <c r="K649" s="2">
        <v>27989153000</v>
      </c>
      <c r="L649" s="2">
        <v>10859900</v>
      </c>
      <c r="M649" s="2">
        <v>3258000000</v>
      </c>
      <c r="N649" s="2">
        <v>4628000000</v>
      </c>
      <c r="O649" s="2">
        <v>5772548000</v>
      </c>
      <c r="P649" s="2">
        <v>44957000000</v>
      </c>
      <c r="Q649" s="2">
        <v>18958605000</v>
      </c>
      <c r="R649" s="2">
        <v>21556375000</v>
      </c>
      <c r="S649" s="2">
        <f t="shared" si="20"/>
        <v>0.1160000000000001</v>
      </c>
      <c r="T649" s="2">
        <f t="shared" si="21"/>
        <v>30846902400</v>
      </c>
    </row>
    <row r="650" spans="1:20" x14ac:dyDescent="0.3">
      <c r="A650" s="1">
        <v>42955</v>
      </c>
      <c r="B650" t="s">
        <v>537</v>
      </c>
      <c r="C650" t="s">
        <v>18</v>
      </c>
      <c r="D650" t="s">
        <v>52</v>
      </c>
      <c r="E650">
        <v>1.4790000000000001</v>
      </c>
      <c r="F650">
        <v>1.52</v>
      </c>
      <c r="G650">
        <v>1.1879999999999999</v>
      </c>
      <c r="H650">
        <v>3.13</v>
      </c>
      <c r="I650" s="2">
        <v>7221290400</v>
      </c>
      <c r="J650" s="2">
        <v>74986390000</v>
      </c>
      <c r="K650" s="2">
        <v>23847186000</v>
      </c>
      <c r="L650" s="2">
        <v>49821100</v>
      </c>
      <c r="M650" s="2">
        <v>2423890000</v>
      </c>
      <c r="N650" s="2">
        <v>3968890000</v>
      </c>
      <c r="O650" s="2">
        <v>6149130000</v>
      </c>
      <c r="P650" s="2">
        <v>50058000000</v>
      </c>
      <c r="Q650" s="2">
        <v>15274166000</v>
      </c>
      <c r="R650" s="2">
        <v>20959500000</v>
      </c>
      <c r="S650" s="2">
        <f t="shared" si="20"/>
        <v>0.33200000000000007</v>
      </c>
      <c r="T650" s="2">
        <f t="shared" si="21"/>
        <v>31118297500</v>
      </c>
    </row>
    <row r="651" spans="1:20" x14ac:dyDescent="0.3">
      <c r="A651" s="1">
        <v>42956</v>
      </c>
      <c r="B651" t="s">
        <v>536</v>
      </c>
      <c r="C651" t="s">
        <v>18</v>
      </c>
      <c r="D651" t="s">
        <v>26</v>
      </c>
      <c r="E651">
        <v>2.2000000000000002</v>
      </c>
      <c r="F651">
        <v>2.25</v>
      </c>
      <c r="G651">
        <v>2.1</v>
      </c>
      <c r="H651">
        <v>2.23</v>
      </c>
      <c r="I651" s="2">
        <v>6920403200</v>
      </c>
      <c r="J651" s="2">
        <v>51347211000</v>
      </c>
      <c r="K651" s="2">
        <v>22972220000</v>
      </c>
      <c r="L651" s="2">
        <v>27816500</v>
      </c>
      <c r="M651" s="2">
        <v>1564301000</v>
      </c>
      <c r="N651" s="2">
        <v>2699301000</v>
      </c>
      <c r="O651" s="2">
        <v>8100393500</v>
      </c>
      <c r="P651" s="2">
        <v>33895000000</v>
      </c>
      <c r="Q651" s="2">
        <v>13307525500</v>
      </c>
      <c r="R651" s="2">
        <v>14752910000</v>
      </c>
      <c r="S651" s="2">
        <f t="shared" si="20"/>
        <v>0.14999999999999991</v>
      </c>
      <c r="T651" s="2">
        <f t="shared" si="21"/>
        <v>29920439700</v>
      </c>
    </row>
    <row r="652" spans="1:20" x14ac:dyDescent="0.3">
      <c r="A652" s="1">
        <v>42957</v>
      </c>
      <c r="B652" t="s">
        <v>535</v>
      </c>
      <c r="C652" t="s">
        <v>23</v>
      </c>
      <c r="D652" t="s">
        <v>65</v>
      </c>
      <c r="E652">
        <v>2.76</v>
      </c>
      <c r="F652">
        <v>2.8180000000000001</v>
      </c>
      <c r="G652">
        <v>2.3879999999999999</v>
      </c>
      <c r="H652">
        <v>2.3199999999999998</v>
      </c>
      <c r="I652" s="2">
        <v>4513306400</v>
      </c>
      <c r="J652" s="2">
        <v>34785389000</v>
      </c>
      <c r="K652" s="2">
        <v>14997186500</v>
      </c>
      <c r="L652" s="2">
        <v>2818600</v>
      </c>
      <c r="M652" s="2">
        <v>807035000</v>
      </c>
      <c r="N652" s="2">
        <v>1587035000</v>
      </c>
      <c r="O652" s="2">
        <v>4172865000</v>
      </c>
      <c r="P652" s="2">
        <v>21604000000</v>
      </c>
      <c r="Q652" s="2">
        <v>10017286500</v>
      </c>
      <c r="R652" s="2">
        <v>11594354000</v>
      </c>
      <c r="S652" s="2">
        <f t="shared" si="20"/>
        <v>0.43000000000000016</v>
      </c>
      <c r="T652" s="2">
        <f t="shared" si="21"/>
        <v>19513311500</v>
      </c>
    </row>
    <row r="653" spans="1:20" x14ac:dyDescent="0.3">
      <c r="A653" s="1">
        <v>42975</v>
      </c>
      <c r="B653" t="s">
        <v>540</v>
      </c>
      <c r="C653" t="s">
        <v>18</v>
      </c>
      <c r="D653" t="s">
        <v>19</v>
      </c>
      <c r="E653">
        <v>1.7</v>
      </c>
      <c r="F653">
        <v>1.742</v>
      </c>
      <c r="G653">
        <v>1.3879999999999999</v>
      </c>
      <c r="H653">
        <v>2.58</v>
      </c>
      <c r="I653" s="2">
        <v>1065679000</v>
      </c>
      <c r="J653" s="2">
        <v>87683647000</v>
      </c>
      <c r="K653" s="2">
        <v>33908057000</v>
      </c>
      <c r="L653" s="2">
        <v>91965200</v>
      </c>
      <c r="M653" s="2">
        <v>4565000000</v>
      </c>
      <c r="N653" s="2">
        <v>6192000000</v>
      </c>
      <c r="O653" s="2">
        <v>5925410000</v>
      </c>
      <c r="P653" s="2">
        <v>52200000000</v>
      </c>
      <c r="Q653" s="2">
        <v>23417647000</v>
      </c>
      <c r="R653" s="2">
        <v>29291647000</v>
      </c>
      <c r="S653" s="2">
        <f t="shared" si="20"/>
        <v>0.35400000000000009</v>
      </c>
      <c r="T653" s="2">
        <f t="shared" si="21"/>
        <v>35065701200</v>
      </c>
    </row>
    <row r="654" spans="1:20" x14ac:dyDescent="0.3">
      <c r="A654" s="1">
        <v>42975</v>
      </c>
      <c r="B654" t="s">
        <v>539</v>
      </c>
      <c r="C654" t="s">
        <v>18</v>
      </c>
      <c r="D654" t="s">
        <v>21</v>
      </c>
      <c r="E654">
        <v>1.3</v>
      </c>
      <c r="F654">
        <v>1.345</v>
      </c>
      <c r="G654">
        <v>1.1879999999999999</v>
      </c>
      <c r="H654">
        <v>2.86</v>
      </c>
      <c r="I654" s="2">
        <v>814931100</v>
      </c>
      <c r="J654" s="2">
        <v>74054275000</v>
      </c>
      <c r="K654" s="2">
        <v>25788640000</v>
      </c>
      <c r="L654" s="2">
        <v>111428700</v>
      </c>
      <c r="M654" s="2">
        <v>3240000000</v>
      </c>
      <c r="N654" s="2">
        <v>4740000000</v>
      </c>
      <c r="O654" s="2">
        <v>10738140000</v>
      </c>
      <c r="P654" s="2">
        <v>48263000000</v>
      </c>
      <c r="Q654" s="2">
        <v>11810500000</v>
      </c>
      <c r="R654" s="2">
        <v>21051275000</v>
      </c>
      <c r="S654" s="2">
        <f t="shared" si="20"/>
        <v>0.15700000000000003</v>
      </c>
      <c r="T654" s="2">
        <f t="shared" si="21"/>
        <v>26714999800</v>
      </c>
    </row>
    <row r="655" spans="1:20" x14ac:dyDescent="0.3">
      <c r="A655" s="1">
        <v>42976</v>
      </c>
      <c r="B655" t="s">
        <v>538</v>
      </c>
      <c r="C655" t="s">
        <v>18</v>
      </c>
      <c r="D655" t="s">
        <v>68</v>
      </c>
      <c r="E655">
        <v>1.9</v>
      </c>
      <c r="F655">
        <v>1.9410000000000001</v>
      </c>
      <c r="G655">
        <v>1.6879999999999999</v>
      </c>
      <c r="H655">
        <v>2.46</v>
      </c>
      <c r="I655" s="2">
        <v>877618000</v>
      </c>
      <c r="J655" s="2">
        <v>68960484000</v>
      </c>
      <c r="K655" s="2">
        <v>27981344000</v>
      </c>
      <c r="L655" s="2">
        <v>18666800</v>
      </c>
      <c r="M655" s="2">
        <v>4642000000</v>
      </c>
      <c r="N655" s="2">
        <v>5817000000</v>
      </c>
      <c r="O655" s="2">
        <v>4089430000</v>
      </c>
      <c r="P655" s="2">
        <v>39975000000</v>
      </c>
      <c r="Q655" s="2">
        <v>19249914000</v>
      </c>
      <c r="R655" s="2">
        <v>23168484000</v>
      </c>
      <c r="S655" s="2">
        <f t="shared" si="20"/>
        <v>0.25300000000000011</v>
      </c>
      <c r="T655" s="2">
        <f t="shared" si="21"/>
        <v>28877628800</v>
      </c>
    </row>
    <row r="656" spans="1:20" x14ac:dyDescent="0.3">
      <c r="A656" s="1">
        <v>42989</v>
      </c>
      <c r="B656" t="s">
        <v>541</v>
      </c>
      <c r="C656" t="s">
        <v>18</v>
      </c>
      <c r="D656" t="s">
        <v>52</v>
      </c>
      <c r="E656">
        <v>1.38</v>
      </c>
      <c r="F656">
        <v>1.4330000000000001</v>
      </c>
      <c r="G656">
        <v>1.1879999999999999</v>
      </c>
      <c r="H656">
        <v>2.7</v>
      </c>
      <c r="I656" s="2">
        <v>0</v>
      </c>
      <c r="J656" s="2">
        <v>64735700000</v>
      </c>
      <c r="K656" s="2">
        <v>23852322500</v>
      </c>
      <c r="L656" s="2">
        <v>47698300</v>
      </c>
      <c r="M656" s="2">
        <v>2483000000</v>
      </c>
      <c r="N656" s="2">
        <v>3983000000</v>
      </c>
      <c r="O656" s="2">
        <v>10359565000</v>
      </c>
      <c r="P656" s="2">
        <v>45913000000</v>
      </c>
      <c r="Q656" s="2">
        <v>11009757500</v>
      </c>
      <c r="R656" s="2">
        <v>14839700000</v>
      </c>
      <c r="S656" s="2">
        <f t="shared" si="20"/>
        <v>0.24500000000000011</v>
      </c>
      <c r="T656" s="2">
        <f t="shared" si="21"/>
        <v>23900020800</v>
      </c>
    </row>
    <row r="657" spans="1:20" x14ac:dyDescent="0.3">
      <c r="A657" s="1">
        <v>42990</v>
      </c>
      <c r="B657" t="s">
        <v>536</v>
      </c>
      <c r="C657" t="s">
        <v>18</v>
      </c>
      <c r="D657" t="s">
        <v>29</v>
      </c>
      <c r="E657">
        <v>2.125</v>
      </c>
      <c r="F657">
        <v>2.1800000000000002</v>
      </c>
      <c r="G657">
        <v>2.0649999999999999</v>
      </c>
      <c r="H657">
        <v>2.2799999999999998</v>
      </c>
      <c r="I657" s="2">
        <v>0</v>
      </c>
      <c r="J657" s="2">
        <v>45656400000</v>
      </c>
      <c r="K657" s="2">
        <v>19989855000</v>
      </c>
      <c r="L657" s="2">
        <v>10155700</v>
      </c>
      <c r="M657" s="2">
        <v>1209000000</v>
      </c>
      <c r="N657" s="2">
        <v>2009000000</v>
      </c>
      <c r="O657" s="2">
        <v>7730100000</v>
      </c>
      <c r="P657" s="2">
        <v>31117000000</v>
      </c>
      <c r="Q657" s="2">
        <v>11050755000</v>
      </c>
      <c r="R657" s="2">
        <v>12530400000</v>
      </c>
      <c r="S657" s="2">
        <f t="shared" si="20"/>
        <v>0.11500000000000021</v>
      </c>
      <c r="T657" s="2">
        <f t="shared" si="21"/>
        <v>20000010700</v>
      </c>
    </row>
    <row r="658" spans="1:20" x14ac:dyDescent="0.3">
      <c r="A658" s="1">
        <v>42991</v>
      </c>
      <c r="B658" t="s">
        <v>535</v>
      </c>
      <c r="C658" t="s">
        <v>23</v>
      </c>
      <c r="D658" t="s">
        <v>72</v>
      </c>
      <c r="E658">
        <v>2.7389999999999999</v>
      </c>
      <c r="F658">
        <v>2.79</v>
      </c>
      <c r="G658">
        <v>2.1880000000000002</v>
      </c>
      <c r="H658">
        <v>2.21</v>
      </c>
      <c r="I658" s="2">
        <v>0</v>
      </c>
      <c r="J658" s="2">
        <v>26484028000</v>
      </c>
      <c r="K658" s="2">
        <v>11995788000</v>
      </c>
      <c r="L658" s="2">
        <v>4213700</v>
      </c>
      <c r="M658" s="2">
        <v>818000000</v>
      </c>
      <c r="N658" s="2">
        <v>1323000000</v>
      </c>
      <c r="O658" s="2">
        <v>4126280000</v>
      </c>
      <c r="P658" s="2">
        <v>16845900000</v>
      </c>
      <c r="Q658" s="2">
        <v>7051508000</v>
      </c>
      <c r="R658" s="2">
        <v>8315128000</v>
      </c>
      <c r="S658" s="2">
        <f t="shared" si="20"/>
        <v>0.60199999999999987</v>
      </c>
      <c r="T658" s="2">
        <f t="shared" si="21"/>
        <v>12000001700</v>
      </c>
    </row>
    <row r="659" spans="1:20" x14ac:dyDescent="0.3">
      <c r="A659" s="1">
        <v>43004</v>
      </c>
      <c r="B659" t="s">
        <v>544</v>
      </c>
      <c r="C659" t="s">
        <v>18</v>
      </c>
      <c r="D659" t="s">
        <v>21</v>
      </c>
      <c r="E659">
        <v>1.4390000000000001</v>
      </c>
      <c r="F659">
        <v>1.462</v>
      </c>
      <c r="G659">
        <v>1.345</v>
      </c>
      <c r="H659">
        <v>2.88</v>
      </c>
      <c r="I659" s="2">
        <v>3234231900</v>
      </c>
      <c r="J659" s="2">
        <v>74651800000</v>
      </c>
      <c r="K659" s="2">
        <v>25781600000</v>
      </c>
      <c r="L659" s="2">
        <v>118659600</v>
      </c>
      <c r="M659" s="2">
        <v>4907600000</v>
      </c>
      <c r="N659" s="2">
        <v>8172000000</v>
      </c>
      <c r="O659" s="2">
        <v>9490800000</v>
      </c>
      <c r="P659" s="2">
        <v>52429000000</v>
      </c>
      <c r="Q659" s="2">
        <v>11383200000</v>
      </c>
      <c r="R659" s="2">
        <v>14050800000</v>
      </c>
      <c r="S659" s="2">
        <f t="shared" si="20"/>
        <v>0.11699999999999999</v>
      </c>
      <c r="T659" s="2">
        <f t="shared" si="21"/>
        <v>29134491500</v>
      </c>
    </row>
    <row r="660" spans="1:20" x14ac:dyDescent="0.3">
      <c r="A660" s="1">
        <v>43005</v>
      </c>
      <c r="B660" t="s">
        <v>543</v>
      </c>
      <c r="C660" t="s">
        <v>18</v>
      </c>
      <c r="D660" t="s">
        <v>19</v>
      </c>
      <c r="E660">
        <v>1.865</v>
      </c>
      <c r="F660">
        <v>1.911</v>
      </c>
      <c r="G660">
        <v>1.7709999999999999</v>
      </c>
      <c r="H660">
        <v>2.52</v>
      </c>
      <c r="I660" s="2">
        <v>4229380200</v>
      </c>
      <c r="J660" s="2">
        <v>85446198000</v>
      </c>
      <c r="K660" s="2">
        <v>33896178000</v>
      </c>
      <c r="L660" s="2">
        <v>103874300</v>
      </c>
      <c r="M660" s="2">
        <v>2391000000</v>
      </c>
      <c r="N660" s="2">
        <v>4011000000</v>
      </c>
      <c r="O660" s="2">
        <v>7901980000</v>
      </c>
      <c r="P660" s="2">
        <v>52020000000</v>
      </c>
      <c r="Q660" s="2">
        <v>23603198000</v>
      </c>
      <c r="R660" s="2">
        <v>29415198000</v>
      </c>
      <c r="S660" s="2">
        <f t="shared" si="20"/>
        <v>0.14000000000000012</v>
      </c>
      <c r="T660" s="2">
        <f t="shared" si="21"/>
        <v>38229432500</v>
      </c>
    </row>
    <row r="661" spans="1:20" x14ac:dyDescent="0.3">
      <c r="A661" s="1">
        <v>43006</v>
      </c>
      <c r="B661" t="s">
        <v>542</v>
      </c>
      <c r="C661" t="s">
        <v>18</v>
      </c>
      <c r="D661" t="s">
        <v>68</v>
      </c>
      <c r="E661">
        <v>2.0920000000000001</v>
      </c>
      <c r="F661">
        <v>2.13</v>
      </c>
      <c r="G661">
        <v>1.9950000000000001</v>
      </c>
      <c r="H661">
        <v>2.7</v>
      </c>
      <c r="I661" s="2">
        <v>3483018900</v>
      </c>
      <c r="J661" s="2">
        <v>75693351000</v>
      </c>
      <c r="K661" s="2">
        <v>27987167000</v>
      </c>
      <c r="L661" s="2">
        <v>12919700</v>
      </c>
      <c r="M661" s="2">
        <v>5304157000</v>
      </c>
      <c r="N661" s="2">
        <v>6798000000</v>
      </c>
      <c r="O661" s="2">
        <v>2912643500</v>
      </c>
      <c r="P661" s="2">
        <v>44234000000</v>
      </c>
      <c r="Q661" s="2">
        <v>19770366500</v>
      </c>
      <c r="R661" s="2">
        <v>24661351000</v>
      </c>
      <c r="S661" s="2">
        <f t="shared" si="20"/>
        <v>0.13499999999999979</v>
      </c>
      <c r="T661" s="2">
        <f t="shared" si="21"/>
        <v>31483105600</v>
      </c>
    </row>
    <row r="662" spans="1:20" x14ac:dyDescent="0.3">
      <c r="A662" s="1">
        <v>43019</v>
      </c>
      <c r="B662" t="s">
        <v>536</v>
      </c>
      <c r="C662" t="s">
        <v>18</v>
      </c>
      <c r="D662" t="s">
        <v>59</v>
      </c>
      <c r="E662">
        <v>2.2999999999999998</v>
      </c>
      <c r="F662">
        <v>2.3460000000000001</v>
      </c>
      <c r="G662">
        <v>2.2309999999999999</v>
      </c>
      <c r="H662">
        <v>2.54</v>
      </c>
      <c r="I662" s="2">
        <v>0</v>
      </c>
      <c r="J662" s="2">
        <v>50853800000</v>
      </c>
      <c r="K662" s="2">
        <v>19989855200</v>
      </c>
      <c r="L662" s="2">
        <v>10166300</v>
      </c>
      <c r="M662" s="2">
        <v>1204000000</v>
      </c>
      <c r="N662" s="2">
        <v>2264000000</v>
      </c>
      <c r="O662" s="2">
        <v>4971980000</v>
      </c>
      <c r="P662" s="2">
        <v>31538000000</v>
      </c>
      <c r="Q662" s="2">
        <v>13813875200</v>
      </c>
      <c r="R662" s="2">
        <v>17051800000</v>
      </c>
      <c r="S662" s="2">
        <f t="shared" si="20"/>
        <v>0.11500000000000021</v>
      </c>
      <c r="T662" s="2">
        <f t="shared" si="21"/>
        <v>20000021500</v>
      </c>
    </row>
    <row r="663" spans="1:20" x14ac:dyDescent="0.3">
      <c r="A663" s="1">
        <v>43019</v>
      </c>
      <c r="B663" t="s">
        <v>545</v>
      </c>
      <c r="C663" t="s">
        <v>18</v>
      </c>
      <c r="D663" t="s">
        <v>52</v>
      </c>
      <c r="E663">
        <v>1.61</v>
      </c>
      <c r="F663">
        <v>1.657</v>
      </c>
      <c r="G663">
        <v>1.25</v>
      </c>
      <c r="H663">
        <v>2.83</v>
      </c>
      <c r="I663" s="2">
        <v>0</v>
      </c>
      <c r="J663" s="2">
        <v>67846297000</v>
      </c>
      <c r="K663" s="2">
        <v>23823582000</v>
      </c>
      <c r="L663" s="2">
        <v>76484200</v>
      </c>
      <c r="M663" s="2">
        <v>1684362000</v>
      </c>
      <c r="N663" s="2">
        <v>3493097000</v>
      </c>
      <c r="O663" s="2">
        <v>9201310000</v>
      </c>
      <c r="P663" s="2">
        <v>46773000000</v>
      </c>
      <c r="Q663" s="2">
        <v>12937910000</v>
      </c>
      <c r="R663" s="2">
        <v>17580200000</v>
      </c>
      <c r="S663" s="2">
        <f t="shared" si="20"/>
        <v>0.40700000000000003</v>
      </c>
      <c r="T663" s="2">
        <f t="shared" si="21"/>
        <v>23900066200</v>
      </c>
    </row>
    <row r="664" spans="1:20" x14ac:dyDescent="0.3">
      <c r="A664" s="1">
        <v>43020</v>
      </c>
      <c r="B664" t="s">
        <v>535</v>
      </c>
      <c r="C664" t="s">
        <v>23</v>
      </c>
      <c r="D664" t="s">
        <v>91</v>
      </c>
      <c r="E664">
        <v>2.8239999999999998</v>
      </c>
      <c r="F664">
        <v>2.87</v>
      </c>
      <c r="G664">
        <v>2.5</v>
      </c>
      <c r="H664">
        <v>2.5299999999999998</v>
      </c>
      <c r="I664" s="2">
        <v>0</v>
      </c>
      <c r="J664" s="2">
        <v>30355186000</v>
      </c>
      <c r="K664" s="2">
        <v>11995097500</v>
      </c>
      <c r="L664" s="2">
        <v>4905400</v>
      </c>
      <c r="M664" s="2">
        <v>1272000000</v>
      </c>
      <c r="N664" s="2">
        <v>1902000000</v>
      </c>
      <c r="O664" s="2">
        <v>3189571500</v>
      </c>
      <c r="P664" s="2">
        <v>18387060000</v>
      </c>
      <c r="Q664" s="2">
        <v>7533526000</v>
      </c>
      <c r="R664" s="2">
        <v>10066126000</v>
      </c>
      <c r="S664" s="2">
        <f t="shared" si="20"/>
        <v>0.37000000000000011</v>
      </c>
      <c r="T664" s="2">
        <f t="shared" si="21"/>
        <v>12000002900</v>
      </c>
    </row>
    <row r="665" spans="1:20" x14ac:dyDescent="0.3">
      <c r="A665" s="1">
        <v>43032</v>
      </c>
      <c r="B665" t="s">
        <v>385</v>
      </c>
      <c r="C665" t="s">
        <v>18</v>
      </c>
      <c r="D665" t="s">
        <v>21</v>
      </c>
      <c r="E665">
        <v>1.55</v>
      </c>
      <c r="F665">
        <v>1.5960000000000001</v>
      </c>
      <c r="G665">
        <v>1.48</v>
      </c>
      <c r="H665">
        <v>2.74</v>
      </c>
      <c r="I665" s="2">
        <v>650356100</v>
      </c>
      <c r="J665" s="2">
        <v>71017800000</v>
      </c>
      <c r="K665" s="2">
        <v>25770610000</v>
      </c>
      <c r="L665" s="2">
        <v>129470200</v>
      </c>
      <c r="M665" s="2">
        <v>3645625000</v>
      </c>
      <c r="N665" s="2">
        <v>5864000000</v>
      </c>
      <c r="O665" s="2">
        <v>9714935000</v>
      </c>
      <c r="P665" s="2">
        <v>51637000000</v>
      </c>
      <c r="Q665" s="2">
        <v>12410050000</v>
      </c>
      <c r="R665" s="2">
        <v>13516800000</v>
      </c>
      <c r="S665" s="2">
        <f t="shared" si="20"/>
        <v>0.1160000000000001</v>
      </c>
      <c r="T665" s="2">
        <f t="shared" si="21"/>
        <v>26550436300</v>
      </c>
    </row>
    <row r="666" spans="1:20" x14ac:dyDescent="0.3">
      <c r="A666" s="1">
        <v>43033</v>
      </c>
      <c r="B666" t="s">
        <v>547</v>
      </c>
      <c r="C666" t="s">
        <v>18</v>
      </c>
      <c r="D666" t="s">
        <v>19</v>
      </c>
      <c r="E666">
        <v>2.004</v>
      </c>
      <c r="F666">
        <v>2.0579999999999998</v>
      </c>
      <c r="G666">
        <v>1.95</v>
      </c>
      <c r="H666">
        <v>2.44</v>
      </c>
      <c r="I666" s="2">
        <v>850465500</v>
      </c>
      <c r="J666" s="2">
        <v>83017368000</v>
      </c>
      <c r="K666" s="2">
        <v>33948068000</v>
      </c>
      <c r="L666" s="2">
        <v>51943400</v>
      </c>
      <c r="M666" s="2">
        <v>3750000000</v>
      </c>
      <c r="N666" s="2">
        <v>5365000000</v>
      </c>
      <c r="O666" s="2">
        <v>9298700000</v>
      </c>
      <c r="P666" s="2">
        <v>51471000000</v>
      </c>
      <c r="Q666" s="2">
        <v>20899368000</v>
      </c>
      <c r="R666" s="2">
        <v>26181368000</v>
      </c>
      <c r="S666" s="2">
        <f t="shared" si="20"/>
        <v>0.10799999999999987</v>
      </c>
      <c r="T666" s="2">
        <f t="shared" si="21"/>
        <v>34850476900</v>
      </c>
    </row>
    <row r="667" spans="1:20" x14ac:dyDescent="0.3">
      <c r="A667" s="1">
        <v>43034</v>
      </c>
      <c r="B667" t="s">
        <v>546</v>
      </c>
      <c r="C667" t="s">
        <v>18</v>
      </c>
      <c r="D667" t="s">
        <v>68</v>
      </c>
      <c r="E667">
        <v>2.2200000000000002</v>
      </c>
      <c r="F667">
        <v>2.2799999999999998</v>
      </c>
      <c r="G667">
        <v>2.17</v>
      </c>
      <c r="H667">
        <v>2.39</v>
      </c>
      <c r="I667" s="2">
        <v>700383400</v>
      </c>
      <c r="J667" s="2">
        <v>66935715000</v>
      </c>
      <c r="K667" s="2">
        <v>27988839000</v>
      </c>
      <c r="L667" s="2">
        <v>11232700</v>
      </c>
      <c r="M667" s="2">
        <v>3726490000</v>
      </c>
      <c r="N667" s="2">
        <v>4977000000</v>
      </c>
      <c r="O667" s="2">
        <v>6503526500</v>
      </c>
      <c r="P667" s="2">
        <v>41424000000</v>
      </c>
      <c r="Q667" s="2">
        <v>17758822500</v>
      </c>
      <c r="R667" s="2">
        <v>20534715000</v>
      </c>
      <c r="S667" s="2">
        <f t="shared" si="20"/>
        <v>0.10999999999999988</v>
      </c>
      <c r="T667" s="2">
        <f t="shared" si="21"/>
        <v>28700455100</v>
      </c>
    </row>
    <row r="668" spans="1:20" x14ac:dyDescent="0.3">
      <c r="A668" s="1">
        <v>43046</v>
      </c>
      <c r="B668" t="s">
        <v>550</v>
      </c>
      <c r="C668" t="s">
        <v>18</v>
      </c>
      <c r="D668" t="s">
        <v>52</v>
      </c>
      <c r="E668">
        <v>1.6990000000000001</v>
      </c>
      <c r="F668">
        <v>1.75</v>
      </c>
      <c r="G668">
        <v>1.1879999999999999</v>
      </c>
      <c r="H668">
        <v>2.76</v>
      </c>
      <c r="I668" s="2">
        <v>2918371200</v>
      </c>
      <c r="J668" s="2">
        <v>66040150000</v>
      </c>
      <c r="K668" s="2">
        <v>23837834000</v>
      </c>
      <c r="L668" s="2">
        <v>62228300</v>
      </c>
      <c r="M668" s="2">
        <v>2151000000</v>
      </c>
      <c r="N668" s="2">
        <v>3751000000</v>
      </c>
      <c r="O668" s="2">
        <v>8927931000</v>
      </c>
      <c r="P668" s="2">
        <v>44923000000</v>
      </c>
      <c r="Q668" s="2">
        <v>12758903000</v>
      </c>
      <c r="R668" s="2">
        <v>17366150000</v>
      </c>
      <c r="S668" s="2">
        <f t="shared" si="20"/>
        <v>0.56200000000000006</v>
      </c>
      <c r="T668" s="2">
        <f t="shared" si="21"/>
        <v>26818433500</v>
      </c>
    </row>
    <row r="669" spans="1:20" x14ac:dyDescent="0.3">
      <c r="A669" s="1">
        <v>43047</v>
      </c>
      <c r="B669" t="s">
        <v>549</v>
      </c>
      <c r="C669" t="s">
        <v>18</v>
      </c>
      <c r="D669" t="s">
        <v>26</v>
      </c>
      <c r="E669">
        <v>2.2549999999999999</v>
      </c>
      <c r="F669">
        <v>2.3140000000000001</v>
      </c>
      <c r="G669">
        <v>2.2000000000000002</v>
      </c>
      <c r="H669">
        <v>2.48</v>
      </c>
      <c r="I669" s="2">
        <v>2796772400</v>
      </c>
      <c r="J669" s="2">
        <v>56906549000</v>
      </c>
      <c r="K669" s="2">
        <v>22968866000</v>
      </c>
      <c r="L669" s="2">
        <v>31145600</v>
      </c>
      <c r="M669" s="2">
        <v>2076000000</v>
      </c>
      <c r="N669" s="2">
        <v>3496000000</v>
      </c>
      <c r="O669" s="2">
        <v>5274203000</v>
      </c>
      <c r="P669" s="2">
        <v>34799000000</v>
      </c>
      <c r="Q669" s="2">
        <v>15618663000</v>
      </c>
      <c r="R669" s="2">
        <v>18611549000</v>
      </c>
      <c r="S669" s="2">
        <f t="shared" si="20"/>
        <v>0.11399999999999988</v>
      </c>
      <c r="T669" s="2">
        <f t="shared" si="21"/>
        <v>25796784000</v>
      </c>
    </row>
    <row r="670" spans="1:20" x14ac:dyDescent="0.3">
      <c r="A670" s="1">
        <v>43048</v>
      </c>
      <c r="B670" t="s">
        <v>548</v>
      </c>
      <c r="C670" t="s">
        <v>23</v>
      </c>
      <c r="D670" t="s">
        <v>65</v>
      </c>
      <c r="E670">
        <v>2.7490000000000001</v>
      </c>
      <c r="F670">
        <v>2.8010000000000002</v>
      </c>
      <c r="G670">
        <v>2.1880000000000002</v>
      </c>
      <c r="H670">
        <v>2.23</v>
      </c>
      <c r="I670" s="2">
        <v>1823982000</v>
      </c>
      <c r="J670" s="2">
        <v>33373506000</v>
      </c>
      <c r="K670" s="2">
        <v>14995116000</v>
      </c>
      <c r="L670" s="2">
        <v>4884700</v>
      </c>
      <c r="M670" s="2">
        <v>963000000</v>
      </c>
      <c r="N670" s="2">
        <v>1593000000</v>
      </c>
      <c r="O670" s="2">
        <v>4762610000</v>
      </c>
      <c r="P670" s="2">
        <v>21022000000</v>
      </c>
      <c r="Q670" s="2">
        <v>9269506000</v>
      </c>
      <c r="R670" s="2">
        <v>10758506000</v>
      </c>
      <c r="S670" s="2">
        <f t="shared" si="20"/>
        <v>0.61299999999999999</v>
      </c>
      <c r="T670" s="2">
        <f t="shared" si="21"/>
        <v>16823982700</v>
      </c>
    </row>
    <row r="671" spans="1:20" x14ac:dyDescent="0.3">
      <c r="A671" s="1">
        <v>43066</v>
      </c>
      <c r="B671" t="s">
        <v>442</v>
      </c>
      <c r="C671" t="s">
        <v>18</v>
      </c>
      <c r="D671" t="s">
        <v>19</v>
      </c>
      <c r="E671">
        <v>2.0299999999999998</v>
      </c>
      <c r="F671">
        <v>2.0659999999999998</v>
      </c>
      <c r="G671">
        <v>1.9</v>
      </c>
      <c r="H671">
        <v>2.46</v>
      </c>
      <c r="I671" s="2">
        <v>1844997300</v>
      </c>
      <c r="J671" s="2">
        <v>83624797000</v>
      </c>
      <c r="K671" s="2">
        <v>33972587000</v>
      </c>
      <c r="L671" s="2">
        <v>27435500</v>
      </c>
      <c r="M671" s="2">
        <v>3858000000</v>
      </c>
      <c r="N671" s="2">
        <v>5458000000</v>
      </c>
      <c r="O671" s="2">
        <v>7758790000</v>
      </c>
      <c r="P671" s="2">
        <v>51032000000</v>
      </c>
      <c r="Q671" s="2">
        <v>22355797000</v>
      </c>
      <c r="R671" s="2">
        <v>27134797000</v>
      </c>
      <c r="S671" s="2">
        <f t="shared" si="20"/>
        <v>0.16599999999999993</v>
      </c>
      <c r="T671" s="2">
        <f t="shared" si="21"/>
        <v>35845019800</v>
      </c>
    </row>
    <row r="672" spans="1:20" x14ac:dyDescent="0.3">
      <c r="A672" s="1">
        <v>43066</v>
      </c>
      <c r="B672" t="s">
        <v>552</v>
      </c>
      <c r="C672" t="s">
        <v>18</v>
      </c>
      <c r="D672" t="s">
        <v>21</v>
      </c>
      <c r="E672">
        <v>1.75</v>
      </c>
      <c r="F672">
        <v>1.7649999999999999</v>
      </c>
      <c r="G672">
        <v>1.65</v>
      </c>
      <c r="H672">
        <v>2.73</v>
      </c>
      <c r="I672" s="2">
        <v>1410880300</v>
      </c>
      <c r="J672" s="2">
        <v>70544540000</v>
      </c>
      <c r="K672" s="2">
        <v>25687765500</v>
      </c>
      <c r="L672" s="2">
        <v>212308700</v>
      </c>
      <c r="M672" s="2">
        <v>4365000000</v>
      </c>
      <c r="N672" s="2">
        <v>6115000000</v>
      </c>
      <c r="O672" s="2">
        <v>10571886000</v>
      </c>
      <c r="P672" s="2">
        <v>51688000000</v>
      </c>
      <c r="Q672" s="2">
        <v>10750879500</v>
      </c>
      <c r="R672" s="2">
        <v>12741540000</v>
      </c>
      <c r="S672" s="2">
        <f t="shared" si="20"/>
        <v>0.11499999999999999</v>
      </c>
      <c r="T672" s="2">
        <f t="shared" si="21"/>
        <v>27310954500</v>
      </c>
    </row>
    <row r="673" spans="1:20" x14ac:dyDescent="0.3">
      <c r="A673" s="1">
        <v>43067</v>
      </c>
      <c r="B673" t="s">
        <v>551</v>
      </c>
      <c r="C673" t="s">
        <v>18</v>
      </c>
      <c r="D673" t="s">
        <v>68</v>
      </c>
      <c r="E673">
        <v>2.1749999999999998</v>
      </c>
      <c r="F673">
        <v>2.23</v>
      </c>
      <c r="G673">
        <v>2.0960000000000001</v>
      </c>
      <c r="H673">
        <v>2.36</v>
      </c>
      <c r="I673" s="2">
        <v>1519409500</v>
      </c>
      <c r="J673" s="2">
        <v>66180310000</v>
      </c>
      <c r="K673" s="2">
        <v>27991991000</v>
      </c>
      <c r="L673" s="2">
        <v>8057500</v>
      </c>
      <c r="M673" s="2">
        <v>3846000000</v>
      </c>
      <c r="N673" s="2">
        <v>5346000000</v>
      </c>
      <c r="O673" s="2">
        <v>7743681000</v>
      </c>
      <c r="P673" s="2">
        <v>41336000000</v>
      </c>
      <c r="Q673" s="2">
        <v>16402310000</v>
      </c>
      <c r="R673" s="2">
        <v>19498310000</v>
      </c>
      <c r="S673" s="2">
        <f t="shared" si="20"/>
        <v>0.1339999999999999</v>
      </c>
      <c r="T673" s="2">
        <f t="shared" si="21"/>
        <v>29519458000</v>
      </c>
    </row>
    <row r="674" spans="1:20" x14ac:dyDescent="0.3">
      <c r="A674" s="1">
        <v>43080</v>
      </c>
      <c r="B674" t="s">
        <v>549</v>
      </c>
      <c r="C674" t="s">
        <v>18</v>
      </c>
      <c r="D674" t="s">
        <v>29</v>
      </c>
      <c r="E674">
        <v>2.34</v>
      </c>
      <c r="F674">
        <v>2.3839999999999999</v>
      </c>
      <c r="G674">
        <v>2.2789999999999999</v>
      </c>
      <c r="H674">
        <v>2.37</v>
      </c>
      <c r="I674" s="2">
        <v>0</v>
      </c>
      <c r="J674" s="2">
        <v>47430449000</v>
      </c>
      <c r="K674" s="2">
        <v>19990658000</v>
      </c>
      <c r="L674" s="2">
        <v>9354700</v>
      </c>
      <c r="M674" s="2">
        <v>1673000000</v>
      </c>
      <c r="N674" s="2">
        <v>2618000000</v>
      </c>
      <c r="O674" s="2">
        <v>6883920000</v>
      </c>
      <c r="P674" s="2">
        <v>29587800000</v>
      </c>
      <c r="Q674" s="2">
        <v>11433738000</v>
      </c>
      <c r="R674" s="2">
        <v>15224649000</v>
      </c>
      <c r="S674" s="2">
        <f t="shared" si="20"/>
        <v>0.10499999999999998</v>
      </c>
      <c r="T674" s="2">
        <f t="shared" si="21"/>
        <v>20000012700</v>
      </c>
    </row>
    <row r="675" spans="1:20" x14ac:dyDescent="0.3">
      <c r="A675" s="1">
        <v>43080</v>
      </c>
      <c r="B675" t="s">
        <v>553</v>
      </c>
      <c r="C675" t="s">
        <v>18</v>
      </c>
      <c r="D675" t="s">
        <v>52</v>
      </c>
      <c r="E675">
        <v>1.89</v>
      </c>
      <c r="F675">
        <v>1.9319999999999999</v>
      </c>
      <c r="G675">
        <v>1.6879999999999999</v>
      </c>
      <c r="H675">
        <v>3.15</v>
      </c>
      <c r="I675" s="2">
        <v>0</v>
      </c>
      <c r="J675" s="2">
        <v>75428300000</v>
      </c>
      <c r="K675" s="2">
        <v>23846190000</v>
      </c>
      <c r="L675" s="2">
        <v>53819500</v>
      </c>
      <c r="M675" s="2">
        <v>1762270000</v>
      </c>
      <c r="N675" s="2">
        <v>3491000000</v>
      </c>
      <c r="O675" s="2">
        <v>8003620000</v>
      </c>
      <c r="P675" s="2">
        <v>46886000000</v>
      </c>
      <c r="Q675" s="2">
        <v>14080300000</v>
      </c>
      <c r="R675" s="2">
        <v>25051300000</v>
      </c>
      <c r="S675" s="2">
        <f t="shared" si="20"/>
        <v>0.24399999999999999</v>
      </c>
      <c r="T675" s="2">
        <f t="shared" si="21"/>
        <v>23900009500</v>
      </c>
    </row>
    <row r="676" spans="1:20" x14ac:dyDescent="0.3">
      <c r="A676" s="1">
        <v>43081</v>
      </c>
      <c r="B676" t="s">
        <v>548</v>
      </c>
      <c r="C676" t="s">
        <v>23</v>
      </c>
      <c r="D676" t="s">
        <v>72</v>
      </c>
      <c r="E676">
        <v>2.7530000000000001</v>
      </c>
      <c r="F676">
        <v>2.8039999999999998</v>
      </c>
      <c r="G676">
        <v>2.1880000000000002</v>
      </c>
      <c r="H676">
        <v>2.48</v>
      </c>
      <c r="I676" s="2">
        <v>0</v>
      </c>
      <c r="J676" s="2">
        <v>29737430000</v>
      </c>
      <c r="K676" s="2">
        <v>11992460000</v>
      </c>
      <c r="L676" s="2">
        <v>7551800</v>
      </c>
      <c r="M676" s="2">
        <v>1083000000</v>
      </c>
      <c r="N676" s="2">
        <v>1638000000</v>
      </c>
      <c r="O676" s="2">
        <v>3484950000</v>
      </c>
      <c r="P676" s="2">
        <v>18122600000</v>
      </c>
      <c r="Q676" s="2">
        <v>7424510000</v>
      </c>
      <c r="R676" s="2">
        <v>9976830000</v>
      </c>
      <c r="S676" s="2">
        <f t="shared" si="20"/>
        <v>0.61599999999999966</v>
      </c>
      <c r="T676" s="2">
        <f t="shared" si="21"/>
        <v>12000011800</v>
      </c>
    </row>
    <row r="677" spans="1:20" x14ac:dyDescent="0.3">
      <c r="A677" s="1">
        <v>43095</v>
      </c>
      <c r="B677" t="s">
        <v>555</v>
      </c>
      <c r="C677" t="s">
        <v>18</v>
      </c>
      <c r="D677" t="s">
        <v>21</v>
      </c>
      <c r="E677">
        <v>1.9</v>
      </c>
      <c r="F677">
        <v>1.9219999999999999</v>
      </c>
      <c r="G677">
        <v>1.8</v>
      </c>
      <c r="H677">
        <v>2.52</v>
      </c>
      <c r="I677" s="2">
        <v>3398793000</v>
      </c>
      <c r="J677" s="2">
        <v>65121730000</v>
      </c>
      <c r="K677" s="2">
        <v>25727830000</v>
      </c>
      <c r="L677" s="2">
        <v>172196700</v>
      </c>
      <c r="M677" s="2">
        <v>3740265000</v>
      </c>
      <c r="N677" s="2">
        <v>4587165000</v>
      </c>
      <c r="O677" s="2">
        <v>11703600000</v>
      </c>
      <c r="P677" s="2">
        <v>49270000000</v>
      </c>
      <c r="Q677" s="2">
        <v>10283965000</v>
      </c>
      <c r="R677" s="2">
        <v>11264565000</v>
      </c>
      <c r="S677" s="2">
        <f t="shared" si="20"/>
        <v>0.12199999999999989</v>
      </c>
      <c r="T677" s="2">
        <f t="shared" si="21"/>
        <v>29298819700</v>
      </c>
    </row>
    <row r="678" spans="1:20" x14ac:dyDescent="0.3">
      <c r="A678" s="1">
        <v>43096</v>
      </c>
      <c r="B678" t="s">
        <v>447</v>
      </c>
      <c r="C678" t="s">
        <v>18</v>
      </c>
      <c r="D678" t="s">
        <v>19</v>
      </c>
      <c r="E678">
        <v>2.19</v>
      </c>
      <c r="F678">
        <v>2.2450000000000001</v>
      </c>
      <c r="G678">
        <v>2.1</v>
      </c>
      <c r="H678">
        <v>2.36</v>
      </c>
      <c r="I678" s="2">
        <v>4444575500</v>
      </c>
      <c r="J678" s="2">
        <v>80329838000</v>
      </c>
      <c r="K678" s="2">
        <v>33968841000</v>
      </c>
      <c r="L678" s="2">
        <v>31248700</v>
      </c>
      <c r="M678" s="2">
        <v>2698000000</v>
      </c>
      <c r="N678" s="2">
        <v>4198000000</v>
      </c>
      <c r="O678" s="2">
        <v>11432455000</v>
      </c>
      <c r="P678" s="2">
        <v>50119000000</v>
      </c>
      <c r="Q678" s="2">
        <v>19838386000</v>
      </c>
      <c r="R678" s="2">
        <v>26012838000</v>
      </c>
      <c r="S678" s="2">
        <f t="shared" si="20"/>
        <v>0.14500000000000002</v>
      </c>
      <c r="T678" s="2">
        <f t="shared" si="21"/>
        <v>38444665200</v>
      </c>
    </row>
    <row r="679" spans="1:20" x14ac:dyDescent="0.3">
      <c r="A679" s="1">
        <v>43097</v>
      </c>
      <c r="B679" t="s">
        <v>554</v>
      </c>
      <c r="C679" t="s">
        <v>18</v>
      </c>
      <c r="D679" t="s">
        <v>68</v>
      </c>
      <c r="E679">
        <v>2.3199999999999998</v>
      </c>
      <c r="F679">
        <v>2.37</v>
      </c>
      <c r="G679">
        <v>1.8879999999999999</v>
      </c>
      <c r="H679">
        <v>2.5499999999999998</v>
      </c>
      <c r="I679" s="2">
        <v>3660238500</v>
      </c>
      <c r="J679" s="2">
        <v>71338571000</v>
      </c>
      <c r="K679" s="2">
        <v>27991938500</v>
      </c>
      <c r="L679" s="2">
        <v>8127600</v>
      </c>
      <c r="M679" s="2">
        <v>3678430000</v>
      </c>
      <c r="N679" s="2">
        <v>5121000000</v>
      </c>
      <c r="O679" s="2">
        <v>7382507500</v>
      </c>
      <c r="P679" s="2">
        <v>44046000000</v>
      </c>
      <c r="Q679" s="2">
        <v>16931001000</v>
      </c>
      <c r="R679" s="2">
        <v>22171571000</v>
      </c>
      <c r="S679" s="2">
        <f t="shared" si="20"/>
        <v>0.48200000000000021</v>
      </c>
      <c r="T679" s="2">
        <f t="shared" si="21"/>
        <v>31660304600</v>
      </c>
    </row>
    <row r="680" spans="1:20" x14ac:dyDescent="0.3">
      <c r="A680" s="1">
        <v>43109</v>
      </c>
      <c r="B680" t="s">
        <v>556</v>
      </c>
      <c r="C680" t="s">
        <v>18</v>
      </c>
      <c r="D680" t="s">
        <v>52</v>
      </c>
      <c r="E680">
        <v>2.04</v>
      </c>
      <c r="F680">
        <v>2.08</v>
      </c>
      <c r="G680">
        <v>1.8879999999999999</v>
      </c>
      <c r="H680">
        <v>3.13</v>
      </c>
      <c r="I680" s="2">
        <v>812778200</v>
      </c>
      <c r="J680" s="2">
        <v>74896500000</v>
      </c>
      <c r="K680" s="2">
        <v>23839925000</v>
      </c>
      <c r="L680" s="2">
        <v>60104600</v>
      </c>
      <c r="M680" s="2">
        <v>2746000000</v>
      </c>
      <c r="N680" s="2">
        <v>4346000000</v>
      </c>
      <c r="O680" s="2">
        <v>8006250000</v>
      </c>
      <c r="P680" s="2">
        <v>48581400000</v>
      </c>
      <c r="Q680" s="2">
        <v>13087675000</v>
      </c>
      <c r="R680" s="2">
        <v>21969100000</v>
      </c>
      <c r="S680" s="2">
        <f t="shared" si="20"/>
        <v>0.19200000000000017</v>
      </c>
      <c r="T680" s="2">
        <f t="shared" si="21"/>
        <v>24712807800</v>
      </c>
    </row>
    <row r="681" spans="1:20" x14ac:dyDescent="0.3">
      <c r="A681" s="1">
        <v>43110</v>
      </c>
      <c r="B681" t="s">
        <v>549</v>
      </c>
      <c r="C681" t="s">
        <v>18</v>
      </c>
      <c r="D681" t="s">
        <v>59</v>
      </c>
      <c r="E681">
        <v>2.54</v>
      </c>
      <c r="F681">
        <v>2.5790000000000002</v>
      </c>
      <c r="G681">
        <v>2.4</v>
      </c>
      <c r="H681">
        <v>2.69</v>
      </c>
      <c r="I681" s="2">
        <v>677315100</v>
      </c>
      <c r="J681" s="2">
        <v>53796900000</v>
      </c>
      <c r="K681" s="2">
        <v>19991883000</v>
      </c>
      <c r="L681" s="2">
        <v>8167000</v>
      </c>
      <c r="M681" s="2">
        <v>1307000000</v>
      </c>
      <c r="N681" s="2">
        <v>2727000000</v>
      </c>
      <c r="O681" s="2">
        <v>4407365000</v>
      </c>
      <c r="P681" s="2">
        <v>31542000000</v>
      </c>
      <c r="Q681" s="2">
        <v>14277518000</v>
      </c>
      <c r="R681" s="2">
        <v>19527900000</v>
      </c>
      <c r="S681" s="2">
        <f t="shared" si="20"/>
        <v>0.17900000000000027</v>
      </c>
      <c r="T681" s="2">
        <f t="shared" si="21"/>
        <v>20677365100</v>
      </c>
    </row>
    <row r="682" spans="1:20" x14ac:dyDescent="0.3">
      <c r="A682" s="1">
        <v>43111</v>
      </c>
      <c r="B682" t="s">
        <v>548</v>
      </c>
      <c r="C682" t="s">
        <v>23</v>
      </c>
      <c r="D682" t="s">
        <v>91</v>
      </c>
      <c r="E682">
        <v>2.8340000000000001</v>
      </c>
      <c r="F682">
        <v>2.867</v>
      </c>
      <c r="G682">
        <v>2.2879999999999998</v>
      </c>
      <c r="H682">
        <v>2.74</v>
      </c>
      <c r="I682" s="2">
        <v>406389000</v>
      </c>
      <c r="J682" s="2">
        <v>32883440000</v>
      </c>
      <c r="K682" s="2">
        <v>11997353200</v>
      </c>
      <c r="L682" s="2">
        <v>2656200</v>
      </c>
      <c r="M682" s="2">
        <v>873000000</v>
      </c>
      <c r="N682" s="2">
        <v>1420000000</v>
      </c>
      <c r="O682" s="2">
        <v>2547563200</v>
      </c>
      <c r="P682" s="2">
        <v>18202700000</v>
      </c>
      <c r="Q682" s="2">
        <v>8576790000</v>
      </c>
      <c r="R682" s="2">
        <v>13260740000</v>
      </c>
      <c r="S682" s="2">
        <f t="shared" si="20"/>
        <v>0.57900000000000018</v>
      </c>
      <c r="T682" s="2">
        <f t="shared" si="21"/>
        <v>12406398400</v>
      </c>
    </row>
    <row r="683" spans="1:20" x14ac:dyDescent="0.3">
      <c r="A683" s="1">
        <v>43123</v>
      </c>
      <c r="B683" t="s">
        <v>559</v>
      </c>
      <c r="C683" t="s">
        <v>18</v>
      </c>
      <c r="D683" t="s">
        <v>21</v>
      </c>
      <c r="E683">
        <v>2.0219999999999998</v>
      </c>
      <c r="F683">
        <v>2.0659999999999998</v>
      </c>
      <c r="G683">
        <v>1.95</v>
      </c>
      <c r="H683">
        <v>3.22</v>
      </c>
      <c r="I683" s="2">
        <v>3821216000</v>
      </c>
      <c r="J683" s="2">
        <v>83319415000</v>
      </c>
      <c r="K683" s="2">
        <v>25555407500</v>
      </c>
      <c r="L683" s="2">
        <v>344604300</v>
      </c>
      <c r="M683" s="2">
        <v>4060215000</v>
      </c>
      <c r="N683" s="2">
        <v>5985215000</v>
      </c>
      <c r="O683" s="2">
        <v>6603992500</v>
      </c>
      <c r="P683" s="2">
        <v>52049000000</v>
      </c>
      <c r="Q683" s="2">
        <v>14891200000</v>
      </c>
      <c r="R683" s="2">
        <v>25285200000</v>
      </c>
      <c r="S683" s="2">
        <f t="shared" si="20"/>
        <v>0.11599999999999988</v>
      </c>
      <c r="T683" s="2">
        <f t="shared" si="21"/>
        <v>29721227800</v>
      </c>
    </row>
    <row r="684" spans="1:20" x14ac:dyDescent="0.3">
      <c r="A684" s="1">
        <v>43124</v>
      </c>
      <c r="B684" t="s">
        <v>558</v>
      </c>
      <c r="C684" t="s">
        <v>18</v>
      </c>
      <c r="D684" t="s">
        <v>19</v>
      </c>
      <c r="E684">
        <v>2.39</v>
      </c>
      <c r="F684">
        <v>2.4340000000000002</v>
      </c>
      <c r="G684">
        <v>2.3279999999999998</v>
      </c>
      <c r="H684">
        <v>2.48</v>
      </c>
      <c r="I684" s="2">
        <v>4996974700</v>
      </c>
      <c r="J684" s="2">
        <v>84389602000</v>
      </c>
      <c r="K684" s="2">
        <v>33951297000</v>
      </c>
      <c r="L684" s="2">
        <v>48762800</v>
      </c>
      <c r="M684" s="2">
        <v>3078000000</v>
      </c>
      <c r="N684" s="2">
        <v>4753000000</v>
      </c>
      <c r="O684" s="2">
        <v>8810665000</v>
      </c>
      <c r="P684" s="2">
        <v>50857000000</v>
      </c>
      <c r="Q684" s="2">
        <v>22062632000</v>
      </c>
      <c r="R684" s="2">
        <v>28779602000</v>
      </c>
      <c r="S684" s="2">
        <f t="shared" si="20"/>
        <v>0.10600000000000032</v>
      </c>
      <c r="T684" s="2">
        <f t="shared" si="21"/>
        <v>38997034500</v>
      </c>
    </row>
    <row r="685" spans="1:20" x14ac:dyDescent="0.3">
      <c r="A685" s="1">
        <v>43125</v>
      </c>
      <c r="B685" t="s">
        <v>557</v>
      </c>
      <c r="C685" t="s">
        <v>18</v>
      </c>
      <c r="D685" t="s">
        <v>68</v>
      </c>
      <c r="E685">
        <v>2.5249999999999999</v>
      </c>
      <c r="F685">
        <v>2.5649999999999999</v>
      </c>
      <c r="G685">
        <v>2.4</v>
      </c>
      <c r="H685">
        <v>2.73</v>
      </c>
      <c r="I685" s="2">
        <v>4115155600</v>
      </c>
      <c r="J685" s="2">
        <v>76468813000</v>
      </c>
      <c r="K685" s="2">
        <v>27982405000</v>
      </c>
      <c r="L685" s="2">
        <v>17610600</v>
      </c>
      <c r="M685" s="2">
        <v>2851000000</v>
      </c>
      <c r="N685" s="2">
        <v>4578000000</v>
      </c>
      <c r="O685" s="2">
        <v>3275208000</v>
      </c>
      <c r="P685" s="2">
        <v>43220000000</v>
      </c>
      <c r="Q685" s="2">
        <v>21856197000</v>
      </c>
      <c r="R685" s="2">
        <v>28670813000</v>
      </c>
      <c r="S685" s="2">
        <f t="shared" si="20"/>
        <v>0.16500000000000004</v>
      </c>
      <c r="T685" s="2">
        <f t="shared" si="21"/>
        <v>32115171200</v>
      </c>
    </row>
    <row r="686" spans="1:20" x14ac:dyDescent="0.3">
      <c r="A686" s="1">
        <v>43137</v>
      </c>
      <c r="B686" t="s">
        <v>561</v>
      </c>
      <c r="C686" t="s">
        <v>18</v>
      </c>
      <c r="D686" t="s">
        <v>52</v>
      </c>
      <c r="E686">
        <v>2.23</v>
      </c>
      <c r="F686">
        <v>2.2799999999999998</v>
      </c>
      <c r="G686">
        <v>2</v>
      </c>
      <c r="H686">
        <v>3</v>
      </c>
      <c r="I686" s="2">
        <v>4914122100</v>
      </c>
      <c r="J686" s="2">
        <v>77943000000</v>
      </c>
      <c r="K686" s="2">
        <v>25838064700</v>
      </c>
      <c r="L686" s="2">
        <v>61991500</v>
      </c>
      <c r="M686" s="2">
        <v>2507000000</v>
      </c>
      <c r="N686" s="2">
        <v>4111000000</v>
      </c>
      <c r="O686" s="2">
        <v>10474530000</v>
      </c>
      <c r="P686" s="2">
        <v>51995000000</v>
      </c>
      <c r="Q686" s="2">
        <v>12856534700</v>
      </c>
      <c r="R686" s="2">
        <v>21837000000</v>
      </c>
      <c r="S686" s="2">
        <f t="shared" si="20"/>
        <v>0.2799999999999998</v>
      </c>
      <c r="T686" s="2">
        <f t="shared" si="21"/>
        <v>30814178300</v>
      </c>
    </row>
    <row r="687" spans="1:20" x14ac:dyDescent="0.3">
      <c r="A687" s="1">
        <v>43138</v>
      </c>
      <c r="B687" t="s">
        <v>560</v>
      </c>
      <c r="C687" t="s">
        <v>18</v>
      </c>
      <c r="D687" t="s">
        <v>26</v>
      </c>
      <c r="E687">
        <v>2.75</v>
      </c>
      <c r="F687">
        <v>2.8109999999999999</v>
      </c>
      <c r="G687">
        <v>2.66</v>
      </c>
      <c r="H687">
        <v>2.34</v>
      </c>
      <c r="I687" s="2">
        <v>4536112700</v>
      </c>
      <c r="J687" s="2">
        <v>56088650000</v>
      </c>
      <c r="K687" s="2">
        <v>23956710000</v>
      </c>
      <c r="L687" s="2">
        <v>43335600</v>
      </c>
      <c r="M687" s="2">
        <v>1285000000</v>
      </c>
      <c r="N687" s="2">
        <v>2535000000</v>
      </c>
      <c r="O687" s="2">
        <v>6504000000</v>
      </c>
      <c r="P687" s="2">
        <v>33804000000</v>
      </c>
      <c r="Q687" s="2">
        <v>16167710000</v>
      </c>
      <c r="R687" s="2">
        <v>19749650000</v>
      </c>
      <c r="S687" s="2">
        <f t="shared" si="20"/>
        <v>0.1509999999999998</v>
      </c>
      <c r="T687" s="2">
        <f t="shared" si="21"/>
        <v>28536158300</v>
      </c>
    </row>
    <row r="688" spans="1:20" x14ac:dyDescent="0.3">
      <c r="A688" s="1">
        <v>43139</v>
      </c>
      <c r="B688" t="s">
        <v>562</v>
      </c>
      <c r="C688" t="s">
        <v>23</v>
      </c>
      <c r="D688" t="s">
        <v>65</v>
      </c>
      <c r="E688">
        <v>3.06</v>
      </c>
      <c r="F688">
        <v>3.121</v>
      </c>
      <c r="G688">
        <v>2.8879999999999999</v>
      </c>
      <c r="H688">
        <v>2.2599999999999998</v>
      </c>
      <c r="I688" s="2">
        <v>3024075100</v>
      </c>
      <c r="J688" s="2">
        <v>36091763000</v>
      </c>
      <c r="K688" s="2">
        <v>15983370000</v>
      </c>
      <c r="L688" s="2">
        <v>16631900</v>
      </c>
      <c r="M688" s="2">
        <v>1287000000</v>
      </c>
      <c r="N688" s="2">
        <v>2087000000</v>
      </c>
      <c r="O688" s="2">
        <v>4922065000</v>
      </c>
      <c r="P688" s="2">
        <v>22208000000</v>
      </c>
      <c r="Q688" s="2">
        <v>9774305000</v>
      </c>
      <c r="R688" s="2">
        <v>11796763000</v>
      </c>
      <c r="S688" s="2">
        <f t="shared" si="20"/>
        <v>0.2330000000000001</v>
      </c>
      <c r="T688" s="2">
        <f t="shared" si="21"/>
        <v>19024077000</v>
      </c>
    </row>
    <row r="689" spans="1:20" x14ac:dyDescent="0.3">
      <c r="A689" s="1">
        <v>43151</v>
      </c>
      <c r="B689" t="s">
        <v>565</v>
      </c>
      <c r="C689" t="s">
        <v>18</v>
      </c>
      <c r="D689" t="s">
        <v>21</v>
      </c>
      <c r="E689">
        <v>2.21</v>
      </c>
      <c r="F689">
        <v>2.2549999999999999</v>
      </c>
      <c r="G689">
        <v>1.8879999999999999</v>
      </c>
      <c r="H689">
        <v>2.72</v>
      </c>
      <c r="I689" s="2">
        <v>6826258000</v>
      </c>
      <c r="J689" s="2">
        <v>75857671000</v>
      </c>
      <c r="K689" s="2">
        <v>27636164500</v>
      </c>
      <c r="L689" s="2">
        <v>263923200</v>
      </c>
      <c r="M689" s="2">
        <v>3698714500</v>
      </c>
      <c r="N689" s="2">
        <v>5236101000</v>
      </c>
      <c r="O689" s="2">
        <v>11133705000</v>
      </c>
      <c r="P689" s="2">
        <v>56790000000</v>
      </c>
      <c r="Q689" s="2">
        <v>12803745000</v>
      </c>
      <c r="R689" s="2">
        <v>13831570000</v>
      </c>
      <c r="S689" s="2">
        <f t="shared" si="20"/>
        <v>0.36699999999999999</v>
      </c>
      <c r="T689" s="2">
        <f t="shared" si="21"/>
        <v>34726345700</v>
      </c>
    </row>
    <row r="690" spans="1:20" x14ac:dyDescent="0.3">
      <c r="A690" s="1">
        <v>43152</v>
      </c>
      <c r="B690" t="s">
        <v>564</v>
      </c>
      <c r="C690" t="s">
        <v>18</v>
      </c>
      <c r="D690" t="s">
        <v>19</v>
      </c>
      <c r="E690">
        <v>2.617</v>
      </c>
      <c r="F690">
        <v>2.6579999999999999</v>
      </c>
      <c r="G690">
        <v>2.1880000000000002</v>
      </c>
      <c r="H690">
        <v>2.44</v>
      </c>
      <c r="I690" s="2">
        <v>8532822500</v>
      </c>
      <c r="J690" s="2">
        <v>85463629000</v>
      </c>
      <c r="K690" s="2">
        <v>34910309000</v>
      </c>
      <c r="L690" s="2">
        <v>89723400</v>
      </c>
      <c r="M690" s="2">
        <v>4422000000</v>
      </c>
      <c r="N690" s="2">
        <v>6072000000</v>
      </c>
      <c r="O690" s="2">
        <v>10228430000</v>
      </c>
      <c r="P690" s="2">
        <v>52263000000</v>
      </c>
      <c r="Q690" s="2">
        <v>20259879000</v>
      </c>
      <c r="R690" s="2">
        <v>27128629000</v>
      </c>
      <c r="S690" s="2">
        <f t="shared" si="20"/>
        <v>0.46999999999999975</v>
      </c>
      <c r="T690" s="2">
        <f t="shared" si="21"/>
        <v>43532854900</v>
      </c>
    </row>
    <row r="691" spans="1:20" x14ac:dyDescent="0.3">
      <c r="A691" s="1">
        <v>43153</v>
      </c>
      <c r="B691" t="s">
        <v>563</v>
      </c>
      <c r="C691" t="s">
        <v>18</v>
      </c>
      <c r="D691" t="s">
        <v>68</v>
      </c>
      <c r="E691">
        <v>2.79</v>
      </c>
      <c r="F691">
        <v>2.839</v>
      </c>
      <c r="G691">
        <v>2.72</v>
      </c>
      <c r="H691">
        <v>2.4900000000000002</v>
      </c>
      <c r="I691" s="2">
        <v>7070052900</v>
      </c>
      <c r="J691" s="2">
        <v>72125490000</v>
      </c>
      <c r="K691" s="2">
        <v>28980465000</v>
      </c>
      <c r="L691" s="2">
        <v>19592300</v>
      </c>
      <c r="M691" s="2">
        <v>4528000000</v>
      </c>
      <c r="N691" s="2">
        <v>6003000000</v>
      </c>
      <c r="O691" s="2">
        <v>6413300000</v>
      </c>
      <c r="P691" s="2">
        <v>44330000000</v>
      </c>
      <c r="Q691" s="2">
        <v>18039165000</v>
      </c>
      <c r="R691" s="2">
        <v>21792490000</v>
      </c>
      <c r="S691" s="2">
        <f t="shared" si="20"/>
        <v>0.11899999999999977</v>
      </c>
      <c r="T691" s="2">
        <f t="shared" si="21"/>
        <v>36070110200</v>
      </c>
    </row>
    <row r="692" spans="1:20" x14ac:dyDescent="0.3">
      <c r="A692" s="1">
        <v>43171</v>
      </c>
      <c r="B692" t="s">
        <v>560</v>
      </c>
      <c r="C692" t="s">
        <v>18</v>
      </c>
      <c r="D692" t="s">
        <v>29</v>
      </c>
      <c r="E692">
        <v>2.85</v>
      </c>
      <c r="F692">
        <v>2.8889999999999998</v>
      </c>
      <c r="G692">
        <v>2.7810000000000001</v>
      </c>
      <c r="H692">
        <v>2.5</v>
      </c>
      <c r="I692" s="2">
        <v>0</v>
      </c>
      <c r="J692" s="2">
        <v>52396040000</v>
      </c>
      <c r="K692" s="2">
        <v>20983754000</v>
      </c>
      <c r="L692" s="2">
        <v>16251900</v>
      </c>
      <c r="M692" s="2">
        <v>1358896000</v>
      </c>
      <c r="N692" s="2">
        <v>2528000000</v>
      </c>
      <c r="O692" s="2">
        <v>5726580000</v>
      </c>
      <c r="P692" s="2">
        <v>31523000000</v>
      </c>
      <c r="Q692" s="2">
        <v>13898278000</v>
      </c>
      <c r="R692" s="2">
        <v>18345040000</v>
      </c>
      <c r="S692" s="2">
        <f t="shared" si="20"/>
        <v>0.10799999999999965</v>
      </c>
      <c r="T692" s="2">
        <f t="shared" si="21"/>
        <v>21000005900</v>
      </c>
    </row>
    <row r="693" spans="1:20" x14ac:dyDescent="0.3">
      <c r="A693" s="1">
        <v>43171</v>
      </c>
      <c r="B693" t="s">
        <v>566</v>
      </c>
      <c r="C693" t="s">
        <v>18</v>
      </c>
      <c r="D693" t="s">
        <v>52</v>
      </c>
      <c r="E693">
        <v>2.4</v>
      </c>
      <c r="F693">
        <v>2.4359999999999999</v>
      </c>
      <c r="G693">
        <v>2.3199999999999998</v>
      </c>
      <c r="H693">
        <v>2.94</v>
      </c>
      <c r="I693" s="2">
        <v>0</v>
      </c>
      <c r="J693" s="2">
        <v>81929400000</v>
      </c>
      <c r="K693" s="2">
        <v>27687462500</v>
      </c>
      <c r="L693" s="2">
        <v>112562600</v>
      </c>
      <c r="M693" s="2">
        <v>2575000000</v>
      </c>
      <c r="N693" s="2">
        <v>4850000000</v>
      </c>
      <c r="O693" s="2">
        <v>11272387500</v>
      </c>
      <c r="P693" s="2">
        <v>51589000000</v>
      </c>
      <c r="Q693" s="2">
        <v>13840075000</v>
      </c>
      <c r="R693" s="2">
        <v>25490400000</v>
      </c>
      <c r="S693" s="2">
        <f t="shared" si="20"/>
        <v>0.1160000000000001</v>
      </c>
      <c r="T693" s="2">
        <f t="shared" si="21"/>
        <v>27800025100</v>
      </c>
    </row>
    <row r="694" spans="1:20" x14ac:dyDescent="0.3">
      <c r="A694" s="1">
        <v>43172</v>
      </c>
      <c r="B694" t="s">
        <v>562</v>
      </c>
      <c r="C694" t="s">
        <v>23</v>
      </c>
      <c r="D694" t="s">
        <v>72</v>
      </c>
      <c r="E694">
        <v>3.0750000000000002</v>
      </c>
      <c r="F694">
        <v>3.109</v>
      </c>
      <c r="G694">
        <v>3.01</v>
      </c>
      <c r="H694">
        <v>2.38</v>
      </c>
      <c r="I694" s="2">
        <v>0</v>
      </c>
      <c r="J694" s="2">
        <v>30981295000</v>
      </c>
      <c r="K694" s="2">
        <v>12995571000</v>
      </c>
      <c r="L694" s="2">
        <v>4430700</v>
      </c>
      <c r="M694" s="2">
        <v>1917000000</v>
      </c>
      <c r="N694" s="2">
        <v>2522000000</v>
      </c>
      <c r="O694" s="2">
        <v>3548000000</v>
      </c>
      <c r="P694" s="2">
        <v>18291000000</v>
      </c>
      <c r="Q694" s="2">
        <v>7530571000</v>
      </c>
      <c r="R694" s="2">
        <v>10168295000</v>
      </c>
      <c r="S694" s="2">
        <f t="shared" si="20"/>
        <v>9.9000000000000199E-2</v>
      </c>
      <c r="T694" s="2">
        <f t="shared" si="21"/>
        <v>13000001700</v>
      </c>
    </row>
    <row r="695" spans="1:20" x14ac:dyDescent="0.3">
      <c r="A695" s="1">
        <v>43185</v>
      </c>
      <c r="B695" t="s">
        <v>569</v>
      </c>
      <c r="C695" t="s">
        <v>18</v>
      </c>
      <c r="D695" t="s">
        <v>21</v>
      </c>
      <c r="E695">
        <v>2.2759999999999998</v>
      </c>
      <c r="F695">
        <v>2.31</v>
      </c>
      <c r="G695">
        <v>1.8879999999999999</v>
      </c>
      <c r="H695">
        <v>2.91</v>
      </c>
      <c r="I695" s="2">
        <v>5284713600</v>
      </c>
      <c r="J695" s="2">
        <v>86757748000</v>
      </c>
      <c r="K695" s="2">
        <v>29596381000</v>
      </c>
      <c r="L695" s="2">
        <v>303740100</v>
      </c>
      <c r="M695" s="2">
        <v>4179086000</v>
      </c>
      <c r="N695" s="2">
        <v>5708000000</v>
      </c>
      <c r="O695" s="2">
        <v>12235375000</v>
      </c>
      <c r="P695" s="2">
        <v>56390000000</v>
      </c>
      <c r="Q695" s="2">
        <v>13181920000</v>
      </c>
      <c r="R695" s="2">
        <v>24659748000</v>
      </c>
      <c r="S695" s="2">
        <f t="shared" si="20"/>
        <v>0.42200000000000015</v>
      </c>
      <c r="T695" s="2">
        <f t="shared" si="21"/>
        <v>35184834700</v>
      </c>
    </row>
    <row r="696" spans="1:20" x14ac:dyDescent="0.3">
      <c r="A696" s="1">
        <v>43186</v>
      </c>
      <c r="B696" t="s">
        <v>568</v>
      </c>
      <c r="C696" t="s">
        <v>18</v>
      </c>
      <c r="D696" t="s">
        <v>19</v>
      </c>
      <c r="E696">
        <v>2.57</v>
      </c>
      <c r="F696">
        <v>2.6120000000000001</v>
      </c>
      <c r="G696">
        <v>2.5</v>
      </c>
      <c r="H696">
        <v>2.5</v>
      </c>
      <c r="I696" s="2">
        <v>6165499200</v>
      </c>
      <c r="J696" s="2">
        <v>87528030000</v>
      </c>
      <c r="K696" s="2">
        <v>34942858600</v>
      </c>
      <c r="L696" s="2">
        <v>57178700</v>
      </c>
      <c r="M696" s="2">
        <v>2899000000</v>
      </c>
      <c r="N696" s="2">
        <v>4671000000</v>
      </c>
      <c r="O696" s="2">
        <v>9851000000</v>
      </c>
      <c r="P696" s="2">
        <v>53338000000</v>
      </c>
      <c r="Q696" s="2">
        <v>22192858600</v>
      </c>
      <c r="R696" s="2">
        <v>29519030000</v>
      </c>
      <c r="S696" s="2">
        <f t="shared" si="20"/>
        <v>0.1120000000000001</v>
      </c>
      <c r="T696" s="2">
        <f t="shared" si="21"/>
        <v>41165536500</v>
      </c>
    </row>
    <row r="697" spans="1:20" x14ac:dyDescent="0.3">
      <c r="A697" s="1">
        <v>43187</v>
      </c>
      <c r="B697" t="s">
        <v>567</v>
      </c>
      <c r="C697" t="s">
        <v>18</v>
      </c>
      <c r="D697" t="s">
        <v>68</v>
      </c>
      <c r="E697">
        <v>2.67</v>
      </c>
      <c r="F697">
        <v>2.72</v>
      </c>
      <c r="G697">
        <v>2.5499999999999998</v>
      </c>
      <c r="H697">
        <v>2.34</v>
      </c>
      <c r="I697" s="2">
        <v>5108556500</v>
      </c>
      <c r="J697" s="2">
        <v>67842905000</v>
      </c>
      <c r="K697" s="2">
        <v>28977509400</v>
      </c>
      <c r="L697" s="2">
        <v>22525000</v>
      </c>
      <c r="M697" s="2">
        <v>3494000000</v>
      </c>
      <c r="N697" s="2">
        <v>4844000000</v>
      </c>
      <c r="O697" s="2">
        <v>9300272400</v>
      </c>
      <c r="P697" s="2">
        <v>43589000000</v>
      </c>
      <c r="Q697" s="2">
        <v>16183237000</v>
      </c>
      <c r="R697" s="2">
        <v>19409905000</v>
      </c>
      <c r="S697" s="2">
        <f t="shared" si="20"/>
        <v>0.17000000000000037</v>
      </c>
      <c r="T697" s="2">
        <f t="shared" si="21"/>
        <v>34108590900</v>
      </c>
    </row>
    <row r="698" spans="1:20" x14ac:dyDescent="0.3">
      <c r="A698" s="1">
        <v>43200</v>
      </c>
      <c r="B698" t="s">
        <v>570</v>
      </c>
      <c r="C698" t="s">
        <v>18</v>
      </c>
      <c r="D698" t="s">
        <v>52</v>
      </c>
      <c r="E698">
        <v>2.407</v>
      </c>
      <c r="F698">
        <v>2.4500000000000002</v>
      </c>
      <c r="G698">
        <v>2.2000000000000002</v>
      </c>
      <c r="H698">
        <v>2.85</v>
      </c>
      <c r="I698" s="2">
        <v>51432000</v>
      </c>
      <c r="J698" s="2">
        <v>85347130000</v>
      </c>
      <c r="K698" s="2">
        <v>29810138700</v>
      </c>
      <c r="L698" s="2">
        <v>89923700</v>
      </c>
      <c r="M698" s="2">
        <v>3448000000</v>
      </c>
      <c r="N698" s="2">
        <v>5123000000</v>
      </c>
      <c r="O698" s="2">
        <v>12187390000</v>
      </c>
      <c r="P698" s="2">
        <v>56102000000</v>
      </c>
      <c r="Q698" s="2">
        <v>14174748700</v>
      </c>
      <c r="R698" s="2">
        <v>24122130000</v>
      </c>
      <c r="S698" s="2">
        <f t="shared" si="20"/>
        <v>0.25</v>
      </c>
      <c r="T698" s="2">
        <f t="shared" si="21"/>
        <v>29951494400</v>
      </c>
    </row>
    <row r="699" spans="1:20" x14ac:dyDescent="0.3">
      <c r="A699" s="1">
        <v>43201</v>
      </c>
      <c r="B699" t="s">
        <v>560</v>
      </c>
      <c r="C699" t="s">
        <v>18</v>
      </c>
      <c r="D699" t="s">
        <v>59</v>
      </c>
      <c r="E699">
        <v>2.74</v>
      </c>
      <c r="F699">
        <v>2.7949999999999999</v>
      </c>
      <c r="G699">
        <v>2.1880000000000002</v>
      </c>
      <c r="H699">
        <v>2.46</v>
      </c>
      <c r="I699" s="2">
        <v>36002400</v>
      </c>
      <c r="J699" s="2">
        <v>51606600000</v>
      </c>
      <c r="K699" s="2">
        <v>20991784000</v>
      </c>
      <c r="L699" s="2">
        <v>8264900</v>
      </c>
      <c r="M699" s="2">
        <v>1768480000</v>
      </c>
      <c r="N699" s="2">
        <v>2758000000</v>
      </c>
      <c r="O699" s="2">
        <v>8053772000</v>
      </c>
      <c r="P699" s="2">
        <v>33963000000</v>
      </c>
      <c r="Q699" s="2">
        <v>11169532000</v>
      </c>
      <c r="R699" s="2">
        <v>14885600000</v>
      </c>
      <c r="S699" s="2">
        <f t="shared" si="20"/>
        <v>0.60699999999999976</v>
      </c>
      <c r="T699" s="2">
        <f t="shared" si="21"/>
        <v>21036051300</v>
      </c>
    </row>
    <row r="700" spans="1:20" x14ac:dyDescent="0.3">
      <c r="A700" s="1">
        <v>43202</v>
      </c>
      <c r="B700" t="s">
        <v>562</v>
      </c>
      <c r="C700" t="s">
        <v>23</v>
      </c>
      <c r="D700" t="s">
        <v>91</v>
      </c>
      <c r="E700">
        <v>2.9990000000000001</v>
      </c>
      <c r="F700">
        <v>3.044</v>
      </c>
      <c r="G700">
        <v>2.1880000000000002</v>
      </c>
      <c r="H700">
        <v>2.41</v>
      </c>
      <c r="I700" s="2">
        <v>22287100</v>
      </c>
      <c r="J700" s="2">
        <v>31385387000</v>
      </c>
      <c r="K700" s="2">
        <v>12998197000</v>
      </c>
      <c r="L700" s="2">
        <v>1805600</v>
      </c>
      <c r="M700" s="2">
        <v>1896000000</v>
      </c>
      <c r="N700" s="2">
        <v>2546000000</v>
      </c>
      <c r="O700" s="2">
        <v>3171000000</v>
      </c>
      <c r="P700" s="2">
        <v>18775000000</v>
      </c>
      <c r="Q700" s="2">
        <v>7931197000</v>
      </c>
      <c r="R700" s="2">
        <v>10064387000</v>
      </c>
      <c r="S700" s="2">
        <f t="shared" si="20"/>
        <v>0.85599999999999987</v>
      </c>
      <c r="T700" s="2">
        <f t="shared" si="21"/>
        <v>13022289700</v>
      </c>
    </row>
    <row r="701" spans="1:20" x14ac:dyDescent="0.3">
      <c r="A701" s="1">
        <v>43214</v>
      </c>
      <c r="B701" t="s">
        <v>573</v>
      </c>
      <c r="C701" t="s">
        <v>18</v>
      </c>
      <c r="D701" t="s">
        <v>21</v>
      </c>
      <c r="E701">
        <v>2.4700000000000002</v>
      </c>
      <c r="F701">
        <v>2.4980000000000002</v>
      </c>
      <c r="G701">
        <v>2.395</v>
      </c>
      <c r="H701">
        <v>2.61</v>
      </c>
      <c r="I701" s="2">
        <v>4084377400</v>
      </c>
      <c r="J701" s="2">
        <v>83147500000</v>
      </c>
      <c r="K701" s="2">
        <v>31492600000</v>
      </c>
      <c r="L701" s="2">
        <v>357419500</v>
      </c>
      <c r="M701" s="2">
        <v>4834000000</v>
      </c>
      <c r="N701" s="2">
        <v>6654000000</v>
      </c>
      <c r="O701" s="2">
        <v>13572100000</v>
      </c>
      <c r="P701" s="2">
        <v>59664000000</v>
      </c>
      <c r="Q701" s="2">
        <v>13086500000</v>
      </c>
      <c r="R701" s="2">
        <v>16829500000</v>
      </c>
      <c r="S701" s="2">
        <f t="shared" si="20"/>
        <v>0.1030000000000002</v>
      </c>
      <c r="T701" s="2">
        <f t="shared" si="21"/>
        <v>35934396900</v>
      </c>
    </row>
    <row r="702" spans="1:20" x14ac:dyDescent="0.3">
      <c r="A702" s="1">
        <v>43215</v>
      </c>
      <c r="B702" t="s">
        <v>572</v>
      </c>
      <c r="C702" t="s">
        <v>18</v>
      </c>
      <c r="D702" t="s">
        <v>19</v>
      </c>
      <c r="E702">
        <v>2.8</v>
      </c>
      <c r="F702">
        <v>2.8370000000000002</v>
      </c>
      <c r="G702">
        <v>2.1880000000000002</v>
      </c>
      <c r="H702">
        <v>2.4900000000000002</v>
      </c>
      <c r="I702" s="2">
        <v>4467287800</v>
      </c>
      <c r="J702" s="2">
        <v>87169376000</v>
      </c>
      <c r="K702" s="2">
        <v>34945476000</v>
      </c>
      <c r="L702" s="2">
        <v>54545200</v>
      </c>
      <c r="M702" s="2">
        <v>4780000000</v>
      </c>
      <c r="N702" s="2">
        <v>6280000000</v>
      </c>
      <c r="O702" s="2">
        <v>9141400000</v>
      </c>
      <c r="P702" s="2">
        <v>52540000000</v>
      </c>
      <c r="Q702" s="2">
        <v>21024076000</v>
      </c>
      <c r="R702" s="2">
        <v>28349376000</v>
      </c>
      <c r="S702" s="2">
        <f t="shared" si="20"/>
        <v>0.64900000000000002</v>
      </c>
      <c r="T702" s="2">
        <f t="shared" si="21"/>
        <v>39467309000</v>
      </c>
    </row>
    <row r="703" spans="1:20" x14ac:dyDescent="0.3">
      <c r="A703" s="1">
        <v>43216</v>
      </c>
      <c r="B703" t="s">
        <v>571</v>
      </c>
      <c r="C703" t="s">
        <v>18</v>
      </c>
      <c r="D703" t="s">
        <v>68</v>
      </c>
      <c r="E703">
        <v>2.9</v>
      </c>
      <c r="F703">
        <v>2.952</v>
      </c>
      <c r="G703">
        <v>2.2879999999999998</v>
      </c>
      <c r="H703">
        <v>2.56</v>
      </c>
      <c r="I703" s="2">
        <v>3701467000</v>
      </c>
      <c r="J703" s="2">
        <v>74224679000</v>
      </c>
      <c r="K703" s="2">
        <v>28975939000</v>
      </c>
      <c r="L703" s="2">
        <v>14103600</v>
      </c>
      <c r="M703" s="2">
        <v>3673000000</v>
      </c>
      <c r="N703" s="2">
        <v>5323000000</v>
      </c>
      <c r="O703" s="2">
        <v>6245260000</v>
      </c>
      <c r="P703" s="2">
        <v>43865000000</v>
      </c>
      <c r="Q703" s="2">
        <v>19057679000</v>
      </c>
      <c r="R703" s="2">
        <v>25036679000</v>
      </c>
      <c r="S703" s="2">
        <f t="shared" si="20"/>
        <v>0.66400000000000015</v>
      </c>
      <c r="T703" s="2">
        <f t="shared" si="21"/>
        <v>32691509600</v>
      </c>
    </row>
    <row r="704" spans="1:20" x14ac:dyDescent="0.3">
      <c r="A704" s="1">
        <v>43228</v>
      </c>
      <c r="B704" t="s">
        <v>576</v>
      </c>
      <c r="C704" t="s">
        <v>18</v>
      </c>
      <c r="D704" t="s">
        <v>52</v>
      </c>
      <c r="E704">
        <v>2.6389999999999998</v>
      </c>
      <c r="F704">
        <v>2.6640000000000001</v>
      </c>
      <c r="G704">
        <v>2.5099999999999998</v>
      </c>
      <c r="H704">
        <v>2.76</v>
      </c>
      <c r="I704" s="2">
        <v>7473107000</v>
      </c>
      <c r="J704" s="2">
        <v>85277800000</v>
      </c>
      <c r="K704" s="2">
        <v>30818150000</v>
      </c>
      <c r="L704" s="2">
        <v>81868500</v>
      </c>
      <c r="M704" s="2">
        <v>3782000000</v>
      </c>
      <c r="N704" s="2">
        <v>5467000000</v>
      </c>
      <c r="O704" s="2">
        <v>12993410000</v>
      </c>
      <c r="P704" s="2">
        <v>58390000000</v>
      </c>
      <c r="Q704" s="2">
        <v>14042740000</v>
      </c>
      <c r="R704" s="2">
        <v>21420800000</v>
      </c>
      <c r="S704" s="2">
        <f t="shared" si="20"/>
        <v>0.15400000000000036</v>
      </c>
      <c r="T704" s="2">
        <f t="shared" si="21"/>
        <v>38373125500</v>
      </c>
    </row>
    <row r="705" spans="1:20" x14ac:dyDescent="0.3">
      <c r="A705" s="1">
        <v>43229</v>
      </c>
      <c r="B705" t="s">
        <v>575</v>
      </c>
      <c r="C705" t="s">
        <v>18</v>
      </c>
      <c r="D705" t="s">
        <v>26</v>
      </c>
      <c r="E705">
        <v>2.95</v>
      </c>
      <c r="F705">
        <v>2.9950000000000001</v>
      </c>
      <c r="G705">
        <v>2.89</v>
      </c>
      <c r="H705">
        <v>2.56</v>
      </c>
      <c r="I705" s="2">
        <v>6026699100</v>
      </c>
      <c r="J705" s="2">
        <v>64007750000</v>
      </c>
      <c r="K705" s="2">
        <v>24954719000</v>
      </c>
      <c r="L705" s="2">
        <v>45314200</v>
      </c>
      <c r="M705" s="2">
        <v>2076325000</v>
      </c>
      <c r="N705" s="2">
        <v>3976000000</v>
      </c>
      <c r="O705" s="2">
        <v>7152318500</v>
      </c>
      <c r="P705" s="2">
        <v>39859500000</v>
      </c>
      <c r="Q705" s="2">
        <v>15726075500</v>
      </c>
      <c r="R705" s="2">
        <v>20172250000</v>
      </c>
      <c r="S705" s="2">
        <f t="shared" si="20"/>
        <v>0.10499999999999998</v>
      </c>
      <c r="T705" s="2">
        <f t="shared" si="21"/>
        <v>31026732300</v>
      </c>
    </row>
    <row r="706" spans="1:20" x14ac:dyDescent="0.3">
      <c r="A706" s="1">
        <v>43230</v>
      </c>
      <c r="B706" t="s">
        <v>574</v>
      </c>
      <c r="C706" t="s">
        <v>23</v>
      </c>
      <c r="D706" t="s">
        <v>65</v>
      </c>
      <c r="E706">
        <v>3.1</v>
      </c>
      <c r="F706">
        <v>3.13</v>
      </c>
      <c r="G706">
        <v>3.0449999999999999</v>
      </c>
      <c r="H706">
        <v>2.38</v>
      </c>
      <c r="I706" s="2">
        <v>4098155300</v>
      </c>
      <c r="J706" s="2">
        <v>40397723000</v>
      </c>
      <c r="K706" s="2">
        <v>16994954700</v>
      </c>
      <c r="L706" s="2">
        <v>5087100</v>
      </c>
      <c r="M706" s="2">
        <v>1418000000</v>
      </c>
      <c r="N706" s="2">
        <v>2700000000</v>
      </c>
      <c r="O706" s="2">
        <v>4913239000</v>
      </c>
      <c r="P706" s="2">
        <v>23767000000</v>
      </c>
      <c r="Q706" s="2">
        <v>10663715700</v>
      </c>
      <c r="R706" s="2">
        <v>13930723000</v>
      </c>
      <c r="S706" s="2">
        <f t="shared" ref="S706:S769" si="22">SUM($F706,-$G706)</f>
        <v>8.4999999999999964E-2</v>
      </c>
      <c r="T706" s="2">
        <f t="shared" ref="T706:T769" si="23">SUM(I706,K706,L706)</f>
        <v>21098197100</v>
      </c>
    </row>
    <row r="707" spans="1:20" x14ac:dyDescent="0.3">
      <c r="A707" s="1">
        <v>43242</v>
      </c>
      <c r="B707" t="s">
        <v>578</v>
      </c>
      <c r="C707" t="s">
        <v>18</v>
      </c>
      <c r="D707" t="s">
        <v>21</v>
      </c>
      <c r="E707">
        <v>2.56</v>
      </c>
      <c r="F707">
        <v>2.59</v>
      </c>
      <c r="G707">
        <v>2.2000000000000002</v>
      </c>
      <c r="H707">
        <v>2.88</v>
      </c>
      <c r="I707" s="2">
        <v>5732490200</v>
      </c>
      <c r="J707" s="2">
        <v>94381850000</v>
      </c>
      <c r="K707" s="2">
        <v>32429810000</v>
      </c>
      <c r="L707" s="2">
        <v>420191900</v>
      </c>
      <c r="M707" s="2">
        <v>4975000000</v>
      </c>
      <c r="N707" s="2">
        <v>7045000000</v>
      </c>
      <c r="O707" s="2">
        <v>14712135000</v>
      </c>
      <c r="P707" s="2">
        <v>64269000000</v>
      </c>
      <c r="Q707" s="2">
        <v>12742675000</v>
      </c>
      <c r="R707" s="2">
        <v>23067850000</v>
      </c>
      <c r="S707" s="2">
        <f t="shared" si="22"/>
        <v>0.38999999999999968</v>
      </c>
      <c r="T707" s="2">
        <f t="shared" si="23"/>
        <v>38582492100</v>
      </c>
    </row>
    <row r="708" spans="1:20" x14ac:dyDescent="0.3">
      <c r="A708" s="1">
        <v>43243</v>
      </c>
      <c r="B708" t="s">
        <v>577</v>
      </c>
      <c r="C708" t="s">
        <v>18</v>
      </c>
      <c r="D708" t="s">
        <v>19</v>
      </c>
      <c r="E708">
        <v>2.82</v>
      </c>
      <c r="F708">
        <v>2.8639999999999999</v>
      </c>
      <c r="G708">
        <v>2.74</v>
      </c>
      <c r="H708">
        <v>2.52</v>
      </c>
      <c r="I708" s="2">
        <v>6253625600</v>
      </c>
      <c r="J708" s="2">
        <v>90554210000</v>
      </c>
      <c r="K708" s="2">
        <v>35936698800</v>
      </c>
      <c r="L708" s="2">
        <v>63373900</v>
      </c>
      <c r="M708" s="2">
        <v>3904000000</v>
      </c>
      <c r="N708" s="2">
        <v>5722000000</v>
      </c>
      <c r="O708" s="2">
        <v>11838508800</v>
      </c>
      <c r="P708" s="2">
        <v>56645000000</v>
      </c>
      <c r="Q708" s="2">
        <v>20194190000</v>
      </c>
      <c r="R708" s="2">
        <v>28187210000</v>
      </c>
      <c r="S708" s="2">
        <f t="shared" si="22"/>
        <v>0.12399999999999967</v>
      </c>
      <c r="T708" s="2">
        <f t="shared" si="23"/>
        <v>42253698300</v>
      </c>
    </row>
    <row r="709" spans="1:20" x14ac:dyDescent="0.3">
      <c r="A709" s="1">
        <v>43244</v>
      </c>
      <c r="B709" t="s">
        <v>579</v>
      </c>
      <c r="C709" t="s">
        <v>18</v>
      </c>
      <c r="D709" t="s">
        <v>68</v>
      </c>
      <c r="E709">
        <v>2.9</v>
      </c>
      <c r="F709">
        <v>2.93</v>
      </c>
      <c r="G709">
        <v>1.8879999999999999</v>
      </c>
      <c r="H709">
        <v>2.62</v>
      </c>
      <c r="I709" s="2">
        <v>5211354700</v>
      </c>
      <c r="J709" s="2">
        <v>78713628000</v>
      </c>
      <c r="K709" s="2">
        <v>29974623800</v>
      </c>
      <c r="L709" s="2">
        <v>25618600</v>
      </c>
      <c r="M709" s="2">
        <v>3864092000</v>
      </c>
      <c r="N709" s="2">
        <v>6054000000</v>
      </c>
      <c r="O709" s="2">
        <v>6472380000</v>
      </c>
      <c r="P709" s="2">
        <v>46371000000</v>
      </c>
      <c r="Q709" s="2">
        <v>19638151800</v>
      </c>
      <c r="R709" s="2">
        <v>26288628000</v>
      </c>
      <c r="S709" s="2">
        <f t="shared" si="22"/>
        <v>1.0420000000000003</v>
      </c>
      <c r="T709" s="2">
        <f t="shared" si="23"/>
        <v>35211597100</v>
      </c>
    </row>
    <row r="710" spans="1:20" x14ac:dyDescent="0.3">
      <c r="A710" s="1">
        <v>43262</v>
      </c>
      <c r="B710" t="s">
        <v>575</v>
      </c>
      <c r="C710" t="s">
        <v>18</v>
      </c>
      <c r="D710" t="s">
        <v>29</v>
      </c>
      <c r="E710">
        <v>2.92</v>
      </c>
      <c r="F710">
        <v>2.9620000000000002</v>
      </c>
      <c r="G710">
        <v>2.83</v>
      </c>
      <c r="H710">
        <v>2.59</v>
      </c>
      <c r="I710" s="2">
        <v>0</v>
      </c>
      <c r="J710" s="2">
        <v>57052540000</v>
      </c>
      <c r="K710" s="2">
        <v>21989208000</v>
      </c>
      <c r="L710" s="2">
        <v>10842600</v>
      </c>
      <c r="M710" s="2">
        <v>3576150000</v>
      </c>
      <c r="N710" s="2">
        <v>5121000000</v>
      </c>
      <c r="O710" s="2">
        <v>6092018000</v>
      </c>
      <c r="P710" s="2">
        <v>35115000000</v>
      </c>
      <c r="Q710" s="2">
        <v>12321040000</v>
      </c>
      <c r="R710" s="2">
        <v>16816540000</v>
      </c>
      <c r="S710" s="2">
        <f t="shared" si="22"/>
        <v>0.13200000000000012</v>
      </c>
      <c r="T710" s="2">
        <f t="shared" si="23"/>
        <v>22000050600</v>
      </c>
    </row>
    <row r="711" spans="1:20" x14ac:dyDescent="0.3">
      <c r="A711" s="1">
        <v>43262</v>
      </c>
      <c r="B711" t="s">
        <v>580</v>
      </c>
      <c r="C711" t="s">
        <v>18</v>
      </c>
      <c r="D711" t="s">
        <v>52</v>
      </c>
      <c r="E711">
        <v>2.62</v>
      </c>
      <c r="F711">
        <v>2.6640000000000001</v>
      </c>
      <c r="G711">
        <v>2.1880000000000002</v>
      </c>
      <c r="H711">
        <v>2.83</v>
      </c>
      <c r="I711" s="2">
        <v>0</v>
      </c>
      <c r="J711" s="2">
        <v>90285330000</v>
      </c>
      <c r="K711" s="2">
        <v>31825119500</v>
      </c>
      <c r="L711" s="2">
        <v>74999300</v>
      </c>
      <c r="M711" s="2">
        <v>2932000000</v>
      </c>
      <c r="N711" s="2">
        <v>4537000000</v>
      </c>
      <c r="O711" s="2">
        <v>12542665000</v>
      </c>
      <c r="P711" s="2">
        <v>61142000000</v>
      </c>
      <c r="Q711" s="2">
        <v>16350454500</v>
      </c>
      <c r="R711" s="2">
        <v>24606330000</v>
      </c>
      <c r="S711" s="2">
        <f t="shared" si="22"/>
        <v>0.47599999999999998</v>
      </c>
      <c r="T711" s="2">
        <f t="shared" si="23"/>
        <v>31900118800</v>
      </c>
    </row>
    <row r="712" spans="1:20" x14ac:dyDescent="0.3">
      <c r="A712" s="1">
        <v>43263</v>
      </c>
      <c r="B712" t="s">
        <v>574</v>
      </c>
      <c r="C712" t="s">
        <v>23</v>
      </c>
      <c r="D712" t="s">
        <v>72</v>
      </c>
      <c r="E712">
        <v>3.0630000000000002</v>
      </c>
      <c r="F712">
        <v>3.1</v>
      </c>
      <c r="G712">
        <v>2.8879999999999999</v>
      </c>
      <c r="H712">
        <v>2.38</v>
      </c>
      <c r="I712" s="2">
        <v>0</v>
      </c>
      <c r="J712" s="2">
        <v>33311082000</v>
      </c>
      <c r="K712" s="2">
        <v>13992939100</v>
      </c>
      <c r="L712" s="2">
        <v>7069000</v>
      </c>
      <c r="M712" s="2">
        <v>1437258000</v>
      </c>
      <c r="N712" s="2">
        <v>2091000000</v>
      </c>
      <c r="O712" s="2">
        <v>3846767100</v>
      </c>
      <c r="P712" s="2">
        <v>20231000000</v>
      </c>
      <c r="Q712" s="2">
        <v>8708914000</v>
      </c>
      <c r="R712" s="2">
        <v>10989082000</v>
      </c>
      <c r="S712" s="2">
        <f t="shared" si="22"/>
        <v>0.21200000000000019</v>
      </c>
      <c r="T712" s="2">
        <f t="shared" si="23"/>
        <v>14000008100</v>
      </c>
    </row>
    <row r="713" spans="1:20" x14ac:dyDescent="0.3">
      <c r="A713" s="1">
        <v>43277</v>
      </c>
      <c r="B713" t="s">
        <v>582</v>
      </c>
      <c r="C713" t="s">
        <v>18</v>
      </c>
      <c r="D713" t="s">
        <v>21</v>
      </c>
      <c r="E713">
        <v>2.5</v>
      </c>
      <c r="F713">
        <v>2.5379999999999998</v>
      </c>
      <c r="G713">
        <v>2.42</v>
      </c>
      <c r="H713">
        <v>2.73</v>
      </c>
      <c r="I713" s="2">
        <v>4234201900</v>
      </c>
      <c r="J713" s="2">
        <v>92287820000</v>
      </c>
      <c r="K713" s="2">
        <v>33475880000</v>
      </c>
      <c r="L713" s="2">
        <v>324169400</v>
      </c>
      <c r="M713" s="2">
        <v>5155650000</v>
      </c>
      <c r="N713" s="2">
        <v>7222000000</v>
      </c>
      <c r="O713" s="2">
        <v>14171220000</v>
      </c>
      <c r="P713" s="2">
        <v>59325000000</v>
      </c>
      <c r="Q713" s="2">
        <v>14149010000</v>
      </c>
      <c r="R713" s="2">
        <v>25740820000</v>
      </c>
      <c r="S713" s="2">
        <f t="shared" si="22"/>
        <v>0.11799999999999988</v>
      </c>
      <c r="T713" s="2">
        <f t="shared" si="23"/>
        <v>38034251300</v>
      </c>
    </row>
    <row r="714" spans="1:20" x14ac:dyDescent="0.3">
      <c r="A714" s="1">
        <v>43278</v>
      </c>
      <c r="B714" t="s">
        <v>581</v>
      </c>
      <c r="C714" t="s">
        <v>18</v>
      </c>
      <c r="D714" t="s">
        <v>19</v>
      </c>
      <c r="E714">
        <v>2.68</v>
      </c>
      <c r="F714">
        <v>2.7189999999999999</v>
      </c>
      <c r="G714">
        <v>2.6</v>
      </c>
      <c r="H714">
        <v>2.5499999999999998</v>
      </c>
      <c r="I714" s="2">
        <v>4483272500</v>
      </c>
      <c r="J714" s="2">
        <v>91600432000</v>
      </c>
      <c r="K714" s="2">
        <v>35963725700</v>
      </c>
      <c r="L714" s="2">
        <v>36395800</v>
      </c>
      <c r="M714" s="2">
        <v>3415000000</v>
      </c>
      <c r="N714" s="2">
        <v>4965000000</v>
      </c>
      <c r="O714" s="2">
        <v>10241116200</v>
      </c>
      <c r="P714" s="2">
        <v>57296000000</v>
      </c>
      <c r="Q714" s="2">
        <v>22307609500</v>
      </c>
      <c r="R714" s="2">
        <v>29339432000</v>
      </c>
      <c r="S714" s="2">
        <f t="shared" si="22"/>
        <v>0.11899999999999977</v>
      </c>
      <c r="T714" s="2">
        <f t="shared" si="23"/>
        <v>40483394000</v>
      </c>
    </row>
    <row r="715" spans="1:20" x14ac:dyDescent="0.3">
      <c r="A715" s="1">
        <v>43279</v>
      </c>
      <c r="B715" t="s">
        <v>583</v>
      </c>
      <c r="C715" t="s">
        <v>18</v>
      </c>
      <c r="D715" t="s">
        <v>68</v>
      </c>
      <c r="E715">
        <v>2.77</v>
      </c>
      <c r="F715">
        <v>2.8090000000000002</v>
      </c>
      <c r="G715">
        <v>2.7</v>
      </c>
      <c r="H715">
        <v>2.5299999999999998</v>
      </c>
      <c r="I715" s="2">
        <v>3736060400</v>
      </c>
      <c r="J715" s="2">
        <v>75846294000</v>
      </c>
      <c r="K715" s="2">
        <v>29983974000</v>
      </c>
      <c r="L715" s="2">
        <v>16040100</v>
      </c>
      <c r="M715" s="2">
        <v>4570000000</v>
      </c>
      <c r="N715" s="2">
        <v>5975000000</v>
      </c>
      <c r="O715" s="2">
        <v>7238680000</v>
      </c>
      <c r="P715" s="2">
        <v>45213000000</v>
      </c>
      <c r="Q715" s="2">
        <v>18175294000</v>
      </c>
      <c r="R715" s="2">
        <v>24658294000</v>
      </c>
      <c r="S715" s="2">
        <f t="shared" si="22"/>
        <v>0.10899999999999999</v>
      </c>
      <c r="T715" s="2">
        <f t="shared" si="23"/>
        <v>33736074500</v>
      </c>
    </row>
    <row r="716" spans="1:20" x14ac:dyDescent="0.3">
      <c r="A716" s="1">
        <v>43291</v>
      </c>
      <c r="B716" t="s">
        <v>584</v>
      </c>
      <c r="C716" t="s">
        <v>18</v>
      </c>
      <c r="D716" t="s">
        <v>52</v>
      </c>
      <c r="E716">
        <v>2.66</v>
      </c>
      <c r="F716">
        <v>2.6850000000000001</v>
      </c>
      <c r="G716">
        <v>2.56</v>
      </c>
      <c r="H716">
        <v>2.5099999999999998</v>
      </c>
      <c r="I716" s="2">
        <v>128264400</v>
      </c>
      <c r="J716" s="2">
        <v>82642100000</v>
      </c>
      <c r="K716" s="2">
        <v>32837502500</v>
      </c>
      <c r="L716" s="2">
        <v>62545000</v>
      </c>
      <c r="M716" s="2">
        <v>3000000000</v>
      </c>
      <c r="N716" s="2">
        <v>4500000000</v>
      </c>
      <c r="O716" s="2">
        <v>16840402500</v>
      </c>
      <c r="P716" s="2">
        <v>58965000000</v>
      </c>
      <c r="Q716" s="2">
        <v>12997100000</v>
      </c>
      <c r="R716" s="2">
        <v>19177100000</v>
      </c>
      <c r="S716" s="2">
        <f t="shared" si="22"/>
        <v>0.125</v>
      </c>
      <c r="T716" s="2">
        <f t="shared" si="23"/>
        <v>33028311900</v>
      </c>
    </row>
    <row r="717" spans="1:20" x14ac:dyDescent="0.3">
      <c r="A717" s="1">
        <v>43292</v>
      </c>
      <c r="B717" t="s">
        <v>575</v>
      </c>
      <c r="C717" t="s">
        <v>18</v>
      </c>
      <c r="D717" t="s">
        <v>59</v>
      </c>
      <c r="E717">
        <v>2.82</v>
      </c>
      <c r="F717">
        <v>2.859</v>
      </c>
      <c r="G717">
        <v>2.3879999999999999</v>
      </c>
      <c r="H717">
        <v>2.57</v>
      </c>
      <c r="I717" s="2">
        <v>85509600</v>
      </c>
      <c r="J717" s="2">
        <v>56459000000</v>
      </c>
      <c r="K717" s="2">
        <v>21993278500</v>
      </c>
      <c r="L717" s="2">
        <v>6786600</v>
      </c>
      <c r="M717" s="2">
        <v>2299350000</v>
      </c>
      <c r="N717" s="2">
        <v>3728000000</v>
      </c>
      <c r="O717" s="2">
        <v>5389821000</v>
      </c>
      <c r="P717" s="2">
        <v>34432000000</v>
      </c>
      <c r="Q717" s="2">
        <v>14304107500</v>
      </c>
      <c r="R717" s="2">
        <v>18299000000</v>
      </c>
      <c r="S717" s="2">
        <f t="shared" si="22"/>
        <v>0.47100000000000009</v>
      </c>
      <c r="T717" s="2">
        <f t="shared" si="23"/>
        <v>22085574700</v>
      </c>
    </row>
    <row r="718" spans="1:20" x14ac:dyDescent="0.3">
      <c r="A718" s="1">
        <v>43293</v>
      </c>
      <c r="B718" t="s">
        <v>574</v>
      </c>
      <c r="C718" t="s">
        <v>23</v>
      </c>
      <c r="D718" t="s">
        <v>91</v>
      </c>
      <c r="E718">
        <v>2.9140000000000001</v>
      </c>
      <c r="F718">
        <v>2.9580000000000002</v>
      </c>
      <c r="G718">
        <v>2.6880000000000002</v>
      </c>
      <c r="H718">
        <v>2.34</v>
      </c>
      <c r="I718" s="2">
        <v>54415100</v>
      </c>
      <c r="J718" s="2">
        <v>32713362000</v>
      </c>
      <c r="K718" s="2">
        <v>13995064000</v>
      </c>
      <c r="L718" s="2">
        <v>4936500</v>
      </c>
      <c r="M718" s="2">
        <v>1445000000</v>
      </c>
      <c r="N718" s="2">
        <v>2095000000</v>
      </c>
      <c r="O718" s="2">
        <v>3890000000</v>
      </c>
      <c r="P718" s="2">
        <v>20165000000</v>
      </c>
      <c r="Q718" s="2">
        <v>8660064000</v>
      </c>
      <c r="R718" s="2">
        <v>10453362000</v>
      </c>
      <c r="S718" s="2">
        <f t="shared" si="22"/>
        <v>0.27</v>
      </c>
      <c r="T718" s="2">
        <f t="shared" si="23"/>
        <v>14054415600</v>
      </c>
    </row>
    <row r="719" spans="1:20" x14ac:dyDescent="0.3">
      <c r="A719" s="1">
        <v>43305</v>
      </c>
      <c r="B719" t="s">
        <v>585</v>
      </c>
      <c r="C719" t="s">
        <v>18</v>
      </c>
      <c r="D719" t="s">
        <v>21</v>
      </c>
      <c r="E719">
        <v>2.61</v>
      </c>
      <c r="F719">
        <v>2.657</v>
      </c>
      <c r="G719">
        <v>2.1880000000000002</v>
      </c>
      <c r="H719">
        <v>2.92</v>
      </c>
      <c r="I719" s="2">
        <v>1900547100</v>
      </c>
      <c r="J719" s="2">
        <v>101707895000</v>
      </c>
      <c r="K719" s="2">
        <v>34462311000</v>
      </c>
      <c r="L719" s="2">
        <v>437836600</v>
      </c>
      <c r="M719" s="2">
        <v>4923000000</v>
      </c>
      <c r="N719" s="2">
        <v>6973000000</v>
      </c>
      <c r="O719" s="2">
        <v>14021916000</v>
      </c>
      <c r="P719" s="2">
        <v>70554500000</v>
      </c>
      <c r="Q719" s="2">
        <v>15517395000</v>
      </c>
      <c r="R719" s="2">
        <v>24180395000</v>
      </c>
      <c r="S719" s="2">
        <f t="shared" si="22"/>
        <v>0.46899999999999986</v>
      </c>
      <c r="T719" s="2">
        <f t="shared" si="23"/>
        <v>36800694700</v>
      </c>
    </row>
    <row r="720" spans="1:20" x14ac:dyDescent="0.3">
      <c r="A720" s="1">
        <v>43306</v>
      </c>
      <c r="B720" t="s">
        <v>587</v>
      </c>
      <c r="C720" t="s">
        <v>18</v>
      </c>
      <c r="D720" t="s">
        <v>19</v>
      </c>
      <c r="E720">
        <v>2.7789999999999999</v>
      </c>
      <c r="F720">
        <v>2.8149999999999999</v>
      </c>
      <c r="G720">
        <v>2.71</v>
      </c>
      <c r="H720">
        <v>2.61</v>
      </c>
      <c r="I720" s="2">
        <v>1954848300</v>
      </c>
      <c r="J720" s="2">
        <v>94061737000</v>
      </c>
      <c r="K720" s="2">
        <v>35966433000</v>
      </c>
      <c r="L720" s="2">
        <v>33701100</v>
      </c>
      <c r="M720" s="2">
        <v>3124392000</v>
      </c>
      <c r="N720" s="2">
        <v>6103000000</v>
      </c>
      <c r="O720" s="2">
        <v>8666800000</v>
      </c>
      <c r="P720" s="2">
        <v>55793000000</v>
      </c>
      <c r="Q720" s="2">
        <v>24175241000</v>
      </c>
      <c r="R720" s="2">
        <v>32165737000</v>
      </c>
      <c r="S720" s="2">
        <f t="shared" si="22"/>
        <v>0.10499999999999998</v>
      </c>
      <c r="T720" s="2">
        <f t="shared" si="23"/>
        <v>37954982400</v>
      </c>
    </row>
    <row r="721" spans="1:20" x14ac:dyDescent="0.3">
      <c r="A721" s="1">
        <v>43307</v>
      </c>
      <c r="B721" t="s">
        <v>586</v>
      </c>
      <c r="C721" t="s">
        <v>18</v>
      </c>
      <c r="D721" t="s">
        <v>68</v>
      </c>
      <c r="E721">
        <v>2.87</v>
      </c>
      <c r="F721">
        <v>2.93</v>
      </c>
      <c r="G721">
        <v>2.82</v>
      </c>
      <c r="H721">
        <v>2.4900000000000002</v>
      </c>
      <c r="I721" s="2">
        <v>1629040300</v>
      </c>
      <c r="J721" s="2">
        <v>74655077000</v>
      </c>
      <c r="K721" s="2">
        <v>29992613000</v>
      </c>
      <c r="L721" s="2">
        <v>7459800</v>
      </c>
      <c r="M721" s="2">
        <v>3590000000</v>
      </c>
      <c r="N721" s="2">
        <v>5300000000</v>
      </c>
      <c r="O721" s="2">
        <v>7026716000</v>
      </c>
      <c r="P721" s="2">
        <v>44738000000</v>
      </c>
      <c r="Q721" s="2">
        <v>19375897000</v>
      </c>
      <c r="R721" s="2">
        <v>24617077000</v>
      </c>
      <c r="S721" s="2">
        <f t="shared" si="22"/>
        <v>0.11000000000000032</v>
      </c>
      <c r="T721" s="2">
        <f t="shared" si="23"/>
        <v>31629113100</v>
      </c>
    </row>
    <row r="722" spans="1:20" x14ac:dyDescent="0.3">
      <c r="A722" s="1">
        <v>43319</v>
      </c>
      <c r="B722" t="s">
        <v>590</v>
      </c>
      <c r="C722" t="s">
        <v>18</v>
      </c>
      <c r="D722" t="s">
        <v>52</v>
      </c>
      <c r="E722">
        <v>2.7429999999999999</v>
      </c>
      <c r="F722">
        <v>2.7650000000000001</v>
      </c>
      <c r="G722">
        <v>2.63</v>
      </c>
      <c r="H722">
        <v>2.65</v>
      </c>
      <c r="I722" s="2">
        <v>4570943900</v>
      </c>
      <c r="J722" s="2">
        <v>89915850000</v>
      </c>
      <c r="K722" s="2">
        <v>33807730000</v>
      </c>
      <c r="L722" s="2">
        <v>92300300</v>
      </c>
      <c r="M722" s="2">
        <v>4088240000</v>
      </c>
      <c r="N722" s="2">
        <v>5754000000</v>
      </c>
      <c r="O722" s="2">
        <v>15288800000</v>
      </c>
      <c r="P722" s="2">
        <v>60982000000</v>
      </c>
      <c r="Q722" s="2">
        <v>14430690000</v>
      </c>
      <c r="R722" s="2">
        <v>23179850000</v>
      </c>
      <c r="S722" s="2">
        <f t="shared" si="22"/>
        <v>0.13500000000000023</v>
      </c>
      <c r="T722" s="2">
        <f t="shared" si="23"/>
        <v>38470974200</v>
      </c>
    </row>
    <row r="723" spans="1:20" x14ac:dyDescent="0.3">
      <c r="A723" s="1">
        <v>43320</v>
      </c>
      <c r="B723" t="s">
        <v>589</v>
      </c>
      <c r="C723" t="s">
        <v>18</v>
      </c>
      <c r="D723" t="s">
        <v>26</v>
      </c>
      <c r="E723">
        <v>2.92</v>
      </c>
      <c r="F723">
        <v>2.96</v>
      </c>
      <c r="G723">
        <v>2.867</v>
      </c>
      <c r="H723">
        <v>2.5499999999999998</v>
      </c>
      <c r="I723" s="2">
        <v>3495427700</v>
      </c>
      <c r="J723" s="2">
        <v>66159940000</v>
      </c>
      <c r="K723" s="2">
        <v>25970654000</v>
      </c>
      <c r="L723" s="2">
        <v>29446300</v>
      </c>
      <c r="M723" s="2">
        <v>2928000000</v>
      </c>
      <c r="N723" s="2">
        <v>4083000000</v>
      </c>
      <c r="O723" s="2">
        <v>7129974000</v>
      </c>
      <c r="P723" s="2">
        <v>40630000000</v>
      </c>
      <c r="Q723" s="2">
        <v>15912680000</v>
      </c>
      <c r="R723" s="2">
        <v>21446940000</v>
      </c>
      <c r="S723" s="2">
        <f t="shared" si="22"/>
        <v>9.2999999999999972E-2</v>
      </c>
      <c r="T723" s="2">
        <f t="shared" si="23"/>
        <v>29495528000</v>
      </c>
    </row>
    <row r="724" spans="1:20" x14ac:dyDescent="0.3">
      <c r="A724" s="1">
        <v>43321</v>
      </c>
      <c r="B724" t="s">
        <v>588</v>
      </c>
      <c r="C724" t="s">
        <v>23</v>
      </c>
      <c r="D724" t="s">
        <v>65</v>
      </c>
      <c r="E724">
        <v>3.048</v>
      </c>
      <c r="F724">
        <v>3.09</v>
      </c>
      <c r="G724">
        <v>2.5880000000000001</v>
      </c>
      <c r="H724">
        <v>2.27</v>
      </c>
      <c r="I724" s="2">
        <v>2419911400</v>
      </c>
      <c r="J724" s="2">
        <v>40923395000</v>
      </c>
      <c r="K724" s="2">
        <v>17991688500</v>
      </c>
      <c r="L724" s="2">
        <v>8316900</v>
      </c>
      <c r="M724" s="2">
        <v>1446000000</v>
      </c>
      <c r="N724" s="2">
        <v>2186000000</v>
      </c>
      <c r="O724" s="2">
        <v>5346461000</v>
      </c>
      <c r="P724" s="2">
        <v>25629000000</v>
      </c>
      <c r="Q724" s="2">
        <v>11199227500</v>
      </c>
      <c r="R724" s="2">
        <v>13108395000</v>
      </c>
      <c r="S724" s="2">
        <f t="shared" si="22"/>
        <v>0.50199999999999978</v>
      </c>
      <c r="T724" s="2">
        <f t="shared" si="23"/>
        <v>20419916800</v>
      </c>
    </row>
    <row r="725" spans="1:20" x14ac:dyDescent="0.3">
      <c r="A725" s="1">
        <v>43339</v>
      </c>
      <c r="B725" t="s">
        <v>592</v>
      </c>
      <c r="C725" t="s">
        <v>18</v>
      </c>
      <c r="D725" t="s">
        <v>21</v>
      </c>
      <c r="E725">
        <v>2.625</v>
      </c>
      <c r="F725">
        <v>2.6549999999999998</v>
      </c>
      <c r="G725">
        <v>1.8879999999999999</v>
      </c>
      <c r="H725">
        <v>2.89</v>
      </c>
      <c r="I725" s="2">
        <v>2537301200</v>
      </c>
      <c r="J725" s="2">
        <v>103719467000</v>
      </c>
      <c r="K725" s="2">
        <v>35536266000</v>
      </c>
      <c r="L725" s="2">
        <v>363923900</v>
      </c>
      <c r="M725" s="2">
        <v>4861000000</v>
      </c>
      <c r="N725" s="2">
        <v>6701000000</v>
      </c>
      <c r="O725" s="2">
        <v>15102395000</v>
      </c>
      <c r="P725" s="2">
        <v>67861000000</v>
      </c>
      <c r="Q725" s="2">
        <v>15572871000</v>
      </c>
      <c r="R725" s="2">
        <v>29157467000</v>
      </c>
      <c r="S725" s="2">
        <f t="shared" si="22"/>
        <v>0.7669999999999999</v>
      </c>
      <c r="T725" s="2">
        <f t="shared" si="23"/>
        <v>38437491100</v>
      </c>
    </row>
    <row r="726" spans="1:20" x14ac:dyDescent="0.3">
      <c r="A726" s="1">
        <v>43340</v>
      </c>
      <c r="B726" t="s">
        <v>593</v>
      </c>
      <c r="C726" t="s">
        <v>18</v>
      </c>
      <c r="D726" t="s">
        <v>19</v>
      </c>
      <c r="E726">
        <v>2.7210000000000001</v>
      </c>
      <c r="F726">
        <v>2.7650000000000001</v>
      </c>
      <c r="G726">
        <v>2.6</v>
      </c>
      <c r="H726">
        <v>2.4900000000000002</v>
      </c>
      <c r="I726" s="2">
        <v>2607781700</v>
      </c>
      <c r="J726" s="2">
        <v>92203300000</v>
      </c>
      <c r="K726" s="2">
        <v>36946038000</v>
      </c>
      <c r="L726" s="2">
        <v>54008400</v>
      </c>
      <c r="M726" s="2">
        <v>3330000000</v>
      </c>
      <c r="N726" s="2">
        <v>5180000000</v>
      </c>
      <c r="O726" s="2">
        <v>9141549200</v>
      </c>
      <c r="P726" s="2">
        <v>56605000000</v>
      </c>
      <c r="Q726" s="2">
        <v>24474488800</v>
      </c>
      <c r="R726" s="2">
        <v>30418300000</v>
      </c>
      <c r="S726" s="2">
        <f t="shared" si="22"/>
        <v>0.16500000000000004</v>
      </c>
      <c r="T726" s="2">
        <f t="shared" si="23"/>
        <v>39607828100</v>
      </c>
    </row>
    <row r="727" spans="1:20" x14ac:dyDescent="0.3">
      <c r="A727" s="1">
        <v>43341</v>
      </c>
      <c r="B727" t="s">
        <v>591</v>
      </c>
      <c r="C727" t="s">
        <v>18</v>
      </c>
      <c r="D727" t="s">
        <v>68</v>
      </c>
      <c r="E727">
        <v>2.8069999999999999</v>
      </c>
      <c r="F727">
        <v>2.8439999999999999</v>
      </c>
      <c r="G727">
        <v>2.7</v>
      </c>
      <c r="H727">
        <v>2.65</v>
      </c>
      <c r="I727" s="2">
        <v>2184898200</v>
      </c>
      <c r="J727" s="2">
        <v>82154890000</v>
      </c>
      <c r="K727" s="2">
        <v>30985490000</v>
      </c>
      <c r="L727" s="2">
        <v>14554900</v>
      </c>
      <c r="M727" s="2">
        <v>5877040000</v>
      </c>
      <c r="N727" s="2">
        <v>8828000000</v>
      </c>
      <c r="O727" s="2">
        <v>6670200000</v>
      </c>
      <c r="P727" s="2">
        <v>49425000000</v>
      </c>
      <c r="Q727" s="2">
        <v>18438250000</v>
      </c>
      <c r="R727" s="2">
        <v>23901890000</v>
      </c>
      <c r="S727" s="2">
        <f t="shared" si="22"/>
        <v>0.14399999999999968</v>
      </c>
      <c r="T727" s="2">
        <f t="shared" si="23"/>
        <v>33184943100</v>
      </c>
    </row>
    <row r="728" spans="1:20" x14ac:dyDescent="0.3">
      <c r="A728" s="1">
        <v>43354</v>
      </c>
      <c r="B728" t="s">
        <v>594</v>
      </c>
      <c r="C728" t="s">
        <v>18</v>
      </c>
      <c r="D728" t="s">
        <v>52</v>
      </c>
      <c r="E728">
        <v>2.7949999999999999</v>
      </c>
      <c r="F728">
        <v>2.8210000000000002</v>
      </c>
      <c r="G728">
        <v>2.6</v>
      </c>
      <c r="H728">
        <v>2.68</v>
      </c>
      <c r="I728" s="2">
        <v>0</v>
      </c>
      <c r="J728" s="2">
        <v>93707200000</v>
      </c>
      <c r="K728" s="2">
        <v>34789505900</v>
      </c>
      <c r="L728" s="2">
        <v>110513200</v>
      </c>
      <c r="M728" s="2">
        <v>3731000000</v>
      </c>
      <c r="N728" s="2">
        <v>5371000000</v>
      </c>
      <c r="O728" s="2">
        <v>14958752400</v>
      </c>
      <c r="P728" s="2">
        <v>65126000000</v>
      </c>
      <c r="Q728" s="2">
        <v>16099753500</v>
      </c>
      <c r="R728" s="2">
        <v>23210200000</v>
      </c>
      <c r="S728" s="2">
        <f t="shared" si="22"/>
        <v>0.22100000000000009</v>
      </c>
      <c r="T728" s="2">
        <f t="shared" si="23"/>
        <v>34900019100</v>
      </c>
    </row>
    <row r="729" spans="1:20" x14ac:dyDescent="0.3">
      <c r="A729" s="1">
        <v>43355</v>
      </c>
      <c r="B729" t="s">
        <v>589</v>
      </c>
      <c r="C729" t="s">
        <v>18</v>
      </c>
      <c r="D729" t="s">
        <v>29</v>
      </c>
      <c r="E729">
        <v>2.9159999999999999</v>
      </c>
      <c r="F729">
        <v>2.9569999999999999</v>
      </c>
      <c r="G729">
        <v>2.8</v>
      </c>
      <c r="H729">
        <v>2.58</v>
      </c>
      <c r="I729" s="2">
        <v>0</v>
      </c>
      <c r="J729" s="2">
        <v>59313385000</v>
      </c>
      <c r="K729" s="2">
        <v>22984575000</v>
      </c>
      <c r="L729" s="2">
        <v>15429800</v>
      </c>
      <c r="M729" s="2">
        <v>3090000000</v>
      </c>
      <c r="N729" s="2">
        <v>4242000000</v>
      </c>
      <c r="O729" s="2">
        <v>5203000000</v>
      </c>
      <c r="P729" s="2">
        <v>36168000000</v>
      </c>
      <c r="Q729" s="2">
        <v>14691575000</v>
      </c>
      <c r="R729" s="2">
        <v>18903385000</v>
      </c>
      <c r="S729" s="2">
        <f t="shared" si="22"/>
        <v>0.15700000000000003</v>
      </c>
      <c r="T729" s="2">
        <f t="shared" si="23"/>
        <v>23000004800</v>
      </c>
    </row>
    <row r="730" spans="1:20" x14ac:dyDescent="0.3">
      <c r="A730" s="1">
        <v>43356</v>
      </c>
      <c r="B730" t="s">
        <v>588</v>
      </c>
      <c r="C730" t="s">
        <v>23</v>
      </c>
      <c r="D730" t="s">
        <v>72</v>
      </c>
      <c r="E730">
        <v>3.05</v>
      </c>
      <c r="F730">
        <v>3.0880000000000001</v>
      </c>
      <c r="G730">
        <v>2.6880000000000002</v>
      </c>
      <c r="H730">
        <v>2.34</v>
      </c>
      <c r="I730" s="2">
        <v>0</v>
      </c>
      <c r="J730" s="2">
        <v>35055570000</v>
      </c>
      <c r="K730" s="2">
        <v>14996787500</v>
      </c>
      <c r="L730" s="2">
        <v>3223900</v>
      </c>
      <c r="M730" s="2">
        <v>1692857500</v>
      </c>
      <c r="N730" s="2">
        <v>2353000000</v>
      </c>
      <c r="O730" s="2">
        <v>4049031000</v>
      </c>
      <c r="P730" s="2">
        <v>21954000000</v>
      </c>
      <c r="Q730" s="2">
        <v>9254899000</v>
      </c>
      <c r="R730" s="2">
        <v>10748570000</v>
      </c>
      <c r="S730" s="2">
        <f t="shared" si="22"/>
        <v>0.39999999999999991</v>
      </c>
      <c r="T730" s="2">
        <f t="shared" si="23"/>
        <v>15000011400</v>
      </c>
    </row>
    <row r="731" spans="1:20" x14ac:dyDescent="0.3">
      <c r="A731" s="1">
        <v>43367</v>
      </c>
      <c r="B731" t="s">
        <v>597</v>
      </c>
      <c r="C731" t="s">
        <v>18</v>
      </c>
      <c r="D731" t="s">
        <v>21</v>
      </c>
      <c r="E731">
        <v>2.8</v>
      </c>
      <c r="F731">
        <v>2.8290000000000002</v>
      </c>
      <c r="G731">
        <v>2.7</v>
      </c>
      <c r="H731">
        <v>2.44</v>
      </c>
      <c r="I731" s="2">
        <v>0</v>
      </c>
      <c r="J731" s="2">
        <v>89671395000</v>
      </c>
      <c r="K731" s="2">
        <v>36509217400</v>
      </c>
      <c r="L731" s="2">
        <v>390858100</v>
      </c>
      <c r="M731" s="2">
        <v>4894000000</v>
      </c>
      <c r="N731" s="2">
        <v>6469000000</v>
      </c>
      <c r="O731" s="2">
        <v>17024568000</v>
      </c>
      <c r="P731" s="2">
        <v>63349000000</v>
      </c>
      <c r="Q731" s="2">
        <v>14590649400</v>
      </c>
      <c r="R731" s="2">
        <v>19853395000</v>
      </c>
      <c r="S731" s="2">
        <f t="shared" si="22"/>
        <v>0.129</v>
      </c>
      <c r="T731" s="2">
        <f t="shared" si="23"/>
        <v>36900075500</v>
      </c>
    </row>
    <row r="732" spans="1:20" x14ac:dyDescent="0.3">
      <c r="A732" s="1">
        <v>43368</v>
      </c>
      <c r="B732" t="s">
        <v>596</v>
      </c>
      <c r="C732" t="s">
        <v>18</v>
      </c>
      <c r="D732" t="s">
        <v>19</v>
      </c>
      <c r="E732">
        <v>2.9660000000000002</v>
      </c>
      <c r="F732">
        <v>2.9969999999999999</v>
      </c>
      <c r="G732">
        <v>2.88</v>
      </c>
      <c r="H732">
        <v>2.39</v>
      </c>
      <c r="I732" s="2">
        <v>0</v>
      </c>
      <c r="J732" s="2">
        <v>90909500000</v>
      </c>
      <c r="K732" s="2">
        <v>37961268000</v>
      </c>
      <c r="L732" s="2">
        <v>38778700</v>
      </c>
      <c r="M732" s="2">
        <v>3501000000</v>
      </c>
      <c r="N732" s="2">
        <v>5036000000</v>
      </c>
      <c r="O732" s="2">
        <v>12495168000</v>
      </c>
      <c r="P732" s="2">
        <v>59354000000</v>
      </c>
      <c r="Q732" s="2">
        <v>21965100000</v>
      </c>
      <c r="R732" s="2">
        <v>26519500000</v>
      </c>
      <c r="S732" s="2">
        <f t="shared" si="22"/>
        <v>0.11699999999999999</v>
      </c>
      <c r="T732" s="2">
        <f t="shared" si="23"/>
        <v>38000046700</v>
      </c>
    </row>
    <row r="733" spans="1:20" x14ac:dyDescent="0.3">
      <c r="A733" s="1">
        <v>43370</v>
      </c>
      <c r="B733" t="s">
        <v>595</v>
      </c>
      <c r="C733" t="s">
        <v>18</v>
      </c>
      <c r="D733" t="s">
        <v>68</v>
      </c>
      <c r="E733">
        <v>2.9849999999999999</v>
      </c>
      <c r="F733">
        <v>3.0339999999999998</v>
      </c>
      <c r="G733">
        <v>2.5880000000000001</v>
      </c>
      <c r="H733">
        <v>2.4500000000000002</v>
      </c>
      <c r="I733" s="2">
        <v>0</v>
      </c>
      <c r="J733" s="2">
        <v>75891350000</v>
      </c>
      <c r="K733" s="2">
        <v>30976622800</v>
      </c>
      <c r="L733" s="2">
        <v>23425500</v>
      </c>
      <c r="M733" s="2">
        <v>3956400000</v>
      </c>
      <c r="N733" s="2">
        <v>6071400000</v>
      </c>
      <c r="O733" s="2">
        <v>7828496000</v>
      </c>
      <c r="P733" s="2">
        <v>47430000000</v>
      </c>
      <c r="Q733" s="2">
        <v>19191726800</v>
      </c>
      <c r="R733" s="2">
        <v>22389950000</v>
      </c>
      <c r="S733" s="2">
        <f t="shared" si="22"/>
        <v>0.44599999999999973</v>
      </c>
      <c r="T733" s="2">
        <f t="shared" si="23"/>
        <v>31000048300</v>
      </c>
    </row>
    <row r="734" spans="1:20" x14ac:dyDescent="0.3">
      <c r="A734" s="1">
        <v>43383</v>
      </c>
      <c r="B734" t="s">
        <v>589</v>
      </c>
      <c r="C734" t="s">
        <v>18</v>
      </c>
      <c r="D734" t="s">
        <v>59</v>
      </c>
      <c r="E734">
        <v>3.18</v>
      </c>
      <c r="F734">
        <v>3.2250000000000001</v>
      </c>
      <c r="G734">
        <v>3.12</v>
      </c>
      <c r="H734">
        <v>2.39</v>
      </c>
      <c r="I734" s="2">
        <v>0</v>
      </c>
      <c r="J734" s="2">
        <v>54860165000</v>
      </c>
      <c r="K734" s="2">
        <v>22974381100</v>
      </c>
      <c r="L734" s="2">
        <v>25667900</v>
      </c>
      <c r="M734" s="2">
        <v>1240945000</v>
      </c>
      <c r="N734" s="2">
        <v>2278000000</v>
      </c>
      <c r="O734" s="2">
        <v>6923757500</v>
      </c>
      <c r="P734" s="2">
        <v>34619000000</v>
      </c>
      <c r="Q734" s="2">
        <v>14809678600</v>
      </c>
      <c r="R734" s="2">
        <v>17963165000</v>
      </c>
      <c r="S734" s="2">
        <f t="shared" si="22"/>
        <v>0.10499999999999998</v>
      </c>
      <c r="T734" s="2">
        <f t="shared" si="23"/>
        <v>23000049000</v>
      </c>
    </row>
    <row r="735" spans="1:20" x14ac:dyDescent="0.3">
      <c r="A735" s="1">
        <v>43383</v>
      </c>
      <c r="B735" t="s">
        <v>598</v>
      </c>
      <c r="C735" t="s">
        <v>18</v>
      </c>
      <c r="D735" t="s">
        <v>52</v>
      </c>
      <c r="E735">
        <v>2.9550000000000001</v>
      </c>
      <c r="F735">
        <v>2.9889999999999999</v>
      </c>
      <c r="G735">
        <v>2.89</v>
      </c>
      <c r="H735">
        <v>2.56</v>
      </c>
      <c r="I735" s="2">
        <v>0</v>
      </c>
      <c r="J735" s="2">
        <v>92006650000</v>
      </c>
      <c r="K735" s="2">
        <v>35703620000</v>
      </c>
      <c r="L735" s="2">
        <v>96461000</v>
      </c>
      <c r="M735" s="2">
        <v>3487000000</v>
      </c>
      <c r="N735" s="2">
        <v>5735000000</v>
      </c>
      <c r="O735" s="2">
        <v>15469960000</v>
      </c>
      <c r="P735" s="2">
        <v>60264000000</v>
      </c>
      <c r="Q735" s="2">
        <v>16746660000</v>
      </c>
      <c r="R735" s="2">
        <v>26007650000</v>
      </c>
      <c r="S735" s="2">
        <f t="shared" si="22"/>
        <v>9.8999999999999755E-2</v>
      </c>
      <c r="T735" s="2">
        <f t="shared" si="23"/>
        <v>35800081000</v>
      </c>
    </row>
    <row r="736" spans="1:20" x14ac:dyDescent="0.3">
      <c r="A736" s="1">
        <v>43384</v>
      </c>
      <c r="B736" t="s">
        <v>588</v>
      </c>
      <c r="C736" t="s">
        <v>23</v>
      </c>
      <c r="D736" t="s">
        <v>91</v>
      </c>
      <c r="E736">
        <v>3.3090000000000002</v>
      </c>
      <c r="F736">
        <v>3.3439999999999999</v>
      </c>
      <c r="G736">
        <v>3.23</v>
      </c>
      <c r="H736">
        <v>2.42</v>
      </c>
      <c r="I736" s="2">
        <v>0</v>
      </c>
      <c r="J736" s="2">
        <v>36290104000</v>
      </c>
      <c r="K736" s="2">
        <v>14997966200</v>
      </c>
      <c r="L736" s="2">
        <v>2034200</v>
      </c>
      <c r="M736" s="2">
        <v>1916000000</v>
      </c>
      <c r="N736" s="2">
        <v>2566000000</v>
      </c>
      <c r="O736" s="2">
        <v>3421101000</v>
      </c>
      <c r="P736" s="2">
        <v>21864000000</v>
      </c>
      <c r="Q736" s="2">
        <v>9660865200</v>
      </c>
      <c r="R736" s="2">
        <v>11860104000</v>
      </c>
      <c r="S736" s="2">
        <f t="shared" si="22"/>
        <v>0.11399999999999988</v>
      </c>
      <c r="T736" s="2">
        <f t="shared" si="23"/>
        <v>15000000400</v>
      </c>
    </row>
    <row r="737" spans="1:20" x14ac:dyDescent="0.3">
      <c r="A737" s="1">
        <v>43396</v>
      </c>
      <c r="B737" t="s">
        <v>601</v>
      </c>
      <c r="C737" t="s">
        <v>18</v>
      </c>
      <c r="D737" t="s">
        <v>21</v>
      </c>
      <c r="E737">
        <v>2.859</v>
      </c>
      <c r="F737">
        <v>2.88</v>
      </c>
      <c r="G737">
        <v>2.77</v>
      </c>
      <c r="H737">
        <v>2.67</v>
      </c>
      <c r="I737" s="2">
        <v>0</v>
      </c>
      <c r="J737" s="2">
        <v>100962392000</v>
      </c>
      <c r="K737" s="2">
        <v>37472866800</v>
      </c>
      <c r="L737" s="2">
        <v>427328300</v>
      </c>
      <c r="M737" s="2">
        <v>2060000000</v>
      </c>
      <c r="N737" s="2">
        <v>3860000000</v>
      </c>
      <c r="O737" s="2">
        <v>15699606600</v>
      </c>
      <c r="P737" s="2">
        <v>67026000000</v>
      </c>
      <c r="Q737" s="2">
        <v>19713260200</v>
      </c>
      <c r="R737" s="2">
        <v>30076392000</v>
      </c>
      <c r="S737" s="2">
        <f t="shared" si="22"/>
        <v>0.10999999999999988</v>
      </c>
      <c r="T737" s="2">
        <f t="shared" si="23"/>
        <v>37900195100</v>
      </c>
    </row>
    <row r="738" spans="1:20" x14ac:dyDescent="0.3">
      <c r="A738" s="1">
        <v>43397</v>
      </c>
      <c r="B738" t="s">
        <v>600</v>
      </c>
      <c r="C738" t="s">
        <v>18</v>
      </c>
      <c r="D738" t="s">
        <v>19</v>
      </c>
      <c r="E738">
        <v>2.94</v>
      </c>
      <c r="F738">
        <v>2.9769999999999999</v>
      </c>
      <c r="G738">
        <v>2.85</v>
      </c>
      <c r="H738">
        <v>2.2999999999999998</v>
      </c>
      <c r="I738" s="2">
        <v>0</v>
      </c>
      <c r="J738" s="2">
        <v>89685340000</v>
      </c>
      <c r="K738" s="2">
        <v>38858615000</v>
      </c>
      <c r="L738" s="2">
        <v>41390200</v>
      </c>
      <c r="M738" s="2">
        <v>727000000</v>
      </c>
      <c r="N738" s="2">
        <v>2227000000</v>
      </c>
      <c r="O738" s="2">
        <v>15202650000</v>
      </c>
      <c r="P738" s="2">
        <v>60267000000</v>
      </c>
      <c r="Q738" s="2">
        <v>22928965000</v>
      </c>
      <c r="R738" s="2">
        <v>27191340000</v>
      </c>
      <c r="S738" s="2">
        <f t="shared" si="22"/>
        <v>0.12699999999999978</v>
      </c>
      <c r="T738" s="2">
        <f t="shared" si="23"/>
        <v>38900005200</v>
      </c>
    </row>
    <row r="739" spans="1:20" x14ac:dyDescent="0.3">
      <c r="A739" s="1">
        <v>43398</v>
      </c>
      <c r="B739" t="s">
        <v>599</v>
      </c>
      <c r="C739" t="s">
        <v>18</v>
      </c>
      <c r="D739" t="s">
        <v>68</v>
      </c>
      <c r="E739">
        <v>3.024</v>
      </c>
      <c r="F739">
        <v>3.0739999999999998</v>
      </c>
      <c r="G739">
        <v>2.6880000000000002</v>
      </c>
      <c r="H739">
        <v>2.39</v>
      </c>
      <c r="I739" s="2">
        <v>0</v>
      </c>
      <c r="J739" s="2">
        <v>74160680000</v>
      </c>
      <c r="K739" s="2">
        <v>30979771200</v>
      </c>
      <c r="L739" s="2">
        <v>20229100</v>
      </c>
      <c r="M739" s="2">
        <v>1616100000</v>
      </c>
      <c r="N739" s="2">
        <v>2966100000</v>
      </c>
      <c r="O739" s="2">
        <v>9339472500</v>
      </c>
      <c r="P739" s="2">
        <v>47893000000</v>
      </c>
      <c r="Q739" s="2">
        <v>20024198700</v>
      </c>
      <c r="R739" s="2">
        <v>23301580000</v>
      </c>
      <c r="S739" s="2">
        <f t="shared" si="22"/>
        <v>0.38599999999999968</v>
      </c>
      <c r="T739" s="2">
        <f t="shared" si="23"/>
        <v>31000000300</v>
      </c>
    </row>
    <row r="740" spans="1:20" x14ac:dyDescent="0.3">
      <c r="A740" s="1">
        <v>43409</v>
      </c>
      <c r="B740" t="s">
        <v>604</v>
      </c>
      <c r="C740" t="s">
        <v>18</v>
      </c>
      <c r="D740" t="s">
        <v>52</v>
      </c>
      <c r="E740">
        <v>2.96</v>
      </c>
      <c r="F740">
        <v>2.9830000000000001</v>
      </c>
      <c r="G740">
        <v>2.86</v>
      </c>
      <c r="H740">
        <v>2.54</v>
      </c>
      <c r="I740" s="2">
        <v>7545438700</v>
      </c>
      <c r="J740" s="2">
        <v>93691800000</v>
      </c>
      <c r="K740" s="2">
        <v>36702980900</v>
      </c>
      <c r="L740" s="2">
        <v>97186400</v>
      </c>
      <c r="M740" s="2">
        <v>1102628500</v>
      </c>
      <c r="N740" s="2">
        <v>2848000000</v>
      </c>
      <c r="O740" s="2">
        <v>17584965000</v>
      </c>
      <c r="P740" s="2">
        <v>64204000000</v>
      </c>
      <c r="Q740" s="2">
        <v>18015387400</v>
      </c>
      <c r="R740" s="2">
        <v>26639800000</v>
      </c>
      <c r="S740" s="2">
        <f t="shared" si="22"/>
        <v>0.12300000000000022</v>
      </c>
      <c r="T740" s="2">
        <f t="shared" si="23"/>
        <v>44345606000</v>
      </c>
    </row>
    <row r="741" spans="1:20" x14ac:dyDescent="0.3">
      <c r="A741" s="1">
        <v>43410</v>
      </c>
      <c r="B741" t="s">
        <v>603</v>
      </c>
      <c r="C741" t="s">
        <v>18</v>
      </c>
      <c r="D741" t="s">
        <v>26</v>
      </c>
      <c r="E741">
        <v>3.165</v>
      </c>
      <c r="F741">
        <v>3.2090000000000001</v>
      </c>
      <c r="G741">
        <v>3.1</v>
      </c>
      <c r="H741">
        <v>2.54</v>
      </c>
      <c r="I741" s="2">
        <v>5506130800</v>
      </c>
      <c r="J741" s="2">
        <v>68399240000</v>
      </c>
      <c r="K741" s="2">
        <v>26952935100</v>
      </c>
      <c r="L741" s="2">
        <v>47182000</v>
      </c>
      <c r="M741" s="2">
        <v>328000000</v>
      </c>
      <c r="N741" s="2">
        <v>1953000000</v>
      </c>
      <c r="O741" s="2">
        <v>6726464000</v>
      </c>
      <c r="P741" s="2">
        <v>41063000000</v>
      </c>
      <c r="Q741" s="2">
        <v>19898471100</v>
      </c>
      <c r="R741" s="2">
        <v>25383240000</v>
      </c>
      <c r="S741" s="2">
        <f t="shared" si="22"/>
        <v>0.10899999999999999</v>
      </c>
      <c r="T741" s="2">
        <f t="shared" si="23"/>
        <v>32506247900</v>
      </c>
    </row>
    <row r="742" spans="1:20" x14ac:dyDescent="0.3">
      <c r="A742" s="1">
        <v>43411</v>
      </c>
      <c r="B742" t="s">
        <v>602</v>
      </c>
      <c r="C742" t="s">
        <v>23</v>
      </c>
      <c r="D742" t="s">
        <v>65</v>
      </c>
      <c r="E742">
        <v>3.36</v>
      </c>
      <c r="F742">
        <v>3.4180000000000001</v>
      </c>
      <c r="G742">
        <v>3.27</v>
      </c>
      <c r="H742">
        <v>2.06</v>
      </c>
      <c r="I742" s="2">
        <v>3874684700</v>
      </c>
      <c r="J742" s="2">
        <v>39089045000</v>
      </c>
      <c r="K742" s="2">
        <v>18993389800</v>
      </c>
      <c r="L742" s="2">
        <v>6610700</v>
      </c>
      <c r="M742" s="2">
        <v>550000000</v>
      </c>
      <c r="N742" s="2">
        <v>1225000000</v>
      </c>
      <c r="O742" s="2">
        <v>7227000000</v>
      </c>
      <c r="P742" s="2">
        <v>25997000000</v>
      </c>
      <c r="Q742" s="2">
        <v>11216389800</v>
      </c>
      <c r="R742" s="2">
        <v>11867045000</v>
      </c>
      <c r="S742" s="2">
        <f t="shared" si="22"/>
        <v>0.14800000000000013</v>
      </c>
      <c r="T742" s="2">
        <f t="shared" si="23"/>
        <v>22874685200</v>
      </c>
    </row>
    <row r="743" spans="1:20" x14ac:dyDescent="0.3">
      <c r="A743" s="1">
        <v>43430</v>
      </c>
      <c r="B743" t="s">
        <v>605</v>
      </c>
      <c r="C743" t="s">
        <v>18</v>
      </c>
      <c r="D743" t="s">
        <v>21</v>
      </c>
      <c r="E743">
        <v>2.8159999999999998</v>
      </c>
      <c r="F743">
        <v>2.8359999999999999</v>
      </c>
      <c r="G743">
        <v>2.72</v>
      </c>
      <c r="H743">
        <v>2.65</v>
      </c>
      <c r="I743" s="2">
        <v>3424779900</v>
      </c>
      <c r="J743" s="2">
        <v>103006235000</v>
      </c>
      <c r="K743" s="2">
        <v>38562886000</v>
      </c>
      <c r="L743" s="2">
        <v>337191300</v>
      </c>
      <c r="M743" s="2">
        <v>7513486000</v>
      </c>
      <c r="N743" s="2">
        <v>9350000000</v>
      </c>
      <c r="O743" s="2">
        <v>13744165000</v>
      </c>
      <c r="P743" s="2">
        <v>67321000000</v>
      </c>
      <c r="Q743" s="2">
        <v>17305235000</v>
      </c>
      <c r="R743" s="2">
        <v>26335235000</v>
      </c>
      <c r="S743" s="2">
        <f t="shared" si="22"/>
        <v>0.11599999999999966</v>
      </c>
      <c r="T743" s="2">
        <f t="shared" si="23"/>
        <v>42324857200</v>
      </c>
    </row>
    <row r="744" spans="1:20" x14ac:dyDescent="0.3">
      <c r="A744" s="1">
        <v>43431</v>
      </c>
      <c r="B744" t="s">
        <v>607</v>
      </c>
      <c r="C744" t="s">
        <v>18</v>
      </c>
      <c r="D744" t="s">
        <v>19</v>
      </c>
      <c r="E744">
        <v>2.8490000000000002</v>
      </c>
      <c r="F744">
        <v>2.88</v>
      </c>
      <c r="G744">
        <v>2.78</v>
      </c>
      <c r="H744">
        <v>2.4900000000000002</v>
      </c>
      <c r="I744" s="2">
        <v>3512594700</v>
      </c>
      <c r="J744" s="2">
        <v>99648690000</v>
      </c>
      <c r="K744" s="2">
        <v>39853291500</v>
      </c>
      <c r="L744" s="2">
        <v>46739000</v>
      </c>
      <c r="M744" s="2">
        <v>4115900000</v>
      </c>
      <c r="N744" s="2">
        <v>5890900000</v>
      </c>
      <c r="O744" s="2">
        <v>11866460000</v>
      </c>
      <c r="P744" s="2">
        <v>63672000000</v>
      </c>
      <c r="Q744" s="2">
        <v>23870931500</v>
      </c>
      <c r="R744" s="2">
        <v>30085790000</v>
      </c>
      <c r="S744" s="2">
        <f t="shared" si="22"/>
        <v>0.10000000000000009</v>
      </c>
      <c r="T744" s="2">
        <f t="shared" si="23"/>
        <v>43412625200</v>
      </c>
    </row>
    <row r="745" spans="1:20" x14ac:dyDescent="0.3">
      <c r="A745" s="1">
        <v>43432</v>
      </c>
      <c r="B745" t="s">
        <v>606</v>
      </c>
      <c r="C745" t="s">
        <v>18</v>
      </c>
      <c r="D745" t="s">
        <v>68</v>
      </c>
      <c r="E745">
        <v>2.9390000000000001</v>
      </c>
      <c r="F745">
        <v>2.9740000000000002</v>
      </c>
      <c r="G745">
        <v>2.488</v>
      </c>
      <c r="H745">
        <v>2.5499999999999998</v>
      </c>
      <c r="I745" s="2">
        <v>2810075800</v>
      </c>
      <c r="J745" s="2">
        <v>81614120000</v>
      </c>
      <c r="K745" s="2">
        <v>31977842000</v>
      </c>
      <c r="L745" s="2">
        <v>22173000</v>
      </c>
      <c r="M745" s="2">
        <v>8647824500</v>
      </c>
      <c r="N745" s="2">
        <v>10448700000</v>
      </c>
      <c r="O745" s="2">
        <v>5225844000</v>
      </c>
      <c r="P745" s="2">
        <v>48374000000</v>
      </c>
      <c r="Q745" s="2">
        <v>18104173500</v>
      </c>
      <c r="R745" s="2">
        <v>22791420000</v>
      </c>
      <c r="S745" s="2">
        <f t="shared" si="22"/>
        <v>0.48600000000000021</v>
      </c>
      <c r="T745" s="2">
        <f t="shared" si="23"/>
        <v>34810090800</v>
      </c>
    </row>
    <row r="746" spans="1:20" x14ac:dyDescent="0.3">
      <c r="A746" s="1">
        <v>43445</v>
      </c>
      <c r="B746" t="s">
        <v>608</v>
      </c>
      <c r="C746" t="s">
        <v>18</v>
      </c>
      <c r="D746" t="s">
        <v>52</v>
      </c>
      <c r="E746">
        <v>2.7090000000000001</v>
      </c>
      <c r="F746">
        <v>2.7480000000000002</v>
      </c>
      <c r="G746">
        <v>2.63</v>
      </c>
      <c r="H746">
        <v>2.59</v>
      </c>
      <c r="I746" s="2">
        <v>0</v>
      </c>
      <c r="J746" s="2">
        <v>98279200000</v>
      </c>
      <c r="K746" s="2">
        <v>37794031200</v>
      </c>
      <c r="L746" s="2">
        <v>105999200</v>
      </c>
      <c r="M746" s="2">
        <v>4737000000</v>
      </c>
      <c r="N746" s="2">
        <v>6521000000</v>
      </c>
      <c r="O746" s="2">
        <v>13973660000</v>
      </c>
      <c r="P746" s="2">
        <v>64102000000</v>
      </c>
      <c r="Q746" s="2">
        <v>19083371200</v>
      </c>
      <c r="R746" s="2">
        <v>27656200000</v>
      </c>
      <c r="S746" s="2">
        <f t="shared" si="22"/>
        <v>0.11800000000000033</v>
      </c>
      <c r="T746" s="2">
        <f t="shared" si="23"/>
        <v>37900030400</v>
      </c>
    </row>
    <row r="747" spans="1:20" x14ac:dyDescent="0.3">
      <c r="A747" s="1">
        <v>43446</v>
      </c>
      <c r="B747" t="s">
        <v>603</v>
      </c>
      <c r="C747" t="s">
        <v>18</v>
      </c>
      <c r="D747" t="s">
        <v>29</v>
      </c>
      <c r="E747">
        <v>2.87</v>
      </c>
      <c r="F747">
        <v>2.915</v>
      </c>
      <c r="G747">
        <v>2.488</v>
      </c>
      <c r="H747">
        <v>2.35</v>
      </c>
      <c r="I747" s="2">
        <v>0</v>
      </c>
      <c r="J747" s="2">
        <v>56504600000</v>
      </c>
      <c r="K747" s="2">
        <v>23987828100</v>
      </c>
      <c r="L747" s="2">
        <v>12236400</v>
      </c>
      <c r="M747" s="2">
        <v>2580000000</v>
      </c>
      <c r="N747" s="2">
        <v>4180000000</v>
      </c>
      <c r="O747" s="2">
        <v>6270074500</v>
      </c>
      <c r="P747" s="2">
        <v>35183000000</v>
      </c>
      <c r="Q747" s="2">
        <v>15137753600</v>
      </c>
      <c r="R747" s="2">
        <v>17141600000</v>
      </c>
      <c r="S747" s="2">
        <f t="shared" si="22"/>
        <v>0.42700000000000005</v>
      </c>
      <c r="T747" s="2">
        <f t="shared" si="23"/>
        <v>24000064500</v>
      </c>
    </row>
    <row r="748" spans="1:20" x14ac:dyDescent="0.3">
      <c r="A748" s="1">
        <v>43447</v>
      </c>
      <c r="B748" t="s">
        <v>602</v>
      </c>
      <c r="C748" t="s">
        <v>23</v>
      </c>
      <c r="D748" t="s">
        <v>72</v>
      </c>
      <c r="E748">
        <v>3.11</v>
      </c>
      <c r="F748">
        <v>3.165</v>
      </c>
      <c r="G748">
        <v>2.6880000000000002</v>
      </c>
      <c r="H748">
        <v>2.31</v>
      </c>
      <c r="I748" s="2">
        <v>0</v>
      </c>
      <c r="J748" s="2">
        <v>36918385000</v>
      </c>
      <c r="K748" s="2">
        <v>15995815500</v>
      </c>
      <c r="L748" s="2">
        <v>4193700</v>
      </c>
      <c r="M748" s="2">
        <v>1844000000</v>
      </c>
      <c r="N748" s="2">
        <v>2494000000</v>
      </c>
      <c r="O748" s="2">
        <v>3528025000</v>
      </c>
      <c r="P748" s="2">
        <v>22186000000</v>
      </c>
      <c r="Q748" s="2">
        <v>10623790500</v>
      </c>
      <c r="R748" s="2">
        <v>12238385000</v>
      </c>
      <c r="S748" s="2">
        <f t="shared" si="22"/>
        <v>0.47699999999999987</v>
      </c>
      <c r="T748" s="2">
        <f t="shared" si="23"/>
        <v>16000009200</v>
      </c>
    </row>
    <row r="749" spans="1:20" x14ac:dyDescent="0.3">
      <c r="A749" s="1">
        <v>43458</v>
      </c>
      <c r="B749" t="s">
        <v>610</v>
      </c>
      <c r="C749" t="s">
        <v>18</v>
      </c>
      <c r="D749" t="s">
        <v>21</v>
      </c>
      <c r="E749">
        <v>2.5819999999999999</v>
      </c>
      <c r="F749">
        <v>2.6190000000000002</v>
      </c>
      <c r="G749">
        <v>2.4</v>
      </c>
      <c r="H749">
        <v>2.31</v>
      </c>
      <c r="I749" s="2">
        <v>0</v>
      </c>
      <c r="J749" s="2">
        <v>91811630000</v>
      </c>
      <c r="K749" s="2">
        <v>39523090000</v>
      </c>
      <c r="L749" s="2">
        <v>376993900</v>
      </c>
      <c r="M749" s="2">
        <v>3102000000</v>
      </c>
      <c r="N749" s="2">
        <v>4802000000</v>
      </c>
      <c r="O749" s="2">
        <v>18648460000</v>
      </c>
      <c r="P749" s="2">
        <v>68037000000</v>
      </c>
      <c r="Q749" s="2">
        <v>17772630000</v>
      </c>
      <c r="R749" s="2">
        <v>18972630000</v>
      </c>
      <c r="S749" s="2">
        <f t="shared" si="22"/>
        <v>0.21900000000000031</v>
      </c>
      <c r="T749" s="2">
        <f t="shared" si="23"/>
        <v>39900083900</v>
      </c>
    </row>
    <row r="750" spans="1:20" x14ac:dyDescent="0.3">
      <c r="A750" s="1">
        <v>43460</v>
      </c>
      <c r="B750" t="s">
        <v>609</v>
      </c>
      <c r="C750" t="s">
        <v>18</v>
      </c>
      <c r="D750" t="s">
        <v>19</v>
      </c>
      <c r="E750">
        <v>2.5990000000000002</v>
      </c>
      <c r="F750">
        <v>2.6520000000000001</v>
      </c>
      <c r="G750">
        <v>2.4</v>
      </c>
      <c r="H750">
        <v>2.09</v>
      </c>
      <c r="I750" s="2">
        <v>0</v>
      </c>
      <c r="J750" s="2">
        <v>85743935000</v>
      </c>
      <c r="K750" s="2">
        <v>40964967900</v>
      </c>
      <c r="L750" s="2">
        <v>35050700</v>
      </c>
      <c r="M750" s="2">
        <v>3933000000</v>
      </c>
      <c r="N750" s="2">
        <v>5433000000</v>
      </c>
      <c r="O750" s="2">
        <v>15056000000</v>
      </c>
      <c r="P750" s="2">
        <v>57776000000</v>
      </c>
      <c r="Q750" s="2">
        <v>21975967900</v>
      </c>
      <c r="R750" s="2">
        <v>22534935000</v>
      </c>
      <c r="S750" s="2">
        <f t="shared" si="22"/>
        <v>0.25200000000000022</v>
      </c>
      <c r="T750" s="2">
        <f t="shared" si="23"/>
        <v>41000018600</v>
      </c>
    </row>
    <row r="751" spans="1:20" x14ac:dyDescent="0.3">
      <c r="A751" s="1">
        <v>43461</v>
      </c>
      <c r="B751" t="s">
        <v>611</v>
      </c>
      <c r="C751" t="s">
        <v>18</v>
      </c>
      <c r="D751" t="s">
        <v>68</v>
      </c>
      <c r="E751">
        <v>2.64</v>
      </c>
      <c r="F751">
        <v>2.68</v>
      </c>
      <c r="G751">
        <v>2.2879999999999998</v>
      </c>
      <c r="H751">
        <v>2.46</v>
      </c>
      <c r="I751" s="2">
        <v>0</v>
      </c>
      <c r="J751" s="2">
        <v>78682830000</v>
      </c>
      <c r="K751" s="2">
        <v>31988328300</v>
      </c>
      <c r="L751" s="2">
        <v>11829700</v>
      </c>
      <c r="M751" s="2">
        <v>4678000000</v>
      </c>
      <c r="N751" s="2">
        <v>6160000000</v>
      </c>
      <c r="O751" s="2">
        <v>5752350000</v>
      </c>
      <c r="P751" s="2">
        <v>45379000000</v>
      </c>
      <c r="Q751" s="2">
        <v>21557978300</v>
      </c>
      <c r="R751" s="2">
        <v>27143830000</v>
      </c>
      <c r="S751" s="2">
        <f t="shared" si="22"/>
        <v>0.39200000000000035</v>
      </c>
      <c r="T751" s="2">
        <f t="shared" si="23"/>
        <v>32000158000</v>
      </c>
    </row>
    <row r="752" spans="1:20" x14ac:dyDescent="0.3">
      <c r="A752" s="1">
        <v>43473</v>
      </c>
      <c r="B752" t="s">
        <v>612</v>
      </c>
      <c r="C752" t="s">
        <v>18</v>
      </c>
      <c r="D752" t="s">
        <v>52</v>
      </c>
      <c r="E752">
        <v>2.5230000000000001</v>
      </c>
      <c r="F752">
        <v>2.5590000000000002</v>
      </c>
      <c r="G752">
        <v>2.4</v>
      </c>
      <c r="H752">
        <v>2.44</v>
      </c>
      <c r="I752" s="2">
        <v>0</v>
      </c>
      <c r="J752" s="2">
        <v>92439570000</v>
      </c>
      <c r="K752" s="2">
        <v>37834902900</v>
      </c>
      <c r="L752" s="2">
        <v>65159200</v>
      </c>
      <c r="M752" s="2">
        <v>6710000000</v>
      </c>
      <c r="N752" s="2">
        <v>8210000000</v>
      </c>
      <c r="O752" s="2">
        <v>15271970000</v>
      </c>
      <c r="P752" s="2">
        <v>63679000000</v>
      </c>
      <c r="Q752" s="2">
        <v>15852932900</v>
      </c>
      <c r="R752" s="2">
        <v>20550570000</v>
      </c>
      <c r="S752" s="2">
        <f t="shared" si="22"/>
        <v>0.15900000000000025</v>
      </c>
      <c r="T752" s="2">
        <f t="shared" si="23"/>
        <v>37900062100</v>
      </c>
    </row>
    <row r="753" spans="1:20" x14ac:dyDescent="0.3">
      <c r="A753" s="1">
        <v>43474</v>
      </c>
      <c r="B753" t="s">
        <v>603</v>
      </c>
      <c r="C753" t="s">
        <v>18</v>
      </c>
      <c r="D753" t="s">
        <v>59</v>
      </c>
      <c r="E753">
        <v>2.69</v>
      </c>
      <c r="F753">
        <v>2.7280000000000002</v>
      </c>
      <c r="G753">
        <v>2.2879999999999998</v>
      </c>
      <c r="H753">
        <v>2.5099999999999998</v>
      </c>
      <c r="I753" s="2">
        <v>0</v>
      </c>
      <c r="J753" s="2">
        <v>60231945000</v>
      </c>
      <c r="K753" s="2">
        <v>23994624100</v>
      </c>
      <c r="L753" s="2">
        <v>5380500</v>
      </c>
      <c r="M753" s="2">
        <v>4981000000</v>
      </c>
      <c r="N753" s="2">
        <v>6281000000</v>
      </c>
      <c r="O753" s="2">
        <v>5357000000</v>
      </c>
      <c r="P753" s="2">
        <v>37042000000</v>
      </c>
      <c r="Q753" s="2">
        <v>13656624100</v>
      </c>
      <c r="R753" s="2">
        <v>16908945000</v>
      </c>
      <c r="S753" s="2">
        <f t="shared" si="22"/>
        <v>0.44000000000000039</v>
      </c>
      <c r="T753" s="2">
        <f t="shared" si="23"/>
        <v>24000004600</v>
      </c>
    </row>
    <row r="754" spans="1:20" x14ac:dyDescent="0.3">
      <c r="A754" s="1">
        <v>43475</v>
      </c>
      <c r="B754" t="s">
        <v>602</v>
      </c>
      <c r="C754" t="s">
        <v>23</v>
      </c>
      <c r="D754" t="s">
        <v>91</v>
      </c>
      <c r="E754">
        <v>2.99</v>
      </c>
      <c r="F754">
        <v>3.0350000000000001</v>
      </c>
      <c r="G754">
        <v>2.5880000000000001</v>
      </c>
      <c r="H754">
        <v>2.19</v>
      </c>
      <c r="I754" s="2">
        <v>0</v>
      </c>
      <c r="J754" s="2">
        <v>35052100000</v>
      </c>
      <c r="K754" s="2">
        <v>15992784300</v>
      </c>
      <c r="L754" s="2">
        <v>7219200</v>
      </c>
      <c r="M754" s="2">
        <v>2550100000</v>
      </c>
      <c r="N754" s="2">
        <v>3185100000</v>
      </c>
      <c r="O754" s="2">
        <v>4275503000</v>
      </c>
      <c r="P754" s="2">
        <v>21757000000</v>
      </c>
      <c r="Q754" s="2">
        <v>9167181300</v>
      </c>
      <c r="R754" s="2">
        <v>10110000000</v>
      </c>
      <c r="S754" s="2">
        <f t="shared" si="22"/>
        <v>0.44700000000000006</v>
      </c>
      <c r="T754" s="2">
        <f t="shared" si="23"/>
        <v>16000003500</v>
      </c>
    </row>
    <row r="755" spans="1:20" x14ac:dyDescent="0.3">
      <c r="A755" s="1">
        <v>43493</v>
      </c>
      <c r="B755" t="s">
        <v>615</v>
      </c>
      <c r="C755" t="s">
        <v>18</v>
      </c>
      <c r="D755" t="s">
        <v>19</v>
      </c>
      <c r="E755">
        <v>2.54</v>
      </c>
      <c r="F755">
        <v>2.5760000000000001</v>
      </c>
      <c r="G755">
        <v>2.4700000000000002</v>
      </c>
      <c r="H755">
        <v>2.41</v>
      </c>
      <c r="I755" s="2">
        <v>0</v>
      </c>
      <c r="J755" s="2">
        <v>98718190000</v>
      </c>
      <c r="K755" s="2">
        <v>40965284100</v>
      </c>
      <c r="L755" s="2">
        <v>34781300</v>
      </c>
      <c r="M755" s="2">
        <v>6238000000</v>
      </c>
      <c r="N755" s="2">
        <v>7713000000</v>
      </c>
      <c r="O755" s="2">
        <v>10065644100</v>
      </c>
      <c r="P755" s="2">
        <v>60013000000</v>
      </c>
      <c r="Q755" s="2">
        <v>24661640000</v>
      </c>
      <c r="R755" s="2">
        <v>30992190000</v>
      </c>
      <c r="S755" s="2">
        <f t="shared" si="22"/>
        <v>0.10599999999999987</v>
      </c>
      <c r="T755" s="2">
        <f t="shared" si="23"/>
        <v>41000065400</v>
      </c>
    </row>
    <row r="756" spans="1:20" x14ac:dyDescent="0.3">
      <c r="A756" s="1">
        <v>43493</v>
      </c>
      <c r="B756" t="s">
        <v>614</v>
      </c>
      <c r="C756" t="s">
        <v>18</v>
      </c>
      <c r="D756" t="s">
        <v>21</v>
      </c>
      <c r="E756">
        <v>2.577</v>
      </c>
      <c r="F756">
        <v>2.6</v>
      </c>
      <c r="G756">
        <v>2.5</v>
      </c>
      <c r="H756">
        <v>2.56</v>
      </c>
      <c r="I756" s="2">
        <v>0</v>
      </c>
      <c r="J756" s="2">
        <v>102154600000</v>
      </c>
      <c r="K756" s="2">
        <v>39581800000</v>
      </c>
      <c r="L756" s="2">
        <v>318252800</v>
      </c>
      <c r="M756" s="2">
        <v>7572000000</v>
      </c>
      <c r="N756" s="2">
        <v>9272000000</v>
      </c>
      <c r="O756" s="2">
        <v>10886200000</v>
      </c>
      <c r="P756" s="2">
        <v>66325000000</v>
      </c>
      <c r="Q756" s="2">
        <v>21123600000</v>
      </c>
      <c r="R756" s="2">
        <v>26557600000</v>
      </c>
      <c r="S756" s="2">
        <f t="shared" si="22"/>
        <v>0.10000000000000009</v>
      </c>
      <c r="T756" s="2">
        <f t="shared" si="23"/>
        <v>39900052800</v>
      </c>
    </row>
    <row r="757" spans="1:20" x14ac:dyDescent="0.3">
      <c r="A757" s="1">
        <v>43494</v>
      </c>
      <c r="B757" t="s">
        <v>613</v>
      </c>
      <c r="C757" t="s">
        <v>18</v>
      </c>
      <c r="D757" t="s">
        <v>68</v>
      </c>
      <c r="E757">
        <v>2.58</v>
      </c>
      <c r="F757">
        <v>2.625</v>
      </c>
      <c r="G757">
        <v>2.5</v>
      </c>
      <c r="H757">
        <v>2.54</v>
      </c>
      <c r="I757" s="2">
        <v>0</v>
      </c>
      <c r="J757" s="2">
        <v>81147680000</v>
      </c>
      <c r="K757" s="2">
        <v>31985843200</v>
      </c>
      <c r="L757" s="2">
        <v>14263000</v>
      </c>
      <c r="M757" s="2">
        <v>7966555000</v>
      </c>
      <c r="N757" s="2">
        <v>9490900000</v>
      </c>
      <c r="O757" s="2">
        <v>5382401500</v>
      </c>
      <c r="P757" s="2">
        <v>48380000000</v>
      </c>
      <c r="Q757" s="2">
        <v>18636886700</v>
      </c>
      <c r="R757" s="2">
        <v>23276780000</v>
      </c>
      <c r="S757" s="2">
        <f t="shared" si="22"/>
        <v>0.125</v>
      </c>
      <c r="T757" s="2">
        <f t="shared" si="23"/>
        <v>32000106200</v>
      </c>
    </row>
    <row r="758" spans="1:20" x14ac:dyDescent="0.3">
      <c r="A758" s="1">
        <v>43501</v>
      </c>
      <c r="B758" t="s">
        <v>617</v>
      </c>
      <c r="C758" t="s">
        <v>18</v>
      </c>
      <c r="D758" t="s">
        <v>52</v>
      </c>
      <c r="E758">
        <v>2.4740000000000002</v>
      </c>
      <c r="F758">
        <v>2.5019999999999998</v>
      </c>
      <c r="G758">
        <v>2.4</v>
      </c>
      <c r="H758">
        <v>2.5499999999999998</v>
      </c>
      <c r="I758" s="2">
        <v>9151237200</v>
      </c>
      <c r="J758" s="2">
        <v>96845500000</v>
      </c>
      <c r="K758" s="2">
        <v>37820750000</v>
      </c>
      <c r="L758" s="2">
        <v>79305600</v>
      </c>
      <c r="M758" s="2">
        <v>6980000000</v>
      </c>
      <c r="N758" s="2">
        <v>8880000000</v>
      </c>
      <c r="O758" s="2">
        <v>13561250000</v>
      </c>
      <c r="P758" s="2">
        <v>64998000000</v>
      </c>
      <c r="Q758" s="2">
        <v>17279500000</v>
      </c>
      <c r="R758" s="2">
        <v>22967500000</v>
      </c>
      <c r="S758" s="2">
        <f t="shared" si="22"/>
        <v>0.10199999999999987</v>
      </c>
      <c r="T758" s="2">
        <f t="shared" si="23"/>
        <v>47051292800</v>
      </c>
    </row>
    <row r="759" spans="1:20" x14ac:dyDescent="0.3">
      <c r="A759" s="1">
        <v>43502</v>
      </c>
      <c r="B759" t="s">
        <v>616</v>
      </c>
      <c r="C759" t="s">
        <v>18</v>
      </c>
      <c r="D759" t="s">
        <v>26</v>
      </c>
      <c r="E759">
        <v>2.64</v>
      </c>
      <c r="F759">
        <v>2.6890000000000001</v>
      </c>
      <c r="G759">
        <v>2.585</v>
      </c>
      <c r="H759">
        <v>2.35</v>
      </c>
      <c r="I759" s="2">
        <v>6502194700</v>
      </c>
      <c r="J759" s="2">
        <v>63393605000</v>
      </c>
      <c r="K759" s="2">
        <v>26969069000</v>
      </c>
      <c r="L759" s="2">
        <v>30936400</v>
      </c>
      <c r="M759" s="2">
        <v>3286000000</v>
      </c>
      <c r="N759" s="2">
        <v>4336000000</v>
      </c>
      <c r="O759" s="2">
        <v>7648410000</v>
      </c>
      <c r="P759" s="2">
        <v>40450000000</v>
      </c>
      <c r="Q759" s="2">
        <v>16034659000</v>
      </c>
      <c r="R759" s="2">
        <v>18607605000</v>
      </c>
      <c r="S759" s="2">
        <f t="shared" si="22"/>
        <v>0.10400000000000009</v>
      </c>
      <c r="T759" s="2">
        <f t="shared" si="23"/>
        <v>33502200100</v>
      </c>
    </row>
    <row r="760" spans="1:20" x14ac:dyDescent="0.3">
      <c r="A760" s="1">
        <v>43503</v>
      </c>
      <c r="B760" t="s">
        <v>618</v>
      </c>
      <c r="C760" t="s">
        <v>23</v>
      </c>
      <c r="D760" t="s">
        <v>65</v>
      </c>
      <c r="E760">
        <v>2.972</v>
      </c>
      <c r="F760">
        <v>3.0219999999999998</v>
      </c>
      <c r="G760">
        <v>2.5880000000000001</v>
      </c>
      <c r="H760">
        <v>2.27</v>
      </c>
      <c r="I760" s="2">
        <v>4575618500</v>
      </c>
      <c r="J760" s="2">
        <v>43048970000</v>
      </c>
      <c r="K760" s="2">
        <v>18992283200</v>
      </c>
      <c r="L760" s="2">
        <v>7729900</v>
      </c>
      <c r="M760" s="2">
        <v>3229100000</v>
      </c>
      <c r="N760" s="2">
        <v>3999100000</v>
      </c>
      <c r="O760" s="2">
        <v>5060310000</v>
      </c>
      <c r="P760" s="2">
        <v>26529000000</v>
      </c>
      <c r="Q760" s="2">
        <v>10702873200</v>
      </c>
      <c r="R760" s="2">
        <v>12520870000</v>
      </c>
      <c r="S760" s="2">
        <f t="shared" si="22"/>
        <v>0.43399999999999972</v>
      </c>
      <c r="T760" s="2">
        <f t="shared" si="23"/>
        <v>23575631600</v>
      </c>
    </row>
    <row r="761" spans="1:20" x14ac:dyDescent="0.3">
      <c r="A761" s="1">
        <v>43521</v>
      </c>
      <c r="B761" t="s">
        <v>621</v>
      </c>
      <c r="C761" t="s">
        <v>18</v>
      </c>
      <c r="D761" t="s">
        <v>19</v>
      </c>
      <c r="E761">
        <v>2.4620000000000002</v>
      </c>
      <c r="F761">
        <v>2.4889999999999999</v>
      </c>
      <c r="G761">
        <v>2.37</v>
      </c>
      <c r="H761">
        <v>2.4</v>
      </c>
      <c r="I761" s="2">
        <v>1973156300</v>
      </c>
      <c r="J761" s="2">
        <v>98537747400</v>
      </c>
      <c r="K761" s="2">
        <v>40962936200</v>
      </c>
      <c r="L761" s="2">
        <v>37063800</v>
      </c>
      <c r="M761" s="2">
        <v>9223000000</v>
      </c>
      <c r="N761" s="2">
        <v>10998000000</v>
      </c>
      <c r="O761" s="2">
        <v>8122448800</v>
      </c>
      <c r="P761" s="2">
        <v>58888000000</v>
      </c>
      <c r="Q761" s="2">
        <v>23617487400</v>
      </c>
      <c r="R761" s="2">
        <v>28651747400</v>
      </c>
      <c r="S761" s="2">
        <f t="shared" si="22"/>
        <v>0.11899999999999977</v>
      </c>
      <c r="T761" s="2">
        <f t="shared" si="23"/>
        <v>42973156300</v>
      </c>
    </row>
    <row r="762" spans="1:20" x14ac:dyDescent="0.3">
      <c r="A762" s="1">
        <v>43521</v>
      </c>
      <c r="B762" t="s">
        <v>620</v>
      </c>
      <c r="C762" t="s">
        <v>18</v>
      </c>
      <c r="D762" t="s">
        <v>21</v>
      </c>
      <c r="E762">
        <v>2.4849999999999999</v>
      </c>
      <c r="F762">
        <v>2.5030000000000001</v>
      </c>
      <c r="G762">
        <v>2.4</v>
      </c>
      <c r="H762">
        <v>2.5</v>
      </c>
      <c r="I762" s="2">
        <v>1925030500</v>
      </c>
      <c r="J762" s="2">
        <v>99693040000</v>
      </c>
      <c r="K762" s="2">
        <v>39512863600</v>
      </c>
      <c r="L762" s="2">
        <v>287190000</v>
      </c>
      <c r="M762" s="2">
        <v>8946000000</v>
      </c>
      <c r="N762" s="2">
        <v>10446000000</v>
      </c>
      <c r="O762" s="2">
        <v>15330790000</v>
      </c>
      <c r="P762" s="2">
        <v>68218000000</v>
      </c>
      <c r="Q762" s="2">
        <v>15236073600</v>
      </c>
      <c r="R762" s="2">
        <v>21029040000</v>
      </c>
      <c r="S762" s="2">
        <f t="shared" si="22"/>
        <v>0.1030000000000002</v>
      </c>
      <c r="T762" s="2">
        <f t="shared" si="23"/>
        <v>41725084100</v>
      </c>
    </row>
    <row r="763" spans="1:20" x14ac:dyDescent="0.3">
      <c r="A763" s="1">
        <v>43522</v>
      </c>
      <c r="B763" t="s">
        <v>619</v>
      </c>
      <c r="C763" t="s">
        <v>18</v>
      </c>
      <c r="D763" t="s">
        <v>68</v>
      </c>
      <c r="E763">
        <v>2.5</v>
      </c>
      <c r="F763">
        <v>2.5379999999999998</v>
      </c>
      <c r="G763">
        <v>2.4409999999999998</v>
      </c>
      <c r="H763">
        <v>2.6</v>
      </c>
      <c r="I763" s="2">
        <v>1540024400</v>
      </c>
      <c r="J763" s="2">
        <v>83118645000</v>
      </c>
      <c r="K763" s="2">
        <v>31983000200</v>
      </c>
      <c r="L763" s="2">
        <v>17077400</v>
      </c>
      <c r="M763" s="2">
        <v>9090235200</v>
      </c>
      <c r="N763" s="2">
        <v>11087400000</v>
      </c>
      <c r="O763" s="2">
        <v>5246000000</v>
      </c>
      <c r="P763" s="2">
        <v>49701000000</v>
      </c>
      <c r="Q763" s="2">
        <v>17646765000</v>
      </c>
      <c r="R763" s="2">
        <v>22330245000</v>
      </c>
      <c r="S763" s="2">
        <f t="shared" si="22"/>
        <v>9.6999999999999975E-2</v>
      </c>
      <c r="T763" s="2">
        <f t="shared" si="23"/>
        <v>33540102000</v>
      </c>
    </row>
    <row r="764" spans="1:20" x14ac:dyDescent="0.3">
      <c r="A764" s="1">
        <v>43535</v>
      </c>
      <c r="B764" t="s">
        <v>622</v>
      </c>
      <c r="C764" t="s">
        <v>18</v>
      </c>
      <c r="D764" t="s">
        <v>52</v>
      </c>
      <c r="E764">
        <v>2.41</v>
      </c>
      <c r="F764">
        <v>2.448</v>
      </c>
      <c r="G764">
        <v>2.3199999999999998</v>
      </c>
      <c r="H764">
        <v>2.56</v>
      </c>
      <c r="I764" s="2">
        <v>0</v>
      </c>
      <c r="J764" s="2">
        <v>97175400000</v>
      </c>
      <c r="K764" s="2">
        <v>37811102500</v>
      </c>
      <c r="L764" s="2">
        <v>102221100</v>
      </c>
      <c r="M764" s="2">
        <v>3557000000</v>
      </c>
      <c r="N764" s="2">
        <v>5074000000</v>
      </c>
      <c r="O764" s="2">
        <v>15525615000</v>
      </c>
      <c r="P764" s="2">
        <v>63479000000</v>
      </c>
      <c r="Q764" s="2">
        <v>18728487500</v>
      </c>
      <c r="R764" s="2">
        <v>28622400000</v>
      </c>
      <c r="S764" s="2">
        <f t="shared" si="22"/>
        <v>0.12800000000000011</v>
      </c>
      <c r="T764" s="2">
        <f t="shared" si="23"/>
        <v>37913323600</v>
      </c>
    </row>
    <row r="765" spans="1:20" x14ac:dyDescent="0.3">
      <c r="A765" s="1">
        <v>43536</v>
      </c>
      <c r="B765" t="s">
        <v>616</v>
      </c>
      <c r="C765" t="s">
        <v>18</v>
      </c>
      <c r="D765" t="s">
        <v>29</v>
      </c>
      <c r="E765">
        <v>2.585</v>
      </c>
      <c r="F765">
        <v>2.6150000000000002</v>
      </c>
      <c r="G765">
        <v>2.1880000000000002</v>
      </c>
      <c r="H765">
        <v>2.59</v>
      </c>
      <c r="I765" s="2">
        <v>0</v>
      </c>
      <c r="J765" s="2">
        <v>62155865000</v>
      </c>
      <c r="K765" s="2">
        <v>23989900400</v>
      </c>
      <c r="L765" s="2">
        <v>10229200</v>
      </c>
      <c r="M765" s="2">
        <v>2178000000</v>
      </c>
      <c r="N765" s="2">
        <v>3663000000</v>
      </c>
      <c r="O765" s="2">
        <v>5152777600</v>
      </c>
      <c r="P765" s="2">
        <v>36694000000</v>
      </c>
      <c r="Q765" s="2">
        <v>16659122800</v>
      </c>
      <c r="R765" s="2">
        <v>21798865000</v>
      </c>
      <c r="S765" s="2">
        <f t="shared" si="22"/>
        <v>0.42700000000000005</v>
      </c>
      <c r="T765" s="2">
        <f t="shared" si="23"/>
        <v>24000129600</v>
      </c>
    </row>
    <row r="766" spans="1:20" x14ac:dyDescent="0.3">
      <c r="A766" s="1">
        <v>43537</v>
      </c>
      <c r="B766" t="s">
        <v>618</v>
      </c>
      <c r="C766" t="s">
        <v>23</v>
      </c>
      <c r="D766" t="s">
        <v>72</v>
      </c>
      <c r="E766">
        <v>2.95</v>
      </c>
      <c r="F766">
        <v>3.0139999999999998</v>
      </c>
      <c r="G766">
        <v>2.5880000000000001</v>
      </c>
      <c r="H766">
        <v>2.25</v>
      </c>
      <c r="I766" s="2">
        <v>0</v>
      </c>
      <c r="J766" s="2">
        <v>36054035000</v>
      </c>
      <c r="K766" s="2">
        <v>15997798300</v>
      </c>
      <c r="L766" s="2">
        <v>2211900</v>
      </c>
      <c r="M766" s="2">
        <v>2248300000</v>
      </c>
      <c r="N766" s="2">
        <v>2773300000</v>
      </c>
      <c r="O766" s="2">
        <v>4501463000</v>
      </c>
      <c r="P766" s="2">
        <v>22541000000</v>
      </c>
      <c r="Q766" s="2">
        <v>9248035300</v>
      </c>
      <c r="R766" s="2">
        <v>10739735000</v>
      </c>
      <c r="S766" s="2">
        <f t="shared" si="22"/>
        <v>0.42599999999999971</v>
      </c>
      <c r="T766" s="2">
        <f t="shared" si="23"/>
        <v>16000010200</v>
      </c>
    </row>
    <row r="767" spans="1:20" x14ac:dyDescent="0.3">
      <c r="A767" s="1">
        <v>43550</v>
      </c>
      <c r="B767" t="s">
        <v>352</v>
      </c>
      <c r="C767" t="s">
        <v>18</v>
      </c>
      <c r="D767" t="s">
        <v>21</v>
      </c>
      <c r="E767">
        <v>2.23</v>
      </c>
      <c r="F767">
        <v>2.2610000000000001</v>
      </c>
      <c r="G767">
        <v>1.8879999999999999</v>
      </c>
      <c r="H767">
        <v>2.6</v>
      </c>
      <c r="I767" s="2">
        <v>0</v>
      </c>
      <c r="J767" s="2">
        <v>103660605000</v>
      </c>
      <c r="K767" s="2">
        <v>39516105000</v>
      </c>
      <c r="L767" s="2">
        <v>283918200</v>
      </c>
      <c r="M767" s="2">
        <v>5243000000</v>
      </c>
      <c r="N767" s="2">
        <v>6743000000</v>
      </c>
      <c r="O767" s="2">
        <v>12131900000</v>
      </c>
      <c r="P767" s="2">
        <v>67073000000</v>
      </c>
      <c r="Q767" s="2">
        <v>22141205000</v>
      </c>
      <c r="R767" s="2">
        <v>29844605000</v>
      </c>
      <c r="S767" s="2">
        <f t="shared" si="22"/>
        <v>0.37300000000000022</v>
      </c>
      <c r="T767" s="2">
        <f t="shared" si="23"/>
        <v>39800023200</v>
      </c>
    </row>
    <row r="768" spans="1:20" x14ac:dyDescent="0.3">
      <c r="A768" s="1">
        <v>43551</v>
      </c>
      <c r="B768" t="s">
        <v>517</v>
      </c>
      <c r="C768" t="s">
        <v>18</v>
      </c>
      <c r="D768" t="s">
        <v>19</v>
      </c>
      <c r="E768">
        <v>2.125</v>
      </c>
      <c r="F768">
        <v>2.1720000000000002</v>
      </c>
      <c r="G768">
        <v>2.0499999999999998</v>
      </c>
      <c r="H768">
        <v>2.35</v>
      </c>
      <c r="I768" s="2">
        <v>0</v>
      </c>
      <c r="J768" s="2">
        <v>96257615000</v>
      </c>
      <c r="K768" s="2">
        <v>40968002200</v>
      </c>
      <c r="L768" s="2">
        <v>32018900</v>
      </c>
      <c r="M768" s="2">
        <v>7063000000</v>
      </c>
      <c r="N768" s="2">
        <v>8513000000</v>
      </c>
      <c r="O768" s="2">
        <v>9737000000</v>
      </c>
      <c r="P768" s="2">
        <v>58911000000</v>
      </c>
      <c r="Q768" s="2">
        <v>24168002200</v>
      </c>
      <c r="R768" s="2">
        <v>28833615000</v>
      </c>
      <c r="S768" s="2">
        <f t="shared" si="22"/>
        <v>0.12200000000000033</v>
      </c>
      <c r="T768" s="2">
        <f t="shared" si="23"/>
        <v>41000021100</v>
      </c>
    </row>
    <row r="769" spans="1:20" x14ac:dyDescent="0.3">
      <c r="A769" s="1">
        <v>43552</v>
      </c>
      <c r="B769" t="s">
        <v>623</v>
      </c>
      <c r="C769" t="s">
        <v>18</v>
      </c>
      <c r="D769" t="s">
        <v>68</v>
      </c>
      <c r="E769">
        <v>2.2410000000000001</v>
      </c>
      <c r="F769">
        <v>2.2810000000000001</v>
      </c>
      <c r="G769">
        <v>2.15</v>
      </c>
      <c r="H769">
        <v>2.54</v>
      </c>
      <c r="I769" s="2">
        <v>0</v>
      </c>
      <c r="J769" s="2">
        <v>81388760000</v>
      </c>
      <c r="K769" s="2">
        <v>31992200000</v>
      </c>
      <c r="L769" s="2">
        <v>7800900</v>
      </c>
      <c r="M769" s="2">
        <v>6627400000</v>
      </c>
      <c r="N769" s="2">
        <v>8049400000</v>
      </c>
      <c r="O769" s="2">
        <v>4733080000</v>
      </c>
      <c r="P769" s="2">
        <v>47422000000</v>
      </c>
      <c r="Q769" s="2">
        <v>20631720000</v>
      </c>
      <c r="R769" s="2">
        <v>25917360000</v>
      </c>
      <c r="S769" s="2">
        <f t="shared" si="22"/>
        <v>0.13100000000000023</v>
      </c>
      <c r="T769" s="2">
        <f t="shared" si="23"/>
        <v>32000000900</v>
      </c>
    </row>
    <row r="770" spans="1:20" x14ac:dyDescent="0.3">
      <c r="A770" s="1">
        <v>43564</v>
      </c>
      <c r="B770" t="s">
        <v>624</v>
      </c>
      <c r="C770" t="s">
        <v>18</v>
      </c>
      <c r="D770" t="s">
        <v>52</v>
      </c>
      <c r="E770">
        <v>2.2749999999999999</v>
      </c>
      <c r="F770">
        <v>2.3010000000000002</v>
      </c>
      <c r="G770">
        <v>1.988</v>
      </c>
      <c r="H770">
        <v>2.4900000000000002</v>
      </c>
      <c r="I770" s="2">
        <v>5280000</v>
      </c>
      <c r="J770" s="2">
        <v>94351800000</v>
      </c>
      <c r="K770" s="2">
        <v>37816560000</v>
      </c>
      <c r="L770" s="2">
        <v>83465000</v>
      </c>
      <c r="M770" s="2">
        <v>7074000000</v>
      </c>
      <c r="N770" s="2">
        <v>8574000000</v>
      </c>
      <c r="O770" s="2">
        <v>14588040000</v>
      </c>
      <c r="P770" s="2">
        <v>64211000000</v>
      </c>
      <c r="Q770" s="2">
        <v>16154520000</v>
      </c>
      <c r="R770" s="2">
        <v>21566800000</v>
      </c>
      <c r="S770" s="2">
        <f t="shared" ref="S770:S833" si="24">SUM($F770,-$G770)</f>
        <v>0.31300000000000017</v>
      </c>
      <c r="T770" s="2">
        <f t="shared" ref="T770:T833" si="25">SUM(I770,K770,L770)</f>
        <v>37905305000</v>
      </c>
    </row>
    <row r="771" spans="1:20" x14ac:dyDescent="0.3">
      <c r="A771" s="1">
        <v>43565</v>
      </c>
      <c r="B771" t="s">
        <v>616</v>
      </c>
      <c r="C771" t="s">
        <v>18</v>
      </c>
      <c r="D771" t="s">
        <v>59</v>
      </c>
      <c r="E771">
        <v>2.4249999999999998</v>
      </c>
      <c r="F771">
        <v>2.4660000000000002</v>
      </c>
      <c r="G771">
        <v>2.0880000000000001</v>
      </c>
      <c r="H771">
        <v>2.5499999999999998</v>
      </c>
      <c r="I771" s="2">
        <v>3334700</v>
      </c>
      <c r="J771" s="2">
        <v>61270985000</v>
      </c>
      <c r="K771" s="2">
        <v>23982300500</v>
      </c>
      <c r="L771" s="2">
        <v>17735300</v>
      </c>
      <c r="M771" s="2">
        <v>2880000000</v>
      </c>
      <c r="N771" s="2">
        <v>4063000000</v>
      </c>
      <c r="O771" s="2">
        <v>4706537500</v>
      </c>
      <c r="P771" s="2">
        <v>37586000000</v>
      </c>
      <c r="Q771" s="2">
        <v>16395763000</v>
      </c>
      <c r="R771" s="2">
        <v>19621985000</v>
      </c>
      <c r="S771" s="2">
        <f t="shared" si="24"/>
        <v>0.37800000000000011</v>
      </c>
      <c r="T771" s="2">
        <f t="shared" si="25"/>
        <v>24003370500</v>
      </c>
    </row>
    <row r="772" spans="1:20" x14ac:dyDescent="0.3">
      <c r="A772" s="1">
        <v>43566</v>
      </c>
      <c r="B772" t="s">
        <v>618</v>
      </c>
      <c r="C772" t="s">
        <v>23</v>
      </c>
      <c r="D772" t="s">
        <v>91</v>
      </c>
      <c r="E772">
        <v>2.87</v>
      </c>
      <c r="F772">
        <v>2.93</v>
      </c>
      <c r="G772">
        <v>2.488</v>
      </c>
      <c r="H772">
        <v>2.25</v>
      </c>
      <c r="I772" s="2">
        <v>2223100</v>
      </c>
      <c r="J772" s="2">
        <v>36015690000</v>
      </c>
      <c r="K772" s="2">
        <v>15997217500</v>
      </c>
      <c r="L772" s="2">
        <v>2806800</v>
      </c>
      <c r="M772" s="2">
        <v>2303362500</v>
      </c>
      <c r="N772" s="2">
        <v>2988400000</v>
      </c>
      <c r="O772" s="2">
        <v>4021640000</v>
      </c>
      <c r="P772" s="2">
        <v>22603000000</v>
      </c>
      <c r="Q772" s="2">
        <v>9672215000</v>
      </c>
      <c r="R772" s="2">
        <v>10424290000</v>
      </c>
      <c r="S772" s="2">
        <f t="shared" si="24"/>
        <v>0.44200000000000017</v>
      </c>
      <c r="T772" s="2">
        <f t="shared" si="25"/>
        <v>16002247400</v>
      </c>
    </row>
    <row r="773" spans="1:20" x14ac:dyDescent="0.3">
      <c r="A773" s="1">
        <v>43578</v>
      </c>
      <c r="B773" t="s">
        <v>356</v>
      </c>
      <c r="C773" t="s">
        <v>18</v>
      </c>
      <c r="D773" t="s">
        <v>21</v>
      </c>
      <c r="E773">
        <v>2.3239999999999998</v>
      </c>
      <c r="F773">
        <v>2.355</v>
      </c>
      <c r="G773">
        <v>2.25</v>
      </c>
      <c r="H773">
        <v>2.5099999999999998</v>
      </c>
      <c r="I773" s="2">
        <v>510686300</v>
      </c>
      <c r="J773" s="2">
        <v>100210885000</v>
      </c>
      <c r="K773" s="2">
        <v>39673507100</v>
      </c>
      <c r="L773" s="2">
        <v>219842700</v>
      </c>
      <c r="M773" s="2">
        <v>6255660000</v>
      </c>
      <c r="N773" s="2">
        <v>7808000000</v>
      </c>
      <c r="O773" s="2">
        <v>14477640200</v>
      </c>
      <c r="P773" s="2">
        <v>66965000000</v>
      </c>
      <c r="Q773" s="2">
        <v>18940206900</v>
      </c>
      <c r="R773" s="2">
        <v>25437885000</v>
      </c>
      <c r="S773" s="2">
        <f t="shared" si="24"/>
        <v>0.10499999999999998</v>
      </c>
      <c r="T773" s="2">
        <f t="shared" si="25"/>
        <v>40404036100</v>
      </c>
    </row>
    <row r="774" spans="1:20" x14ac:dyDescent="0.3">
      <c r="A774" s="1">
        <v>43579</v>
      </c>
      <c r="B774" t="s">
        <v>626</v>
      </c>
      <c r="C774" t="s">
        <v>18</v>
      </c>
      <c r="D774" t="s">
        <v>19</v>
      </c>
      <c r="E774">
        <v>2.2799999999999998</v>
      </c>
      <c r="F774">
        <v>2.3149999999999999</v>
      </c>
      <c r="G774">
        <v>2.2000000000000002</v>
      </c>
      <c r="H774">
        <v>2.44</v>
      </c>
      <c r="I774" s="2">
        <v>523453400</v>
      </c>
      <c r="J774" s="2">
        <v>100123525000</v>
      </c>
      <c r="K774" s="2">
        <v>40966994000</v>
      </c>
      <c r="L774" s="2">
        <v>33079800</v>
      </c>
      <c r="M774" s="2">
        <v>6255250000</v>
      </c>
      <c r="N774" s="2">
        <v>7762000000</v>
      </c>
      <c r="O774" s="2">
        <v>9525625000</v>
      </c>
      <c r="P774" s="2">
        <v>61488000000</v>
      </c>
      <c r="Q774" s="2">
        <v>25186119000</v>
      </c>
      <c r="R774" s="2">
        <v>30873525000</v>
      </c>
      <c r="S774" s="2">
        <f t="shared" si="24"/>
        <v>0.11499999999999977</v>
      </c>
      <c r="T774" s="2">
        <f t="shared" si="25"/>
        <v>41523527200</v>
      </c>
    </row>
    <row r="775" spans="1:20" x14ac:dyDescent="0.3">
      <c r="A775" s="1">
        <v>43580</v>
      </c>
      <c r="B775" t="s">
        <v>625</v>
      </c>
      <c r="C775" t="s">
        <v>18</v>
      </c>
      <c r="D775" t="s">
        <v>68</v>
      </c>
      <c r="E775">
        <v>2.38</v>
      </c>
      <c r="F775">
        <v>2.4260000000000002</v>
      </c>
      <c r="G775">
        <v>1.988</v>
      </c>
      <c r="H775">
        <v>2.4900000000000002</v>
      </c>
      <c r="I775" s="2">
        <v>408549000</v>
      </c>
      <c r="J775" s="2">
        <v>79686055000</v>
      </c>
      <c r="K775" s="2">
        <v>31940860000</v>
      </c>
      <c r="L775" s="2">
        <v>59211100</v>
      </c>
      <c r="M775" s="2">
        <v>6085200000</v>
      </c>
      <c r="N775" s="2">
        <v>7535200000</v>
      </c>
      <c r="O775" s="2">
        <v>6576255000</v>
      </c>
      <c r="P775" s="2">
        <v>49335000000</v>
      </c>
      <c r="Q775" s="2">
        <v>19279405000</v>
      </c>
      <c r="R775" s="2">
        <v>22815855000</v>
      </c>
      <c r="S775" s="2">
        <f t="shared" si="24"/>
        <v>0.43800000000000017</v>
      </c>
      <c r="T775" s="2">
        <f t="shared" si="25"/>
        <v>32408620100</v>
      </c>
    </row>
    <row r="776" spans="1:20" x14ac:dyDescent="0.3">
      <c r="A776" s="1">
        <v>43592</v>
      </c>
      <c r="B776" t="s">
        <v>627</v>
      </c>
      <c r="C776" t="s">
        <v>18</v>
      </c>
      <c r="D776" t="s">
        <v>52</v>
      </c>
      <c r="E776">
        <v>2.2229999999999999</v>
      </c>
      <c r="F776">
        <v>2.2480000000000002</v>
      </c>
      <c r="G776">
        <v>2.14</v>
      </c>
      <c r="H776">
        <v>2.48</v>
      </c>
      <c r="I776" s="2">
        <v>12944989800</v>
      </c>
      <c r="J776" s="2">
        <v>94073500000</v>
      </c>
      <c r="K776" s="2">
        <v>37914860000</v>
      </c>
      <c r="L776" s="2">
        <v>85228100</v>
      </c>
      <c r="M776" s="2">
        <v>7600000000</v>
      </c>
      <c r="N776" s="2">
        <v>7625000000</v>
      </c>
      <c r="O776" s="2">
        <v>15936640000</v>
      </c>
      <c r="P776" s="2">
        <v>65610000000</v>
      </c>
      <c r="Q776" s="2">
        <v>14378220000</v>
      </c>
      <c r="R776" s="2">
        <v>20838500000</v>
      </c>
      <c r="S776" s="2">
        <f t="shared" si="24"/>
        <v>0.1080000000000001</v>
      </c>
      <c r="T776" s="2">
        <f t="shared" si="25"/>
        <v>50945077900</v>
      </c>
    </row>
    <row r="777" spans="1:20" x14ac:dyDescent="0.3">
      <c r="A777" s="1">
        <v>43593</v>
      </c>
      <c r="B777" t="s">
        <v>629</v>
      </c>
      <c r="C777" t="s">
        <v>18</v>
      </c>
      <c r="D777" t="s">
        <v>26</v>
      </c>
      <c r="E777">
        <v>2.4300000000000002</v>
      </c>
      <c r="F777">
        <v>2.4790000000000001</v>
      </c>
      <c r="G777">
        <v>2.3570000000000002</v>
      </c>
      <c r="H777">
        <v>2.17</v>
      </c>
      <c r="I777" s="2">
        <v>9197755900</v>
      </c>
      <c r="J777" s="2">
        <v>58532000000</v>
      </c>
      <c r="K777" s="2">
        <v>26978718000</v>
      </c>
      <c r="L777" s="2">
        <v>21324300</v>
      </c>
      <c r="M777" s="2">
        <v>3090000000</v>
      </c>
      <c r="N777" s="2">
        <v>3090000000</v>
      </c>
      <c r="O777" s="2">
        <v>9497820000</v>
      </c>
      <c r="P777" s="2">
        <v>39344000000</v>
      </c>
      <c r="Q777" s="2">
        <v>14390898000</v>
      </c>
      <c r="R777" s="2">
        <v>16098000000</v>
      </c>
      <c r="S777" s="2">
        <f t="shared" si="24"/>
        <v>0.12199999999999989</v>
      </c>
      <c r="T777" s="2">
        <f t="shared" si="25"/>
        <v>36197798200</v>
      </c>
    </row>
    <row r="778" spans="1:20" x14ac:dyDescent="0.3">
      <c r="A778" s="1">
        <v>43594</v>
      </c>
      <c r="B778" t="s">
        <v>628</v>
      </c>
      <c r="C778" t="s">
        <v>23</v>
      </c>
      <c r="D778" t="s">
        <v>65</v>
      </c>
      <c r="E778">
        <v>2.84</v>
      </c>
      <c r="F778">
        <v>2.8919999999999999</v>
      </c>
      <c r="G778">
        <v>2.65</v>
      </c>
      <c r="H778">
        <v>2.2000000000000002</v>
      </c>
      <c r="I778" s="2">
        <v>6472494800</v>
      </c>
      <c r="J778" s="2">
        <v>41799620000</v>
      </c>
      <c r="K778" s="2">
        <v>18992200500</v>
      </c>
      <c r="L778" s="2">
        <v>7804100</v>
      </c>
      <c r="M778" s="2">
        <v>2086200000</v>
      </c>
      <c r="N778" s="2">
        <v>2113200000</v>
      </c>
      <c r="O778" s="2">
        <v>5418212500</v>
      </c>
      <c r="P778" s="2">
        <v>27140000000</v>
      </c>
      <c r="Q778" s="2">
        <v>11487788000</v>
      </c>
      <c r="R778" s="2">
        <v>12546420000</v>
      </c>
      <c r="S778" s="2">
        <f t="shared" si="24"/>
        <v>0.24199999999999999</v>
      </c>
      <c r="T778" s="2">
        <f t="shared" si="25"/>
        <v>25472499400</v>
      </c>
    </row>
    <row r="779" spans="1:20" x14ac:dyDescent="0.3">
      <c r="A779" s="1">
        <v>43613</v>
      </c>
      <c r="B779" t="s">
        <v>524</v>
      </c>
      <c r="C779" t="s">
        <v>18</v>
      </c>
      <c r="D779" t="s">
        <v>19</v>
      </c>
      <c r="E779">
        <v>2.0299999999999998</v>
      </c>
      <c r="F779">
        <v>2.0649999999999999</v>
      </c>
      <c r="G779">
        <v>1.98</v>
      </c>
      <c r="H779">
        <v>2.38</v>
      </c>
      <c r="I779" s="2">
        <v>4306968200</v>
      </c>
      <c r="J779" s="2">
        <v>97579695000</v>
      </c>
      <c r="K779" s="2">
        <v>40959885200</v>
      </c>
      <c r="L779" s="2">
        <v>40264900</v>
      </c>
      <c r="M779" s="2">
        <v>7523220200</v>
      </c>
      <c r="N779" s="2">
        <v>8097000000</v>
      </c>
      <c r="O779" s="2">
        <v>9889970000</v>
      </c>
      <c r="P779" s="2">
        <v>61580000000</v>
      </c>
      <c r="Q779" s="2">
        <v>23546695000</v>
      </c>
      <c r="R779" s="2">
        <v>27902695000</v>
      </c>
      <c r="S779" s="2">
        <f t="shared" si="24"/>
        <v>8.4999999999999964E-2</v>
      </c>
      <c r="T779" s="2">
        <f t="shared" si="25"/>
        <v>45307118300</v>
      </c>
    </row>
    <row r="780" spans="1:20" x14ac:dyDescent="0.3">
      <c r="A780" s="1">
        <v>43613</v>
      </c>
      <c r="B780" t="s">
        <v>630</v>
      </c>
      <c r="C780" t="s">
        <v>18</v>
      </c>
      <c r="D780" t="s">
        <v>21</v>
      </c>
      <c r="E780">
        <v>2.1</v>
      </c>
      <c r="F780">
        <v>2.125</v>
      </c>
      <c r="G780">
        <v>2.02</v>
      </c>
      <c r="H780">
        <v>2.75</v>
      </c>
      <c r="I780" s="2">
        <v>4201920200</v>
      </c>
      <c r="J780" s="2">
        <v>109429925000</v>
      </c>
      <c r="K780" s="2">
        <v>39610396400</v>
      </c>
      <c r="L780" s="2">
        <v>184611000</v>
      </c>
      <c r="M780" s="2">
        <v>10766290000</v>
      </c>
      <c r="N780" s="2">
        <v>12236000000</v>
      </c>
      <c r="O780" s="2">
        <v>10383000000</v>
      </c>
      <c r="P780" s="2">
        <v>67428000000</v>
      </c>
      <c r="Q780" s="2">
        <v>18461106400</v>
      </c>
      <c r="R780" s="2">
        <v>29765925000</v>
      </c>
      <c r="S780" s="2">
        <f t="shared" si="24"/>
        <v>0.10499999999999998</v>
      </c>
      <c r="T780" s="2">
        <f t="shared" si="25"/>
        <v>43996927600</v>
      </c>
    </row>
    <row r="781" spans="1:20" x14ac:dyDescent="0.3">
      <c r="A781" s="1">
        <v>43614</v>
      </c>
      <c r="B781" t="s">
        <v>631</v>
      </c>
      <c r="C781" t="s">
        <v>18</v>
      </c>
      <c r="D781" t="s">
        <v>68</v>
      </c>
      <c r="E781">
        <v>2.09</v>
      </c>
      <c r="F781">
        <v>2.1440000000000001</v>
      </c>
      <c r="G781">
        <v>2</v>
      </c>
      <c r="H781">
        <v>2.2999999999999998</v>
      </c>
      <c r="I781" s="2">
        <v>3361536100</v>
      </c>
      <c r="J781" s="2">
        <v>73526640000</v>
      </c>
      <c r="K781" s="2">
        <v>31974790000</v>
      </c>
      <c r="L781" s="2">
        <v>25230900</v>
      </c>
      <c r="M781" s="2">
        <v>3611100000</v>
      </c>
      <c r="N781" s="2">
        <v>3611100000</v>
      </c>
      <c r="O781" s="2">
        <v>9737150000</v>
      </c>
      <c r="P781" s="2">
        <v>49390000000</v>
      </c>
      <c r="Q781" s="2">
        <v>18626540000</v>
      </c>
      <c r="R781" s="2">
        <v>20525540000</v>
      </c>
      <c r="S781" s="2">
        <f t="shared" si="24"/>
        <v>0.14400000000000013</v>
      </c>
      <c r="T781" s="2">
        <f t="shared" si="25"/>
        <v>35361557000</v>
      </c>
    </row>
    <row r="782" spans="1:20" x14ac:dyDescent="0.3">
      <c r="A782" s="1">
        <v>43627</v>
      </c>
      <c r="B782" t="s">
        <v>632</v>
      </c>
      <c r="C782" t="s">
        <v>18</v>
      </c>
      <c r="D782" t="s">
        <v>52</v>
      </c>
      <c r="E782">
        <v>1.8380000000000001</v>
      </c>
      <c r="F782">
        <v>1.861</v>
      </c>
      <c r="G782">
        <v>1.3879999999999999</v>
      </c>
      <c r="H782">
        <v>2.62</v>
      </c>
      <c r="I782" s="2">
        <v>0</v>
      </c>
      <c r="J782" s="2">
        <v>99168750000</v>
      </c>
      <c r="K782" s="2">
        <v>37744031200</v>
      </c>
      <c r="L782" s="2">
        <v>56177100</v>
      </c>
      <c r="M782" s="2">
        <v>5048000000</v>
      </c>
      <c r="N782" s="2">
        <v>5602000000</v>
      </c>
      <c r="O782" s="2">
        <v>11331890000</v>
      </c>
      <c r="P782" s="2">
        <v>64547000000</v>
      </c>
      <c r="Q782" s="2">
        <v>21364141200</v>
      </c>
      <c r="R782" s="2">
        <v>29019750000</v>
      </c>
      <c r="S782" s="2">
        <f t="shared" si="24"/>
        <v>0.47300000000000009</v>
      </c>
      <c r="T782" s="2">
        <f t="shared" si="25"/>
        <v>37800208300</v>
      </c>
    </row>
    <row r="783" spans="1:20" x14ac:dyDescent="0.3">
      <c r="A783" s="1">
        <v>43628</v>
      </c>
      <c r="B783" t="s">
        <v>629</v>
      </c>
      <c r="C783" t="s">
        <v>18</v>
      </c>
      <c r="D783" t="s">
        <v>29</v>
      </c>
      <c r="E783">
        <v>2.0750000000000002</v>
      </c>
      <c r="F783">
        <v>2.13</v>
      </c>
      <c r="G783">
        <v>2</v>
      </c>
      <c r="H783">
        <v>2.4900000000000002</v>
      </c>
      <c r="I783" s="2">
        <v>0</v>
      </c>
      <c r="J783" s="2">
        <v>59642390000</v>
      </c>
      <c r="K783" s="2">
        <v>23990062000</v>
      </c>
      <c r="L783" s="2">
        <v>9940600</v>
      </c>
      <c r="M783" s="2">
        <v>3264840000</v>
      </c>
      <c r="N783" s="2">
        <v>3268000000</v>
      </c>
      <c r="O783" s="2">
        <v>4994832000</v>
      </c>
      <c r="P783" s="2">
        <v>37500000000</v>
      </c>
      <c r="Q783" s="2">
        <v>15730390000</v>
      </c>
      <c r="R783" s="2">
        <v>18874390000</v>
      </c>
      <c r="S783" s="2">
        <f t="shared" si="24"/>
        <v>0.12999999999999989</v>
      </c>
      <c r="T783" s="2">
        <f t="shared" si="25"/>
        <v>24000002600</v>
      </c>
    </row>
    <row r="784" spans="1:20" x14ac:dyDescent="0.3">
      <c r="A784" s="1">
        <v>43629</v>
      </c>
      <c r="B784" t="s">
        <v>628</v>
      </c>
      <c r="C784" t="s">
        <v>23</v>
      </c>
      <c r="D784" t="s">
        <v>72</v>
      </c>
      <c r="E784">
        <v>2.5550000000000002</v>
      </c>
      <c r="F784">
        <v>2.6070000000000002</v>
      </c>
      <c r="G784">
        <v>2.1880000000000002</v>
      </c>
      <c r="H784">
        <v>2.3199999999999998</v>
      </c>
      <c r="I784" s="2">
        <v>0</v>
      </c>
      <c r="J784" s="2">
        <v>37049645000</v>
      </c>
      <c r="K784" s="2">
        <v>15990054000</v>
      </c>
      <c r="L784" s="2">
        <v>9956400</v>
      </c>
      <c r="M784" s="2">
        <v>2421200000</v>
      </c>
      <c r="N784" s="2">
        <v>2437200000</v>
      </c>
      <c r="O784" s="2">
        <v>3850657000</v>
      </c>
      <c r="P784" s="2">
        <v>23509000000</v>
      </c>
      <c r="Q784" s="2">
        <v>9718197000</v>
      </c>
      <c r="R784" s="2">
        <v>11103445000</v>
      </c>
      <c r="S784" s="2">
        <f t="shared" si="24"/>
        <v>0.41900000000000004</v>
      </c>
      <c r="T784" s="2">
        <f t="shared" si="25"/>
        <v>16000010400</v>
      </c>
    </row>
    <row r="785" spans="1:20" x14ac:dyDescent="0.3">
      <c r="A785" s="1">
        <v>43637</v>
      </c>
      <c r="B785" t="s">
        <v>629</v>
      </c>
      <c r="C785" t="s">
        <v>18</v>
      </c>
      <c r="D785" t="s">
        <v>29</v>
      </c>
      <c r="E785">
        <v>2.06</v>
      </c>
      <c r="F785">
        <v>2.0649999999999999</v>
      </c>
      <c r="G785">
        <v>2.0299999999999998</v>
      </c>
      <c r="H785">
        <v>3.43</v>
      </c>
      <c r="I785" s="2">
        <v>0</v>
      </c>
      <c r="J785" s="2">
        <v>85850000</v>
      </c>
      <c r="K785" s="2">
        <v>25000400</v>
      </c>
      <c r="L785" s="2">
        <v>0</v>
      </c>
      <c r="M785" s="2">
        <v>0</v>
      </c>
      <c r="N785" s="2">
        <v>0</v>
      </c>
      <c r="O785" s="2">
        <v>25000400</v>
      </c>
      <c r="P785" s="2">
        <v>85850000</v>
      </c>
      <c r="Q785" s="2">
        <v>0</v>
      </c>
      <c r="R785" s="2">
        <v>0</v>
      </c>
      <c r="S785" s="2">
        <f t="shared" si="24"/>
        <v>3.5000000000000142E-2</v>
      </c>
      <c r="T785" s="2">
        <f t="shared" si="25"/>
        <v>25000400</v>
      </c>
    </row>
    <row r="786" spans="1:20" x14ac:dyDescent="0.3">
      <c r="A786" s="1">
        <v>43641</v>
      </c>
      <c r="B786" t="s">
        <v>635</v>
      </c>
      <c r="C786" t="s">
        <v>18</v>
      </c>
      <c r="D786" t="s">
        <v>21</v>
      </c>
      <c r="E786">
        <v>1.6639999999999999</v>
      </c>
      <c r="F786">
        <v>1.6950000000000001</v>
      </c>
      <c r="G786">
        <v>1.57</v>
      </c>
      <c r="H786">
        <v>2.58</v>
      </c>
      <c r="I786" s="2">
        <v>2287612800</v>
      </c>
      <c r="J786" s="2">
        <v>102666210000</v>
      </c>
      <c r="K786" s="2">
        <v>39645985000</v>
      </c>
      <c r="L786" s="2">
        <v>154062400</v>
      </c>
      <c r="M786" s="2">
        <v>9589000000</v>
      </c>
      <c r="N786" s="2">
        <v>9759000000</v>
      </c>
      <c r="O786" s="2">
        <v>10834025000</v>
      </c>
      <c r="P786" s="2">
        <v>65181000000</v>
      </c>
      <c r="Q786" s="2">
        <v>19222960000</v>
      </c>
      <c r="R786" s="2">
        <v>27726210000</v>
      </c>
      <c r="S786" s="2">
        <f t="shared" si="24"/>
        <v>0.125</v>
      </c>
      <c r="T786" s="2">
        <f t="shared" si="25"/>
        <v>42087660200</v>
      </c>
    </row>
    <row r="787" spans="1:20" x14ac:dyDescent="0.3">
      <c r="A787" s="1">
        <v>43642</v>
      </c>
      <c r="B787" t="s">
        <v>634</v>
      </c>
      <c r="C787" t="s">
        <v>18</v>
      </c>
      <c r="D787" t="s">
        <v>19</v>
      </c>
      <c r="E787">
        <v>1.75</v>
      </c>
      <c r="F787">
        <v>1.7909999999999999</v>
      </c>
      <c r="G787">
        <v>1.63</v>
      </c>
      <c r="H787">
        <v>2.35</v>
      </c>
      <c r="I787" s="2">
        <v>2344803100</v>
      </c>
      <c r="J787" s="2">
        <v>96146265000</v>
      </c>
      <c r="K787" s="2">
        <v>40973818400</v>
      </c>
      <c r="L787" s="2">
        <v>26206100</v>
      </c>
      <c r="M787" s="2">
        <v>8074115000</v>
      </c>
      <c r="N787" s="2">
        <v>8095000000</v>
      </c>
      <c r="O787" s="2">
        <v>9497863400</v>
      </c>
      <c r="P787" s="2">
        <v>60972000000</v>
      </c>
      <c r="Q787" s="2">
        <v>23401840000</v>
      </c>
      <c r="R787" s="2">
        <v>27079265000</v>
      </c>
      <c r="S787" s="2">
        <f t="shared" si="24"/>
        <v>0.16100000000000003</v>
      </c>
      <c r="T787" s="2">
        <f t="shared" si="25"/>
        <v>43344827600</v>
      </c>
    </row>
    <row r="788" spans="1:20" x14ac:dyDescent="0.3">
      <c r="A788" s="1">
        <v>43643</v>
      </c>
      <c r="B788" t="s">
        <v>633</v>
      </c>
      <c r="C788" t="s">
        <v>18</v>
      </c>
      <c r="D788" t="s">
        <v>68</v>
      </c>
      <c r="E788">
        <v>1.855</v>
      </c>
      <c r="F788">
        <v>1.889</v>
      </c>
      <c r="G788">
        <v>1.75</v>
      </c>
      <c r="H788">
        <v>2.44</v>
      </c>
      <c r="I788" s="2">
        <v>1830090100</v>
      </c>
      <c r="J788" s="2">
        <v>78084485000</v>
      </c>
      <c r="K788" s="2">
        <v>31990670400</v>
      </c>
      <c r="L788" s="2">
        <v>9361700</v>
      </c>
      <c r="M788" s="2">
        <v>7752500000</v>
      </c>
      <c r="N788" s="2">
        <v>7817500000</v>
      </c>
      <c r="O788" s="2">
        <v>6478385000</v>
      </c>
      <c r="P788" s="2">
        <v>47953000000</v>
      </c>
      <c r="Q788" s="2">
        <v>17759785400</v>
      </c>
      <c r="R788" s="2">
        <v>22313985000</v>
      </c>
      <c r="S788" s="2">
        <f t="shared" si="24"/>
        <v>0.13900000000000001</v>
      </c>
      <c r="T788" s="2">
        <f t="shared" si="25"/>
        <v>33830122200</v>
      </c>
    </row>
    <row r="789" spans="1:20" x14ac:dyDescent="0.3">
      <c r="A789" s="1">
        <v>43655</v>
      </c>
      <c r="B789" t="s">
        <v>636</v>
      </c>
      <c r="C789" t="s">
        <v>18</v>
      </c>
      <c r="D789" t="s">
        <v>52</v>
      </c>
      <c r="E789">
        <v>1.821</v>
      </c>
      <c r="F789">
        <v>1.857</v>
      </c>
      <c r="G789">
        <v>1.7</v>
      </c>
      <c r="H789">
        <v>2.39</v>
      </c>
      <c r="I789" s="2">
        <v>323524200</v>
      </c>
      <c r="J789" s="2">
        <v>90876300000</v>
      </c>
      <c r="K789" s="2">
        <v>37971150000</v>
      </c>
      <c r="L789" s="2">
        <v>28939900</v>
      </c>
      <c r="M789" s="2">
        <v>6803000000</v>
      </c>
      <c r="N789" s="2">
        <v>6932000000</v>
      </c>
      <c r="O789" s="2">
        <v>12750475000</v>
      </c>
      <c r="P789" s="2">
        <v>60966000000</v>
      </c>
      <c r="Q789" s="2">
        <v>18417675000</v>
      </c>
      <c r="R789" s="2">
        <v>22978300000</v>
      </c>
      <c r="S789" s="2">
        <f t="shared" si="24"/>
        <v>0.15700000000000003</v>
      </c>
      <c r="T789" s="2">
        <f t="shared" si="25"/>
        <v>38323614100</v>
      </c>
    </row>
    <row r="790" spans="1:20" x14ac:dyDescent="0.3">
      <c r="A790" s="1">
        <v>43656</v>
      </c>
      <c r="B790" t="s">
        <v>629</v>
      </c>
      <c r="C790" t="s">
        <v>18</v>
      </c>
      <c r="D790" t="s">
        <v>59</v>
      </c>
      <c r="E790">
        <v>2.0299999999999998</v>
      </c>
      <c r="F790">
        <v>2.0640000000000001</v>
      </c>
      <c r="G790">
        <v>1.95</v>
      </c>
      <c r="H790">
        <v>2.41</v>
      </c>
      <c r="I790" s="2">
        <v>204331000</v>
      </c>
      <c r="J790" s="2">
        <v>57781505000</v>
      </c>
      <c r="K790" s="2">
        <v>23995397000</v>
      </c>
      <c r="L790" s="2">
        <v>4620800</v>
      </c>
      <c r="M790" s="2">
        <v>3084000000</v>
      </c>
      <c r="N790" s="2">
        <v>3089000000</v>
      </c>
      <c r="O790" s="2">
        <v>6332384000</v>
      </c>
      <c r="P790" s="2">
        <v>37778000000</v>
      </c>
      <c r="Q790" s="2">
        <v>14579013000</v>
      </c>
      <c r="R790" s="2">
        <v>16914505000</v>
      </c>
      <c r="S790" s="2">
        <f t="shared" si="24"/>
        <v>0.1140000000000001</v>
      </c>
      <c r="T790" s="2">
        <f t="shared" si="25"/>
        <v>24204348800</v>
      </c>
    </row>
    <row r="791" spans="1:20" x14ac:dyDescent="0.3">
      <c r="A791" s="1">
        <v>43657</v>
      </c>
      <c r="B791" t="s">
        <v>628</v>
      </c>
      <c r="C791" t="s">
        <v>23</v>
      </c>
      <c r="D791" t="s">
        <v>91</v>
      </c>
      <c r="E791">
        <v>2.57</v>
      </c>
      <c r="F791">
        <v>2.6440000000000001</v>
      </c>
      <c r="G791">
        <v>1.8879999999999999</v>
      </c>
      <c r="H791">
        <v>2.13</v>
      </c>
      <c r="I791" s="2">
        <v>136220700</v>
      </c>
      <c r="J791" s="2">
        <v>34059995000</v>
      </c>
      <c r="K791" s="2">
        <v>15992757000</v>
      </c>
      <c r="L791" s="2">
        <v>7247000</v>
      </c>
      <c r="M791" s="2">
        <v>2683300000</v>
      </c>
      <c r="N791" s="2">
        <v>2683300000</v>
      </c>
      <c r="O791" s="2">
        <v>5314762000</v>
      </c>
      <c r="P791" s="2">
        <v>22873000000</v>
      </c>
      <c r="Q791" s="2">
        <v>7994695000</v>
      </c>
      <c r="R791" s="2">
        <v>8503695000</v>
      </c>
      <c r="S791" s="2">
        <f t="shared" si="24"/>
        <v>0.75600000000000023</v>
      </c>
      <c r="T791" s="2">
        <f t="shared" si="25"/>
        <v>16136224700</v>
      </c>
    </row>
    <row r="792" spans="1:20" x14ac:dyDescent="0.3">
      <c r="A792" s="1">
        <v>43669</v>
      </c>
      <c r="B792" t="s">
        <v>638</v>
      </c>
      <c r="C792" t="s">
        <v>18</v>
      </c>
      <c r="D792" t="s">
        <v>21</v>
      </c>
      <c r="E792">
        <v>1.8</v>
      </c>
      <c r="F792">
        <v>1.825</v>
      </c>
      <c r="G792">
        <v>1.5880000000000001</v>
      </c>
      <c r="H792">
        <v>2.5</v>
      </c>
      <c r="I792" s="2">
        <v>1589017100</v>
      </c>
      <c r="J792" s="2">
        <v>99697515000</v>
      </c>
      <c r="K792" s="2">
        <v>39710027000</v>
      </c>
      <c r="L792" s="2">
        <v>185131500</v>
      </c>
      <c r="M792" s="2">
        <v>9898000000</v>
      </c>
      <c r="N792" s="2">
        <v>9983000000</v>
      </c>
      <c r="O792" s="2">
        <v>12546135000</v>
      </c>
      <c r="P792" s="2">
        <v>63841000000</v>
      </c>
      <c r="Q792" s="2">
        <v>17265892000</v>
      </c>
      <c r="R792" s="2">
        <v>25873515000</v>
      </c>
      <c r="S792" s="2">
        <f t="shared" si="24"/>
        <v>0.23699999999999988</v>
      </c>
      <c r="T792" s="2">
        <f t="shared" si="25"/>
        <v>41484175600</v>
      </c>
    </row>
    <row r="793" spans="1:20" x14ac:dyDescent="0.3">
      <c r="A793" s="1">
        <v>43670</v>
      </c>
      <c r="B793" t="s">
        <v>637</v>
      </c>
      <c r="C793" t="s">
        <v>18</v>
      </c>
      <c r="D793" t="s">
        <v>19</v>
      </c>
      <c r="E793">
        <v>1.7789999999999999</v>
      </c>
      <c r="F793">
        <v>1.8240000000000001</v>
      </c>
      <c r="G793">
        <v>1.7</v>
      </c>
      <c r="H793">
        <v>2.2599999999999998</v>
      </c>
      <c r="I793" s="2">
        <v>1628742500</v>
      </c>
      <c r="J793" s="2">
        <v>92629140000</v>
      </c>
      <c r="K793" s="2">
        <v>40949530000</v>
      </c>
      <c r="L793" s="2">
        <v>45552200</v>
      </c>
      <c r="M793" s="2">
        <v>5626000000</v>
      </c>
      <c r="N793" s="2">
        <v>5626000000</v>
      </c>
      <c r="O793" s="2">
        <v>13453035000</v>
      </c>
      <c r="P793" s="2">
        <v>60985000000</v>
      </c>
      <c r="Q793" s="2">
        <v>21870495000</v>
      </c>
      <c r="R793" s="2">
        <v>26018140000</v>
      </c>
      <c r="S793" s="2">
        <f t="shared" si="24"/>
        <v>0.12400000000000011</v>
      </c>
      <c r="T793" s="2">
        <f t="shared" si="25"/>
        <v>42623824700</v>
      </c>
    </row>
    <row r="794" spans="1:20" x14ac:dyDescent="0.3">
      <c r="A794" s="1">
        <v>43671</v>
      </c>
      <c r="B794" t="s">
        <v>639</v>
      </c>
      <c r="C794" t="s">
        <v>18</v>
      </c>
      <c r="D794" t="s">
        <v>68</v>
      </c>
      <c r="E794">
        <v>1.92</v>
      </c>
      <c r="F794">
        <v>1.9670000000000001</v>
      </c>
      <c r="G794">
        <v>1.488</v>
      </c>
      <c r="H794">
        <v>2.27</v>
      </c>
      <c r="I794" s="2">
        <v>1271213600</v>
      </c>
      <c r="J794" s="2">
        <v>72764960000</v>
      </c>
      <c r="K794" s="2">
        <v>31982395000</v>
      </c>
      <c r="L794" s="2">
        <v>17627700</v>
      </c>
      <c r="M794" s="2">
        <v>5052000000</v>
      </c>
      <c r="N794" s="2">
        <v>5102000000</v>
      </c>
      <c r="O794" s="2">
        <v>7945585000</v>
      </c>
      <c r="P794" s="2">
        <v>46094000000</v>
      </c>
      <c r="Q794" s="2">
        <v>18984810000</v>
      </c>
      <c r="R794" s="2">
        <v>21568960000</v>
      </c>
      <c r="S794" s="2">
        <f t="shared" si="24"/>
        <v>0.47900000000000009</v>
      </c>
      <c r="T794" s="2">
        <f t="shared" si="25"/>
        <v>33271236300</v>
      </c>
    </row>
    <row r="795" spans="1:20" x14ac:dyDescent="0.3">
      <c r="A795" s="1">
        <v>43683</v>
      </c>
      <c r="B795" t="s">
        <v>641</v>
      </c>
      <c r="C795" t="s">
        <v>18</v>
      </c>
      <c r="D795" t="s">
        <v>52</v>
      </c>
      <c r="E795">
        <v>1.53</v>
      </c>
      <c r="F795">
        <v>1.5620000000000001</v>
      </c>
      <c r="G795">
        <v>1.0880000000000001</v>
      </c>
      <c r="H795">
        <v>2.41</v>
      </c>
      <c r="I795" s="2">
        <v>24796993800</v>
      </c>
      <c r="J795" s="2">
        <v>91543300000</v>
      </c>
      <c r="K795" s="2">
        <v>37953300000</v>
      </c>
      <c r="L795" s="2">
        <v>46702800</v>
      </c>
      <c r="M795" s="2">
        <v>7337000000</v>
      </c>
      <c r="N795" s="2">
        <v>7412000000</v>
      </c>
      <c r="O795" s="2">
        <v>12908760000</v>
      </c>
      <c r="P795" s="2">
        <v>60970000000</v>
      </c>
      <c r="Q795" s="2">
        <v>17707540000</v>
      </c>
      <c r="R795" s="2">
        <v>23161300000</v>
      </c>
      <c r="S795" s="2">
        <f t="shared" si="24"/>
        <v>0.47399999999999998</v>
      </c>
      <c r="T795" s="2">
        <f t="shared" si="25"/>
        <v>62796996600</v>
      </c>
    </row>
    <row r="796" spans="1:20" x14ac:dyDescent="0.3">
      <c r="A796" s="1">
        <v>43684</v>
      </c>
      <c r="B796" t="s">
        <v>640</v>
      </c>
      <c r="C796" t="s">
        <v>18</v>
      </c>
      <c r="D796" t="s">
        <v>26</v>
      </c>
      <c r="E796">
        <v>1.595</v>
      </c>
      <c r="F796">
        <v>1.67</v>
      </c>
      <c r="G796">
        <v>1.51</v>
      </c>
      <c r="H796">
        <v>2.2000000000000002</v>
      </c>
      <c r="I796" s="2">
        <v>17618916700</v>
      </c>
      <c r="J796" s="2">
        <v>59295425000</v>
      </c>
      <c r="K796" s="2">
        <v>26972550500</v>
      </c>
      <c r="L796" s="2">
        <v>27484000</v>
      </c>
      <c r="M796" s="2">
        <v>3657000000</v>
      </c>
      <c r="N796" s="2">
        <v>3657000000</v>
      </c>
      <c r="O796" s="2">
        <v>8286980000</v>
      </c>
      <c r="P796" s="2">
        <v>38813700000</v>
      </c>
      <c r="Q796" s="2">
        <v>15028570500</v>
      </c>
      <c r="R796" s="2">
        <v>16824725000</v>
      </c>
      <c r="S796" s="2">
        <f t="shared" si="24"/>
        <v>0.15999999999999992</v>
      </c>
      <c r="T796" s="2">
        <f t="shared" si="25"/>
        <v>44618951200</v>
      </c>
    </row>
    <row r="797" spans="1:20" x14ac:dyDescent="0.3">
      <c r="A797" s="1">
        <v>43685</v>
      </c>
      <c r="B797" t="s">
        <v>642</v>
      </c>
      <c r="C797" t="s">
        <v>23</v>
      </c>
      <c r="D797" t="s">
        <v>65</v>
      </c>
      <c r="E797">
        <v>2.2650000000000001</v>
      </c>
      <c r="F797">
        <v>2.335</v>
      </c>
      <c r="G797">
        <v>1.8879999999999999</v>
      </c>
      <c r="H797">
        <v>2.2400000000000002</v>
      </c>
      <c r="I797" s="2">
        <v>12398496800</v>
      </c>
      <c r="J797" s="2">
        <v>42513180000</v>
      </c>
      <c r="K797" s="2">
        <v>18991314000</v>
      </c>
      <c r="L797" s="2">
        <v>8712200</v>
      </c>
      <c r="M797" s="2">
        <v>2377884000</v>
      </c>
      <c r="N797" s="2">
        <v>2554600000</v>
      </c>
      <c r="O797" s="2">
        <v>4965230000</v>
      </c>
      <c r="P797" s="2">
        <v>26627000000</v>
      </c>
      <c r="Q797" s="2">
        <v>11648200000</v>
      </c>
      <c r="R797" s="2">
        <v>13331580000</v>
      </c>
      <c r="S797" s="2">
        <f t="shared" si="24"/>
        <v>0.44700000000000006</v>
      </c>
      <c r="T797" s="2">
        <f t="shared" si="25"/>
        <v>31398523000</v>
      </c>
    </row>
    <row r="798" spans="1:20" x14ac:dyDescent="0.3">
      <c r="A798" s="1">
        <v>43704</v>
      </c>
      <c r="B798" t="s">
        <v>645</v>
      </c>
      <c r="C798" t="s">
        <v>18</v>
      </c>
      <c r="D798" t="s">
        <v>21</v>
      </c>
      <c r="E798">
        <v>1.4890000000000001</v>
      </c>
      <c r="F798">
        <v>1.516</v>
      </c>
      <c r="G798">
        <v>0.88</v>
      </c>
      <c r="H798">
        <v>2.6</v>
      </c>
      <c r="I798" s="2">
        <v>5194229300</v>
      </c>
      <c r="J798" s="2">
        <v>103672495000</v>
      </c>
      <c r="K798" s="2">
        <v>39740475000</v>
      </c>
      <c r="L798" s="2">
        <v>154557000</v>
      </c>
      <c r="M798" s="2">
        <v>8090000000</v>
      </c>
      <c r="N798" s="2">
        <v>8270000000</v>
      </c>
      <c r="O798" s="2">
        <v>12915980000</v>
      </c>
      <c r="P798" s="2">
        <v>66927000000</v>
      </c>
      <c r="Q798" s="2">
        <v>18734495000</v>
      </c>
      <c r="R798" s="2">
        <v>28475495000</v>
      </c>
      <c r="S798" s="2">
        <f t="shared" si="24"/>
        <v>0.63600000000000001</v>
      </c>
      <c r="T798" s="2">
        <f t="shared" si="25"/>
        <v>45089261300</v>
      </c>
    </row>
    <row r="799" spans="1:20" x14ac:dyDescent="0.3">
      <c r="A799" s="1">
        <v>43705</v>
      </c>
      <c r="B799" t="s">
        <v>644</v>
      </c>
      <c r="C799" t="s">
        <v>18</v>
      </c>
      <c r="D799" t="s">
        <v>19</v>
      </c>
      <c r="E799">
        <v>1.32</v>
      </c>
      <c r="F799">
        <v>1.365</v>
      </c>
      <c r="G799">
        <v>1.25</v>
      </c>
      <c r="H799">
        <v>2.48</v>
      </c>
      <c r="I799" s="2">
        <v>5324084900</v>
      </c>
      <c r="J799" s="2">
        <v>101573870000</v>
      </c>
      <c r="K799" s="2">
        <v>40974690000</v>
      </c>
      <c r="L799" s="2">
        <v>20372800</v>
      </c>
      <c r="M799" s="2">
        <v>7664500000</v>
      </c>
      <c r="N799" s="2">
        <v>8759000000</v>
      </c>
      <c r="O799" s="2">
        <v>8865025000</v>
      </c>
      <c r="P799" s="2">
        <v>64490000000</v>
      </c>
      <c r="Q799" s="2">
        <v>24445165000</v>
      </c>
      <c r="R799" s="2">
        <v>28324870000</v>
      </c>
      <c r="S799" s="2">
        <f t="shared" si="24"/>
        <v>0.11499999999999999</v>
      </c>
      <c r="T799" s="2">
        <f t="shared" si="25"/>
        <v>46319147700</v>
      </c>
    </row>
    <row r="800" spans="1:20" x14ac:dyDescent="0.3">
      <c r="A800" s="1">
        <v>43706</v>
      </c>
      <c r="B800" t="s">
        <v>643</v>
      </c>
      <c r="C800" t="s">
        <v>18</v>
      </c>
      <c r="D800" t="s">
        <v>68</v>
      </c>
      <c r="E800">
        <v>1.42</v>
      </c>
      <c r="F800">
        <v>1.4890000000000001</v>
      </c>
      <c r="G800">
        <v>1.35</v>
      </c>
      <c r="H800">
        <v>2.16</v>
      </c>
      <c r="I800" s="2">
        <v>4155383300</v>
      </c>
      <c r="J800" s="2">
        <v>69084570000</v>
      </c>
      <c r="K800" s="2">
        <v>31989237200</v>
      </c>
      <c r="L800" s="2">
        <v>10763600</v>
      </c>
      <c r="M800" s="2">
        <v>5134500000</v>
      </c>
      <c r="N800" s="2">
        <v>5134500000</v>
      </c>
      <c r="O800" s="2">
        <v>10797000000</v>
      </c>
      <c r="P800" s="2">
        <v>46182000000</v>
      </c>
      <c r="Q800" s="2">
        <v>16057737200</v>
      </c>
      <c r="R800" s="2">
        <v>17768070000</v>
      </c>
      <c r="S800" s="2">
        <f t="shared" si="24"/>
        <v>0.13900000000000001</v>
      </c>
      <c r="T800" s="2">
        <f t="shared" si="25"/>
        <v>36155384100</v>
      </c>
    </row>
    <row r="801" spans="1:20" x14ac:dyDescent="0.3">
      <c r="A801" s="1">
        <v>43718</v>
      </c>
      <c r="B801" t="s">
        <v>646</v>
      </c>
      <c r="C801" t="s">
        <v>18</v>
      </c>
      <c r="D801" t="s">
        <v>52</v>
      </c>
      <c r="E801">
        <v>1.54</v>
      </c>
      <c r="F801">
        <v>1.573</v>
      </c>
      <c r="G801">
        <v>0.88</v>
      </c>
      <c r="H801">
        <v>2.42</v>
      </c>
      <c r="I801" s="2">
        <v>0</v>
      </c>
      <c r="J801" s="2">
        <v>92033215000</v>
      </c>
      <c r="K801" s="2">
        <v>37916593800</v>
      </c>
      <c r="L801" s="2">
        <v>33459200</v>
      </c>
      <c r="M801" s="2">
        <v>6281000000</v>
      </c>
      <c r="N801" s="2">
        <v>6466000000</v>
      </c>
      <c r="O801" s="2">
        <v>14123390000</v>
      </c>
      <c r="P801" s="2">
        <v>62236000000</v>
      </c>
      <c r="Q801" s="2">
        <v>17512203800</v>
      </c>
      <c r="R801" s="2">
        <v>23331215000</v>
      </c>
      <c r="S801" s="2">
        <f t="shared" si="24"/>
        <v>0.69299999999999995</v>
      </c>
      <c r="T801" s="2">
        <f t="shared" si="25"/>
        <v>37950053000</v>
      </c>
    </row>
    <row r="802" spans="1:20" x14ac:dyDescent="0.3">
      <c r="A802" s="1">
        <v>43719</v>
      </c>
      <c r="B802" t="s">
        <v>640</v>
      </c>
      <c r="C802" t="s">
        <v>18</v>
      </c>
      <c r="D802" t="s">
        <v>29</v>
      </c>
      <c r="E802">
        <v>1.7</v>
      </c>
      <c r="F802">
        <v>1.7390000000000001</v>
      </c>
      <c r="G802">
        <v>0.88</v>
      </c>
      <c r="H802">
        <v>2.46</v>
      </c>
      <c r="I802" s="2">
        <v>0</v>
      </c>
      <c r="J802" s="2">
        <v>59121805000</v>
      </c>
      <c r="K802" s="2">
        <v>23997675800</v>
      </c>
      <c r="L802" s="2">
        <v>2324600</v>
      </c>
      <c r="M802" s="2">
        <v>3052000000</v>
      </c>
      <c r="N802" s="2">
        <v>3110000000</v>
      </c>
      <c r="O802" s="2">
        <v>5920000000</v>
      </c>
      <c r="P802" s="2">
        <v>36484000000</v>
      </c>
      <c r="Q802" s="2">
        <v>15025675800</v>
      </c>
      <c r="R802" s="2">
        <v>19527805000</v>
      </c>
      <c r="S802" s="2">
        <f t="shared" si="24"/>
        <v>0.8590000000000001</v>
      </c>
      <c r="T802" s="2">
        <f t="shared" si="25"/>
        <v>24000000400</v>
      </c>
    </row>
    <row r="803" spans="1:20" x14ac:dyDescent="0.3">
      <c r="A803" s="1">
        <v>43720</v>
      </c>
      <c r="B803" t="s">
        <v>642</v>
      </c>
      <c r="C803" t="s">
        <v>23</v>
      </c>
      <c r="D803" t="s">
        <v>72</v>
      </c>
      <c r="E803">
        <v>2.2050000000000001</v>
      </c>
      <c r="F803">
        <v>2.27</v>
      </c>
      <c r="G803">
        <v>2</v>
      </c>
      <c r="H803">
        <v>2.2200000000000002</v>
      </c>
      <c r="I803" s="2">
        <v>0</v>
      </c>
      <c r="J803" s="2">
        <v>35524300000</v>
      </c>
      <c r="K803" s="2">
        <v>15981862800</v>
      </c>
      <c r="L803" s="2">
        <v>18151200</v>
      </c>
      <c r="M803" s="2">
        <v>2126700000</v>
      </c>
      <c r="N803" s="2">
        <v>2146700000</v>
      </c>
      <c r="O803" s="2">
        <v>4216078000</v>
      </c>
      <c r="P803" s="2">
        <v>22812000000</v>
      </c>
      <c r="Q803" s="2">
        <v>9639084800</v>
      </c>
      <c r="R803" s="2">
        <v>10565600000</v>
      </c>
      <c r="S803" s="2">
        <f t="shared" si="24"/>
        <v>0.27</v>
      </c>
      <c r="T803" s="2">
        <f t="shared" si="25"/>
        <v>16000014000</v>
      </c>
    </row>
    <row r="804" spans="1:20" x14ac:dyDescent="0.3">
      <c r="A804" s="1">
        <v>43732</v>
      </c>
      <c r="B804" t="s">
        <v>649</v>
      </c>
      <c r="C804" t="s">
        <v>18</v>
      </c>
      <c r="D804" t="s">
        <v>21</v>
      </c>
      <c r="E804">
        <v>1.585</v>
      </c>
      <c r="F804">
        <v>1.6120000000000001</v>
      </c>
      <c r="G804">
        <v>0.88</v>
      </c>
      <c r="H804">
        <v>2.64</v>
      </c>
      <c r="I804" s="2">
        <v>4155274300</v>
      </c>
      <c r="J804" s="2">
        <v>105308630000</v>
      </c>
      <c r="K804" s="2">
        <v>39853186400</v>
      </c>
      <c r="L804" s="2">
        <v>146819800</v>
      </c>
      <c r="M804" s="2">
        <v>6347918900</v>
      </c>
      <c r="N804" s="2">
        <v>8726000000</v>
      </c>
      <c r="O804" s="2">
        <v>10784437500</v>
      </c>
      <c r="P804" s="2">
        <v>66084000000</v>
      </c>
      <c r="Q804" s="2">
        <v>22720830000</v>
      </c>
      <c r="R804" s="2">
        <v>30498630000</v>
      </c>
      <c r="S804" s="2">
        <f t="shared" si="24"/>
        <v>0.7320000000000001</v>
      </c>
      <c r="T804" s="2">
        <f t="shared" si="25"/>
        <v>44155280500</v>
      </c>
    </row>
    <row r="805" spans="1:20" x14ac:dyDescent="0.3">
      <c r="A805" s="1">
        <v>43733</v>
      </c>
      <c r="B805" t="s">
        <v>648</v>
      </c>
      <c r="C805" t="s">
        <v>18</v>
      </c>
      <c r="D805" t="s">
        <v>19</v>
      </c>
      <c r="E805">
        <v>1.54</v>
      </c>
      <c r="F805">
        <v>1.6</v>
      </c>
      <c r="G805">
        <v>0.88</v>
      </c>
      <c r="H805">
        <v>2.3199999999999998</v>
      </c>
      <c r="I805" s="2">
        <v>4259156100</v>
      </c>
      <c r="J805" s="2">
        <v>94900155000</v>
      </c>
      <c r="K805" s="2">
        <v>40983213400</v>
      </c>
      <c r="L805" s="2">
        <v>16911500</v>
      </c>
      <c r="M805" s="2">
        <v>5818240000</v>
      </c>
      <c r="N805" s="2">
        <v>5853000000</v>
      </c>
      <c r="O805" s="2">
        <v>11068120000</v>
      </c>
      <c r="P805" s="2">
        <v>61910000000</v>
      </c>
      <c r="Q805" s="2">
        <v>24096853400</v>
      </c>
      <c r="R805" s="2">
        <v>27137155000</v>
      </c>
      <c r="S805" s="2">
        <f t="shared" si="24"/>
        <v>0.72000000000000008</v>
      </c>
      <c r="T805" s="2">
        <f t="shared" si="25"/>
        <v>45259281000</v>
      </c>
    </row>
    <row r="806" spans="1:20" x14ac:dyDescent="0.3">
      <c r="A806" s="1">
        <v>43734</v>
      </c>
      <c r="B806" t="s">
        <v>647</v>
      </c>
      <c r="C806" t="s">
        <v>18</v>
      </c>
      <c r="D806" t="s">
        <v>68</v>
      </c>
      <c r="E806">
        <v>1.59</v>
      </c>
      <c r="F806">
        <v>1.633</v>
      </c>
      <c r="G806">
        <v>0.88</v>
      </c>
      <c r="H806">
        <v>2.4900000000000002</v>
      </c>
      <c r="I806" s="2">
        <v>3324219300</v>
      </c>
      <c r="J806" s="2">
        <v>79744955000</v>
      </c>
      <c r="K806" s="2">
        <v>31993709400</v>
      </c>
      <c r="L806" s="2">
        <v>6314700</v>
      </c>
      <c r="M806" s="2">
        <v>4664700000</v>
      </c>
      <c r="N806" s="2">
        <v>5599700000</v>
      </c>
      <c r="O806" s="2">
        <v>6468536000</v>
      </c>
      <c r="P806" s="2">
        <v>48216000000</v>
      </c>
      <c r="Q806" s="2">
        <v>20860473400</v>
      </c>
      <c r="R806" s="2">
        <v>25929255000</v>
      </c>
      <c r="S806" s="2">
        <f t="shared" si="24"/>
        <v>0.753</v>
      </c>
      <c r="T806" s="2">
        <f t="shared" si="25"/>
        <v>35324243400</v>
      </c>
    </row>
    <row r="807" spans="1:20" x14ac:dyDescent="0.3">
      <c r="A807" s="1">
        <v>43746</v>
      </c>
      <c r="B807" t="s">
        <v>650</v>
      </c>
      <c r="C807" t="s">
        <v>18</v>
      </c>
      <c r="D807" t="s">
        <v>52</v>
      </c>
      <c r="E807">
        <v>1.379</v>
      </c>
      <c r="F807">
        <v>1.413</v>
      </c>
      <c r="G807">
        <v>0.88</v>
      </c>
      <c r="H807">
        <v>2.4300000000000002</v>
      </c>
      <c r="I807" s="2">
        <v>0</v>
      </c>
      <c r="J807" s="2">
        <v>92147390000</v>
      </c>
      <c r="K807" s="2">
        <v>37971665400</v>
      </c>
      <c r="L807" s="2">
        <v>28376600</v>
      </c>
      <c r="M807" s="2">
        <v>6418000000</v>
      </c>
      <c r="N807" s="2">
        <v>6418000000</v>
      </c>
      <c r="O807" s="2">
        <v>14163710000</v>
      </c>
      <c r="P807" s="2">
        <v>60401000000</v>
      </c>
      <c r="Q807" s="2">
        <v>17389955400</v>
      </c>
      <c r="R807" s="2">
        <v>25328390000</v>
      </c>
      <c r="S807" s="2">
        <f t="shared" si="24"/>
        <v>0.53300000000000003</v>
      </c>
      <c r="T807" s="2">
        <f t="shared" si="25"/>
        <v>38000042000</v>
      </c>
    </row>
    <row r="808" spans="1:20" x14ac:dyDescent="0.3">
      <c r="A808" s="1">
        <v>43747</v>
      </c>
      <c r="B808" t="s">
        <v>640</v>
      </c>
      <c r="C808" t="s">
        <v>18</v>
      </c>
      <c r="D808" t="s">
        <v>59</v>
      </c>
      <c r="E808">
        <v>1.5349999999999999</v>
      </c>
      <c r="F808">
        <v>1.59</v>
      </c>
      <c r="G808">
        <v>1.45</v>
      </c>
      <c r="H808">
        <v>2.4300000000000002</v>
      </c>
      <c r="I808" s="2">
        <v>0</v>
      </c>
      <c r="J808" s="2">
        <v>58313320000</v>
      </c>
      <c r="K808" s="2">
        <v>23996736500</v>
      </c>
      <c r="L808" s="2">
        <v>3314000</v>
      </c>
      <c r="M808" s="2">
        <v>3070000000</v>
      </c>
      <c r="N808" s="2">
        <v>3130000000</v>
      </c>
      <c r="O808" s="2">
        <v>6881891500</v>
      </c>
      <c r="P808" s="2">
        <v>38347000000</v>
      </c>
      <c r="Q808" s="2">
        <v>14044845000</v>
      </c>
      <c r="R808" s="2">
        <v>16836320000</v>
      </c>
      <c r="S808" s="2">
        <f t="shared" si="24"/>
        <v>0.14000000000000012</v>
      </c>
      <c r="T808" s="2">
        <f t="shared" si="25"/>
        <v>24000050500</v>
      </c>
    </row>
    <row r="809" spans="1:20" x14ac:dyDescent="0.3">
      <c r="A809" s="1">
        <v>43748</v>
      </c>
      <c r="B809" t="s">
        <v>642</v>
      </c>
      <c r="C809" t="s">
        <v>23</v>
      </c>
      <c r="D809" t="s">
        <v>91</v>
      </c>
      <c r="E809">
        <v>2.1190000000000002</v>
      </c>
      <c r="F809">
        <v>2.17</v>
      </c>
      <c r="G809">
        <v>1.8</v>
      </c>
      <c r="H809">
        <v>2.25</v>
      </c>
      <c r="I809" s="2">
        <v>0</v>
      </c>
      <c r="J809" s="2">
        <v>35923790000</v>
      </c>
      <c r="K809" s="2">
        <v>15997302900</v>
      </c>
      <c r="L809" s="2">
        <v>2716300</v>
      </c>
      <c r="M809" s="2">
        <v>2965600000</v>
      </c>
      <c r="N809" s="2">
        <v>2980600000</v>
      </c>
      <c r="O809" s="2">
        <v>3669756500</v>
      </c>
      <c r="P809" s="2">
        <v>22248000000</v>
      </c>
      <c r="Q809" s="2">
        <v>9361946400</v>
      </c>
      <c r="R809" s="2">
        <v>10695190000</v>
      </c>
      <c r="S809" s="2">
        <f t="shared" si="24"/>
        <v>0.36999999999999988</v>
      </c>
      <c r="T809" s="2">
        <f t="shared" si="25"/>
        <v>16000019200</v>
      </c>
    </row>
    <row r="810" spans="1:20" x14ac:dyDescent="0.3">
      <c r="A810" s="1">
        <v>43760</v>
      </c>
      <c r="B810" t="s">
        <v>653</v>
      </c>
      <c r="C810" t="s">
        <v>18</v>
      </c>
      <c r="D810" t="s">
        <v>21</v>
      </c>
      <c r="E810">
        <v>1.56</v>
      </c>
      <c r="F810">
        <v>1.5940000000000001</v>
      </c>
      <c r="G810">
        <v>0.88</v>
      </c>
      <c r="H810">
        <v>2.7</v>
      </c>
      <c r="I810" s="2">
        <v>4182016500</v>
      </c>
      <c r="J810" s="2">
        <v>107712675000</v>
      </c>
      <c r="K810" s="2">
        <v>39893161200</v>
      </c>
      <c r="L810" s="2">
        <v>106903100</v>
      </c>
      <c r="M810" s="2">
        <v>5568500000</v>
      </c>
      <c r="N810" s="2">
        <v>8127000000</v>
      </c>
      <c r="O810" s="2">
        <v>12453000000</v>
      </c>
      <c r="P810" s="2">
        <v>67033000000</v>
      </c>
      <c r="Q810" s="2">
        <v>21871661200</v>
      </c>
      <c r="R810" s="2">
        <v>32552675000</v>
      </c>
      <c r="S810" s="2">
        <f t="shared" si="24"/>
        <v>0.71400000000000008</v>
      </c>
      <c r="T810" s="2">
        <f t="shared" si="25"/>
        <v>44182080800</v>
      </c>
    </row>
    <row r="811" spans="1:20" x14ac:dyDescent="0.3">
      <c r="A811" s="1">
        <v>43761</v>
      </c>
      <c r="B811" t="s">
        <v>652</v>
      </c>
      <c r="C811" t="s">
        <v>18</v>
      </c>
      <c r="D811" t="s">
        <v>19</v>
      </c>
      <c r="E811">
        <v>1.528</v>
      </c>
      <c r="F811">
        <v>1.57</v>
      </c>
      <c r="G811">
        <v>1.36</v>
      </c>
      <c r="H811">
        <v>2.41</v>
      </c>
      <c r="I811" s="2">
        <v>4286566800</v>
      </c>
      <c r="J811" s="2">
        <v>98592915000</v>
      </c>
      <c r="K811" s="2">
        <v>40965995900</v>
      </c>
      <c r="L811" s="2">
        <v>34178500</v>
      </c>
      <c r="M811" s="2">
        <v>4720966300</v>
      </c>
      <c r="N811" s="2">
        <v>5366000000</v>
      </c>
      <c r="O811" s="2">
        <v>9332762500</v>
      </c>
      <c r="P811" s="2">
        <v>60308000000</v>
      </c>
      <c r="Q811" s="2">
        <v>26912267100</v>
      </c>
      <c r="R811" s="2">
        <v>32918915000</v>
      </c>
      <c r="S811" s="2">
        <f t="shared" si="24"/>
        <v>0.20999999999999996</v>
      </c>
      <c r="T811" s="2">
        <f t="shared" si="25"/>
        <v>45286741200</v>
      </c>
    </row>
    <row r="812" spans="1:20" x14ac:dyDescent="0.3">
      <c r="A812" s="1">
        <v>43762</v>
      </c>
      <c r="B812" t="s">
        <v>651</v>
      </c>
      <c r="C812" t="s">
        <v>18</v>
      </c>
      <c r="D812" t="s">
        <v>68</v>
      </c>
      <c r="E812">
        <v>1.615</v>
      </c>
      <c r="F812">
        <v>1.657</v>
      </c>
      <c r="G812">
        <v>1.4</v>
      </c>
      <c r="H812">
        <v>2.46</v>
      </c>
      <c r="I812" s="2">
        <v>3345613100</v>
      </c>
      <c r="J812" s="2">
        <v>78629435000</v>
      </c>
      <c r="K812" s="2">
        <v>31995464500</v>
      </c>
      <c r="L812" s="2">
        <v>4564000</v>
      </c>
      <c r="M812" s="2">
        <v>4636600000</v>
      </c>
      <c r="N812" s="2">
        <v>5502600000</v>
      </c>
      <c r="O812" s="2">
        <v>6422000000</v>
      </c>
      <c r="P812" s="2">
        <v>47729000000</v>
      </c>
      <c r="Q812" s="2">
        <v>20936864500</v>
      </c>
      <c r="R812" s="2">
        <v>25397835000</v>
      </c>
      <c r="S812" s="2">
        <f t="shared" si="24"/>
        <v>0.25700000000000012</v>
      </c>
      <c r="T812" s="2">
        <f t="shared" si="25"/>
        <v>35345641600</v>
      </c>
    </row>
    <row r="813" spans="1:20" x14ac:dyDescent="0.3">
      <c r="A813" s="1">
        <v>43774</v>
      </c>
      <c r="B813" t="s">
        <v>277</v>
      </c>
      <c r="C813" t="s">
        <v>18</v>
      </c>
      <c r="D813" t="s">
        <v>52</v>
      </c>
      <c r="E813">
        <v>1.6</v>
      </c>
      <c r="F813">
        <v>1.63</v>
      </c>
      <c r="G813">
        <v>1.53</v>
      </c>
      <c r="H813">
        <v>2.6</v>
      </c>
      <c r="I813" s="2">
        <v>17993322500</v>
      </c>
      <c r="J813" s="2">
        <v>98492101000</v>
      </c>
      <c r="K813" s="2">
        <v>37851001000</v>
      </c>
      <c r="L813" s="2">
        <v>49057800</v>
      </c>
      <c r="M813" s="2">
        <v>6409572000</v>
      </c>
      <c r="N813" s="2">
        <v>6571000000</v>
      </c>
      <c r="O813" s="2">
        <v>11260318000</v>
      </c>
      <c r="P813" s="2">
        <v>63780000000</v>
      </c>
      <c r="Q813" s="2">
        <v>20181111000</v>
      </c>
      <c r="R813" s="2">
        <v>28141101000</v>
      </c>
      <c r="S813" s="2">
        <f t="shared" si="24"/>
        <v>9.9999999999999867E-2</v>
      </c>
      <c r="T813" s="2">
        <f t="shared" si="25"/>
        <v>55893381300</v>
      </c>
    </row>
    <row r="814" spans="1:20" x14ac:dyDescent="0.3">
      <c r="A814" s="1">
        <v>43775</v>
      </c>
      <c r="B814" t="s">
        <v>655</v>
      </c>
      <c r="C814" t="s">
        <v>18</v>
      </c>
      <c r="D814" t="s">
        <v>26</v>
      </c>
      <c r="E814">
        <v>1.77</v>
      </c>
      <c r="F814">
        <v>1.8089999999999999</v>
      </c>
      <c r="G814">
        <v>0.88</v>
      </c>
      <c r="H814">
        <v>2.4900000000000002</v>
      </c>
      <c r="I814" s="2">
        <v>12784729100</v>
      </c>
      <c r="J814" s="2">
        <v>67161242000</v>
      </c>
      <c r="K814" s="2">
        <v>26979990400</v>
      </c>
      <c r="L814" s="2">
        <v>20011800</v>
      </c>
      <c r="M814" s="2">
        <v>3337000000</v>
      </c>
      <c r="N814" s="2">
        <v>3428000000</v>
      </c>
      <c r="O814" s="2">
        <v>6230948000</v>
      </c>
      <c r="P814" s="2">
        <v>41586000000</v>
      </c>
      <c r="Q814" s="2">
        <v>17412042400</v>
      </c>
      <c r="R814" s="2">
        <v>22147242000</v>
      </c>
      <c r="S814" s="2">
        <f t="shared" si="24"/>
        <v>0.92899999999999994</v>
      </c>
      <c r="T814" s="2">
        <f t="shared" si="25"/>
        <v>39784731300</v>
      </c>
    </row>
    <row r="815" spans="1:20" x14ac:dyDescent="0.3">
      <c r="A815" s="1">
        <v>43776</v>
      </c>
      <c r="B815" t="s">
        <v>654</v>
      </c>
      <c r="C815" t="s">
        <v>23</v>
      </c>
      <c r="D815" t="s">
        <v>65</v>
      </c>
      <c r="E815">
        <v>2.375</v>
      </c>
      <c r="F815">
        <v>2.4300000000000002</v>
      </c>
      <c r="G815">
        <v>1.75</v>
      </c>
      <c r="H815">
        <v>2.23</v>
      </c>
      <c r="I815" s="2">
        <v>8996661200</v>
      </c>
      <c r="J815" s="2">
        <v>42404830000</v>
      </c>
      <c r="K815" s="2">
        <v>18985715000</v>
      </c>
      <c r="L815" s="2">
        <v>14299800</v>
      </c>
      <c r="M815" s="2">
        <v>3888700000</v>
      </c>
      <c r="N815" s="2">
        <v>3895700000</v>
      </c>
      <c r="O815" s="2">
        <v>3935722500</v>
      </c>
      <c r="P815" s="2">
        <v>26011000000</v>
      </c>
      <c r="Q815" s="2">
        <v>11161292500</v>
      </c>
      <c r="R815" s="2">
        <v>12498130000</v>
      </c>
      <c r="S815" s="2">
        <f t="shared" si="24"/>
        <v>0.68000000000000016</v>
      </c>
      <c r="T815" s="2">
        <f t="shared" si="25"/>
        <v>27996676000</v>
      </c>
    </row>
    <row r="816" spans="1:20" x14ac:dyDescent="0.3">
      <c r="A816" s="1">
        <v>43794</v>
      </c>
      <c r="B816" t="s">
        <v>657</v>
      </c>
      <c r="C816" t="s">
        <v>18</v>
      </c>
      <c r="D816" t="s">
        <v>21</v>
      </c>
      <c r="E816">
        <v>1.5780000000000001</v>
      </c>
      <c r="F816">
        <v>1.601</v>
      </c>
      <c r="G816">
        <v>1.45</v>
      </c>
      <c r="H816">
        <v>2.63</v>
      </c>
      <c r="I816" s="2">
        <v>3175532900</v>
      </c>
      <c r="J816" s="2">
        <v>104823455000</v>
      </c>
      <c r="K816" s="2">
        <v>39801229400</v>
      </c>
      <c r="L816" s="2">
        <v>198795200</v>
      </c>
      <c r="M816" s="2">
        <v>11586396400</v>
      </c>
      <c r="N816" s="2">
        <v>13152000000</v>
      </c>
      <c r="O816" s="2">
        <v>9198550000</v>
      </c>
      <c r="P816" s="2">
        <v>64105000000</v>
      </c>
      <c r="Q816" s="2">
        <v>19016283000</v>
      </c>
      <c r="R816" s="2">
        <v>27566455000</v>
      </c>
      <c r="S816" s="2">
        <f t="shared" si="24"/>
        <v>0.15100000000000002</v>
      </c>
      <c r="T816" s="2">
        <f t="shared" si="25"/>
        <v>43175557500</v>
      </c>
    </row>
    <row r="817" spans="1:20" x14ac:dyDescent="0.3">
      <c r="A817" s="1">
        <v>43795</v>
      </c>
      <c r="B817" t="s">
        <v>658</v>
      </c>
      <c r="C817" t="s">
        <v>18</v>
      </c>
      <c r="D817" t="s">
        <v>19</v>
      </c>
      <c r="E817">
        <v>1.54</v>
      </c>
      <c r="F817">
        <v>1.587</v>
      </c>
      <c r="G817">
        <v>1.4850000000000001</v>
      </c>
      <c r="H817">
        <v>2.5</v>
      </c>
      <c r="I817" s="2">
        <v>3254921200</v>
      </c>
      <c r="J817" s="2">
        <v>102509550000</v>
      </c>
      <c r="K817" s="2">
        <v>40967296000</v>
      </c>
      <c r="L817" s="2">
        <v>32728700</v>
      </c>
      <c r="M817" s="2">
        <v>5549500000</v>
      </c>
      <c r="N817" s="2">
        <v>6547000000</v>
      </c>
      <c r="O817" s="2">
        <v>8863021000</v>
      </c>
      <c r="P817" s="2">
        <v>62764000000</v>
      </c>
      <c r="Q817" s="2">
        <v>26554775000</v>
      </c>
      <c r="R817" s="2">
        <v>33198550000</v>
      </c>
      <c r="S817" s="2">
        <f t="shared" si="24"/>
        <v>0.10199999999999987</v>
      </c>
      <c r="T817" s="2">
        <f t="shared" si="25"/>
        <v>44254945900</v>
      </c>
    </row>
    <row r="818" spans="1:20" x14ac:dyDescent="0.3">
      <c r="A818" s="1">
        <v>43796</v>
      </c>
      <c r="B818" t="s">
        <v>656</v>
      </c>
      <c r="C818" t="s">
        <v>18</v>
      </c>
      <c r="D818" t="s">
        <v>68</v>
      </c>
      <c r="E818">
        <v>1.6659999999999999</v>
      </c>
      <c r="F818">
        <v>1.7190000000000001</v>
      </c>
      <c r="G818">
        <v>0.88</v>
      </c>
      <c r="H818">
        <v>2.44</v>
      </c>
      <c r="I818" s="2">
        <v>2540426200</v>
      </c>
      <c r="J818" s="2">
        <v>78129245000</v>
      </c>
      <c r="K818" s="2">
        <v>31993382500</v>
      </c>
      <c r="L818" s="2">
        <v>6679400</v>
      </c>
      <c r="M818" s="2">
        <v>3216365000</v>
      </c>
      <c r="N818" s="2">
        <v>3334100000</v>
      </c>
      <c r="O818" s="2">
        <v>6499017500</v>
      </c>
      <c r="P818" s="2">
        <v>48532000000</v>
      </c>
      <c r="Q818" s="2">
        <v>22278000000</v>
      </c>
      <c r="R818" s="2">
        <v>26263145000</v>
      </c>
      <c r="S818" s="2">
        <f t="shared" si="24"/>
        <v>0.83900000000000008</v>
      </c>
      <c r="T818" s="2">
        <f t="shared" si="25"/>
        <v>34540488100</v>
      </c>
    </row>
    <row r="819" spans="1:20" x14ac:dyDescent="0.3">
      <c r="A819" s="1">
        <v>43808</v>
      </c>
      <c r="B819" t="s">
        <v>659</v>
      </c>
      <c r="C819" t="s">
        <v>18</v>
      </c>
      <c r="D819" t="s">
        <v>52</v>
      </c>
      <c r="E819">
        <v>1.6</v>
      </c>
      <c r="F819">
        <v>1.6319999999999999</v>
      </c>
      <c r="G819">
        <v>1.52</v>
      </c>
      <c r="H819">
        <v>2.56</v>
      </c>
      <c r="I819" s="2">
        <v>0</v>
      </c>
      <c r="J819" s="2">
        <v>97129660000</v>
      </c>
      <c r="K819" s="2">
        <v>37843440000</v>
      </c>
      <c r="L819" s="2">
        <v>56607000</v>
      </c>
      <c r="M819" s="2">
        <v>9018000000</v>
      </c>
      <c r="N819" s="2">
        <v>9178000000</v>
      </c>
      <c r="O819" s="2">
        <v>10250500000</v>
      </c>
      <c r="P819" s="2">
        <v>60953000000</v>
      </c>
      <c r="Q819" s="2">
        <v>18574940000</v>
      </c>
      <c r="R819" s="2">
        <v>26998660000</v>
      </c>
      <c r="S819" s="2">
        <f t="shared" si="24"/>
        <v>0.11199999999999988</v>
      </c>
      <c r="T819" s="2">
        <f t="shared" si="25"/>
        <v>37900047000</v>
      </c>
    </row>
    <row r="820" spans="1:20" x14ac:dyDescent="0.3">
      <c r="A820" s="1">
        <v>43809</v>
      </c>
      <c r="B820" t="s">
        <v>655</v>
      </c>
      <c r="C820" t="s">
        <v>18</v>
      </c>
      <c r="D820" t="s">
        <v>29</v>
      </c>
      <c r="E820">
        <v>1.8</v>
      </c>
      <c r="F820">
        <v>1.8420000000000001</v>
      </c>
      <c r="G820">
        <v>0.88</v>
      </c>
      <c r="H820">
        <v>2.4300000000000002</v>
      </c>
      <c r="I820" s="2">
        <v>0</v>
      </c>
      <c r="J820" s="2">
        <v>58373055000</v>
      </c>
      <c r="K820" s="2">
        <v>23993631300</v>
      </c>
      <c r="L820" s="2">
        <v>6417100</v>
      </c>
      <c r="M820" s="2">
        <v>4643121300</v>
      </c>
      <c r="N820" s="2">
        <v>4856000000</v>
      </c>
      <c r="O820" s="2">
        <v>5885000000</v>
      </c>
      <c r="P820" s="2">
        <v>36865000000</v>
      </c>
      <c r="Q820" s="2">
        <v>13465510000</v>
      </c>
      <c r="R820" s="2">
        <v>16652055000</v>
      </c>
      <c r="S820" s="2">
        <f t="shared" si="24"/>
        <v>0.96200000000000008</v>
      </c>
      <c r="T820" s="2">
        <f t="shared" si="25"/>
        <v>24000048400</v>
      </c>
    </row>
    <row r="821" spans="1:20" x14ac:dyDescent="0.3">
      <c r="A821" s="1">
        <v>43811</v>
      </c>
      <c r="B821" t="s">
        <v>654</v>
      </c>
      <c r="C821" t="s">
        <v>23</v>
      </c>
      <c r="D821" t="s">
        <v>72</v>
      </c>
      <c r="E821">
        <v>2.2650000000000001</v>
      </c>
      <c r="F821">
        <v>2.3069999999999999</v>
      </c>
      <c r="G821">
        <v>0.88</v>
      </c>
      <c r="H821">
        <v>2.46</v>
      </c>
      <c r="I821" s="2">
        <v>0</v>
      </c>
      <c r="J821" s="2">
        <v>39274730000</v>
      </c>
      <c r="K821" s="2">
        <v>15994580000</v>
      </c>
      <c r="L821" s="2">
        <v>5426300</v>
      </c>
      <c r="M821" s="2">
        <v>3375600000</v>
      </c>
      <c r="N821" s="2">
        <v>3850600000</v>
      </c>
      <c r="O821" s="2">
        <v>2473550000</v>
      </c>
      <c r="P821" s="2">
        <v>22432000000</v>
      </c>
      <c r="Q821" s="2">
        <v>10145430000</v>
      </c>
      <c r="R821" s="2">
        <v>12992130000</v>
      </c>
      <c r="S821" s="2">
        <f t="shared" si="24"/>
        <v>1.427</v>
      </c>
      <c r="T821" s="2">
        <f t="shared" si="25"/>
        <v>16000006300</v>
      </c>
    </row>
    <row r="822" spans="1:20" x14ac:dyDescent="0.3">
      <c r="A822" s="1">
        <v>43822</v>
      </c>
      <c r="B822" t="s">
        <v>660</v>
      </c>
      <c r="C822" t="s">
        <v>18</v>
      </c>
      <c r="D822" t="s">
        <v>21</v>
      </c>
      <c r="E822">
        <v>1.625</v>
      </c>
      <c r="F822">
        <v>1.653</v>
      </c>
      <c r="G822">
        <v>1.45</v>
      </c>
      <c r="H822">
        <v>2.2999999999999998</v>
      </c>
      <c r="I822" s="2">
        <v>3764622900</v>
      </c>
      <c r="J822" s="2">
        <v>91921555000</v>
      </c>
      <c r="K822" s="2">
        <v>39734202000</v>
      </c>
      <c r="L822" s="2">
        <v>165843700</v>
      </c>
      <c r="M822" s="2">
        <v>8524000000</v>
      </c>
      <c r="N822" s="2">
        <v>8909000000</v>
      </c>
      <c r="O822" s="2">
        <v>12812376000</v>
      </c>
      <c r="P822" s="2">
        <v>60230000000</v>
      </c>
      <c r="Q822" s="2">
        <v>18397826000</v>
      </c>
      <c r="R822" s="2">
        <v>22782555000</v>
      </c>
      <c r="S822" s="2">
        <f t="shared" si="24"/>
        <v>0.20300000000000007</v>
      </c>
      <c r="T822" s="2">
        <f t="shared" si="25"/>
        <v>43664668600</v>
      </c>
    </row>
    <row r="823" spans="1:20" x14ac:dyDescent="0.3">
      <c r="A823" s="1">
        <v>43823</v>
      </c>
      <c r="B823" t="s">
        <v>662</v>
      </c>
      <c r="C823" t="s">
        <v>18</v>
      </c>
      <c r="D823" t="s">
        <v>19</v>
      </c>
      <c r="E823">
        <v>1.73</v>
      </c>
      <c r="F823">
        <v>1.756</v>
      </c>
      <c r="G823">
        <v>1.5</v>
      </c>
      <c r="H823">
        <v>2.4900000000000002</v>
      </c>
      <c r="I823" s="2">
        <v>3858738400</v>
      </c>
      <c r="J823" s="2">
        <v>102006995000</v>
      </c>
      <c r="K823" s="2">
        <v>40970167500</v>
      </c>
      <c r="L823" s="2">
        <v>29904700</v>
      </c>
      <c r="M823" s="2">
        <v>6608947500</v>
      </c>
      <c r="N823" s="2">
        <v>8564000000</v>
      </c>
      <c r="O823" s="2">
        <v>8799000000</v>
      </c>
      <c r="P823" s="2">
        <v>60406000000</v>
      </c>
      <c r="Q823" s="2">
        <v>25562220000</v>
      </c>
      <c r="R823" s="2">
        <v>33036995000</v>
      </c>
      <c r="S823" s="2">
        <f t="shared" si="24"/>
        <v>0.25600000000000001</v>
      </c>
      <c r="T823" s="2">
        <f t="shared" si="25"/>
        <v>44858810600</v>
      </c>
    </row>
    <row r="824" spans="1:20" x14ac:dyDescent="0.3">
      <c r="A824" s="1">
        <v>43825</v>
      </c>
      <c r="B824" t="s">
        <v>661</v>
      </c>
      <c r="C824" t="s">
        <v>18</v>
      </c>
      <c r="D824" t="s">
        <v>68</v>
      </c>
      <c r="E824">
        <v>1.79</v>
      </c>
      <c r="F824">
        <v>1.835</v>
      </c>
      <c r="G824">
        <v>1.288</v>
      </c>
      <c r="H824">
        <v>2.4700000000000002</v>
      </c>
      <c r="I824" s="2">
        <v>3011698200</v>
      </c>
      <c r="J824" s="2">
        <v>78905440000</v>
      </c>
      <c r="K824" s="2">
        <v>31992488000</v>
      </c>
      <c r="L824" s="2">
        <v>7515300</v>
      </c>
      <c r="M824" s="2">
        <v>7496109500</v>
      </c>
      <c r="N824" s="2">
        <v>8523600000</v>
      </c>
      <c r="O824" s="2">
        <v>5486661000</v>
      </c>
      <c r="P824" s="2">
        <v>46927000000</v>
      </c>
      <c r="Q824" s="2">
        <v>19009717500</v>
      </c>
      <c r="R824" s="2">
        <v>23454840000</v>
      </c>
      <c r="S824" s="2">
        <f t="shared" si="24"/>
        <v>0.54699999999999993</v>
      </c>
      <c r="T824" s="2">
        <f t="shared" si="25"/>
        <v>35011701500</v>
      </c>
    </row>
    <row r="825" spans="1:20" x14ac:dyDescent="0.3">
      <c r="A825" s="1">
        <v>43837</v>
      </c>
      <c r="B825" t="s">
        <v>663</v>
      </c>
      <c r="C825" t="s">
        <v>18</v>
      </c>
      <c r="D825" t="s">
        <v>52</v>
      </c>
      <c r="E825">
        <v>1.54</v>
      </c>
      <c r="F825">
        <v>1.5669999999999999</v>
      </c>
      <c r="G825">
        <v>1.45</v>
      </c>
      <c r="H825">
        <v>2.4500000000000002</v>
      </c>
      <c r="I825" s="2">
        <v>1215860200</v>
      </c>
      <c r="J825" s="2">
        <v>92988900000</v>
      </c>
      <c r="K825" s="2">
        <v>37951625200</v>
      </c>
      <c r="L825" s="2">
        <v>48427900</v>
      </c>
      <c r="M825" s="2">
        <v>6356000000</v>
      </c>
      <c r="N825" s="2">
        <v>6791000000</v>
      </c>
      <c r="O825" s="2">
        <v>13569390000</v>
      </c>
      <c r="P825" s="2">
        <v>62938000000</v>
      </c>
      <c r="Q825" s="2">
        <v>18026235200</v>
      </c>
      <c r="R825" s="2">
        <v>23259900000</v>
      </c>
      <c r="S825" s="2">
        <f t="shared" si="24"/>
        <v>0.11699999999999999</v>
      </c>
      <c r="T825" s="2">
        <f t="shared" si="25"/>
        <v>39215913300</v>
      </c>
    </row>
    <row r="826" spans="1:20" x14ac:dyDescent="0.3">
      <c r="A826" s="1">
        <v>43838</v>
      </c>
      <c r="B826" t="s">
        <v>655</v>
      </c>
      <c r="C826" t="s">
        <v>18</v>
      </c>
      <c r="D826" t="s">
        <v>59</v>
      </c>
      <c r="E826">
        <v>1.82</v>
      </c>
      <c r="F826">
        <v>1.869</v>
      </c>
      <c r="G826">
        <v>1.7</v>
      </c>
      <c r="H826">
        <v>2.4500000000000002</v>
      </c>
      <c r="I826" s="2">
        <v>767911700</v>
      </c>
      <c r="J826" s="2">
        <v>58738475000</v>
      </c>
      <c r="K826" s="2">
        <v>23995938400</v>
      </c>
      <c r="L826" s="2">
        <v>4095300</v>
      </c>
      <c r="M826" s="2">
        <v>3866673400</v>
      </c>
      <c r="N826" s="2">
        <v>4530500000</v>
      </c>
      <c r="O826" s="2">
        <v>6885790000</v>
      </c>
      <c r="P826" s="2">
        <v>39425000000</v>
      </c>
      <c r="Q826" s="2">
        <v>13243475000</v>
      </c>
      <c r="R826" s="2">
        <v>14782975000</v>
      </c>
      <c r="S826" s="2">
        <f t="shared" si="24"/>
        <v>0.16900000000000004</v>
      </c>
      <c r="T826" s="2">
        <f t="shared" si="25"/>
        <v>24767945400</v>
      </c>
    </row>
    <row r="827" spans="1:20" x14ac:dyDescent="0.3">
      <c r="A827" s="1">
        <v>43839</v>
      </c>
      <c r="B827" t="s">
        <v>654</v>
      </c>
      <c r="C827" t="s">
        <v>23</v>
      </c>
      <c r="D827" t="s">
        <v>91</v>
      </c>
      <c r="E827">
        <v>2.31</v>
      </c>
      <c r="F827">
        <v>2.3410000000000002</v>
      </c>
      <c r="G827">
        <v>0.88</v>
      </c>
      <c r="H827">
        <v>2.54</v>
      </c>
      <c r="I827" s="2">
        <v>511941100</v>
      </c>
      <c r="J827" s="2">
        <v>40653470000</v>
      </c>
      <c r="K827" s="2">
        <v>15983332000</v>
      </c>
      <c r="L827" s="2">
        <v>16673100</v>
      </c>
      <c r="M827" s="2">
        <v>2858734300</v>
      </c>
      <c r="N827" s="2">
        <v>3574700000</v>
      </c>
      <c r="O827" s="2">
        <v>3050475000</v>
      </c>
      <c r="P827" s="2">
        <v>23307000000</v>
      </c>
      <c r="Q827" s="2">
        <v>10074122700</v>
      </c>
      <c r="R827" s="2">
        <v>13771770000</v>
      </c>
      <c r="S827" s="2">
        <f t="shared" si="24"/>
        <v>1.4610000000000003</v>
      </c>
      <c r="T827" s="2">
        <f t="shared" si="25"/>
        <v>16511946200</v>
      </c>
    </row>
    <row r="828" spans="1:20" x14ac:dyDescent="0.3">
      <c r="A828" s="1">
        <v>43857</v>
      </c>
      <c r="B828" t="s">
        <v>666</v>
      </c>
      <c r="C828" t="s">
        <v>18</v>
      </c>
      <c r="D828" t="s">
        <v>19</v>
      </c>
      <c r="E828">
        <v>1.4</v>
      </c>
      <c r="F828">
        <v>1.448</v>
      </c>
      <c r="G828">
        <v>1.32</v>
      </c>
      <c r="H828">
        <v>2.33</v>
      </c>
      <c r="I828" s="2">
        <v>4233632300</v>
      </c>
      <c r="J828" s="2">
        <v>95473805000</v>
      </c>
      <c r="K828" s="2">
        <v>40971056600</v>
      </c>
      <c r="L828" s="2">
        <v>28984700</v>
      </c>
      <c r="M828" s="2">
        <v>5699000000</v>
      </c>
      <c r="N828" s="2">
        <v>5971000000</v>
      </c>
      <c r="O828" s="2">
        <v>10675776000</v>
      </c>
      <c r="P828" s="2">
        <v>61309000000</v>
      </c>
      <c r="Q828" s="2">
        <v>24596280600</v>
      </c>
      <c r="R828" s="2">
        <v>28193805000</v>
      </c>
      <c r="S828" s="2">
        <f t="shared" si="24"/>
        <v>0.12799999999999989</v>
      </c>
      <c r="T828" s="2">
        <f t="shared" si="25"/>
        <v>45233673600</v>
      </c>
    </row>
    <row r="829" spans="1:20" x14ac:dyDescent="0.3">
      <c r="A829" s="1">
        <v>43857</v>
      </c>
      <c r="B829" t="s">
        <v>665</v>
      </c>
      <c r="C829" t="s">
        <v>18</v>
      </c>
      <c r="D829" t="s">
        <v>21</v>
      </c>
      <c r="E829">
        <v>1.4139999999999999</v>
      </c>
      <c r="F829">
        <v>1.44</v>
      </c>
      <c r="G829">
        <v>1.25</v>
      </c>
      <c r="H829">
        <v>2.65</v>
      </c>
      <c r="I829" s="2">
        <v>4130373000</v>
      </c>
      <c r="J829" s="2">
        <v>105609451000</v>
      </c>
      <c r="K829" s="2">
        <v>39757037000</v>
      </c>
      <c r="L829" s="2">
        <v>243093000</v>
      </c>
      <c r="M829" s="2">
        <v>8248367000</v>
      </c>
      <c r="N829" s="2">
        <v>8827000000</v>
      </c>
      <c r="O829" s="2">
        <v>12000430000</v>
      </c>
      <c r="P829" s="2">
        <v>65837000000</v>
      </c>
      <c r="Q829" s="2">
        <v>19508240000</v>
      </c>
      <c r="R829" s="2">
        <v>30945451000</v>
      </c>
      <c r="S829" s="2">
        <f t="shared" si="24"/>
        <v>0.18999999999999995</v>
      </c>
      <c r="T829" s="2">
        <f t="shared" si="25"/>
        <v>44130503000</v>
      </c>
    </row>
    <row r="830" spans="1:20" x14ac:dyDescent="0.3">
      <c r="A830" s="1">
        <v>43858</v>
      </c>
      <c r="B830" t="s">
        <v>664</v>
      </c>
      <c r="C830" t="s">
        <v>18</v>
      </c>
      <c r="D830" t="s">
        <v>68</v>
      </c>
      <c r="E830">
        <v>1.52</v>
      </c>
      <c r="F830">
        <v>1.57</v>
      </c>
      <c r="G830">
        <v>0.88</v>
      </c>
      <c r="H830">
        <v>2.37</v>
      </c>
      <c r="I830" s="2">
        <v>3304298300</v>
      </c>
      <c r="J830" s="2">
        <v>75861360000</v>
      </c>
      <c r="K830" s="2">
        <v>31990590200</v>
      </c>
      <c r="L830" s="2">
        <v>9413700</v>
      </c>
      <c r="M830" s="2">
        <v>5512315000</v>
      </c>
      <c r="N830" s="2">
        <v>5935500000</v>
      </c>
      <c r="O830" s="2">
        <v>7908318000</v>
      </c>
      <c r="P830" s="2">
        <v>48375000000</v>
      </c>
      <c r="Q830" s="2">
        <v>18569957200</v>
      </c>
      <c r="R830" s="2">
        <v>21550860000</v>
      </c>
      <c r="S830" s="2">
        <f t="shared" si="24"/>
        <v>0.69000000000000006</v>
      </c>
      <c r="T830" s="2">
        <f t="shared" si="25"/>
        <v>35304302200</v>
      </c>
    </row>
    <row r="831" spans="1:20" x14ac:dyDescent="0.3">
      <c r="A831" s="1">
        <v>43872</v>
      </c>
      <c r="B831" t="s">
        <v>669</v>
      </c>
      <c r="C831" t="s">
        <v>18</v>
      </c>
      <c r="D831" t="s">
        <v>52</v>
      </c>
      <c r="E831">
        <v>1.3640000000000001</v>
      </c>
      <c r="F831">
        <v>1.3939999999999999</v>
      </c>
      <c r="G831">
        <v>1.25</v>
      </c>
      <c r="H831">
        <v>2.56</v>
      </c>
      <c r="I831" s="2">
        <v>16899739700</v>
      </c>
      <c r="J831" s="2">
        <v>97052250000</v>
      </c>
      <c r="K831" s="2">
        <v>37847024000</v>
      </c>
      <c r="L831" s="2">
        <v>52998400</v>
      </c>
      <c r="M831" s="2">
        <v>6845000000</v>
      </c>
      <c r="N831" s="2">
        <v>8150000000</v>
      </c>
      <c r="O831" s="2">
        <v>14378350000</v>
      </c>
      <c r="P831" s="2">
        <v>62249500000</v>
      </c>
      <c r="Q831" s="2">
        <v>16623674000</v>
      </c>
      <c r="R831" s="2">
        <v>26652750000</v>
      </c>
      <c r="S831" s="2">
        <f t="shared" si="24"/>
        <v>0.14399999999999991</v>
      </c>
      <c r="T831" s="2">
        <f t="shared" si="25"/>
        <v>54799762100</v>
      </c>
    </row>
    <row r="832" spans="1:20" x14ac:dyDescent="0.3">
      <c r="A832" s="1">
        <v>43873</v>
      </c>
      <c r="B832" t="s">
        <v>668</v>
      </c>
      <c r="C832" t="s">
        <v>18</v>
      </c>
      <c r="D832" t="s">
        <v>26</v>
      </c>
      <c r="E832">
        <v>1.577</v>
      </c>
      <c r="F832">
        <v>1.6220000000000001</v>
      </c>
      <c r="G832">
        <v>1.35</v>
      </c>
      <c r="H832">
        <v>2.58</v>
      </c>
      <c r="I832" s="2">
        <v>12007709700</v>
      </c>
      <c r="J832" s="2">
        <v>69652955000</v>
      </c>
      <c r="K832" s="2">
        <v>26979320900</v>
      </c>
      <c r="L832" s="2">
        <v>20684800</v>
      </c>
      <c r="M832" s="2">
        <v>3984000000</v>
      </c>
      <c r="N832" s="2">
        <v>5649000000</v>
      </c>
      <c r="O832" s="2">
        <v>6452908500</v>
      </c>
      <c r="P832" s="2">
        <v>42236000000</v>
      </c>
      <c r="Q832" s="2">
        <v>16542412400</v>
      </c>
      <c r="R832" s="2">
        <v>21767955000</v>
      </c>
      <c r="S832" s="2">
        <f t="shared" si="24"/>
        <v>0.27200000000000002</v>
      </c>
      <c r="T832" s="2">
        <f t="shared" si="25"/>
        <v>39007715400</v>
      </c>
    </row>
    <row r="833" spans="1:20" x14ac:dyDescent="0.3">
      <c r="A833" s="1">
        <v>43874</v>
      </c>
      <c r="B833" t="s">
        <v>667</v>
      </c>
      <c r="C833" t="s">
        <v>23</v>
      </c>
      <c r="D833" t="s">
        <v>65</v>
      </c>
      <c r="E833">
        <v>2.0099999999999998</v>
      </c>
      <c r="F833">
        <v>2.0609999999999999</v>
      </c>
      <c r="G833">
        <v>1.75</v>
      </c>
      <c r="H833">
        <v>2.4300000000000002</v>
      </c>
      <c r="I833" s="2">
        <v>8449869800</v>
      </c>
      <c r="J833" s="2">
        <v>46132970000</v>
      </c>
      <c r="K833" s="2">
        <v>18996908800</v>
      </c>
      <c r="L833" s="2">
        <v>3093900</v>
      </c>
      <c r="M833" s="2">
        <v>3687700000</v>
      </c>
      <c r="N833" s="2">
        <v>4447700000</v>
      </c>
      <c r="O833" s="2">
        <v>3623475000</v>
      </c>
      <c r="P833" s="2">
        <v>26953000000</v>
      </c>
      <c r="Q833" s="2">
        <v>11685733800</v>
      </c>
      <c r="R833" s="2">
        <v>14732270000</v>
      </c>
      <c r="S833" s="2">
        <f t="shared" si="24"/>
        <v>0.31099999999999994</v>
      </c>
      <c r="T833" s="2">
        <f t="shared" si="25"/>
        <v>27449872500</v>
      </c>
    </row>
    <row r="834" spans="1:20" x14ac:dyDescent="0.3">
      <c r="A834" s="1">
        <v>43886</v>
      </c>
      <c r="B834" t="s">
        <v>670</v>
      </c>
      <c r="C834" t="s">
        <v>18</v>
      </c>
      <c r="D834" t="s">
        <v>21</v>
      </c>
      <c r="E834">
        <v>1.1499999999999999</v>
      </c>
      <c r="F834">
        <v>1.1879999999999999</v>
      </c>
      <c r="G834">
        <v>0.88</v>
      </c>
      <c r="H834">
        <v>2.4500000000000002</v>
      </c>
      <c r="I834" s="2">
        <v>6045401100</v>
      </c>
      <c r="J834" s="2">
        <v>97913915000</v>
      </c>
      <c r="K834" s="2">
        <v>39738640000</v>
      </c>
      <c r="L834" s="2">
        <v>161405100</v>
      </c>
      <c r="M834" s="2">
        <v>3700000000</v>
      </c>
      <c r="N834" s="2">
        <v>4925000000</v>
      </c>
      <c r="O834" s="2">
        <v>17685760000</v>
      </c>
      <c r="P834" s="2">
        <v>63807000000</v>
      </c>
      <c r="Q834" s="2">
        <v>18352880000</v>
      </c>
      <c r="R834" s="2">
        <v>29181915000</v>
      </c>
      <c r="S834" s="2">
        <f t="shared" ref="S834:S897" si="26">SUM($F834,-$G834)</f>
        <v>0.30799999999999994</v>
      </c>
      <c r="T834" s="2">
        <f t="shared" ref="T834:T897" si="27">SUM(I834,K834,L834)</f>
        <v>45945446200</v>
      </c>
    </row>
    <row r="835" spans="1:20" x14ac:dyDescent="0.3">
      <c r="A835" s="1">
        <v>43887</v>
      </c>
      <c r="B835" t="s">
        <v>672</v>
      </c>
      <c r="C835" t="s">
        <v>18</v>
      </c>
      <c r="D835" t="s">
        <v>19</v>
      </c>
      <c r="E835">
        <v>1.1020000000000001</v>
      </c>
      <c r="F835">
        <v>1.1499999999999999</v>
      </c>
      <c r="G835">
        <v>1</v>
      </c>
      <c r="H835">
        <v>2.46</v>
      </c>
      <c r="I835" s="2">
        <v>6196536100</v>
      </c>
      <c r="J835" s="2">
        <v>100663210000</v>
      </c>
      <c r="K835" s="2">
        <v>40967278500</v>
      </c>
      <c r="L835" s="2">
        <v>32744700</v>
      </c>
      <c r="M835" s="2">
        <v>4016000000</v>
      </c>
      <c r="N835" s="2">
        <v>5398000000</v>
      </c>
      <c r="O835" s="2">
        <v>11741139300</v>
      </c>
      <c r="P835" s="2">
        <v>64263400000</v>
      </c>
      <c r="Q835" s="2">
        <v>25210139200</v>
      </c>
      <c r="R835" s="2">
        <v>31001810000</v>
      </c>
      <c r="S835" s="2">
        <f t="shared" si="26"/>
        <v>0.14999999999999991</v>
      </c>
      <c r="T835" s="2">
        <f t="shared" si="27"/>
        <v>47196559300</v>
      </c>
    </row>
    <row r="836" spans="1:20" x14ac:dyDescent="0.3">
      <c r="A836" s="1">
        <v>43888</v>
      </c>
      <c r="B836" t="s">
        <v>671</v>
      </c>
      <c r="C836" t="s">
        <v>18</v>
      </c>
      <c r="D836" t="s">
        <v>68</v>
      </c>
      <c r="E836">
        <v>1.1890000000000001</v>
      </c>
      <c r="F836">
        <v>1.2470000000000001</v>
      </c>
      <c r="G836">
        <v>0.88</v>
      </c>
      <c r="H836">
        <v>2.4900000000000002</v>
      </c>
      <c r="I836" s="2">
        <v>4836320800</v>
      </c>
      <c r="J836" s="2">
        <v>79568400000</v>
      </c>
      <c r="K836" s="2">
        <v>31991333600</v>
      </c>
      <c r="L836" s="2">
        <v>8672500</v>
      </c>
      <c r="M836" s="2">
        <v>4191500000</v>
      </c>
      <c r="N836" s="2">
        <v>5706500000</v>
      </c>
      <c r="O836" s="2">
        <v>7656995000</v>
      </c>
      <c r="P836" s="2">
        <v>50185000000</v>
      </c>
      <c r="Q836" s="2">
        <v>20142838600</v>
      </c>
      <c r="R836" s="2">
        <v>23676900000</v>
      </c>
      <c r="S836" s="2">
        <f t="shared" si="26"/>
        <v>0.3670000000000001</v>
      </c>
      <c r="T836" s="2">
        <f t="shared" si="27"/>
        <v>36836326900</v>
      </c>
    </row>
    <row r="837" spans="1:20" x14ac:dyDescent="0.3">
      <c r="A837" s="1">
        <v>43900</v>
      </c>
      <c r="B837" t="s">
        <v>673</v>
      </c>
      <c r="C837" t="s">
        <v>18</v>
      </c>
      <c r="D837" t="s">
        <v>52</v>
      </c>
      <c r="E837">
        <v>0.49</v>
      </c>
      <c r="F837">
        <v>0.56299999999999994</v>
      </c>
      <c r="G837">
        <v>0.08</v>
      </c>
      <c r="H837">
        <v>2.2000000000000002</v>
      </c>
      <c r="I837" s="2">
        <v>36538500</v>
      </c>
      <c r="J837" s="2">
        <v>83624600000</v>
      </c>
      <c r="K837" s="2">
        <v>37958109600</v>
      </c>
      <c r="L837" s="2">
        <v>31948100</v>
      </c>
      <c r="M837" s="2">
        <v>1408000000</v>
      </c>
      <c r="N837" s="2">
        <v>2558000000</v>
      </c>
      <c r="O837" s="2">
        <v>16714000000</v>
      </c>
      <c r="P837" s="2">
        <v>57794000000</v>
      </c>
      <c r="Q837" s="2">
        <v>19836109600</v>
      </c>
      <c r="R837" s="2">
        <v>23272600000</v>
      </c>
      <c r="S837" s="2">
        <f t="shared" si="26"/>
        <v>0.48299999999999993</v>
      </c>
      <c r="T837" s="2">
        <f t="shared" si="27"/>
        <v>38026596200</v>
      </c>
    </row>
    <row r="838" spans="1:20" x14ac:dyDescent="0.3">
      <c r="A838" s="1">
        <v>43901</v>
      </c>
      <c r="B838" t="s">
        <v>668</v>
      </c>
      <c r="C838" t="s">
        <v>18</v>
      </c>
      <c r="D838" t="s">
        <v>29</v>
      </c>
      <c r="E838">
        <v>0.75</v>
      </c>
      <c r="F838">
        <v>0.84899999999999998</v>
      </c>
      <c r="G838">
        <v>0.08</v>
      </c>
      <c r="H838">
        <v>2.36</v>
      </c>
      <c r="I838" s="2">
        <v>23076900</v>
      </c>
      <c r="J838" s="2">
        <v>56709315000</v>
      </c>
      <c r="K838" s="2">
        <v>23996279000</v>
      </c>
      <c r="L838" s="2">
        <v>3722000</v>
      </c>
      <c r="M838" s="2">
        <v>2206494000</v>
      </c>
      <c r="N838" s="2">
        <v>3219000000</v>
      </c>
      <c r="O838" s="2">
        <v>7145470000</v>
      </c>
      <c r="P838" s="2">
        <v>34718000000</v>
      </c>
      <c r="Q838" s="2">
        <v>14644315000</v>
      </c>
      <c r="R838" s="2">
        <v>18772315000</v>
      </c>
      <c r="S838" s="2">
        <f t="shared" si="26"/>
        <v>0.76900000000000002</v>
      </c>
      <c r="T838" s="2">
        <f t="shared" si="27"/>
        <v>24023077900</v>
      </c>
    </row>
    <row r="839" spans="1:20" x14ac:dyDescent="0.3">
      <c r="A839" s="1">
        <v>43902</v>
      </c>
      <c r="B839" t="s">
        <v>667</v>
      </c>
      <c r="C839" t="s">
        <v>23</v>
      </c>
      <c r="D839" t="s">
        <v>72</v>
      </c>
      <c r="E839">
        <v>1.22</v>
      </c>
      <c r="F839">
        <v>1.32</v>
      </c>
      <c r="G839">
        <v>0.75</v>
      </c>
      <c r="H839">
        <v>2.36</v>
      </c>
      <c r="I839" s="2">
        <v>15384600</v>
      </c>
      <c r="J839" s="2">
        <v>37729755000</v>
      </c>
      <c r="K839" s="2">
        <v>15997570200</v>
      </c>
      <c r="L839" s="2">
        <v>2430400</v>
      </c>
      <c r="M839" s="2">
        <v>1420000000</v>
      </c>
      <c r="N839" s="2">
        <v>2020000000</v>
      </c>
      <c r="O839" s="2">
        <v>3452000000</v>
      </c>
      <c r="P839" s="2">
        <v>20641000000</v>
      </c>
      <c r="Q839" s="2">
        <v>11125570200</v>
      </c>
      <c r="R839" s="2">
        <v>15068755000</v>
      </c>
      <c r="S839" s="2">
        <f t="shared" si="26"/>
        <v>0.57000000000000006</v>
      </c>
      <c r="T839" s="2">
        <f t="shared" si="27"/>
        <v>16015385200</v>
      </c>
    </row>
    <row r="840" spans="1:20" x14ac:dyDescent="0.3">
      <c r="A840" s="1">
        <v>43914</v>
      </c>
      <c r="B840" t="s">
        <v>676</v>
      </c>
      <c r="C840" t="s">
        <v>18</v>
      </c>
      <c r="D840" t="s">
        <v>21</v>
      </c>
      <c r="E840">
        <v>0.35</v>
      </c>
      <c r="F840">
        <v>0.39800000000000002</v>
      </c>
      <c r="G840">
        <v>0.08</v>
      </c>
      <c r="H840">
        <v>2.36</v>
      </c>
      <c r="I840" s="2">
        <v>5377828400</v>
      </c>
      <c r="J840" s="2">
        <v>94308990000</v>
      </c>
      <c r="K840" s="2">
        <v>39824357500</v>
      </c>
      <c r="L840" s="2">
        <v>165675300</v>
      </c>
      <c r="M840" s="2">
        <v>3405000000</v>
      </c>
      <c r="N840" s="2">
        <v>4605000000</v>
      </c>
      <c r="O840" s="2">
        <v>14435610000</v>
      </c>
      <c r="P840" s="2">
        <v>59938000000</v>
      </c>
      <c r="Q840" s="2">
        <v>21983747500</v>
      </c>
      <c r="R840" s="2">
        <v>29765990000</v>
      </c>
      <c r="S840" s="2">
        <f t="shared" si="26"/>
        <v>0.318</v>
      </c>
      <c r="T840" s="2">
        <f t="shared" si="27"/>
        <v>45367861200</v>
      </c>
    </row>
    <row r="841" spans="1:20" x14ac:dyDescent="0.3">
      <c r="A841" s="1">
        <v>43915</v>
      </c>
      <c r="B841" t="s">
        <v>675</v>
      </c>
      <c r="C841" t="s">
        <v>18</v>
      </c>
      <c r="D841" t="s">
        <v>19</v>
      </c>
      <c r="E841">
        <v>0.48</v>
      </c>
      <c r="F841">
        <v>0.53500000000000003</v>
      </c>
      <c r="G841">
        <v>0.08</v>
      </c>
      <c r="H841">
        <v>2.5299999999999998</v>
      </c>
      <c r="I841" s="2">
        <v>5512274100</v>
      </c>
      <c r="J841" s="2">
        <v>103737315000</v>
      </c>
      <c r="K841" s="2">
        <v>40986935600</v>
      </c>
      <c r="L841" s="2">
        <v>13075700</v>
      </c>
      <c r="M841" s="2">
        <v>5165639600</v>
      </c>
      <c r="N841" s="2">
        <v>6991500000</v>
      </c>
      <c r="O841" s="2">
        <v>14483490000</v>
      </c>
      <c r="P841" s="2">
        <v>64486000000</v>
      </c>
      <c r="Q841" s="2">
        <v>21337806000</v>
      </c>
      <c r="R841" s="2">
        <v>32259815000</v>
      </c>
      <c r="S841" s="2">
        <f t="shared" si="26"/>
        <v>0.45500000000000002</v>
      </c>
      <c r="T841" s="2">
        <f t="shared" si="27"/>
        <v>46512285400</v>
      </c>
    </row>
    <row r="842" spans="1:20" x14ac:dyDescent="0.3">
      <c r="A842" s="1">
        <v>43916</v>
      </c>
      <c r="B842" t="s">
        <v>674</v>
      </c>
      <c r="C842" t="s">
        <v>18</v>
      </c>
      <c r="D842" t="s">
        <v>68</v>
      </c>
      <c r="E842">
        <v>0.62</v>
      </c>
      <c r="F842">
        <v>0.68</v>
      </c>
      <c r="G842">
        <v>0.08</v>
      </c>
      <c r="H842">
        <v>2.76</v>
      </c>
      <c r="I842" s="2">
        <v>4302262600</v>
      </c>
      <c r="J842" s="2">
        <v>88253960000</v>
      </c>
      <c r="K842" s="2">
        <v>31994071000</v>
      </c>
      <c r="L842" s="2">
        <v>6171100</v>
      </c>
      <c r="M842" s="2">
        <v>2909425000</v>
      </c>
      <c r="N842" s="2">
        <v>4609000000</v>
      </c>
      <c r="O842" s="2">
        <v>9135600000</v>
      </c>
      <c r="P842" s="2">
        <v>53735000000</v>
      </c>
      <c r="Q842" s="2">
        <v>19949046000</v>
      </c>
      <c r="R842" s="2">
        <v>29909960000</v>
      </c>
      <c r="S842" s="2">
        <f t="shared" si="26"/>
        <v>0.60000000000000009</v>
      </c>
      <c r="T842" s="2">
        <f t="shared" si="27"/>
        <v>36302504700</v>
      </c>
    </row>
    <row r="843" spans="1:20" x14ac:dyDescent="0.3">
      <c r="A843" s="1">
        <v>43927</v>
      </c>
      <c r="B843" t="s">
        <v>677</v>
      </c>
      <c r="C843" t="s">
        <v>18</v>
      </c>
      <c r="D843" t="s">
        <v>52</v>
      </c>
      <c r="E843">
        <v>0.318</v>
      </c>
      <c r="F843">
        <v>0.34799999999999998</v>
      </c>
      <c r="G843">
        <v>0.23</v>
      </c>
      <c r="H843">
        <v>2.27</v>
      </c>
      <c r="I843" s="2">
        <v>131654200</v>
      </c>
      <c r="J843" s="2">
        <v>90842600000</v>
      </c>
      <c r="K843" s="2">
        <v>39872330900</v>
      </c>
      <c r="L843" s="2">
        <v>27690200</v>
      </c>
      <c r="M843" s="2">
        <v>1622000000</v>
      </c>
      <c r="N843" s="2">
        <v>2822000000</v>
      </c>
      <c r="O843" s="2">
        <v>16162380000</v>
      </c>
      <c r="P843" s="2">
        <v>60323000000</v>
      </c>
      <c r="Q843" s="2">
        <v>22087950900</v>
      </c>
      <c r="R843" s="2">
        <v>27697600000</v>
      </c>
      <c r="S843" s="2">
        <f t="shared" si="26"/>
        <v>0.11799999999999997</v>
      </c>
      <c r="T843" s="2">
        <f t="shared" si="27"/>
        <v>40031675300</v>
      </c>
    </row>
    <row r="844" spans="1:20" x14ac:dyDescent="0.3">
      <c r="A844" s="1">
        <v>43928</v>
      </c>
      <c r="B844" t="s">
        <v>668</v>
      </c>
      <c r="C844" t="s">
        <v>18</v>
      </c>
      <c r="D844" t="s">
        <v>59</v>
      </c>
      <c r="E844">
        <v>0.72399999999999998</v>
      </c>
      <c r="F844">
        <v>0.78200000000000003</v>
      </c>
      <c r="G844">
        <v>0.08</v>
      </c>
      <c r="H844">
        <v>2.4300000000000002</v>
      </c>
      <c r="I844" s="2">
        <v>82283800</v>
      </c>
      <c r="J844" s="2">
        <v>60844520000</v>
      </c>
      <c r="K844" s="2">
        <v>24998289000</v>
      </c>
      <c r="L844" s="2">
        <v>1714100</v>
      </c>
      <c r="M844" s="2">
        <v>3307000000</v>
      </c>
      <c r="N844" s="2">
        <v>4382000000</v>
      </c>
      <c r="O844" s="2">
        <v>6897224000</v>
      </c>
      <c r="P844" s="2">
        <v>37161000000</v>
      </c>
      <c r="Q844" s="2">
        <v>14794065000</v>
      </c>
      <c r="R844" s="2">
        <v>19301520000</v>
      </c>
      <c r="S844" s="2">
        <f t="shared" si="26"/>
        <v>0.70200000000000007</v>
      </c>
      <c r="T844" s="2">
        <f t="shared" si="27"/>
        <v>25082286900</v>
      </c>
    </row>
    <row r="845" spans="1:20" x14ac:dyDescent="0.3">
      <c r="A845" s="1">
        <v>43929</v>
      </c>
      <c r="B845" t="s">
        <v>667</v>
      </c>
      <c r="C845" t="s">
        <v>23</v>
      </c>
      <c r="D845" t="s">
        <v>91</v>
      </c>
      <c r="E845">
        <v>1.27</v>
      </c>
      <c r="F845">
        <v>1.325</v>
      </c>
      <c r="G845">
        <v>0.08</v>
      </c>
      <c r="H845">
        <v>2.35</v>
      </c>
      <c r="I845" s="2">
        <v>55953000</v>
      </c>
      <c r="J845" s="2">
        <v>39979345700</v>
      </c>
      <c r="K845" s="2">
        <v>16996500700</v>
      </c>
      <c r="L845" s="2">
        <v>3523500</v>
      </c>
      <c r="M845" s="2">
        <v>1862000000</v>
      </c>
      <c r="N845" s="2">
        <v>2552000000</v>
      </c>
      <c r="O845" s="2">
        <v>3842205000</v>
      </c>
      <c r="P845" s="2">
        <v>23368500000</v>
      </c>
      <c r="Q845" s="2">
        <v>11292295700</v>
      </c>
      <c r="R845" s="2">
        <v>14058845700</v>
      </c>
      <c r="S845" s="2">
        <f t="shared" si="26"/>
        <v>1.2449999999999999</v>
      </c>
      <c r="T845" s="2">
        <f t="shared" si="27"/>
        <v>17055977200</v>
      </c>
    </row>
    <row r="846" spans="1:20" x14ac:dyDescent="0.3">
      <c r="A846" s="1">
        <v>43948</v>
      </c>
      <c r="B846" t="s">
        <v>680</v>
      </c>
      <c r="C846" t="s">
        <v>18</v>
      </c>
      <c r="D846" t="s">
        <v>19</v>
      </c>
      <c r="E846">
        <v>0.35</v>
      </c>
      <c r="F846">
        <v>0.39400000000000002</v>
      </c>
      <c r="G846">
        <v>0.08</v>
      </c>
      <c r="H846">
        <v>2.74</v>
      </c>
      <c r="I846" s="2">
        <v>3734302400</v>
      </c>
      <c r="J846" s="2">
        <v>117680520000</v>
      </c>
      <c r="K846" s="2">
        <v>42983620000</v>
      </c>
      <c r="L846" s="2">
        <v>16445400</v>
      </c>
      <c r="M846" s="2">
        <v>8681000000</v>
      </c>
      <c r="N846" s="2">
        <v>13970000000</v>
      </c>
      <c r="O846" s="2">
        <v>8320115000</v>
      </c>
      <c r="P846" s="2">
        <v>66616000000</v>
      </c>
      <c r="Q846" s="2">
        <v>25982505000</v>
      </c>
      <c r="R846" s="2">
        <v>37094520000</v>
      </c>
      <c r="S846" s="2">
        <f t="shared" si="26"/>
        <v>0.314</v>
      </c>
      <c r="T846" s="2">
        <f t="shared" si="27"/>
        <v>46734367800</v>
      </c>
    </row>
    <row r="847" spans="1:20" x14ac:dyDescent="0.3">
      <c r="A847" s="1">
        <v>43948</v>
      </c>
      <c r="B847" t="s">
        <v>679</v>
      </c>
      <c r="C847" t="s">
        <v>18</v>
      </c>
      <c r="D847" t="s">
        <v>21</v>
      </c>
      <c r="E847">
        <v>0.185</v>
      </c>
      <c r="F847">
        <v>0.22900000000000001</v>
      </c>
      <c r="G847">
        <v>0.08</v>
      </c>
      <c r="H847">
        <v>3.1</v>
      </c>
      <c r="I847" s="2">
        <v>3647458300</v>
      </c>
      <c r="J847" s="2">
        <v>130083375000</v>
      </c>
      <c r="K847" s="2">
        <v>41788275000</v>
      </c>
      <c r="L847" s="2">
        <v>111739300</v>
      </c>
      <c r="M847" s="2">
        <v>7440000000</v>
      </c>
      <c r="N847" s="2">
        <v>12615000000</v>
      </c>
      <c r="O847" s="2">
        <v>11025000000</v>
      </c>
      <c r="P847" s="2">
        <v>71239000000</v>
      </c>
      <c r="Q847" s="2">
        <v>23323275000</v>
      </c>
      <c r="R847" s="2">
        <v>46229375000</v>
      </c>
      <c r="S847" s="2">
        <f t="shared" si="26"/>
        <v>0.14900000000000002</v>
      </c>
      <c r="T847" s="2">
        <f t="shared" si="27"/>
        <v>45547472600</v>
      </c>
    </row>
    <row r="848" spans="1:20" x14ac:dyDescent="0.3">
      <c r="A848" s="1">
        <v>43949</v>
      </c>
      <c r="B848" t="s">
        <v>678</v>
      </c>
      <c r="C848" t="s">
        <v>18</v>
      </c>
      <c r="D848" t="s">
        <v>68</v>
      </c>
      <c r="E848">
        <v>0.47</v>
      </c>
      <c r="F848">
        <v>0.52500000000000002</v>
      </c>
      <c r="G848">
        <v>0.08</v>
      </c>
      <c r="H848">
        <v>2.56</v>
      </c>
      <c r="I848" s="2">
        <v>3039548500</v>
      </c>
      <c r="J848" s="2">
        <v>89752010000</v>
      </c>
      <c r="K848" s="2">
        <v>34993593100</v>
      </c>
      <c r="L848" s="2">
        <v>6452100</v>
      </c>
      <c r="M848" s="2">
        <v>4298710000</v>
      </c>
      <c r="N848" s="2">
        <v>9311800000</v>
      </c>
      <c r="O848" s="2">
        <v>7441710500</v>
      </c>
      <c r="P848" s="2">
        <v>51477000000</v>
      </c>
      <c r="Q848" s="2">
        <v>23253172600</v>
      </c>
      <c r="R848" s="2">
        <v>28963210000</v>
      </c>
      <c r="S848" s="2">
        <f t="shared" si="26"/>
        <v>0.44500000000000001</v>
      </c>
      <c r="T848" s="2">
        <f t="shared" si="27"/>
        <v>38039593700</v>
      </c>
    </row>
    <row r="849" spans="1:20" x14ac:dyDescent="0.3">
      <c r="A849" s="1">
        <v>43962</v>
      </c>
      <c r="B849" t="s">
        <v>683</v>
      </c>
      <c r="C849" t="s">
        <v>18</v>
      </c>
      <c r="D849" t="s">
        <v>52</v>
      </c>
      <c r="E849">
        <v>0.19900000000000001</v>
      </c>
      <c r="F849">
        <v>0.23</v>
      </c>
      <c r="G849">
        <v>0.08</v>
      </c>
      <c r="H849">
        <v>2.54</v>
      </c>
      <c r="I849" s="2">
        <v>22211648800</v>
      </c>
      <c r="J849" s="2">
        <v>106840000000</v>
      </c>
      <c r="K849" s="2">
        <v>41967910000</v>
      </c>
      <c r="L849" s="2">
        <v>29005000</v>
      </c>
      <c r="M849" s="2">
        <v>5479000000</v>
      </c>
      <c r="N849" s="2">
        <v>7224000000</v>
      </c>
      <c r="O849" s="2">
        <v>13678570000</v>
      </c>
      <c r="P849" s="2">
        <v>68990000000</v>
      </c>
      <c r="Q849" s="2">
        <v>22810340000</v>
      </c>
      <c r="R849" s="2">
        <v>30626000000</v>
      </c>
      <c r="S849" s="2">
        <f t="shared" si="26"/>
        <v>0.15000000000000002</v>
      </c>
      <c r="T849" s="2">
        <f t="shared" si="27"/>
        <v>64208563800</v>
      </c>
    </row>
    <row r="850" spans="1:20" x14ac:dyDescent="0.3">
      <c r="A850" s="1">
        <v>43963</v>
      </c>
      <c r="B850" t="s">
        <v>682</v>
      </c>
      <c r="C850" t="s">
        <v>18</v>
      </c>
      <c r="D850" t="s">
        <v>26</v>
      </c>
      <c r="E850">
        <v>0.65</v>
      </c>
      <c r="F850">
        <v>0.7</v>
      </c>
      <c r="G850">
        <v>0.59</v>
      </c>
      <c r="H850">
        <v>2.69</v>
      </c>
      <c r="I850" s="2">
        <v>16923161000</v>
      </c>
      <c r="J850" s="2">
        <v>85952460000</v>
      </c>
      <c r="K850" s="2">
        <v>31988685800</v>
      </c>
      <c r="L850" s="2">
        <v>11349600</v>
      </c>
      <c r="M850" s="2">
        <v>4266000000</v>
      </c>
      <c r="N850" s="2">
        <v>8604000000</v>
      </c>
      <c r="O850" s="2">
        <v>6563637500</v>
      </c>
      <c r="P850" s="2">
        <v>47845500000</v>
      </c>
      <c r="Q850" s="2">
        <v>21159048300</v>
      </c>
      <c r="R850" s="2">
        <v>29502960000</v>
      </c>
      <c r="S850" s="2">
        <f t="shared" si="26"/>
        <v>0.10999999999999999</v>
      </c>
      <c r="T850" s="2">
        <f t="shared" si="27"/>
        <v>48923196400</v>
      </c>
    </row>
    <row r="851" spans="1:20" x14ac:dyDescent="0.3">
      <c r="A851" s="1">
        <v>43964</v>
      </c>
      <c r="B851" t="s">
        <v>681</v>
      </c>
      <c r="C851" t="s">
        <v>23</v>
      </c>
      <c r="D851" t="s">
        <v>65</v>
      </c>
      <c r="E851">
        <v>1.2789999999999999</v>
      </c>
      <c r="F851">
        <v>1.3420000000000001</v>
      </c>
      <c r="G851">
        <v>0.08</v>
      </c>
      <c r="H851">
        <v>2.2999999999999998</v>
      </c>
      <c r="I851" s="2">
        <v>11634673100</v>
      </c>
      <c r="J851" s="2">
        <v>50624020000</v>
      </c>
      <c r="K851" s="2">
        <v>21993520000</v>
      </c>
      <c r="L851" s="2">
        <v>6484700</v>
      </c>
      <c r="M851" s="2">
        <v>2845200000</v>
      </c>
      <c r="N851" s="2">
        <v>4555200000</v>
      </c>
      <c r="O851" s="2">
        <v>4701400000</v>
      </c>
      <c r="P851" s="2">
        <v>29507000000</v>
      </c>
      <c r="Q851" s="2">
        <v>14446920000</v>
      </c>
      <c r="R851" s="2">
        <v>16561820000</v>
      </c>
      <c r="S851" s="2">
        <f t="shared" si="26"/>
        <v>1.262</v>
      </c>
      <c r="T851" s="2">
        <f t="shared" si="27"/>
        <v>33634677800</v>
      </c>
    </row>
    <row r="852" spans="1:20" x14ac:dyDescent="0.3">
      <c r="A852" s="1">
        <v>43971</v>
      </c>
      <c r="B852" t="s">
        <v>687</v>
      </c>
      <c r="C852" t="s">
        <v>23</v>
      </c>
      <c r="D852" t="s">
        <v>688</v>
      </c>
      <c r="E852">
        <v>1.159</v>
      </c>
      <c r="F852">
        <v>1.22</v>
      </c>
      <c r="G852">
        <v>8.7999999999999995E-2</v>
      </c>
      <c r="H852">
        <v>2.5299999999999998</v>
      </c>
      <c r="I852" s="2">
        <v>2099658500</v>
      </c>
      <c r="J852" s="2">
        <v>50622777500</v>
      </c>
      <c r="K852" s="2">
        <v>19993692500</v>
      </c>
      <c r="L852" s="2">
        <v>6327800</v>
      </c>
      <c r="M852" s="2">
        <v>2941000000</v>
      </c>
      <c r="N852" s="2">
        <v>4691000000</v>
      </c>
      <c r="O852" s="2">
        <v>4910912500</v>
      </c>
      <c r="P852" s="2">
        <v>28290000000</v>
      </c>
      <c r="Q852" s="2">
        <v>12141780000</v>
      </c>
      <c r="R852" s="2">
        <v>17641777500</v>
      </c>
      <c r="S852" s="2">
        <f t="shared" si="26"/>
        <v>1.1319999999999999</v>
      </c>
      <c r="T852" s="2">
        <f t="shared" si="27"/>
        <v>22099678800</v>
      </c>
    </row>
    <row r="853" spans="1:20" x14ac:dyDescent="0.3">
      <c r="A853" s="1">
        <v>43977</v>
      </c>
      <c r="B853" t="s">
        <v>686</v>
      </c>
      <c r="C853" t="s">
        <v>18</v>
      </c>
      <c r="D853" t="s">
        <v>21</v>
      </c>
      <c r="E853">
        <v>0.14699999999999999</v>
      </c>
      <c r="F853">
        <v>0.17799999999999999</v>
      </c>
      <c r="G853">
        <v>1.7999999999999999E-2</v>
      </c>
      <c r="H853">
        <v>2.68</v>
      </c>
      <c r="I853" s="2">
        <v>4619248800</v>
      </c>
      <c r="J853" s="2">
        <v>117839475000</v>
      </c>
      <c r="K853" s="2">
        <v>43789995000</v>
      </c>
      <c r="L853" s="2">
        <v>110029400</v>
      </c>
      <c r="M853" s="2">
        <v>6490000000</v>
      </c>
      <c r="N853" s="2">
        <v>10332000000</v>
      </c>
      <c r="O853" s="2">
        <v>14058420000</v>
      </c>
      <c r="P853" s="2">
        <v>69598000000</v>
      </c>
      <c r="Q853" s="2">
        <v>23241575000</v>
      </c>
      <c r="R853" s="2">
        <v>37909475000</v>
      </c>
      <c r="S853" s="2">
        <f t="shared" si="26"/>
        <v>0.16</v>
      </c>
      <c r="T853" s="2">
        <f t="shared" si="27"/>
        <v>48519273200</v>
      </c>
    </row>
    <row r="854" spans="1:20" x14ac:dyDescent="0.3">
      <c r="A854" s="1">
        <v>43978</v>
      </c>
      <c r="B854" t="s">
        <v>685</v>
      </c>
      <c r="C854" t="s">
        <v>18</v>
      </c>
      <c r="D854" t="s">
        <v>19</v>
      </c>
      <c r="E854">
        <v>0.28000000000000003</v>
      </c>
      <c r="F854">
        <v>0.33400000000000002</v>
      </c>
      <c r="G854">
        <v>8.7999999999999995E-2</v>
      </c>
      <c r="H854">
        <v>2.2799999999999998</v>
      </c>
      <c r="I854" s="2">
        <v>4724231700</v>
      </c>
      <c r="J854" s="2">
        <v>102773385000</v>
      </c>
      <c r="K854" s="2">
        <v>44983345000</v>
      </c>
      <c r="L854" s="2">
        <v>16699800</v>
      </c>
      <c r="M854" s="2">
        <v>4872760000</v>
      </c>
      <c r="N854" s="2">
        <v>8385800000</v>
      </c>
      <c r="O854" s="2">
        <v>14317000000</v>
      </c>
      <c r="P854" s="2">
        <v>65236000000</v>
      </c>
      <c r="Q854" s="2">
        <v>25793585000</v>
      </c>
      <c r="R854" s="2">
        <v>29151585000</v>
      </c>
      <c r="S854" s="2">
        <f t="shared" si="26"/>
        <v>0.24600000000000002</v>
      </c>
      <c r="T854" s="2">
        <f t="shared" si="27"/>
        <v>49724276500</v>
      </c>
    </row>
    <row r="855" spans="1:20" x14ac:dyDescent="0.3">
      <c r="A855" s="1">
        <v>43979</v>
      </c>
      <c r="B855" t="s">
        <v>684</v>
      </c>
      <c r="C855" t="s">
        <v>18</v>
      </c>
      <c r="D855" t="s">
        <v>68</v>
      </c>
      <c r="E855">
        <v>0.5</v>
      </c>
      <c r="F855">
        <v>0.55300000000000005</v>
      </c>
      <c r="G855">
        <v>0.42</v>
      </c>
      <c r="H855">
        <v>2.5499999999999998</v>
      </c>
      <c r="I855" s="2">
        <v>3989351200</v>
      </c>
      <c r="J855" s="2">
        <v>96801400000</v>
      </c>
      <c r="K855" s="2">
        <v>37990920000</v>
      </c>
      <c r="L855" s="2">
        <v>9083300</v>
      </c>
      <c r="M855" s="2">
        <v>4708400000</v>
      </c>
      <c r="N855" s="2">
        <v>8178400000</v>
      </c>
      <c r="O855" s="2">
        <v>9126520000</v>
      </c>
      <c r="P855" s="2">
        <v>58485000000</v>
      </c>
      <c r="Q855" s="2">
        <v>24156000000</v>
      </c>
      <c r="R855" s="2">
        <v>30138000000</v>
      </c>
      <c r="S855" s="2">
        <f t="shared" si="26"/>
        <v>0.13300000000000006</v>
      </c>
      <c r="T855" s="2">
        <f t="shared" si="27"/>
        <v>41989354500</v>
      </c>
    </row>
    <row r="856" spans="1:20" x14ac:dyDescent="0.3">
      <c r="A856" s="1">
        <v>43990</v>
      </c>
      <c r="B856" t="s">
        <v>689</v>
      </c>
      <c r="C856" t="s">
        <v>18</v>
      </c>
      <c r="D856" t="s">
        <v>52</v>
      </c>
      <c r="E856">
        <v>0.24</v>
      </c>
      <c r="F856">
        <v>0.28000000000000003</v>
      </c>
      <c r="G856">
        <v>0.08</v>
      </c>
      <c r="H856">
        <v>2.5499999999999998</v>
      </c>
      <c r="I856" s="2">
        <v>625565300</v>
      </c>
      <c r="J856" s="2">
        <v>111983500000</v>
      </c>
      <c r="K856" s="2">
        <v>43982678700</v>
      </c>
      <c r="L856" s="2">
        <v>17324900</v>
      </c>
      <c r="M856" s="2">
        <v>6365933700</v>
      </c>
      <c r="N856" s="2">
        <v>10206000000</v>
      </c>
      <c r="O856" s="2">
        <v>14171375000</v>
      </c>
      <c r="P856" s="2">
        <v>67438000000</v>
      </c>
      <c r="Q856" s="2">
        <v>23445370000</v>
      </c>
      <c r="R856" s="2">
        <v>34339500000</v>
      </c>
      <c r="S856" s="2">
        <f t="shared" si="26"/>
        <v>0.2</v>
      </c>
      <c r="T856" s="2">
        <f t="shared" si="27"/>
        <v>44625568900</v>
      </c>
    </row>
    <row r="857" spans="1:20" x14ac:dyDescent="0.3">
      <c r="A857" s="1">
        <v>43991</v>
      </c>
      <c r="B857" t="s">
        <v>682</v>
      </c>
      <c r="C857" t="s">
        <v>18</v>
      </c>
      <c r="D857" t="s">
        <v>29</v>
      </c>
      <c r="E857">
        <v>0.76900000000000002</v>
      </c>
      <c r="F857">
        <v>0.83199999999999996</v>
      </c>
      <c r="G857">
        <v>0.7</v>
      </c>
      <c r="H857">
        <v>2.2599999999999998</v>
      </c>
      <c r="I857" s="2">
        <v>412304300</v>
      </c>
      <c r="J857" s="2">
        <v>65651340000</v>
      </c>
      <c r="K857" s="2">
        <v>28998725800</v>
      </c>
      <c r="L857" s="2">
        <v>1289100</v>
      </c>
      <c r="M857" s="2">
        <v>3410000000</v>
      </c>
      <c r="N857" s="2">
        <v>6020000000</v>
      </c>
      <c r="O857" s="2">
        <v>9134276500</v>
      </c>
      <c r="P857" s="2">
        <v>41670000000</v>
      </c>
      <c r="Q857" s="2">
        <v>16454449300</v>
      </c>
      <c r="R857" s="2">
        <v>17961340000</v>
      </c>
      <c r="S857" s="2">
        <f t="shared" si="26"/>
        <v>0.13200000000000001</v>
      </c>
      <c r="T857" s="2">
        <f t="shared" si="27"/>
        <v>29412319200</v>
      </c>
    </row>
    <row r="858" spans="1:20" x14ac:dyDescent="0.3">
      <c r="A858" s="1">
        <v>43993</v>
      </c>
      <c r="B858" t="s">
        <v>681</v>
      </c>
      <c r="C858" t="s">
        <v>23</v>
      </c>
      <c r="D858" t="s">
        <v>72</v>
      </c>
      <c r="E858">
        <v>1.38</v>
      </c>
      <c r="F858">
        <v>1.45</v>
      </c>
      <c r="G858">
        <v>0.88</v>
      </c>
      <c r="H858">
        <v>2.2999999999999998</v>
      </c>
      <c r="I858" s="2">
        <v>270130400</v>
      </c>
      <c r="J858" s="2">
        <v>43714430000</v>
      </c>
      <c r="K858" s="2">
        <v>18999108200</v>
      </c>
      <c r="L858" s="2">
        <v>904900</v>
      </c>
      <c r="M858" s="2">
        <v>2517400000</v>
      </c>
      <c r="N858" s="2">
        <v>4057400000</v>
      </c>
      <c r="O858" s="2">
        <v>4663961200</v>
      </c>
      <c r="P858" s="2">
        <v>26638000000</v>
      </c>
      <c r="Q858" s="2">
        <v>11817747000</v>
      </c>
      <c r="R858" s="2">
        <v>13019030000</v>
      </c>
      <c r="S858" s="2">
        <f t="shared" si="26"/>
        <v>0.56999999999999995</v>
      </c>
      <c r="T858" s="2">
        <f t="shared" si="27"/>
        <v>19270143500</v>
      </c>
    </row>
    <row r="859" spans="1:20" x14ac:dyDescent="0.3">
      <c r="A859" s="1">
        <v>43999</v>
      </c>
      <c r="B859" t="s">
        <v>687</v>
      </c>
      <c r="C859" t="s">
        <v>23</v>
      </c>
      <c r="D859" t="s">
        <v>693</v>
      </c>
      <c r="E859">
        <v>1.26</v>
      </c>
      <c r="F859">
        <v>1.3140000000000001</v>
      </c>
      <c r="G859">
        <v>0.88</v>
      </c>
      <c r="H859">
        <v>2.63</v>
      </c>
      <c r="I859" s="2">
        <v>2325129100</v>
      </c>
      <c r="J859" s="2">
        <v>44746000000</v>
      </c>
      <c r="K859" s="2">
        <v>16998646000</v>
      </c>
      <c r="L859" s="2">
        <v>1361200</v>
      </c>
      <c r="M859" s="2">
        <v>2797000000</v>
      </c>
      <c r="N859" s="2">
        <v>4317000000</v>
      </c>
      <c r="O859" s="2">
        <v>3726341000</v>
      </c>
      <c r="P859" s="2">
        <v>25399000000</v>
      </c>
      <c r="Q859" s="2">
        <v>10475305000</v>
      </c>
      <c r="R859" s="2">
        <v>15030000000</v>
      </c>
      <c r="S859" s="2">
        <f t="shared" si="26"/>
        <v>0.43400000000000005</v>
      </c>
      <c r="T859" s="2">
        <f t="shared" si="27"/>
        <v>19325136300</v>
      </c>
    </row>
    <row r="860" spans="1:20" x14ac:dyDescent="0.3">
      <c r="A860" s="1">
        <v>44005</v>
      </c>
      <c r="B860" t="s">
        <v>692</v>
      </c>
      <c r="C860" t="s">
        <v>18</v>
      </c>
      <c r="D860" t="s">
        <v>21</v>
      </c>
      <c r="E860">
        <v>0.16</v>
      </c>
      <c r="F860">
        <v>0.193</v>
      </c>
      <c r="G860">
        <v>0.08</v>
      </c>
      <c r="H860">
        <v>2.46</v>
      </c>
      <c r="I860" s="2">
        <v>6291525900</v>
      </c>
      <c r="J860" s="2">
        <v>112848740000</v>
      </c>
      <c r="K860" s="2">
        <v>45799187500</v>
      </c>
      <c r="L860" s="2">
        <v>100925300</v>
      </c>
      <c r="M860" s="2">
        <v>7669620000</v>
      </c>
      <c r="N860" s="2">
        <v>11955000000</v>
      </c>
      <c r="O860" s="2">
        <v>14302827500</v>
      </c>
      <c r="P860" s="2">
        <v>69861000000</v>
      </c>
      <c r="Q860" s="2">
        <v>23826740000</v>
      </c>
      <c r="R860" s="2">
        <v>31032740000</v>
      </c>
      <c r="S860" s="2">
        <f t="shared" si="26"/>
        <v>0.113</v>
      </c>
      <c r="T860" s="2">
        <f t="shared" si="27"/>
        <v>52191638700</v>
      </c>
    </row>
    <row r="861" spans="1:20" x14ac:dyDescent="0.3">
      <c r="A861" s="1">
        <v>44006</v>
      </c>
      <c r="B861" t="s">
        <v>691</v>
      </c>
      <c r="C861" t="s">
        <v>18</v>
      </c>
      <c r="D861" t="s">
        <v>19</v>
      </c>
      <c r="E861">
        <v>0.28799999999999998</v>
      </c>
      <c r="F861">
        <v>0.33</v>
      </c>
      <c r="G861">
        <v>0.22</v>
      </c>
      <c r="H861">
        <v>2.58</v>
      </c>
      <c r="I861" s="2">
        <v>6428298100</v>
      </c>
      <c r="J861" s="2">
        <v>121059185000</v>
      </c>
      <c r="K861" s="2">
        <v>46985336000</v>
      </c>
      <c r="L861" s="2">
        <v>14764400</v>
      </c>
      <c r="M861" s="2">
        <v>7413783000</v>
      </c>
      <c r="N861" s="2">
        <v>11065000000</v>
      </c>
      <c r="O861" s="2">
        <v>10319840000</v>
      </c>
      <c r="P861" s="2">
        <v>74141000000</v>
      </c>
      <c r="Q861" s="2">
        <v>29251713000</v>
      </c>
      <c r="R861" s="2">
        <v>35853185000</v>
      </c>
      <c r="S861" s="2">
        <f t="shared" si="26"/>
        <v>0.11000000000000001</v>
      </c>
      <c r="T861" s="2">
        <f t="shared" si="27"/>
        <v>53428398500</v>
      </c>
    </row>
    <row r="862" spans="1:20" x14ac:dyDescent="0.3">
      <c r="A862" s="1">
        <v>44007</v>
      </c>
      <c r="B862" t="s">
        <v>690</v>
      </c>
      <c r="C862" t="s">
        <v>18</v>
      </c>
      <c r="D862" t="s">
        <v>68</v>
      </c>
      <c r="E862">
        <v>0.46500000000000002</v>
      </c>
      <c r="F862">
        <v>0.51100000000000001</v>
      </c>
      <c r="G862">
        <v>0.08</v>
      </c>
      <c r="H862">
        <v>2.4900000000000002</v>
      </c>
      <c r="I862" s="2">
        <v>5607664300</v>
      </c>
      <c r="J862" s="2">
        <v>102032915000</v>
      </c>
      <c r="K862" s="2">
        <v>40997855000</v>
      </c>
      <c r="L862" s="2">
        <v>2217700</v>
      </c>
      <c r="M862" s="2">
        <v>6437100000</v>
      </c>
      <c r="N862" s="2">
        <v>10417100000</v>
      </c>
      <c r="O862" s="2">
        <v>8891360000</v>
      </c>
      <c r="P862" s="2">
        <v>60708000000</v>
      </c>
      <c r="Q862" s="2">
        <v>25669395000</v>
      </c>
      <c r="R862" s="2">
        <v>30907815000</v>
      </c>
      <c r="S862" s="2">
        <f t="shared" si="26"/>
        <v>0.43099999999999999</v>
      </c>
      <c r="T862" s="2">
        <f t="shared" si="27"/>
        <v>46607737000</v>
      </c>
    </row>
    <row r="863" spans="1:20" x14ac:dyDescent="0.3">
      <c r="A863" s="1">
        <v>44019</v>
      </c>
      <c r="B863" t="s">
        <v>694</v>
      </c>
      <c r="C863" t="s">
        <v>18</v>
      </c>
      <c r="D863" t="s">
        <v>52</v>
      </c>
      <c r="E863">
        <v>0.16</v>
      </c>
      <c r="F863">
        <v>0.19</v>
      </c>
      <c r="G863">
        <v>0.08</v>
      </c>
      <c r="H863">
        <v>2.44</v>
      </c>
      <c r="I863" s="2">
        <v>4035617100</v>
      </c>
      <c r="J863" s="2">
        <v>112097210000</v>
      </c>
      <c r="K863" s="2">
        <v>45882774400</v>
      </c>
      <c r="L863" s="2">
        <v>14234200</v>
      </c>
      <c r="M863" s="2">
        <v>6080000000</v>
      </c>
      <c r="N863" s="2">
        <v>9987000000</v>
      </c>
      <c r="O863" s="2">
        <v>14887300000</v>
      </c>
      <c r="P863" s="2">
        <v>71123000000</v>
      </c>
      <c r="Q863" s="2">
        <v>24915474400</v>
      </c>
      <c r="R863" s="2">
        <v>30987210000</v>
      </c>
      <c r="S863" s="2">
        <f t="shared" si="26"/>
        <v>0.11</v>
      </c>
      <c r="T863" s="2">
        <f t="shared" si="27"/>
        <v>49932625700</v>
      </c>
    </row>
    <row r="864" spans="1:20" x14ac:dyDescent="0.3">
      <c r="A864" s="1">
        <v>44020</v>
      </c>
      <c r="B864" t="s">
        <v>682</v>
      </c>
      <c r="C864" t="s">
        <v>18</v>
      </c>
      <c r="D864" t="s">
        <v>59</v>
      </c>
      <c r="E864">
        <v>0.61099999999999999</v>
      </c>
      <c r="F864">
        <v>0.65300000000000002</v>
      </c>
      <c r="G864">
        <v>0.5</v>
      </c>
      <c r="H864">
        <v>2.62</v>
      </c>
      <c r="I864" s="2">
        <v>2544193400</v>
      </c>
      <c r="J864" s="2">
        <v>76064548000</v>
      </c>
      <c r="K864" s="2">
        <v>28996179500</v>
      </c>
      <c r="L864" s="2">
        <v>3836200</v>
      </c>
      <c r="M864" s="2">
        <v>4915000000</v>
      </c>
      <c r="N864" s="2">
        <v>7710000000</v>
      </c>
      <c r="O864" s="2">
        <v>5708195000</v>
      </c>
      <c r="P864" s="2">
        <v>44790000000</v>
      </c>
      <c r="Q864" s="2">
        <v>18372984500</v>
      </c>
      <c r="R864" s="2">
        <v>23564548000</v>
      </c>
      <c r="S864" s="2">
        <f t="shared" si="26"/>
        <v>0.15300000000000002</v>
      </c>
      <c r="T864" s="2">
        <f t="shared" si="27"/>
        <v>31544209100</v>
      </c>
    </row>
    <row r="865" spans="1:20" x14ac:dyDescent="0.3">
      <c r="A865" s="1">
        <v>44021</v>
      </c>
      <c r="B865" t="s">
        <v>681</v>
      </c>
      <c r="C865" t="s">
        <v>23</v>
      </c>
      <c r="D865" t="s">
        <v>91</v>
      </c>
      <c r="E865">
        <v>1.294</v>
      </c>
      <c r="F865">
        <v>1.33</v>
      </c>
      <c r="G865">
        <v>0.88</v>
      </c>
      <c r="H865">
        <v>2.5</v>
      </c>
      <c r="I865" s="2">
        <v>1666885300</v>
      </c>
      <c r="J865" s="2">
        <v>47495820000</v>
      </c>
      <c r="K865" s="2">
        <v>18997073000</v>
      </c>
      <c r="L865" s="2">
        <v>941300</v>
      </c>
      <c r="M865" s="2">
        <v>1995000000</v>
      </c>
      <c r="N865" s="2">
        <v>5143500000</v>
      </c>
      <c r="O865" s="2">
        <v>3314976600</v>
      </c>
      <c r="P865" s="2">
        <v>25688000000</v>
      </c>
      <c r="Q865" s="2">
        <v>13687096400</v>
      </c>
      <c r="R865" s="2">
        <v>16664320000</v>
      </c>
      <c r="S865" s="2">
        <f t="shared" si="26"/>
        <v>0.45000000000000007</v>
      </c>
      <c r="T865" s="2">
        <f t="shared" si="27"/>
        <v>20664899600</v>
      </c>
    </row>
    <row r="866" spans="1:20" x14ac:dyDescent="0.3">
      <c r="A866" s="1">
        <v>44034</v>
      </c>
      <c r="B866" t="s">
        <v>687</v>
      </c>
      <c r="C866" t="s">
        <v>23</v>
      </c>
      <c r="D866" t="s">
        <v>698</v>
      </c>
      <c r="E866">
        <v>1</v>
      </c>
      <c r="F866">
        <v>1.0589999999999999</v>
      </c>
      <c r="G866">
        <v>0.88</v>
      </c>
      <c r="H866">
        <v>2.4300000000000002</v>
      </c>
      <c r="I866" s="2">
        <v>1931854100</v>
      </c>
      <c r="J866" s="2">
        <v>41343450000</v>
      </c>
      <c r="K866" s="2">
        <v>16999579200</v>
      </c>
      <c r="L866" s="2">
        <v>442300</v>
      </c>
      <c r="M866" s="2">
        <v>1999000000</v>
      </c>
      <c r="N866" s="2">
        <v>3705000000</v>
      </c>
      <c r="O866" s="2">
        <v>3608780100</v>
      </c>
      <c r="P866" s="2">
        <v>24594000000</v>
      </c>
      <c r="Q866" s="2">
        <v>11391799100</v>
      </c>
      <c r="R866" s="2">
        <v>13044450000</v>
      </c>
      <c r="S866" s="2">
        <f t="shared" si="26"/>
        <v>0.17899999999999994</v>
      </c>
      <c r="T866" s="2">
        <f t="shared" si="27"/>
        <v>18931875600</v>
      </c>
    </row>
    <row r="867" spans="1:20" x14ac:dyDescent="0.3">
      <c r="A867" s="1">
        <v>44039</v>
      </c>
      <c r="B867" t="s">
        <v>697</v>
      </c>
      <c r="C867" t="s">
        <v>18</v>
      </c>
      <c r="D867" t="s">
        <v>19</v>
      </c>
      <c r="E867">
        <v>0.23</v>
      </c>
      <c r="F867">
        <v>0.28799999999999998</v>
      </c>
      <c r="G867">
        <v>0.15</v>
      </c>
      <c r="H867">
        <v>2.3199999999999998</v>
      </c>
      <c r="I867" s="2">
        <v>5568285400</v>
      </c>
      <c r="J867" s="2">
        <v>113477920000</v>
      </c>
      <c r="K867" s="2">
        <v>48971823300</v>
      </c>
      <c r="L867" s="2">
        <v>23179700</v>
      </c>
      <c r="M867" s="2">
        <v>6031000000</v>
      </c>
      <c r="N867" s="2">
        <v>10081000000</v>
      </c>
      <c r="O867" s="2">
        <v>14471647500</v>
      </c>
      <c r="P867" s="2">
        <v>72434000000</v>
      </c>
      <c r="Q867" s="2">
        <v>28469175800</v>
      </c>
      <c r="R867" s="2">
        <v>30962920000</v>
      </c>
      <c r="S867" s="2">
        <f t="shared" si="26"/>
        <v>0.13799999999999998</v>
      </c>
      <c r="T867" s="2">
        <f t="shared" si="27"/>
        <v>54563288400</v>
      </c>
    </row>
    <row r="868" spans="1:20" x14ac:dyDescent="0.3">
      <c r="A868" s="1">
        <v>44039</v>
      </c>
      <c r="B868" t="s">
        <v>696</v>
      </c>
      <c r="C868" t="s">
        <v>18</v>
      </c>
      <c r="D868" t="s">
        <v>21</v>
      </c>
      <c r="E868">
        <v>0.121</v>
      </c>
      <c r="F868">
        <v>0.155</v>
      </c>
      <c r="G868">
        <v>0.08</v>
      </c>
      <c r="H868">
        <v>2.34</v>
      </c>
      <c r="I868" s="2">
        <v>5454646900</v>
      </c>
      <c r="J868" s="2">
        <v>112151805000</v>
      </c>
      <c r="K868" s="2">
        <v>47836870000</v>
      </c>
      <c r="L868" s="2">
        <v>158228200</v>
      </c>
      <c r="M868" s="2">
        <v>7087000000</v>
      </c>
      <c r="N868" s="2">
        <v>11287000000</v>
      </c>
      <c r="O868" s="2">
        <v>18821065000</v>
      </c>
      <c r="P868" s="2">
        <v>73427000000</v>
      </c>
      <c r="Q868" s="2">
        <v>21928805000</v>
      </c>
      <c r="R868" s="2">
        <v>27437805000</v>
      </c>
      <c r="S868" s="2">
        <f t="shared" si="26"/>
        <v>7.4999999999999997E-2</v>
      </c>
      <c r="T868" s="2">
        <f t="shared" si="27"/>
        <v>53449745100</v>
      </c>
    </row>
    <row r="869" spans="1:20" x14ac:dyDescent="0.3">
      <c r="A869" s="1">
        <v>44040</v>
      </c>
      <c r="B869" t="s">
        <v>695</v>
      </c>
      <c r="C869" t="s">
        <v>18</v>
      </c>
      <c r="D869" t="s">
        <v>68</v>
      </c>
      <c r="E869">
        <v>0.4</v>
      </c>
      <c r="F869">
        <v>0.44600000000000001</v>
      </c>
      <c r="G869">
        <v>0.08</v>
      </c>
      <c r="H869">
        <v>2.4500000000000002</v>
      </c>
      <c r="I869" s="2">
        <v>5000092900</v>
      </c>
      <c r="J869" s="2">
        <v>107767400000</v>
      </c>
      <c r="K869" s="2">
        <v>43998130000</v>
      </c>
      <c r="L869" s="2">
        <v>1883300</v>
      </c>
      <c r="M869" s="2">
        <v>7401900000</v>
      </c>
      <c r="N869" s="2">
        <v>11480900000</v>
      </c>
      <c r="O869" s="2">
        <v>8474310000</v>
      </c>
      <c r="P869" s="2">
        <v>63394000000</v>
      </c>
      <c r="Q869" s="2">
        <v>28121920000</v>
      </c>
      <c r="R869" s="2">
        <v>32892500000</v>
      </c>
      <c r="S869" s="2">
        <f t="shared" si="26"/>
        <v>0.36599999999999999</v>
      </c>
      <c r="T869" s="2">
        <f t="shared" si="27"/>
        <v>49000106200</v>
      </c>
    </row>
    <row r="870" spans="1:20" x14ac:dyDescent="0.3">
      <c r="A870" s="1">
        <v>44054</v>
      </c>
      <c r="B870" t="s">
        <v>701</v>
      </c>
      <c r="C870" t="s">
        <v>18</v>
      </c>
      <c r="D870" t="s">
        <v>52</v>
      </c>
      <c r="E870">
        <v>0.14599999999999999</v>
      </c>
      <c r="F870">
        <v>0.17899999999999999</v>
      </c>
      <c r="G870">
        <v>0.08</v>
      </c>
      <c r="H870">
        <v>2.44</v>
      </c>
      <c r="I870" s="2">
        <v>28548134900</v>
      </c>
      <c r="J870" s="2">
        <v>117100000000</v>
      </c>
      <c r="K870" s="2">
        <v>47864336000</v>
      </c>
      <c r="L870" s="2">
        <v>30710100</v>
      </c>
      <c r="M870" s="2">
        <v>5883464000</v>
      </c>
      <c r="N870" s="2">
        <v>10105000000</v>
      </c>
      <c r="O870" s="2">
        <v>14689312000</v>
      </c>
      <c r="P870" s="2">
        <v>73270000000</v>
      </c>
      <c r="Q870" s="2">
        <v>27291560000</v>
      </c>
      <c r="R870" s="2">
        <v>33725000000</v>
      </c>
      <c r="S870" s="2">
        <f t="shared" si="26"/>
        <v>9.8999999999999991E-2</v>
      </c>
      <c r="T870" s="2">
        <f t="shared" si="27"/>
        <v>76443181000</v>
      </c>
    </row>
    <row r="871" spans="1:20" x14ac:dyDescent="0.3">
      <c r="A871" s="1">
        <v>44055</v>
      </c>
      <c r="B871" t="s">
        <v>700</v>
      </c>
      <c r="C871" t="s">
        <v>18</v>
      </c>
      <c r="D871" t="s">
        <v>26</v>
      </c>
      <c r="E871">
        <v>0.63900000000000001</v>
      </c>
      <c r="F871">
        <v>0.67700000000000005</v>
      </c>
      <c r="G871">
        <v>0.1</v>
      </c>
      <c r="H871">
        <v>2.41</v>
      </c>
      <c r="I871" s="2">
        <v>22600606800</v>
      </c>
      <c r="J871" s="2">
        <v>91536195000</v>
      </c>
      <c r="K871" s="2">
        <v>37989294600</v>
      </c>
      <c r="L871" s="2">
        <v>10723300</v>
      </c>
      <c r="M871" s="2">
        <v>5601000000</v>
      </c>
      <c r="N871" s="2">
        <v>9226000000</v>
      </c>
      <c r="O871" s="2">
        <v>7533524600</v>
      </c>
      <c r="P871" s="2">
        <v>52085000000</v>
      </c>
      <c r="Q871" s="2">
        <v>24854770000</v>
      </c>
      <c r="R871" s="2">
        <v>30225195000</v>
      </c>
      <c r="S871" s="2">
        <f t="shared" si="26"/>
        <v>0.57700000000000007</v>
      </c>
      <c r="T871" s="2">
        <f t="shared" si="27"/>
        <v>60600624700</v>
      </c>
    </row>
    <row r="872" spans="1:20" x14ac:dyDescent="0.3">
      <c r="A872" s="1">
        <v>44056</v>
      </c>
      <c r="B872" t="s">
        <v>699</v>
      </c>
      <c r="C872" t="s">
        <v>23</v>
      </c>
      <c r="D872" t="s">
        <v>65</v>
      </c>
      <c r="E872">
        <v>1.32</v>
      </c>
      <c r="F872">
        <v>1.4059999999999999</v>
      </c>
      <c r="G872">
        <v>1.1499999999999999</v>
      </c>
      <c r="H872">
        <v>2.14</v>
      </c>
      <c r="I872" s="2">
        <v>15463573000</v>
      </c>
      <c r="J872" s="2">
        <v>55533455000</v>
      </c>
      <c r="K872" s="2">
        <v>25991895000</v>
      </c>
      <c r="L872" s="2">
        <v>8118800</v>
      </c>
      <c r="M872" s="2">
        <v>3086400000</v>
      </c>
      <c r="N872" s="2">
        <v>5236400000</v>
      </c>
      <c r="O872" s="2">
        <v>7354440000</v>
      </c>
      <c r="P872" s="2">
        <v>34323000000</v>
      </c>
      <c r="Q872" s="2">
        <v>15551055000</v>
      </c>
      <c r="R872" s="2">
        <v>15974055000</v>
      </c>
      <c r="S872" s="2">
        <f t="shared" si="26"/>
        <v>0.25600000000000001</v>
      </c>
      <c r="T872" s="2">
        <f t="shared" si="27"/>
        <v>41463586800</v>
      </c>
    </row>
    <row r="873" spans="1:20" x14ac:dyDescent="0.3">
      <c r="A873" s="1">
        <v>44062</v>
      </c>
      <c r="B873" t="s">
        <v>704</v>
      </c>
      <c r="C873" t="s">
        <v>23</v>
      </c>
      <c r="D873" t="s">
        <v>688</v>
      </c>
      <c r="E873">
        <v>1.1100000000000001</v>
      </c>
      <c r="F873">
        <v>1.1850000000000001</v>
      </c>
      <c r="G873">
        <v>0.08</v>
      </c>
      <c r="H873">
        <v>2.2599999999999998</v>
      </c>
      <c r="I873" s="2">
        <v>2171847400</v>
      </c>
      <c r="J873" s="2">
        <v>56423060000</v>
      </c>
      <c r="K873" s="2">
        <v>24999361000</v>
      </c>
      <c r="L873" s="2">
        <v>643300</v>
      </c>
      <c r="M873" s="2">
        <v>2797087500</v>
      </c>
      <c r="N873" s="2">
        <v>5840600000</v>
      </c>
      <c r="O873" s="2">
        <v>6548115000</v>
      </c>
      <c r="P873" s="2">
        <v>33524000000</v>
      </c>
      <c r="Q873" s="2">
        <v>15654158500</v>
      </c>
      <c r="R873" s="2">
        <v>17058460000</v>
      </c>
      <c r="S873" s="2">
        <f t="shared" si="26"/>
        <v>1.105</v>
      </c>
      <c r="T873" s="2">
        <f t="shared" si="27"/>
        <v>27171851700</v>
      </c>
    </row>
    <row r="874" spans="1:20" x14ac:dyDescent="0.3">
      <c r="A874" s="1">
        <v>44068</v>
      </c>
      <c r="B874" t="s">
        <v>703</v>
      </c>
      <c r="C874" t="s">
        <v>18</v>
      </c>
      <c r="D874" t="s">
        <v>21</v>
      </c>
      <c r="E874">
        <v>0.12</v>
      </c>
      <c r="F874">
        <v>0.155</v>
      </c>
      <c r="G874">
        <v>5.7000000000000002E-2</v>
      </c>
      <c r="H874">
        <v>2.78</v>
      </c>
      <c r="I874" s="2">
        <v>4343694800</v>
      </c>
      <c r="J874" s="2">
        <v>138983360000</v>
      </c>
      <c r="K874" s="2">
        <v>49895360000</v>
      </c>
      <c r="L874" s="2">
        <v>104718900</v>
      </c>
      <c r="M874" s="2">
        <v>6827000000</v>
      </c>
      <c r="N874" s="2">
        <v>12392000000</v>
      </c>
      <c r="O874" s="2">
        <v>14312000000</v>
      </c>
      <c r="P874" s="2">
        <v>84212000000</v>
      </c>
      <c r="Q874" s="2">
        <v>28756360000</v>
      </c>
      <c r="R874" s="2">
        <v>42379360000</v>
      </c>
      <c r="S874" s="2">
        <f t="shared" si="26"/>
        <v>9.8000000000000004E-2</v>
      </c>
      <c r="T874" s="2">
        <f t="shared" si="27"/>
        <v>54343773700</v>
      </c>
    </row>
    <row r="875" spans="1:20" x14ac:dyDescent="0.3">
      <c r="A875" s="1">
        <v>44069</v>
      </c>
      <c r="B875" t="s">
        <v>702</v>
      </c>
      <c r="C875" t="s">
        <v>18</v>
      </c>
      <c r="D875" t="s">
        <v>19</v>
      </c>
      <c r="E875">
        <v>0.26100000000000001</v>
      </c>
      <c r="F875">
        <v>0.29799999999999999</v>
      </c>
      <c r="G875">
        <v>0.08</v>
      </c>
      <c r="H875">
        <v>2.71</v>
      </c>
      <c r="I875" s="2">
        <v>4430568700</v>
      </c>
      <c r="J875" s="2">
        <v>138179455000</v>
      </c>
      <c r="K875" s="2">
        <v>50980249000</v>
      </c>
      <c r="L875" s="2">
        <v>20111400</v>
      </c>
      <c r="M875" s="2">
        <v>8121000000</v>
      </c>
      <c r="N875" s="2">
        <v>12926000000</v>
      </c>
      <c r="O875" s="2">
        <v>9085642000</v>
      </c>
      <c r="P875" s="2">
        <v>80132000000</v>
      </c>
      <c r="Q875" s="2">
        <v>33773607000</v>
      </c>
      <c r="R875" s="2">
        <v>45121455000</v>
      </c>
      <c r="S875" s="2">
        <f t="shared" si="26"/>
        <v>0.21799999999999997</v>
      </c>
      <c r="T875" s="2">
        <f t="shared" si="27"/>
        <v>55430929100</v>
      </c>
    </row>
    <row r="876" spans="1:20" x14ac:dyDescent="0.3">
      <c r="A876" s="1">
        <v>44070</v>
      </c>
      <c r="B876" t="s">
        <v>705</v>
      </c>
      <c r="C876" t="s">
        <v>18</v>
      </c>
      <c r="D876" t="s">
        <v>68</v>
      </c>
      <c r="E876">
        <v>0.47599999999999998</v>
      </c>
      <c r="F876">
        <v>0.51900000000000002</v>
      </c>
      <c r="G876">
        <v>0.08</v>
      </c>
      <c r="H876">
        <v>2.4700000000000002</v>
      </c>
      <c r="I876" s="2">
        <v>4083073100</v>
      </c>
      <c r="J876" s="2">
        <v>116188900000</v>
      </c>
      <c r="K876" s="2">
        <v>46991264800</v>
      </c>
      <c r="L876" s="2">
        <v>8737800</v>
      </c>
      <c r="M876" s="2">
        <v>7688031600</v>
      </c>
      <c r="N876" s="2">
        <v>11627300000</v>
      </c>
      <c r="O876" s="2">
        <v>7210130000</v>
      </c>
      <c r="P876" s="2">
        <v>67009000000</v>
      </c>
      <c r="Q876" s="2">
        <v>32093103200</v>
      </c>
      <c r="R876" s="2">
        <v>37552600000</v>
      </c>
      <c r="S876" s="2">
        <f t="shared" si="26"/>
        <v>0.439</v>
      </c>
      <c r="T876" s="2">
        <f t="shared" si="27"/>
        <v>51083075700</v>
      </c>
    </row>
    <row r="877" spans="1:20" x14ac:dyDescent="0.3">
      <c r="A877" s="1">
        <v>44082</v>
      </c>
      <c r="B877" t="s">
        <v>706</v>
      </c>
      <c r="C877" t="s">
        <v>18</v>
      </c>
      <c r="D877" t="s">
        <v>52</v>
      </c>
      <c r="E877">
        <v>0.14399999999999999</v>
      </c>
      <c r="F877">
        <v>0.17</v>
      </c>
      <c r="G877">
        <v>6.5000000000000002E-2</v>
      </c>
      <c r="H877">
        <v>2.2799999999999998</v>
      </c>
      <c r="I877" s="2">
        <v>2055555600</v>
      </c>
      <c r="J877" s="2">
        <v>114082100000</v>
      </c>
      <c r="K877" s="2">
        <v>49870766400</v>
      </c>
      <c r="L877" s="2">
        <v>29297500</v>
      </c>
      <c r="M877" s="2">
        <v>6466223400</v>
      </c>
      <c r="N877" s="2">
        <v>10846000000</v>
      </c>
      <c r="O877" s="2">
        <v>18098420000</v>
      </c>
      <c r="P877" s="2">
        <v>71448000000</v>
      </c>
      <c r="Q877" s="2">
        <v>25306123000</v>
      </c>
      <c r="R877" s="2">
        <v>31788100000</v>
      </c>
      <c r="S877" s="2">
        <f t="shared" si="26"/>
        <v>0.10500000000000001</v>
      </c>
      <c r="T877" s="2">
        <f t="shared" si="27"/>
        <v>51955619500</v>
      </c>
    </row>
    <row r="878" spans="1:20" x14ac:dyDescent="0.3">
      <c r="A878" s="1">
        <v>44083</v>
      </c>
      <c r="B878" t="s">
        <v>700</v>
      </c>
      <c r="C878" t="s">
        <v>18</v>
      </c>
      <c r="D878" t="s">
        <v>29</v>
      </c>
      <c r="E878">
        <v>0.65</v>
      </c>
      <c r="F878">
        <v>0.70399999999999996</v>
      </c>
      <c r="G878">
        <v>0.59</v>
      </c>
      <c r="H878">
        <v>2.2999999999999998</v>
      </c>
      <c r="I878" s="2">
        <v>1438888900</v>
      </c>
      <c r="J878" s="2">
        <v>80628735000</v>
      </c>
      <c r="K878" s="2">
        <v>34989939300</v>
      </c>
      <c r="L878" s="2">
        <v>10099300</v>
      </c>
      <c r="M878" s="2">
        <v>5109000000</v>
      </c>
      <c r="N878" s="2">
        <v>8599000000</v>
      </c>
      <c r="O878" s="2">
        <v>9486894000</v>
      </c>
      <c r="P878" s="2">
        <v>49722000000</v>
      </c>
      <c r="Q878" s="2">
        <v>20394045300</v>
      </c>
      <c r="R878" s="2">
        <v>22307735000</v>
      </c>
      <c r="S878" s="2">
        <f t="shared" si="26"/>
        <v>0.11399999999999999</v>
      </c>
      <c r="T878" s="2">
        <f t="shared" si="27"/>
        <v>36438927500</v>
      </c>
    </row>
    <row r="879" spans="1:20" x14ac:dyDescent="0.3">
      <c r="A879" s="1">
        <v>44084</v>
      </c>
      <c r="B879" t="s">
        <v>699</v>
      </c>
      <c r="C879" t="s">
        <v>23</v>
      </c>
      <c r="D879" t="s">
        <v>72</v>
      </c>
      <c r="E879">
        <v>1.4179999999999999</v>
      </c>
      <c r="F879">
        <v>1.4730000000000001</v>
      </c>
      <c r="G879">
        <v>0.9</v>
      </c>
      <c r="H879">
        <v>2.31</v>
      </c>
      <c r="I879" s="2">
        <v>945555500</v>
      </c>
      <c r="J879" s="2">
        <v>53068065000</v>
      </c>
      <c r="K879" s="2">
        <v>22993399000</v>
      </c>
      <c r="L879" s="2">
        <v>6614200</v>
      </c>
      <c r="M879" s="2">
        <v>3698000000</v>
      </c>
      <c r="N879" s="2">
        <v>5968000000</v>
      </c>
      <c r="O879" s="2">
        <v>4902284000</v>
      </c>
      <c r="P879" s="2">
        <v>30622000000</v>
      </c>
      <c r="Q879" s="2">
        <v>14393115000</v>
      </c>
      <c r="R879" s="2">
        <v>16478065000</v>
      </c>
      <c r="S879" s="2">
        <f t="shared" si="26"/>
        <v>0.57300000000000006</v>
      </c>
      <c r="T879" s="2">
        <f t="shared" si="27"/>
        <v>23945568700</v>
      </c>
    </row>
    <row r="880" spans="1:20" x14ac:dyDescent="0.3">
      <c r="A880" s="1">
        <v>44089</v>
      </c>
      <c r="B880" t="s">
        <v>704</v>
      </c>
      <c r="C880" t="s">
        <v>23</v>
      </c>
      <c r="D880" t="s">
        <v>693</v>
      </c>
      <c r="E880">
        <v>1.1599999999999999</v>
      </c>
      <c r="F880">
        <v>1.2130000000000001</v>
      </c>
      <c r="G880">
        <v>0.08</v>
      </c>
      <c r="H880">
        <v>2.39</v>
      </c>
      <c r="I880" s="2">
        <v>3011904700</v>
      </c>
      <c r="J880" s="2">
        <v>52471510000</v>
      </c>
      <c r="K880" s="2">
        <v>21993452100</v>
      </c>
      <c r="L880" s="2">
        <v>6562800</v>
      </c>
      <c r="M880" s="2">
        <v>3361000000</v>
      </c>
      <c r="N880" s="2">
        <v>6418000000</v>
      </c>
      <c r="O880" s="2">
        <v>5288860000</v>
      </c>
      <c r="P880" s="2">
        <v>30864000000</v>
      </c>
      <c r="Q880" s="2">
        <v>13343592100</v>
      </c>
      <c r="R880" s="2">
        <v>15189510000</v>
      </c>
      <c r="S880" s="2">
        <f t="shared" si="26"/>
        <v>1.133</v>
      </c>
      <c r="T880" s="2">
        <f t="shared" si="27"/>
        <v>25011919600</v>
      </c>
    </row>
    <row r="881" spans="1:20" x14ac:dyDescent="0.3">
      <c r="A881" s="1">
        <v>44096</v>
      </c>
      <c r="B881" t="s">
        <v>709</v>
      </c>
      <c r="C881" t="s">
        <v>18</v>
      </c>
      <c r="D881" t="s">
        <v>21</v>
      </c>
      <c r="E881">
        <v>0.1</v>
      </c>
      <c r="F881">
        <v>0.13600000000000001</v>
      </c>
      <c r="G881">
        <v>3.4000000000000002E-2</v>
      </c>
      <c r="H881">
        <v>2.42</v>
      </c>
      <c r="I881" s="2">
        <v>7119047700</v>
      </c>
      <c r="J881" s="2">
        <v>125776035000</v>
      </c>
      <c r="K881" s="2">
        <v>51892313000</v>
      </c>
      <c r="L881" s="2">
        <v>107711600</v>
      </c>
      <c r="M881" s="2">
        <v>7294000000</v>
      </c>
      <c r="N881" s="2">
        <v>13239000000</v>
      </c>
      <c r="O881" s="2">
        <v>17339073000</v>
      </c>
      <c r="P881" s="2">
        <v>76225000000</v>
      </c>
      <c r="Q881" s="2">
        <v>27259240000</v>
      </c>
      <c r="R881" s="2">
        <v>36312035000</v>
      </c>
      <c r="S881" s="2">
        <f t="shared" si="26"/>
        <v>0.10200000000000001</v>
      </c>
      <c r="T881" s="2">
        <f t="shared" si="27"/>
        <v>59119072300</v>
      </c>
    </row>
    <row r="882" spans="1:20" x14ac:dyDescent="0.3">
      <c r="A882" s="1">
        <v>44097</v>
      </c>
      <c r="B882" t="s">
        <v>708</v>
      </c>
      <c r="C882" t="s">
        <v>18</v>
      </c>
      <c r="D882" t="s">
        <v>19</v>
      </c>
      <c r="E882">
        <v>0.24</v>
      </c>
      <c r="F882">
        <v>0.27500000000000002</v>
      </c>
      <c r="G882">
        <v>0.08</v>
      </c>
      <c r="H882">
        <v>2.52</v>
      </c>
      <c r="I882" s="2">
        <v>7255952400</v>
      </c>
      <c r="J882" s="2">
        <v>133642405000</v>
      </c>
      <c r="K882" s="2">
        <v>52978600000</v>
      </c>
      <c r="L882" s="2">
        <v>13779800</v>
      </c>
      <c r="M882" s="2">
        <v>9214000000</v>
      </c>
      <c r="N882" s="2">
        <v>14001000000</v>
      </c>
      <c r="O882" s="2">
        <v>10954195000</v>
      </c>
      <c r="P882" s="2">
        <v>77976000000</v>
      </c>
      <c r="Q882" s="2">
        <v>32810405000</v>
      </c>
      <c r="R882" s="2">
        <v>41665405000</v>
      </c>
      <c r="S882" s="2">
        <f t="shared" si="26"/>
        <v>0.19500000000000001</v>
      </c>
      <c r="T882" s="2">
        <f t="shared" si="27"/>
        <v>60248332200</v>
      </c>
    </row>
    <row r="883" spans="1:20" x14ac:dyDescent="0.3">
      <c r="A883" s="1">
        <v>44098</v>
      </c>
      <c r="B883" t="s">
        <v>707</v>
      </c>
      <c r="C883" t="s">
        <v>18</v>
      </c>
      <c r="D883" t="s">
        <v>68</v>
      </c>
      <c r="E883">
        <v>0.41399999999999998</v>
      </c>
      <c r="F883">
        <v>0.46200000000000002</v>
      </c>
      <c r="G883">
        <v>0.08</v>
      </c>
      <c r="H883">
        <v>2.42</v>
      </c>
      <c r="I883" s="2">
        <v>6845238100</v>
      </c>
      <c r="J883" s="2">
        <v>121146960000</v>
      </c>
      <c r="K883" s="2">
        <v>49997050000</v>
      </c>
      <c r="L883" s="2">
        <v>3006200</v>
      </c>
      <c r="M883" s="2">
        <v>8324235000</v>
      </c>
      <c r="N883" s="2">
        <v>12690300000</v>
      </c>
      <c r="O883" s="2">
        <v>10251610000</v>
      </c>
      <c r="P883" s="2">
        <v>71198000000</v>
      </c>
      <c r="Q883" s="2">
        <v>31421205000</v>
      </c>
      <c r="R883" s="2">
        <v>37258660000</v>
      </c>
      <c r="S883" s="2">
        <f t="shared" si="26"/>
        <v>0.38200000000000001</v>
      </c>
      <c r="T883" s="2">
        <f t="shared" si="27"/>
        <v>56845294300</v>
      </c>
    </row>
    <row r="884" spans="1:20" x14ac:dyDescent="0.3">
      <c r="A884" s="1">
        <v>44110</v>
      </c>
      <c r="B884" t="s">
        <v>710</v>
      </c>
      <c r="C884" t="s">
        <v>18</v>
      </c>
      <c r="D884" t="s">
        <v>52</v>
      </c>
      <c r="E884">
        <v>0.16500000000000001</v>
      </c>
      <c r="F884">
        <v>0.193</v>
      </c>
      <c r="G884">
        <v>0.08</v>
      </c>
      <c r="H884">
        <v>2.44</v>
      </c>
      <c r="I884" s="2">
        <v>1454581900</v>
      </c>
      <c r="J884" s="2">
        <v>126710255000</v>
      </c>
      <c r="K884" s="2">
        <v>51976275000</v>
      </c>
      <c r="L884" s="2">
        <v>18867800</v>
      </c>
      <c r="M884" s="2">
        <v>6565000000</v>
      </c>
      <c r="N884" s="2">
        <v>10985000000</v>
      </c>
      <c r="O884" s="2">
        <v>16483670000</v>
      </c>
      <c r="P884" s="2">
        <v>77101000000</v>
      </c>
      <c r="Q884" s="2">
        <v>28927605000</v>
      </c>
      <c r="R884" s="2">
        <v>38624255000</v>
      </c>
      <c r="S884" s="2">
        <f t="shared" si="26"/>
        <v>0.113</v>
      </c>
      <c r="T884" s="2">
        <f t="shared" si="27"/>
        <v>53449724700</v>
      </c>
    </row>
    <row r="885" spans="1:20" x14ac:dyDescent="0.3">
      <c r="A885" s="1">
        <v>44111</v>
      </c>
      <c r="B885" t="s">
        <v>700</v>
      </c>
      <c r="C885" t="s">
        <v>18</v>
      </c>
      <c r="D885" t="s">
        <v>59</v>
      </c>
      <c r="E885">
        <v>0.71599999999999997</v>
      </c>
      <c r="F885">
        <v>0.76500000000000001</v>
      </c>
      <c r="G885">
        <v>0.08</v>
      </c>
      <c r="H885">
        <v>2.4700000000000002</v>
      </c>
      <c r="I885" s="2">
        <v>979045400</v>
      </c>
      <c r="J885" s="2">
        <v>86604010000</v>
      </c>
      <c r="K885" s="2">
        <v>34989282000</v>
      </c>
      <c r="L885" s="2">
        <v>10781400</v>
      </c>
      <c r="M885" s="2">
        <v>4966000000</v>
      </c>
      <c r="N885" s="2">
        <v>8516000000</v>
      </c>
      <c r="O885" s="2">
        <v>8023200000</v>
      </c>
      <c r="P885" s="2">
        <v>51835000000</v>
      </c>
      <c r="Q885" s="2">
        <v>22000082000</v>
      </c>
      <c r="R885" s="2">
        <v>26253010000</v>
      </c>
      <c r="S885" s="2">
        <f t="shared" si="26"/>
        <v>0.68500000000000005</v>
      </c>
      <c r="T885" s="2">
        <f t="shared" si="27"/>
        <v>35979108800</v>
      </c>
    </row>
    <row r="886" spans="1:20" x14ac:dyDescent="0.3">
      <c r="A886" s="1">
        <v>44112</v>
      </c>
      <c r="B886" t="s">
        <v>699</v>
      </c>
      <c r="C886" t="s">
        <v>23</v>
      </c>
      <c r="D886" t="s">
        <v>91</v>
      </c>
      <c r="E886">
        <v>1.5129999999999999</v>
      </c>
      <c r="F886">
        <v>1.5780000000000001</v>
      </c>
      <c r="G886">
        <v>1.45</v>
      </c>
      <c r="H886">
        <v>2.29</v>
      </c>
      <c r="I886" s="2">
        <v>643372700</v>
      </c>
      <c r="J886" s="2">
        <v>52615060800</v>
      </c>
      <c r="K886" s="2">
        <v>22996151800</v>
      </c>
      <c r="L886" s="2">
        <v>3849000</v>
      </c>
      <c r="M886" s="2">
        <v>3443400000</v>
      </c>
      <c r="N886" s="2">
        <v>5957400000</v>
      </c>
      <c r="O886" s="2">
        <v>5291921000</v>
      </c>
      <c r="P886" s="2">
        <v>31735000000</v>
      </c>
      <c r="Q886" s="2">
        <v>14260830800</v>
      </c>
      <c r="R886" s="2">
        <v>14922660800</v>
      </c>
      <c r="S886" s="2">
        <f t="shared" si="26"/>
        <v>0.12800000000000011</v>
      </c>
      <c r="T886" s="2">
        <f t="shared" si="27"/>
        <v>23643373500</v>
      </c>
    </row>
    <row r="887" spans="1:20" x14ac:dyDescent="0.3">
      <c r="A887" s="1">
        <v>44125</v>
      </c>
      <c r="B887" t="s">
        <v>704</v>
      </c>
      <c r="C887" t="s">
        <v>23</v>
      </c>
      <c r="D887" t="s">
        <v>698</v>
      </c>
      <c r="E887">
        <v>1.325</v>
      </c>
      <c r="F887">
        <v>1.37</v>
      </c>
      <c r="G887">
        <v>0.08</v>
      </c>
      <c r="H887">
        <v>2.4300000000000002</v>
      </c>
      <c r="I887" s="2">
        <v>2334060400</v>
      </c>
      <c r="J887" s="2">
        <v>53431640000</v>
      </c>
      <c r="K887" s="2">
        <v>21998494500</v>
      </c>
      <c r="L887" s="2">
        <v>1520600</v>
      </c>
      <c r="M887" s="2">
        <v>3431000000</v>
      </c>
      <c r="N887" s="2">
        <v>5431000000</v>
      </c>
      <c r="O887" s="2">
        <v>4720145000</v>
      </c>
      <c r="P887" s="2">
        <v>31590000000</v>
      </c>
      <c r="Q887" s="2">
        <v>13847349500</v>
      </c>
      <c r="R887" s="2">
        <v>16410640000</v>
      </c>
      <c r="S887" s="2">
        <f t="shared" si="26"/>
        <v>1.29</v>
      </c>
      <c r="T887" s="2">
        <f t="shared" si="27"/>
        <v>24334075500</v>
      </c>
    </row>
    <row r="888" spans="1:20" x14ac:dyDescent="0.3">
      <c r="A888" s="1">
        <v>44131</v>
      </c>
      <c r="B888" t="s">
        <v>712</v>
      </c>
      <c r="C888" t="s">
        <v>18</v>
      </c>
      <c r="D888" t="s">
        <v>21</v>
      </c>
      <c r="E888">
        <v>0.12</v>
      </c>
      <c r="F888">
        <v>0.151</v>
      </c>
      <c r="G888">
        <v>0.05</v>
      </c>
      <c r="H888">
        <v>2.41</v>
      </c>
      <c r="I888" s="2">
        <v>5729057500</v>
      </c>
      <c r="J888" s="2">
        <v>129857255000</v>
      </c>
      <c r="K888" s="2">
        <v>53854052700</v>
      </c>
      <c r="L888" s="2">
        <v>141024700</v>
      </c>
      <c r="M888" s="2">
        <v>8399000000</v>
      </c>
      <c r="N888" s="2">
        <v>14049000000</v>
      </c>
      <c r="O888" s="2">
        <v>17244627700</v>
      </c>
      <c r="P888" s="2">
        <v>78615000000</v>
      </c>
      <c r="Q888" s="2">
        <v>28210425000</v>
      </c>
      <c r="R888" s="2">
        <v>37193255000</v>
      </c>
      <c r="S888" s="2">
        <f t="shared" si="26"/>
        <v>0.10099999999999999</v>
      </c>
      <c r="T888" s="2">
        <f t="shared" si="27"/>
        <v>59724134900</v>
      </c>
    </row>
    <row r="889" spans="1:20" x14ac:dyDescent="0.3">
      <c r="A889" s="1">
        <v>44132</v>
      </c>
      <c r="B889" t="s">
        <v>711</v>
      </c>
      <c r="C889" t="s">
        <v>18</v>
      </c>
      <c r="D889" t="s">
        <v>19</v>
      </c>
      <c r="E889">
        <v>0.28899999999999998</v>
      </c>
      <c r="F889">
        <v>0.33</v>
      </c>
      <c r="G889">
        <v>0.08</v>
      </c>
      <c r="H889">
        <v>2.38</v>
      </c>
      <c r="I889" s="2">
        <v>5835151000</v>
      </c>
      <c r="J889" s="2">
        <v>130769855000</v>
      </c>
      <c r="K889" s="2">
        <v>54974867500</v>
      </c>
      <c r="L889" s="2">
        <v>20157600</v>
      </c>
      <c r="M889" s="2">
        <v>7680000000</v>
      </c>
      <c r="N889" s="2">
        <v>12370000000</v>
      </c>
      <c r="O889" s="2">
        <v>13242905000</v>
      </c>
      <c r="P889" s="2">
        <v>78219000000</v>
      </c>
      <c r="Q889" s="2">
        <v>34051962500</v>
      </c>
      <c r="R889" s="2">
        <v>40180855000</v>
      </c>
      <c r="S889" s="2">
        <f t="shared" si="26"/>
        <v>0.25</v>
      </c>
      <c r="T889" s="2">
        <f t="shared" si="27"/>
        <v>60830176100</v>
      </c>
    </row>
    <row r="890" spans="1:20" x14ac:dyDescent="0.3">
      <c r="A890" s="1">
        <v>44133</v>
      </c>
      <c r="B890" t="s">
        <v>713</v>
      </c>
      <c r="C890" t="s">
        <v>18</v>
      </c>
      <c r="D890" t="s">
        <v>68</v>
      </c>
      <c r="E890">
        <v>0.54500000000000004</v>
      </c>
      <c r="F890">
        <v>0.6</v>
      </c>
      <c r="G890">
        <v>0.08</v>
      </c>
      <c r="H890">
        <v>2.2400000000000002</v>
      </c>
      <c r="I890" s="2">
        <v>5622963700</v>
      </c>
      <c r="J890" s="2">
        <v>118515615000</v>
      </c>
      <c r="K890" s="2">
        <v>52997237000</v>
      </c>
      <c r="L890" s="2">
        <v>2776100</v>
      </c>
      <c r="M890" s="2">
        <v>7557859000</v>
      </c>
      <c r="N890" s="2">
        <v>12114400000</v>
      </c>
      <c r="O890" s="2">
        <v>13180245000</v>
      </c>
      <c r="P890" s="2">
        <v>72300000000</v>
      </c>
      <c r="Q890" s="2">
        <v>32259133000</v>
      </c>
      <c r="R890" s="2">
        <v>34101215000</v>
      </c>
      <c r="S890" s="2">
        <f t="shared" si="26"/>
        <v>0.52</v>
      </c>
      <c r="T890" s="2">
        <f t="shared" si="27"/>
        <v>58622976800</v>
      </c>
    </row>
    <row r="891" spans="1:20" x14ac:dyDescent="0.3">
      <c r="A891" s="1">
        <v>44144</v>
      </c>
      <c r="B891" t="s">
        <v>715</v>
      </c>
      <c r="C891" t="s">
        <v>18</v>
      </c>
      <c r="D891" t="s">
        <v>52</v>
      </c>
      <c r="E891">
        <v>0.23</v>
      </c>
      <c r="F891">
        <v>0.25</v>
      </c>
      <c r="G891">
        <v>0.08</v>
      </c>
      <c r="H891">
        <v>2.4</v>
      </c>
      <c r="I891" s="2">
        <v>14806881600</v>
      </c>
      <c r="J891" s="2">
        <v>129529800000</v>
      </c>
      <c r="K891" s="2">
        <v>53864522000</v>
      </c>
      <c r="L891" s="2">
        <v>30595100</v>
      </c>
      <c r="M891" s="2">
        <v>7693937000</v>
      </c>
      <c r="N891" s="2">
        <v>12301000000</v>
      </c>
      <c r="O891" s="2">
        <v>25222794000</v>
      </c>
      <c r="P891" s="2">
        <v>89315000000</v>
      </c>
      <c r="Q891" s="2">
        <v>20947791000</v>
      </c>
      <c r="R891" s="2">
        <v>27913800000</v>
      </c>
      <c r="S891" s="2">
        <f t="shared" si="26"/>
        <v>0.16999999999999998</v>
      </c>
      <c r="T891" s="2">
        <f t="shared" si="27"/>
        <v>68701998700</v>
      </c>
    </row>
    <row r="892" spans="1:20" x14ac:dyDescent="0.3">
      <c r="A892" s="1">
        <v>44145</v>
      </c>
      <c r="B892" t="s">
        <v>714</v>
      </c>
      <c r="C892" t="s">
        <v>18</v>
      </c>
      <c r="D892" t="s">
        <v>26</v>
      </c>
      <c r="E892">
        <v>0.91200000000000003</v>
      </c>
      <c r="F892">
        <v>0.96</v>
      </c>
      <c r="G892">
        <v>0.75</v>
      </c>
      <c r="H892">
        <v>2.3199999999999998</v>
      </c>
      <c r="I892" s="2">
        <v>11242261900</v>
      </c>
      <c r="J892" s="2">
        <v>95217325000</v>
      </c>
      <c r="K892" s="2">
        <v>40974468400</v>
      </c>
      <c r="L892" s="2">
        <v>25542900</v>
      </c>
      <c r="M892" s="2">
        <v>5380205500</v>
      </c>
      <c r="N892" s="2">
        <v>9189000000</v>
      </c>
      <c r="O892" s="2">
        <v>13123082500</v>
      </c>
      <c r="P892" s="2">
        <v>59886000000</v>
      </c>
      <c r="Q892" s="2">
        <v>22471180400</v>
      </c>
      <c r="R892" s="2">
        <v>26142325000</v>
      </c>
      <c r="S892" s="2">
        <f t="shared" si="26"/>
        <v>0.20999999999999996</v>
      </c>
      <c r="T892" s="2">
        <f t="shared" si="27"/>
        <v>52242273200</v>
      </c>
    </row>
    <row r="893" spans="1:20" x14ac:dyDescent="0.3">
      <c r="A893" s="1">
        <v>44147</v>
      </c>
      <c r="B893" t="s">
        <v>716</v>
      </c>
      <c r="C893" t="s">
        <v>23</v>
      </c>
      <c r="D893" t="s">
        <v>65</v>
      </c>
      <c r="E893">
        <v>1.62</v>
      </c>
      <c r="F893">
        <v>1.68</v>
      </c>
      <c r="G893">
        <v>0.08</v>
      </c>
      <c r="H893">
        <v>2.29</v>
      </c>
      <c r="I893" s="2">
        <v>7403440700</v>
      </c>
      <c r="J893" s="2">
        <v>61862950000</v>
      </c>
      <c r="K893" s="2">
        <v>26986999000</v>
      </c>
      <c r="L893" s="2">
        <v>13025900</v>
      </c>
      <c r="M893" s="2">
        <v>4463300000</v>
      </c>
      <c r="N893" s="2">
        <v>6781300000</v>
      </c>
      <c r="O893" s="2">
        <v>5817878000</v>
      </c>
      <c r="P893" s="2">
        <v>35459000000</v>
      </c>
      <c r="Q893" s="2">
        <v>16705821000</v>
      </c>
      <c r="R893" s="2">
        <v>19622650000</v>
      </c>
      <c r="S893" s="2">
        <f t="shared" si="26"/>
        <v>1.5999999999999999</v>
      </c>
      <c r="T893" s="2">
        <f t="shared" si="27"/>
        <v>34403465600</v>
      </c>
    </row>
    <row r="894" spans="1:20" x14ac:dyDescent="0.3">
      <c r="A894" s="1">
        <v>44153</v>
      </c>
      <c r="B894" t="s">
        <v>720</v>
      </c>
      <c r="C894" t="s">
        <v>23</v>
      </c>
      <c r="D894" t="s">
        <v>688</v>
      </c>
      <c r="E894">
        <v>1.3620000000000001</v>
      </c>
      <c r="F894">
        <v>1.4219999999999999</v>
      </c>
      <c r="G894">
        <v>0.08</v>
      </c>
      <c r="H894">
        <v>2.27</v>
      </c>
      <c r="I894" s="2">
        <v>3745702100</v>
      </c>
      <c r="J894" s="2">
        <v>61309920000</v>
      </c>
      <c r="K894" s="2">
        <v>26998970900</v>
      </c>
      <c r="L894" s="2">
        <v>1041300</v>
      </c>
      <c r="M894" s="2">
        <v>4129000000</v>
      </c>
      <c r="N894" s="2">
        <v>6579000000</v>
      </c>
      <c r="O894" s="2">
        <v>6341402000</v>
      </c>
      <c r="P894" s="2">
        <v>37588000000</v>
      </c>
      <c r="Q894" s="2">
        <v>16528568900</v>
      </c>
      <c r="R894" s="2">
        <v>17142920000</v>
      </c>
      <c r="S894" s="2">
        <f t="shared" si="26"/>
        <v>1.3419999999999999</v>
      </c>
      <c r="T894" s="2">
        <f t="shared" si="27"/>
        <v>30745714300</v>
      </c>
    </row>
    <row r="895" spans="1:20" x14ac:dyDescent="0.3">
      <c r="A895" s="1">
        <v>44158</v>
      </c>
      <c r="B895" t="s">
        <v>719</v>
      </c>
      <c r="C895" t="s">
        <v>18</v>
      </c>
      <c r="D895" t="s">
        <v>19</v>
      </c>
      <c r="E895">
        <v>0.34899999999999998</v>
      </c>
      <c r="F895">
        <v>0.39700000000000002</v>
      </c>
      <c r="G895">
        <v>0.25</v>
      </c>
      <c r="H895">
        <v>2.38</v>
      </c>
      <c r="I895" s="2">
        <v>7907593600</v>
      </c>
      <c r="J895" s="2">
        <v>135798100000</v>
      </c>
      <c r="K895" s="2">
        <v>56986339000</v>
      </c>
      <c r="L895" s="2">
        <v>13691100</v>
      </c>
      <c r="M895" s="2">
        <v>8163076500</v>
      </c>
      <c r="N895" s="2">
        <v>12721000000</v>
      </c>
      <c r="O895" s="2">
        <v>16647300000</v>
      </c>
      <c r="P895" s="2">
        <v>86651000000</v>
      </c>
      <c r="Q895" s="2">
        <v>32175962500</v>
      </c>
      <c r="R895" s="2">
        <v>36426100000</v>
      </c>
      <c r="S895" s="2">
        <f t="shared" si="26"/>
        <v>0.14700000000000002</v>
      </c>
      <c r="T895" s="2">
        <f t="shared" si="27"/>
        <v>64907623700</v>
      </c>
    </row>
    <row r="896" spans="1:20" x14ac:dyDescent="0.3">
      <c r="A896" s="1">
        <v>44158</v>
      </c>
      <c r="B896" t="s">
        <v>718</v>
      </c>
      <c r="C896" t="s">
        <v>18</v>
      </c>
      <c r="D896" t="s">
        <v>21</v>
      </c>
      <c r="E896">
        <v>0.14000000000000001</v>
      </c>
      <c r="F896">
        <v>0.16500000000000001</v>
      </c>
      <c r="G896">
        <v>0.08</v>
      </c>
      <c r="H896">
        <v>2.71</v>
      </c>
      <c r="I896" s="2">
        <v>7768863900</v>
      </c>
      <c r="J896" s="2">
        <v>151761536000</v>
      </c>
      <c r="K896" s="2">
        <v>55876965500</v>
      </c>
      <c r="L896" s="2">
        <v>123356100</v>
      </c>
      <c r="M896" s="2">
        <v>8772000000</v>
      </c>
      <c r="N896" s="2">
        <v>14172000000</v>
      </c>
      <c r="O896" s="2">
        <v>21373712500</v>
      </c>
      <c r="P896" s="2">
        <v>97400000000</v>
      </c>
      <c r="Q896" s="2">
        <v>25731253000</v>
      </c>
      <c r="R896" s="2">
        <v>40189536000</v>
      </c>
      <c r="S896" s="2">
        <f t="shared" si="26"/>
        <v>8.5000000000000006E-2</v>
      </c>
      <c r="T896" s="2">
        <f t="shared" si="27"/>
        <v>63769185500</v>
      </c>
    </row>
    <row r="897" spans="1:20" x14ac:dyDescent="0.3">
      <c r="A897" s="1">
        <v>44159</v>
      </c>
      <c r="B897" t="s">
        <v>717</v>
      </c>
      <c r="C897" t="s">
        <v>18</v>
      </c>
      <c r="D897" t="s">
        <v>68</v>
      </c>
      <c r="E897">
        <v>0.6</v>
      </c>
      <c r="F897">
        <v>0.65300000000000002</v>
      </c>
      <c r="G897">
        <v>0.08</v>
      </c>
      <c r="H897">
        <v>2.37</v>
      </c>
      <c r="I897" s="2">
        <v>7768863800</v>
      </c>
      <c r="J897" s="2">
        <v>132919525000</v>
      </c>
      <c r="K897" s="2">
        <v>55996950000</v>
      </c>
      <c r="L897" s="2">
        <v>3072400</v>
      </c>
      <c r="M897" s="2">
        <v>8465700000</v>
      </c>
      <c r="N897" s="2">
        <v>13165700000</v>
      </c>
      <c r="O897" s="2">
        <v>10907025000</v>
      </c>
      <c r="P897" s="2">
        <v>78231000000</v>
      </c>
      <c r="Q897" s="2">
        <v>36624225000</v>
      </c>
      <c r="R897" s="2">
        <v>41522825000</v>
      </c>
      <c r="S897" s="2">
        <f t="shared" si="26"/>
        <v>0.57300000000000006</v>
      </c>
      <c r="T897" s="2">
        <f t="shared" si="27"/>
        <v>63768886200</v>
      </c>
    </row>
    <row r="898" spans="1:20" x14ac:dyDescent="0.3">
      <c r="A898" s="1">
        <v>44173</v>
      </c>
      <c r="B898" t="s">
        <v>721</v>
      </c>
      <c r="C898" t="s">
        <v>18</v>
      </c>
      <c r="D898" t="s">
        <v>52</v>
      </c>
      <c r="E898">
        <v>0.187</v>
      </c>
      <c r="F898">
        <v>0.21099999999999999</v>
      </c>
      <c r="G898">
        <v>0.08</v>
      </c>
      <c r="H898">
        <v>2.2799999999999998</v>
      </c>
      <c r="I898" s="2">
        <v>2385220400</v>
      </c>
      <c r="J898" s="2">
        <v>127359655000</v>
      </c>
      <c r="K898" s="2">
        <v>55948886000</v>
      </c>
      <c r="L898" s="2">
        <v>51213700</v>
      </c>
      <c r="M898" s="2">
        <v>8878000000</v>
      </c>
      <c r="N898" s="2">
        <v>13359000000</v>
      </c>
      <c r="O898" s="2">
        <v>19513281000</v>
      </c>
      <c r="P898" s="2">
        <v>79200000000</v>
      </c>
      <c r="Q898" s="2">
        <v>27557605000</v>
      </c>
      <c r="R898" s="2">
        <v>34800655000</v>
      </c>
      <c r="S898" s="2">
        <f t="shared" ref="S898:S961" si="28">SUM($F898,-$G898)</f>
        <v>0.13100000000000001</v>
      </c>
      <c r="T898" s="2">
        <f t="shared" ref="T898:T961" si="29">SUM(I898,K898,L898)</f>
        <v>58385320100</v>
      </c>
    </row>
    <row r="899" spans="1:20" x14ac:dyDescent="0.3">
      <c r="A899" s="1">
        <v>44174</v>
      </c>
      <c r="B899" t="s">
        <v>714</v>
      </c>
      <c r="C899" t="s">
        <v>18</v>
      </c>
      <c r="D899" t="s">
        <v>29</v>
      </c>
      <c r="E899">
        <v>0.90400000000000003</v>
      </c>
      <c r="F899">
        <v>0.95099999999999996</v>
      </c>
      <c r="G899">
        <v>0.08</v>
      </c>
      <c r="H899">
        <v>2.33</v>
      </c>
      <c r="I899" s="2">
        <v>1618542400</v>
      </c>
      <c r="J899" s="2">
        <v>88494000000</v>
      </c>
      <c r="K899" s="2">
        <v>37994217000</v>
      </c>
      <c r="L899" s="2">
        <v>5800100</v>
      </c>
      <c r="M899" s="2">
        <v>5587000000</v>
      </c>
      <c r="N899" s="2">
        <v>9212000000</v>
      </c>
      <c r="O899" s="2">
        <v>8734669000</v>
      </c>
      <c r="P899" s="2">
        <v>53514000000</v>
      </c>
      <c r="Q899" s="2">
        <v>23672548000</v>
      </c>
      <c r="R899" s="2">
        <v>25768000000</v>
      </c>
      <c r="S899" s="2">
        <f t="shared" si="28"/>
        <v>0.871</v>
      </c>
      <c r="T899" s="2">
        <f t="shared" si="29"/>
        <v>39618559500</v>
      </c>
    </row>
    <row r="900" spans="1:20" x14ac:dyDescent="0.3">
      <c r="A900" s="1">
        <v>44175</v>
      </c>
      <c r="B900" t="s">
        <v>716</v>
      </c>
      <c r="C900" t="s">
        <v>23</v>
      </c>
      <c r="D900" t="s">
        <v>72</v>
      </c>
      <c r="E900">
        <v>1.6259999999999999</v>
      </c>
      <c r="F900">
        <v>1.665</v>
      </c>
      <c r="G900">
        <v>0.08</v>
      </c>
      <c r="H900">
        <v>2.48</v>
      </c>
      <c r="I900" s="2">
        <v>1022237200</v>
      </c>
      <c r="J900" s="2">
        <v>59539065000</v>
      </c>
      <c r="K900" s="2">
        <v>23997277300</v>
      </c>
      <c r="L900" s="2">
        <v>2729700</v>
      </c>
      <c r="M900" s="2">
        <v>4024034400</v>
      </c>
      <c r="N900" s="2">
        <v>6253500000</v>
      </c>
      <c r="O900" s="2">
        <v>4166000000</v>
      </c>
      <c r="P900" s="2">
        <v>31752000000</v>
      </c>
      <c r="Q900" s="2">
        <v>15807242900</v>
      </c>
      <c r="R900" s="2">
        <v>21533565000</v>
      </c>
      <c r="S900" s="2">
        <f t="shared" si="28"/>
        <v>1.585</v>
      </c>
      <c r="T900" s="2">
        <f t="shared" si="29"/>
        <v>25022244200</v>
      </c>
    </row>
    <row r="901" spans="1:20" x14ac:dyDescent="0.3">
      <c r="A901" s="1">
        <v>44186</v>
      </c>
      <c r="B901" t="s">
        <v>720</v>
      </c>
      <c r="C901" t="s">
        <v>23</v>
      </c>
      <c r="D901" t="s">
        <v>693</v>
      </c>
      <c r="E901">
        <v>1.411</v>
      </c>
      <c r="F901">
        <v>1.47</v>
      </c>
      <c r="G901">
        <v>0.87</v>
      </c>
      <c r="H901">
        <v>2.39</v>
      </c>
      <c r="I901" s="2">
        <v>3651460500</v>
      </c>
      <c r="J901" s="2">
        <v>57473670000</v>
      </c>
      <c r="K901" s="2">
        <v>23999443700</v>
      </c>
      <c r="L901" s="2">
        <v>635600</v>
      </c>
      <c r="M901" s="2">
        <v>4248000000</v>
      </c>
      <c r="N901" s="2">
        <v>6363000000</v>
      </c>
      <c r="O901" s="2">
        <v>6247706000</v>
      </c>
      <c r="P901" s="2">
        <v>34084000000</v>
      </c>
      <c r="Q901" s="2">
        <v>13503737700</v>
      </c>
      <c r="R901" s="2">
        <v>17026670000</v>
      </c>
      <c r="S901" s="2">
        <f t="shared" si="28"/>
        <v>0.6</v>
      </c>
      <c r="T901" s="2">
        <f t="shared" si="29"/>
        <v>27651539800</v>
      </c>
    </row>
    <row r="902" spans="1:20" x14ac:dyDescent="0.3">
      <c r="A902" s="1">
        <v>44193</v>
      </c>
      <c r="B902" t="s">
        <v>724</v>
      </c>
      <c r="C902" t="s">
        <v>18</v>
      </c>
      <c r="D902" t="s">
        <v>19</v>
      </c>
      <c r="E902">
        <v>0.35</v>
      </c>
      <c r="F902">
        <v>0.39400000000000002</v>
      </c>
      <c r="G902">
        <v>0.08</v>
      </c>
      <c r="H902">
        <v>2.39</v>
      </c>
      <c r="I902" s="2">
        <v>8976507000</v>
      </c>
      <c r="J902" s="2">
        <v>141031930000</v>
      </c>
      <c r="K902" s="2">
        <v>58980979600</v>
      </c>
      <c r="L902" s="2">
        <v>14068300</v>
      </c>
      <c r="M902" s="2">
        <v>10596000000</v>
      </c>
      <c r="N902" s="2">
        <v>15346000000</v>
      </c>
      <c r="O902" s="2">
        <v>14699600000</v>
      </c>
      <c r="P902" s="2">
        <v>81841000000</v>
      </c>
      <c r="Q902" s="2">
        <v>33685379600</v>
      </c>
      <c r="R902" s="2">
        <v>43844930000</v>
      </c>
      <c r="S902" s="2">
        <f t="shared" si="28"/>
        <v>0.314</v>
      </c>
      <c r="T902" s="2">
        <f t="shared" si="29"/>
        <v>67971554900</v>
      </c>
    </row>
    <row r="903" spans="1:20" x14ac:dyDescent="0.3">
      <c r="A903" s="1">
        <v>44193</v>
      </c>
      <c r="B903" t="s">
        <v>723</v>
      </c>
      <c r="C903" t="s">
        <v>18</v>
      </c>
      <c r="D903" t="s">
        <v>21</v>
      </c>
      <c r="E903">
        <v>0.11</v>
      </c>
      <c r="F903">
        <v>0.13700000000000001</v>
      </c>
      <c r="G903">
        <v>0.05</v>
      </c>
      <c r="H903">
        <v>2.4500000000000002</v>
      </c>
      <c r="I903" s="2">
        <v>8824362800</v>
      </c>
      <c r="J903" s="2">
        <v>142156210000</v>
      </c>
      <c r="K903" s="2">
        <v>57875597500</v>
      </c>
      <c r="L903" s="2">
        <v>124453800</v>
      </c>
      <c r="M903" s="2">
        <v>10130000000</v>
      </c>
      <c r="N903" s="2">
        <v>15380000000</v>
      </c>
      <c r="O903" s="2">
        <v>19261632500</v>
      </c>
      <c r="P903" s="2">
        <v>84140000000</v>
      </c>
      <c r="Q903" s="2">
        <v>28483965000</v>
      </c>
      <c r="R903" s="2">
        <v>42636210000</v>
      </c>
      <c r="S903" s="2">
        <f t="shared" si="28"/>
        <v>8.7000000000000008E-2</v>
      </c>
      <c r="T903" s="2">
        <f t="shared" si="29"/>
        <v>66824414100</v>
      </c>
    </row>
    <row r="904" spans="1:20" x14ac:dyDescent="0.3">
      <c r="A904" s="1">
        <v>44194</v>
      </c>
      <c r="B904" t="s">
        <v>722</v>
      </c>
      <c r="C904" t="s">
        <v>18</v>
      </c>
      <c r="D904" t="s">
        <v>68</v>
      </c>
      <c r="E904">
        <v>0.60799999999999998</v>
      </c>
      <c r="F904">
        <v>0.66200000000000003</v>
      </c>
      <c r="G904">
        <v>0.55000000000000004</v>
      </c>
      <c r="H904">
        <v>2.31</v>
      </c>
      <c r="I904" s="2">
        <v>8976507000</v>
      </c>
      <c r="J904" s="2">
        <v>136570560000</v>
      </c>
      <c r="K904" s="2">
        <v>58994289400</v>
      </c>
      <c r="L904" s="2">
        <v>5718700</v>
      </c>
      <c r="M904" s="2">
        <v>10017451400</v>
      </c>
      <c r="N904" s="2">
        <v>14581500000</v>
      </c>
      <c r="O904" s="2">
        <v>13384682000</v>
      </c>
      <c r="P904" s="2">
        <v>79363000000</v>
      </c>
      <c r="Q904" s="2">
        <v>35592156000</v>
      </c>
      <c r="R904" s="2">
        <v>42626060000</v>
      </c>
      <c r="S904" s="2">
        <f t="shared" si="28"/>
        <v>0.11199999999999999</v>
      </c>
      <c r="T904" s="2">
        <f t="shared" si="29"/>
        <v>67976515100</v>
      </c>
    </row>
    <row r="905" spans="1:20" x14ac:dyDescent="0.3">
      <c r="A905" s="1">
        <v>44207</v>
      </c>
      <c r="B905" t="s">
        <v>725</v>
      </c>
      <c r="C905" t="s">
        <v>18</v>
      </c>
      <c r="D905" t="s">
        <v>52</v>
      </c>
      <c r="E905">
        <v>0.21</v>
      </c>
      <c r="F905">
        <v>0.23400000000000001</v>
      </c>
      <c r="G905">
        <v>0.12</v>
      </c>
      <c r="H905">
        <v>2.52</v>
      </c>
      <c r="I905" s="2">
        <v>5830507000</v>
      </c>
      <c r="J905" s="2">
        <v>146062230000</v>
      </c>
      <c r="K905" s="2">
        <v>57876000000</v>
      </c>
      <c r="L905" s="2">
        <v>24154800</v>
      </c>
      <c r="M905" s="2">
        <v>8434060000</v>
      </c>
      <c r="N905" s="2">
        <v>13346000000</v>
      </c>
      <c r="O905" s="2">
        <v>19230710000</v>
      </c>
      <c r="P905" s="2">
        <v>95311000000</v>
      </c>
      <c r="Q905" s="2">
        <v>30211230000</v>
      </c>
      <c r="R905" s="2">
        <v>37405230000</v>
      </c>
      <c r="S905" s="2">
        <f t="shared" si="28"/>
        <v>0.11400000000000002</v>
      </c>
      <c r="T905" s="2">
        <f t="shared" si="29"/>
        <v>63730661800</v>
      </c>
    </row>
    <row r="906" spans="1:20" x14ac:dyDescent="0.3">
      <c r="A906" s="1">
        <v>44208</v>
      </c>
      <c r="B906" t="s">
        <v>714</v>
      </c>
      <c r="C906" t="s">
        <v>18</v>
      </c>
      <c r="D906" t="s">
        <v>59</v>
      </c>
      <c r="E906">
        <v>1.1200000000000001</v>
      </c>
      <c r="F906">
        <v>1.1639999999999999</v>
      </c>
      <c r="G906">
        <v>0.96099999999999997</v>
      </c>
      <c r="H906">
        <v>2.4700000000000002</v>
      </c>
      <c r="I906" s="2">
        <v>3819987200</v>
      </c>
      <c r="J906" s="2">
        <v>93697335000</v>
      </c>
      <c r="K906" s="2">
        <v>37991685000</v>
      </c>
      <c r="L906" s="2">
        <v>8318800</v>
      </c>
      <c r="M906" s="2">
        <v>6749600000</v>
      </c>
      <c r="N906" s="2">
        <v>10404000000</v>
      </c>
      <c r="O906" s="2">
        <v>7593650000</v>
      </c>
      <c r="P906" s="2">
        <v>53969000000</v>
      </c>
      <c r="Q906" s="2">
        <v>23648435000</v>
      </c>
      <c r="R906" s="2">
        <v>29324335000</v>
      </c>
      <c r="S906" s="2">
        <f t="shared" si="28"/>
        <v>0.20299999999999996</v>
      </c>
      <c r="T906" s="2">
        <f t="shared" si="29"/>
        <v>41819991000</v>
      </c>
    </row>
    <row r="907" spans="1:20" x14ac:dyDescent="0.3">
      <c r="A907" s="1">
        <v>44209</v>
      </c>
      <c r="B907" t="s">
        <v>716</v>
      </c>
      <c r="C907" t="s">
        <v>23</v>
      </c>
      <c r="D907" t="s">
        <v>91</v>
      </c>
      <c r="E907">
        <v>1.79</v>
      </c>
      <c r="F907">
        <v>1.825</v>
      </c>
      <c r="G907">
        <v>0.08</v>
      </c>
      <c r="H907">
        <v>2.4700000000000002</v>
      </c>
      <c r="I907" s="2">
        <v>2412623500</v>
      </c>
      <c r="J907" s="2">
        <v>59324623000</v>
      </c>
      <c r="K907" s="2">
        <v>23996512600</v>
      </c>
      <c r="L907" s="2">
        <v>3489200</v>
      </c>
      <c r="M907" s="2">
        <v>4128017500</v>
      </c>
      <c r="N907" s="2">
        <v>6338200000</v>
      </c>
      <c r="O907" s="2">
        <v>3396744500</v>
      </c>
      <c r="P907" s="2">
        <v>32295000000</v>
      </c>
      <c r="Q907" s="2">
        <v>16471750600</v>
      </c>
      <c r="R907" s="2">
        <v>20691423000</v>
      </c>
      <c r="S907" s="2">
        <f t="shared" si="28"/>
        <v>1.7449999999999999</v>
      </c>
      <c r="T907" s="2">
        <f t="shared" si="29"/>
        <v>26412625300</v>
      </c>
    </row>
    <row r="908" spans="1:20" x14ac:dyDescent="0.3">
      <c r="A908" s="1">
        <v>44216</v>
      </c>
      <c r="B908" t="s">
        <v>720</v>
      </c>
      <c r="C908" t="s">
        <v>23</v>
      </c>
      <c r="D908" t="s">
        <v>698</v>
      </c>
      <c r="E908">
        <v>1.6</v>
      </c>
      <c r="F908">
        <v>1.657</v>
      </c>
      <c r="G908">
        <v>0.08</v>
      </c>
      <c r="H908">
        <v>2.2799999999999998</v>
      </c>
      <c r="I908" s="2">
        <v>3243793500</v>
      </c>
      <c r="J908" s="2">
        <v>54695950000</v>
      </c>
      <c r="K908" s="2">
        <v>23997476000</v>
      </c>
      <c r="L908" s="2">
        <v>2547400</v>
      </c>
      <c r="M908" s="2">
        <v>3482530000</v>
      </c>
      <c r="N908" s="2">
        <v>5727000000</v>
      </c>
      <c r="O908" s="2">
        <v>6178816000</v>
      </c>
      <c r="P908" s="2">
        <v>33441000000</v>
      </c>
      <c r="Q908" s="2">
        <v>14336130000</v>
      </c>
      <c r="R908" s="2">
        <v>15527950000</v>
      </c>
      <c r="S908" s="2">
        <f t="shared" si="28"/>
        <v>1.577</v>
      </c>
      <c r="T908" s="2">
        <f t="shared" si="29"/>
        <v>27243816900</v>
      </c>
    </row>
    <row r="909" spans="1:20" x14ac:dyDescent="0.3">
      <c r="A909" s="1">
        <v>44221</v>
      </c>
      <c r="B909" t="s">
        <v>728</v>
      </c>
      <c r="C909" t="s">
        <v>18</v>
      </c>
      <c r="D909" t="s">
        <v>21</v>
      </c>
      <c r="E909">
        <v>9.9000000000000005E-2</v>
      </c>
      <c r="F909">
        <v>0.125</v>
      </c>
      <c r="G909">
        <v>2.5000000000000001E-2</v>
      </c>
      <c r="H909">
        <v>2.67</v>
      </c>
      <c r="I909" s="2">
        <v>8109483900</v>
      </c>
      <c r="J909" s="2">
        <v>159869005000</v>
      </c>
      <c r="K909" s="2">
        <v>59789059000</v>
      </c>
      <c r="L909" s="2">
        <v>105946700</v>
      </c>
      <c r="M909" s="2">
        <v>9356000000</v>
      </c>
      <c r="N909" s="2">
        <v>16434000000</v>
      </c>
      <c r="O909" s="2">
        <v>16582176000</v>
      </c>
      <c r="P909" s="2">
        <v>92719000000</v>
      </c>
      <c r="Q909" s="2">
        <v>33850883000</v>
      </c>
      <c r="R909" s="2">
        <v>50716005000</v>
      </c>
      <c r="S909" s="2">
        <f t="shared" si="28"/>
        <v>0.1</v>
      </c>
      <c r="T909" s="2">
        <f t="shared" si="29"/>
        <v>68004489600</v>
      </c>
    </row>
    <row r="910" spans="1:20" x14ac:dyDescent="0.3">
      <c r="A910" s="1">
        <v>44222</v>
      </c>
      <c r="B910" t="s">
        <v>727</v>
      </c>
      <c r="C910" t="s">
        <v>18</v>
      </c>
      <c r="D910" t="s">
        <v>19</v>
      </c>
      <c r="E910">
        <v>0.375</v>
      </c>
      <c r="F910">
        <v>0.42399999999999999</v>
      </c>
      <c r="G910">
        <v>0.3</v>
      </c>
      <c r="H910">
        <v>2.34</v>
      </c>
      <c r="I910" s="2">
        <v>8244642000</v>
      </c>
      <c r="J910" s="2">
        <v>142864145000</v>
      </c>
      <c r="K910" s="2">
        <v>60970515000</v>
      </c>
      <c r="L910" s="2">
        <v>24593400</v>
      </c>
      <c r="M910" s="2">
        <v>8625000000</v>
      </c>
      <c r="N910" s="2">
        <v>13405000000</v>
      </c>
      <c r="O910" s="2">
        <v>15460420000</v>
      </c>
      <c r="P910" s="2">
        <v>85075000000</v>
      </c>
      <c r="Q910" s="2">
        <v>36885095000</v>
      </c>
      <c r="R910" s="2">
        <v>44384145000</v>
      </c>
      <c r="S910" s="2">
        <f t="shared" si="28"/>
        <v>0.124</v>
      </c>
      <c r="T910" s="2">
        <f t="shared" si="29"/>
        <v>69239750400</v>
      </c>
    </row>
    <row r="911" spans="1:20" x14ac:dyDescent="0.3">
      <c r="A911" s="1">
        <v>44224</v>
      </c>
      <c r="B911" t="s">
        <v>726</v>
      </c>
      <c r="C911" t="s">
        <v>18</v>
      </c>
      <c r="D911" t="s">
        <v>68</v>
      </c>
      <c r="E911">
        <v>0.70299999999999996</v>
      </c>
      <c r="F911">
        <v>0.754</v>
      </c>
      <c r="G911">
        <v>0.6</v>
      </c>
      <c r="H911">
        <v>2.2999999999999998</v>
      </c>
      <c r="I911" s="2">
        <v>8379799900</v>
      </c>
      <c r="J911" s="2">
        <v>142898245000</v>
      </c>
      <c r="K911" s="2">
        <v>61994272000</v>
      </c>
      <c r="L911" s="2">
        <v>5771500</v>
      </c>
      <c r="M911" s="2">
        <v>10094325000</v>
      </c>
      <c r="N911" s="2">
        <v>15443600000</v>
      </c>
      <c r="O911" s="2">
        <v>12161487500</v>
      </c>
      <c r="P911" s="2">
        <v>81058000000</v>
      </c>
      <c r="Q911" s="2">
        <v>39738459500</v>
      </c>
      <c r="R911" s="2">
        <v>46396645000</v>
      </c>
      <c r="S911" s="2">
        <f t="shared" si="28"/>
        <v>0.15400000000000003</v>
      </c>
      <c r="T911" s="2">
        <f t="shared" si="29"/>
        <v>70379843400</v>
      </c>
    </row>
    <row r="912" spans="1:20" x14ac:dyDescent="0.3">
      <c r="A912" s="1">
        <v>44236</v>
      </c>
      <c r="B912" t="s">
        <v>731</v>
      </c>
      <c r="C912" t="s">
        <v>18</v>
      </c>
      <c r="D912" t="s">
        <v>52</v>
      </c>
      <c r="E912">
        <v>0.16500000000000001</v>
      </c>
      <c r="F912">
        <v>0.19600000000000001</v>
      </c>
      <c r="G912">
        <v>0.09</v>
      </c>
      <c r="H912">
        <v>2.39</v>
      </c>
      <c r="I912" s="2">
        <v>21041170200</v>
      </c>
      <c r="J912" s="2">
        <v>138543000000</v>
      </c>
      <c r="K912" s="2">
        <v>57857920000</v>
      </c>
      <c r="L912" s="2">
        <v>32120400</v>
      </c>
      <c r="M912" s="2">
        <v>9286000000</v>
      </c>
      <c r="N912" s="2">
        <v>14387000000</v>
      </c>
      <c r="O912" s="2">
        <v>18059920000</v>
      </c>
      <c r="P912" s="2">
        <v>83931000000</v>
      </c>
      <c r="Q912" s="2">
        <v>30512000000</v>
      </c>
      <c r="R912" s="2">
        <v>40225000000</v>
      </c>
      <c r="S912" s="2">
        <f t="shared" si="28"/>
        <v>0.10600000000000001</v>
      </c>
      <c r="T912" s="2">
        <f t="shared" si="29"/>
        <v>78931210600</v>
      </c>
    </row>
    <row r="913" spans="1:20" x14ac:dyDescent="0.3">
      <c r="A913" s="1">
        <v>44237</v>
      </c>
      <c r="B913" t="s">
        <v>730</v>
      </c>
      <c r="C913" t="s">
        <v>18</v>
      </c>
      <c r="D913" t="s">
        <v>26</v>
      </c>
      <c r="E913">
        <v>1.105</v>
      </c>
      <c r="F913">
        <v>1.155</v>
      </c>
      <c r="G913">
        <v>0.08</v>
      </c>
      <c r="H913">
        <v>2.37</v>
      </c>
      <c r="I913" s="2">
        <v>14873930700</v>
      </c>
      <c r="J913" s="2">
        <v>96961674000</v>
      </c>
      <c r="K913" s="2">
        <v>40976823200</v>
      </c>
      <c r="L913" s="2">
        <v>23219900</v>
      </c>
      <c r="M913" s="2">
        <v>7753035000</v>
      </c>
      <c r="N913" s="2">
        <v>11695000000</v>
      </c>
      <c r="O913" s="2">
        <v>8387105000</v>
      </c>
      <c r="P913" s="2">
        <v>55702000000</v>
      </c>
      <c r="Q913" s="2">
        <v>24836683200</v>
      </c>
      <c r="R913" s="2">
        <v>29564674000</v>
      </c>
      <c r="S913" s="2">
        <f t="shared" si="28"/>
        <v>1.075</v>
      </c>
      <c r="T913" s="2">
        <f t="shared" si="29"/>
        <v>55873973800</v>
      </c>
    </row>
    <row r="914" spans="1:20" x14ac:dyDescent="0.3">
      <c r="A914" s="1">
        <v>44238</v>
      </c>
      <c r="B914" t="s">
        <v>729</v>
      </c>
      <c r="C914" t="s">
        <v>23</v>
      </c>
      <c r="D914" t="s">
        <v>65</v>
      </c>
      <c r="E914">
        <v>1.87</v>
      </c>
      <c r="F914">
        <v>1.9330000000000001</v>
      </c>
      <c r="G914">
        <v>1.82</v>
      </c>
      <c r="H914">
        <v>2.1800000000000002</v>
      </c>
      <c r="I914" s="2">
        <v>9795027400</v>
      </c>
      <c r="J914" s="2">
        <v>58750140000</v>
      </c>
      <c r="K914" s="2">
        <v>26989315200</v>
      </c>
      <c r="L914" s="2">
        <v>10704800</v>
      </c>
      <c r="M914" s="2">
        <v>4679620000</v>
      </c>
      <c r="N914" s="2">
        <v>7108300000</v>
      </c>
      <c r="O914" s="2">
        <v>5992955200</v>
      </c>
      <c r="P914" s="2">
        <v>35006000000</v>
      </c>
      <c r="Q914" s="2">
        <v>16316740000</v>
      </c>
      <c r="R914" s="2">
        <v>16635840000</v>
      </c>
      <c r="S914" s="2">
        <f t="shared" si="28"/>
        <v>0.11299999999999999</v>
      </c>
      <c r="T914" s="2">
        <f t="shared" si="29"/>
        <v>36795047400</v>
      </c>
    </row>
    <row r="915" spans="1:20" x14ac:dyDescent="0.3">
      <c r="A915" s="1">
        <v>44244</v>
      </c>
      <c r="B915" t="s">
        <v>734</v>
      </c>
      <c r="C915" t="s">
        <v>23</v>
      </c>
      <c r="D915" t="s">
        <v>688</v>
      </c>
      <c r="E915">
        <v>1.85</v>
      </c>
      <c r="F915">
        <v>1.92</v>
      </c>
      <c r="G915">
        <v>0.88</v>
      </c>
      <c r="H915">
        <v>2.15</v>
      </c>
      <c r="I915" s="2">
        <v>5849038000</v>
      </c>
      <c r="J915" s="2">
        <v>57997650000</v>
      </c>
      <c r="K915" s="2">
        <v>26996535500</v>
      </c>
      <c r="L915" s="2">
        <v>3471300</v>
      </c>
      <c r="M915" s="2">
        <v>4323538000</v>
      </c>
      <c r="N915" s="2">
        <v>6816000000</v>
      </c>
      <c r="O915" s="2">
        <v>7851713000</v>
      </c>
      <c r="P915" s="2">
        <v>36206000000</v>
      </c>
      <c r="Q915" s="2">
        <v>14821284500</v>
      </c>
      <c r="R915" s="2">
        <v>14975650000</v>
      </c>
      <c r="S915" s="2">
        <f t="shared" si="28"/>
        <v>1.04</v>
      </c>
      <c r="T915" s="2">
        <f t="shared" si="29"/>
        <v>32849044800</v>
      </c>
    </row>
    <row r="916" spans="1:20" x14ac:dyDescent="0.3">
      <c r="A916" s="1">
        <v>44250</v>
      </c>
      <c r="B916" t="s">
        <v>733</v>
      </c>
      <c r="C916" t="s">
        <v>18</v>
      </c>
      <c r="D916" t="s">
        <v>21</v>
      </c>
      <c r="E916">
        <v>9.8000000000000004E-2</v>
      </c>
      <c r="F916">
        <v>0.11899999999999999</v>
      </c>
      <c r="G916">
        <v>0.03</v>
      </c>
      <c r="H916">
        <v>2.44</v>
      </c>
      <c r="I916" s="2">
        <v>12997862400</v>
      </c>
      <c r="J916" s="2">
        <v>145994945000</v>
      </c>
      <c r="K916" s="2">
        <v>59682313300</v>
      </c>
      <c r="L916" s="2">
        <v>117816600</v>
      </c>
      <c r="M916" s="2">
        <v>7168925000</v>
      </c>
      <c r="N916" s="2">
        <v>12573000000</v>
      </c>
      <c r="O916" s="2">
        <v>18313622500</v>
      </c>
      <c r="P916" s="2">
        <v>84567000000</v>
      </c>
      <c r="Q916" s="2">
        <v>34199765800</v>
      </c>
      <c r="R916" s="2">
        <v>48854945000</v>
      </c>
      <c r="S916" s="2">
        <f t="shared" si="28"/>
        <v>8.8999999999999996E-2</v>
      </c>
      <c r="T916" s="2">
        <f t="shared" si="29"/>
        <v>72797992300</v>
      </c>
    </row>
    <row r="917" spans="1:20" x14ac:dyDescent="0.3">
      <c r="A917" s="1">
        <v>44251</v>
      </c>
      <c r="B917" t="s">
        <v>732</v>
      </c>
      <c r="C917" t="s">
        <v>18</v>
      </c>
      <c r="D917" t="s">
        <v>19</v>
      </c>
      <c r="E917">
        <v>0.56999999999999995</v>
      </c>
      <c r="F917">
        <v>0.621</v>
      </c>
      <c r="G917">
        <v>0.47</v>
      </c>
      <c r="H917">
        <v>2.2400000000000002</v>
      </c>
      <c r="I917" s="2">
        <v>13214493400</v>
      </c>
      <c r="J917" s="2">
        <v>136321275000</v>
      </c>
      <c r="K917" s="2">
        <v>60974980000</v>
      </c>
      <c r="L917" s="2">
        <v>23028100</v>
      </c>
      <c r="M917" s="2">
        <v>8770000000</v>
      </c>
      <c r="N917" s="2">
        <v>13271000000</v>
      </c>
      <c r="O917" s="2">
        <v>17417705000</v>
      </c>
      <c r="P917" s="2">
        <v>84402000000</v>
      </c>
      <c r="Q917" s="2">
        <v>34787275000</v>
      </c>
      <c r="R917" s="2">
        <v>38648275000</v>
      </c>
      <c r="S917" s="2">
        <f t="shared" si="28"/>
        <v>0.15100000000000002</v>
      </c>
      <c r="T917" s="2">
        <f t="shared" si="29"/>
        <v>74212501500</v>
      </c>
    </row>
    <row r="918" spans="1:20" x14ac:dyDescent="0.3">
      <c r="A918" s="1">
        <v>44252</v>
      </c>
      <c r="B918" t="s">
        <v>735</v>
      </c>
      <c r="C918" t="s">
        <v>18</v>
      </c>
      <c r="D918" t="s">
        <v>68</v>
      </c>
      <c r="E918">
        <v>1.099</v>
      </c>
      <c r="F918">
        <v>1.1950000000000001</v>
      </c>
      <c r="G918">
        <v>0.95</v>
      </c>
      <c r="H918">
        <v>2.04</v>
      </c>
      <c r="I918" s="2">
        <v>13431124300</v>
      </c>
      <c r="J918" s="2">
        <v>126765780000</v>
      </c>
      <c r="K918" s="2">
        <v>61989770000</v>
      </c>
      <c r="L918" s="2">
        <v>10255400</v>
      </c>
      <c r="M918" s="2">
        <v>13717900000</v>
      </c>
      <c r="N918" s="2">
        <v>18547900000</v>
      </c>
      <c r="O918" s="2">
        <v>24678990000</v>
      </c>
      <c r="P918" s="2">
        <v>84625000000</v>
      </c>
      <c r="Q918" s="2">
        <v>23592880000</v>
      </c>
      <c r="R918" s="2">
        <v>23592880000</v>
      </c>
      <c r="S918" s="2">
        <f t="shared" si="28"/>
        <v>0.24500000000000011</v>
      </c>
      <c r="T918" s="2">
        <f t="shared" si="29"/>
        <v>75431149700</v>
      </c>
    </row>
    <row r="919" spans="1:20" x14ac:dyDescent="0.3">
      <c r="A919" s="1">
        <v>44264</v>
      </c>
      <c r="B919" t="s">
        <v>736</v>
      </c>
      <c r="C919" t="s">
        <v>18</v>
      </c>
      <c r="D919" t="s">
        <v>52</v>
      </c>
      <c r="E919">
        <v>0.31900000000000001</v>
      </c>
      <c r="F919">
        <v>0.35499999999999998</v>
      </c>
      <c r="G919">
        <v>0.08</v>
      </c>
      <c r="H919">
        <v>2.69</v>
      </c>
      <c r="I919" s="2">
        <v>3594550000</v>
      </c>
      <c r="J919" s="2">
        <v>155821400000</v>
      </c>
      <c r="K919" s="2">
        <v>57869787000</v>
      </c>
      <c r="L919" s="2">
        <v>25773800</v>
      </c>
      <c r="M919" s="2">
        <v>10561000000</v>
      </c>
      <c r="N919" s="2">
        <v>15263000000</v>
      </c>
      <c r="O919" s="2">
        <v>19669837500</v>
      </c>
      <c r="P919" s="2">
        <v>91618000000</v>
      </c>
      <c r="Q919" s="2">
        <v>27638949500</v>
      </c>
      <c r="R919" s="2">
        <v>48940400000</v>
      </c>
      <c r="S919" s="2">
        <f t="shared" si="28"/>
        <v>0.27499999999999997</v>
      </c>
      <c r="T919" s="2">
        <f t="shared" si="29"/>
        <v>61490110800</v>
      </c>
    </row>
    <row r="920" spans="1:20" x14ac:dyDescent="0.3">
      <c r="A920" s="1">
        <v>44265</v>
      </c>
      <c r="B920" t="s">
        <v>730</v>
      </c>
      <c r="C920" t="s">
        <v>18</v>
      </c>
      <c r="D920" t="s">
        <v>29</v>
      </c>
      <c r="E920">
        <v>1.4670000000000001</v>
      </c>
      <c r="F920">
        <v>1.5229999999999999</v>
      </c>
      <c r="G920">
        <v>0.88</v>
      </c>
      <c r="H920">
        <v>2.38</v>
      </c>
      <c r="I920" s="2">
        <v>2355050000</v>
      </c>
      <c r="J920" s="2">
        <v>90545182000</v>
      </c>
      <c r="K920" s="2">
        <v>37966272200</v>
      </c>
      <c r="L920" s="2">
        <v>33739300</v>
      </c>
      <c r="M920" s="2">
        <v>6748585000</v>
      </c>
      <c r="N920" s="2">
        <v>9865000000</v>
      </c>
      <c r="O920" s="2">
        <v>9649528500</v>
      </c>
      <c r="P920" s="2">
        <v>53451000000</v>
      </c>
      <c r="Q920" s="2">
        <v>21568158700</v>
      </c>
      <c r="R920" s="2">
        <v>27229182000</v>
      </c>
      <c r="S920" s="2">
        <f t="shared" si="28"/>
        <v>0.6429999999999999</v>
      </c>
      <c r="T920" s="2">
        <f t="shared" si="29"/>
        <v>40355061500</v>
      </c>
    </row>
    <row r="921" spans="1:20" x14ac:dyDescent="0.3">
      <c r="A921" s="1">
        <v>44266</v>
      </c>
      <c r="B921" t="s">
        <v>729</v>
      </c>
      <c r="C921" t="s">
        <v>23</v>
      </c>
      <c r="D921" t="s">
        <v>72</v>
      </c>
      <c r="E921">
        <v>2.23</v>
      </c>
      <c r="F921">
        <v>2.2949999999999999</v>
      </c>
      <c r="G921">
        <v>2.15</v>
      </c>
      <c r="H921">
        <v>2.2799999999999998</v>
      </c>
      <c r="I921" s="2">
        <v>1487400000</v>
      </c>
      <c r="J921" s="2">
        <v>54801590000</v>
      </c>
      <c r="K921" s="2">
        <v>23994280000</v>
      </c>
      <c r="L921" s="2">
        <v>5721400</v>
      </c>
      <c r="M921" s="2">
        <v>4855700000</v>
      </c>
      <c r="N921" s="2">
        <v>6875700000</v>
      </c>
      <c r="O921" s="2">
        <v>4609756000</v>
      </c>
      <c r="P921" s="2">
        <v>31233000000</v>
      </c>
      <c r="Q921" s="2">
        <v>14528824000</v>
      </c>
      <c r="R921" s="2">
        <v>16692890000</v>
      </c>
      <c r="S921" s="2">
        <f t="shared" si="28"/>
        <v>0.14500000000000002</v>
      </c>
      <c r="T921" s="2">
        <f t="shared" si="29"/>
        <v>25487401400</v>
      </c>
    </row>
    <row r="922" spans="1:20" x14ac:dyDescent="0.3">
      <c r="A922" s="1">
        <v>44271</v>
      </c>
      <c r="B922" t="s">
        <v>734</v>
      </c>
      <c r="C922" t="s">
        <v>23</v>
      </c>
      <c r="D922" t="s">
        <v>693</v>
      </c>
      <c r="E922">
        <v>2.2400000000000002</v>
      </c>
      <c r="F922">
        <v>2.29</v>
      </c>
      <c r="G922">
        <v>0.88</v>
      </c>
      <c r="H922">
        <v>2.5099999999999998</v>
      </c>
      <c r="I922" s="2">
        <v>4309706800</v>
      </c>
      <c r="J922" s="2">
        <v>60287185000</v>
      </c>
      <c r="K922" s="2">
        <v>23997803700</v>
      </c>
      <c r="L922" s="2">
        <v>2196900</v>
      </c>
      <c r="M922" s="2">
        <v>4087000000</v>
      </c>
      <c r="N922" s="2">
        <v>7178000000</v>
      </c>
      <c r="O922" s="2">
        <v>5174537500</v>
      </c>
      <c r="P922" s="2">
        <v>31657000000</v>
      </c>
      <c r="Q922" s="2">
        <v>14736266200</v>
      </c>
      <c r="R922" s="2">
        <v>21452185000</v>
      </c>
      <c r="S922" s="2">
        <f t="shared" si="28"/>
        <v>1.4100000000000001</v>
      </c>
      <c r="T922" s="2">
        <f t="shared" si="29"/>
        <v>28309707400</v>
      </c>
    </row>
    <row r="923" spans="1:20" x14ac:dyDescent="0.3">
      <c r="A923" s="1">
        <v>44278</v>
      </c>
      <c r="B923" t="s">
        <v>739</v>
      </c>
      <c r="C923" t="s">
        <v>18</v>
      </c>
      <c r="D923" t="s">
        <v>21</v>
      </c>
      <c r="E923">
        <v>0.11</v>
      </c>
      <c r="F923">
        <v>0.152</v>
      </c>
      <c r="G923">
        <v>0.05</v>
      </c>
      <c r="H923">
        <v>2.54</v>
      </c>
      <c r="I923" s="2">
        <v>10774267300</v>
      </c>
      <c r="J923" s="2">
        <v>152343620000</v>
      </c>
      <c r="K923" s="2">
        <v>59795900800</v>
      </c>
      <c r="L923" s="2">
        <v>104182700</v>
      </c>
      <c r="M923" s="2">
        <v>10511205800</v>
      </c>
      <c r="N923" s="2">
        <v>16652000000</v>
      </c>
      <c r="O923" s="2">
        <v>18972725000</v>
      </c>
      <c r="P923" s="2">
        <v>85638000000</v>
      </c>
      <c r="Q923" s="2">
        <v>30311970000</v>
      </c>
      <c r="R923" s="2">
        <v>50053620000</v>
      </c>
      <c r="S923" s="2">
        <f t="shared" si="28"/>
        <v>0.10199999999999999</v>
      </c>
      <c r="T923" s="2">
        <f t="shared" si="29"/>
        <v>70674350800</v>
      </c>
    </row>
    <row r="924" spans="1:20" x14ac:dyDescent="0.3">
      <c r="A924" s="1">
        <v>44279</v>
      </c>
      <c r="B924" t="s">
        <v>738</v>
      </c>
      <c r="C924" t="s">
        <v>18</v>
      </c>
      <c r="D924" t="s">
        <v>19</v>
      </c>
      <c r="E924">
        <v>0.79</v>
      </c>
      <c r="F924">
        <v>0.85</v>
      </c>
      <c r="G924">
        <v>0.73599999999999999</v>
      </c>
      <c r="H924">
        <v>2.36</v>
      </c>
      <c r="I924" s="2">
        <v>10953838400</v>
      </c>
      <c r="J924" s="2">
        <v>143989750000</v>
      </c>
      <c r="K924" s="2">
        <v>60945407500</v>
      </c>
      <c r="L924" s="2">
        <v>47393300</v>
      </c>
      <c r="M924" s="2">
        <v>10127000000</v>
      </c>
      <c r="N924" s="2">
        <v>14927000000</v>
      </c>
      <c r="O924" s="2">
        <v>15422997500</v>
      </c>
      <c r="P924" s="2">
        <v>88034000000</v>
      </c>
      <c r="Q924" s="2">
        <v>35395410000</v>
      </c>
      <c r="R924" s="2">
        <v>41028750000</v>
      </c>
      <c r="S924" s="2">
        <f t="shared" si="28"/>
        <v>0.11399999999999999</v>
      </c>
      <c r="T924" s="2">
        <f t="shared" si="29"/>
        <v>71946639200</v>
      </c>
    </row>
    <row r="925" spans="1:20" x14ac:dyDescent="0.3">
      <c r="A925" s="1">
        <v>44280</v>
      </c>
      <c r="B925" t="s">
        <v>737</v>
      </c>
      <c r="C925" t="s">
        <v>18</v>
      </c>
      <c r="D925" t="s">
        <v>68</v>
      </c>
      <c r="E925">
        <v>1.2250000000000001</v>
      </c>
      <c r="F925">
        <v>1.3</v>
      </c>
      <c r="G925">
        <v>0.08</v>
      </c>
      <c r="H925">
        <v>2.23</v>
      </c>
      <c r="I925" s="2">
        <v>11133409500</v>
      </c>
      <c r="J925" s="2">
        <v>138411341000</v>
      </c>
      <c r="K925" s="2">
        <v>61938581000</v>
      </c>
      <c r="L925" s="2">
        <v>61445700</v>
      </c>
      <c r="M925" s="2">
        <v>11150900000</v>
      </c>
      <c r="N925" s="2">
        <v>16300900000</v>
      </c>
      <c r="O925" s="2">
        <v>15316240000</v>
      </c>
      <c r="P925" s="2">
        <v>83489000000</v>
      </c>
      <c r="Q925" s="2">
        <v>35471441000</v>
      </c>
      <c r="R925" s="2">
        <v>38621441000</v>
      </c>
      <c r="S925" s="2">
        <f t="shared" si="28"/>
        <v>1.22</v>
      </c>
      <c r="T925" s="2">
        <f t="shared" si="29"/>
        <v>73133436200</v>
      </c>
    </row>
    <row r="926" spans="1:20" x14ac:dyDescent="0.3">
      <c r="A926" s="1">
        <v>44298</v>
      </c>
      <c r="B926" t="s">
        <v>730</v>
      </c>
      <c r="C926" t="s">
        <v>18</v>
      </c>
      <c r="D926" t="s">
        <v>59</v>
      </c>
      <c r="E926">
        <v>1.62</v>
      </c>
      <c r="F926">
        <v>1.68</v>
      </c>
      <c r="G926">
        <v>0.08</v>
      </c>
      <c r="H926">
        <v>2.36</v>
      </c>
      <c r="I926" s="2">
        <v>5833637100</v>
      </c>
      <c r="J926" s="2">
        <v>89558462000</v>
      </c>
      <c r="K926" s="2">
        <v>37986519600</v>
      </c>
      <c r="L926" s="2">
        <v>13500000</v>
      </c>
      <c r="M926" s="2">
        <v>6160000000</v>
      </c>
      <c r="N926" s="2">
        <v>10110000000</v>
      </c>
      <c r="O926" s="2">
        <v>9185753000</v>
      </c>
      <c r="P926" s="2">
        <v>53219000000</v>
      </c>
      <c r="Q926" s="2">
        <v>22640766600</v>
      </c>
      <c r="R926" s="2">
        <v>26229462000</v>
      </c>
      <c r="S926" s="2">
        <f t="shared" si="28"/>
        <v>1.5999999999999999</v>
      </c>
      <c r="T926" s="2">
        <f t="shared" si="29"/>
        <v>43833656700</v>
      </c>
    </row>
    <row r="927" spans="1:20" x14ac:dyDescent="0.3">
      <c r="A927" s="1">
        <v>44298</v>
      </c>
      <c r="B927" t="s">
        <v>740</v>
      </c>
      <c r="C927" t="s">
        <v>18</v>
      </c>
      <c r="D927" t="s">
        <v>52</v>
      </c>
      <c r="E927">
        <v>0.35</v>
      </c>
      <c r="F927">
        <v>0.376</v>
      </c>
      <c r="G927">
        <v>0.08</v>
      </c>
      <c r="H927">
        <v>2.3199999999999998</v>
      </c>
      <c r="I927" s="2">
        <v>8903972600</v>
      </c>
      <c r="J927" s="2">
        <v>134178300000</v>
      </c>
      <c r="K927" s="2">
        <v>57742558400</v>
      </c>
      <c r="L927" s="2">
        <v>52526600</v>
      </c>
      <c r="M927" s="2">
        <v>9105044000</v>
      </c>
      <c r="N927" s="2">
        <v>11327000000</v>
      </c>
      <c r="O927" s="2">
        <v>19131710000</v>
      </c>
      <c r="P927" s="2">
        <v>83123000000</v>
      </c>
      <c r="Q927" s="2">
        <v>29505804400</v>
      </c>
      <c r="R927" s="2">
        <v>39728300000</v>
      </c>
      <c r="S927" s="2">
        <f t="shared" si="28"/>
        <v>0.29599999999999999</v>
      </c>
      <c r="T927" s="2">
        <f t="shared" si="29"/>
        <v>66699057600</v>
      </c>
    </row>
    <row r="928" spans="1:20" x14ac:dyDescent="0.3">
      <c r="A928" s="1">
        <v>44299</v>
      </c>
      <c r="B928" t="s">
        <v>729</v>
      </c>
      <c r="C928" t="s">
        <v>23</v>
      </c>
      <c r="D928" t="s">
        <v>91</v>
      </c>
      <c r="E928">
        <v>2.27</v>
      </c>
      <c r="F928">
        <v>2.3199999999999998</v>
      </c>
      <c r="G928">
        <v>2.19</v>
      </c>
      <c r="H928">
        <v>2.4700000000000002</v>
      </c>
      <c r="I928" s="2">
        <v>3684402400</v>
      </c>
      <c r="J928" s="2">
        <v>59171672000</v>
      </c>
      <c r="K928" s="2">
        <v>23993018000</v>
      </c>
      <c r="L928" s="2">
        <v>7015000</v>
      </c>
      <c r="M928" s="2">
        <v>5265970000</v>
      </c>
      <c r="N928" s="2">
        <v>7810000000</v>
      </c>
      <c r="O928" s="2">
        <v>4101400000</v>
      </c>
      <c r="P928" s="2">
        <v>32356000000</v>
      </c>
      <c r="Q928" s="2">
        <v>14625648000</v>
      </c>
      <c r="R928" s="2">
        <v>19005672000</v>
      </c>
      <c r="S928" s="2">
        <f t="shared" si="28"/>
        <v>0.12999999999999989</v>
      </c>
      <c r="T928" s="2">
        <f t="shared" si="29"/>
        <v>27684435400</v>
      </c>
    </row>
    <row r="929" spans="1:20" x14ac:dyDescent="0.3">
      <c r="A929" s="1">
        <v>44307</v>
      </c>
      <c r="B929" t="s">
        <v>734</v>
      </c>
      <c r="C929" t="s">
        <v>23</v>
      </c>
      <c r="D929" t="s">
        <v>698</v>
      </c>
      <c r="E929">
        <v>2.0920000000000001</v>
      </c>
      <c r="F929">
        <v>2.1440000000000001</v>
      </c>
      <c r="G929">
        <v>0.08</v>
      </c>
      <c r="H929">
        <v>2.42</v>
      </c>
      <c r="I929" s="2">
        <v>4583339800</v>
      </c>
      <c r="J929" s="2">
        <v>57975000000</v>
      </c>
      <c r="K929" s="2">
        <v>23995619000</v>
      </c>
      <c r="L929" s="2">
        <v>4385800</v>
      </c>
      <c r="M929" s="2">
        <v>4843000000</v>
      </c>
      <c r="N929" s="2">
        <v>7888000000</v>
      </c>
      <c r="O929" s="2">
        <v>5060548000</v>
      </c>
      <c r="P929" s="2">
        <v>33605000000</v>
      </c>
      <c r="Q929" s="2">
        <v>14092071000</v>
      </c>
      <c r="R929" s="2">
        <v>16482000000</v>
      </c>
      <c r="S929" s="2">
        <f t="shared" si="28"/>
        <v>2.0640000000000001</v>
      </c>
      <c r="T929" s="2">
        <f t="shared" si="29"/>
        <v>28583344600</v>
      </c>
    </row>
    <row r="930" spans="1:20" x14ac:dyDescent="0.3">
      <c r="A930" s="1">
        <v>44312</v>
      </c>
      <c r="B930" t="s">
        <v>743</v>
      </c>
      <c r="C930" t="s">
        <v>18</v>
      </c>
      <c r="D930" t="s">
        <v>19</v>
      </c>
      <c r="E930">
        <v>0.8</v>
      </c>
      <c r="F930">
        <v>0.84899999999999998</v>
      </c>
      <c r="G930">
        <v>0.72</v>
      </c>
      <c r="H930">
        <v>2.31</v>
      </c>
      <c r="I930" s="2">
        <v>11649322200</v>
      </c>
      <c r="J930" s="2">
        <v>140906690000</v>
      </c>
      <c r="K930" s="2">
        <v>60852802000</v>
      </c>
      <c r="L930" s="2">
        <v>42218100</v>
      </c>
      <c r="M930" s="2">
        <v>10653010000</v>
      </c>
      <c r="N930" s="2">
        <v>15719000000</v>
      </c>
      <c r="O930" s="2">
        <v>14948070000</v>
      </c>
      <c r="P930" s="2">
        <v>83705000000</v>
      </c>
      <c r="Q930" s="2">
        <v>35251722000</v>
      </c>
      <c r="R930" s="2">
        <v>41482690000</v>
      </c>
      <c r="S930" s="2">
        <f t="shared" si="28"/>
        <v>0.129</v>
      </c>
      <c r="T930" s="2">
        <f t="shared" si="29"/>
        <v>72544342300</v>
      </c>
    </row>
    <row r="931" spans="1:20" x14ac:dyDescent="0.3">
      <c r="A931" s="1">
        <v>44312</v>
      </c>
      <c r="B931" t="s">
        <v>742</v>
      </c>
      <c r="C931" t="s">
        <v>18</v>
      </c>
      <c r="D931" t="s">
        <v>21</v>
      </c>
      <c r="E931">
        <v>0.15</v>
      </c>
      <c r="F931">
        <v>0.17499999999999999</v>
      </c>
      <c r="G931">
        <v>0.08</v>
      </c>
      <c r="H931">
        <v>2.34</v>
      </c>
      <c r="I931" s="2">
        <v>11458349800</v>
      </c>
      <c r="J931" s="2">
        <v>140037530000</v>
      </c>
      <c r="K931" s="2">
        <v>59711305000</v>
      </c>
      <c r="L931" s="2">
        <v>82069300</v>
      </c>
      <c r="M931" s="2">
        <v>11049000000</v>
      </c>
      <c r="N931" s="2">
        <v>15949000000</v>
      </c>
      <c r="O931" s="2">
        <v>22649525000</v>
      </c>
      <c r="P931" s="2">
        <v>84354000000</v>
      </c>
      <c r="Q931" s="2">
        <v>26012780000</v>
      </c>
      <c r="R931" s="2">
        <v>39734530000</v>
      </c>
      <c r="S931" s="2">
        <f t="shared" si="28"/>
        <v>9.4999999999999987E-2</v>
      </c>
      <c r="T931" s="2">
        <f t="shared" si="29"/>
        <v>71251724100</v>
      </c>
    </row>
    <row r="932" spans="1:20" x14ac:dyDescent="0.3">
      <c r="A932" s="1">
        <v>44313</v>
      </c>
      <c r="B932" t="s">
        <v>741</v>
      </c>
      <c r="C932" t="s">
        <v>18</v>
      </c>
      <c r="D932" t="s">
        <v>68</v>
      </c>
      <c r="E932">
        <v>1.2490000000000001</v>
      </c>
      <c r="F932">
        <v>1.306</v>
      </c>
      <c r="G932">
        <v>0.88</v>
      </c>
      <c r="H932">
        <v>2.31</v>
      </c>
      <c r="I932" s="2">
        <v>11840294700</v>
      </c>
      <c r="J932" s="2">
        <v>143424297000</v>
      </c>
      <c r="K932" s="2">
        <v>61976072000</v>
      </c>
      <c r="L932" s="2">
        <v>23939100</v>
      </c>
      <c r="M932" s="2">
        <v>12765200000</v>
      </c>
      <c r="N932" s="2">
        <v>18240200000</v>
      </c>
      <c r="O932" s="2">
        <v>13838775000</v>
      </c>
      <c r="P932" s="2">
        <v>83937000000</v>
      </c>
      <c r="Q932" s="2">
        <v>35372097000</v>
      </c>
      <c r="R932" s="2">
        <v>41247097000</v>
      </c>
      <c r="S932" s="2">
        <f t="shared" si="28"/>
        <v>0.42600000000000005</v>
      </c>
      <c r="T932" s="2">
        <f t="shared" si="29"/>
        <v>73840305800</v>
      </c>
    </row>
    <row r="933" spans="1:20" x14ac:dyDescent="0.3">
      <c r="A933" s="1">
        <v>44327</v>
      </c>
      <c r="B933" t="s">
        <v>746</v>
      </c>
      <c r="C933" t="s">
        <v>18</v>
      </c>
      <c r="D933" t="s">
        <v>52</v>
      </c>
      <c r="E933">
        <v>0.3</v>
      </c>
      <c r="F933">
        <v>0.32900000000000001</v>
      </c>
      <c r="G933">
        <v>0.08</v>
      </c>
      <c r="H933">
        <v>2.42</v>
      </c>
      <c r="I933" s="2">
        <v>30769279500</v>
      </c>
      <c r="J933" s="2">
        <v>140318300000</v>
      </c>
      <c r="K933" s="2">
        <v>57851534000</v>
      </c>
      <c r="L933" s="2">
        <v>43500400</v>
      </c>
      <c r="M933" s="2">
        <v>10478000000</v>
      </c>
      <c r="N933" s="2">
        <v>15526000000</v>
      </c>
      <c r="O933" s="2">
        <v>18665234000</v>
      </c>
      <c r="P933" s="2">
        <v>84179000000</v>
      </c>
      <c r="Q933" s="2">
        <v>28708300000</v>
      </c>
      <c r="R933" s="2">
        <v>40613300000</v>
      </c>
      <c r="S933" s="2">
        <f t="shared" si="28"/>
        <v>0.249</v>
      </c>
      <c r="T933" s="2">
        <f t="shared" si="29"/>
        <v>88664313900</v>
      </c>
    </row>
    <row r="934" spans="1:20" x14ac:dyDescent="0.3">
      <c r="A934" s="1">
        <v>44328</v>
      </c>
      <c r="B934" t="s">
        <v>745</v>
      </c>
      <c r="C934" t="s">
        <v>18</v>
      </c>
      <c r="D934" t="s">
        <v>26</v>
      </c>
      <c r="E934">
        <v>1.629</v>
      </c>
      <c r="F934">
        <v>1.6839999999999999</v>
      </c>
      <c r="G934">
        <v>0.88</v>
      </c>
      <c r="H934">
        <v>2.4500000000000002</v>
      </c>
      <c r="I934" s="2">
        <v>21750697500</v>
      </c>
      <c r="J934" s="2">
        <v>100582365000</v>
      </c>
      <c r="K934" s="2">
        <v>40960994000</v>
      </c>
      <c r="L934" s="2">
        <v>39006500</v>
      </c>
      <c r="M934" s="2">
        <v>7015000000</v>
      </c>
      <c r="N934" s="2">
        <v>11835000000</v>
      </c>
      <c r="O934" s="2">
        <v>7984229000</v>
      </c>
      <c r="P934" s="2">
        <v>56750000000</v>
      </c>
      <c r="Q934" s="2">
        <v>25961765000</v>
      </c>
      <c r="R934" s="2">
        <v>31997365000</v>
      </c>
      <c r="S934" s="2">
        <f t="shared" si="28"/>
        <v>0.80399999999999994</v>
      </c>
      <c r="T934" s="2">
        <f t="shared" si="29"/>
        <v>62750698000</v>
      </c>
    </row>
    <row r="935" spans="1:20" x14ac:dyDescent="0.3">
      <c r="A935" s="1">
        <v>44329</v>
      </c>
      <c r="B935" t="s">
        <v>744</v>
      </c>
      <c r="C935" t="s">
        <v>23</v>
      </c>
      <c r="D935" t="s">
        <v>65</v>
      </c>
      <c r="E935">
        <v>2.3149999999999999</v>
      </c>
      <c r="F935">
        <v>2.395</v>
      </c>
      <c r="G935">
        <v>0.88</v>
      </c>
      <c r="H935">
        <v>2.2200000000000002</v>
      </c>
      <c r="I935" s="2">
        <v>14323630000</v>
      </c>
      <c r="J935" s="2">
        <v>59900825000</v>
      </c>
      <c r="K935" s="2">
        <v>26989331700</v>
      </c>
      <c r="L935" s="2">
        <v>10680100</v>
      </c>
      <c r="M935" s="2">
        <v>5415300000</v>
      </c>
      <c r="N935" s="2">
        <v>7825300000</v>
      </c>
      <c r="O935" s="2">
        <v>5411506700</v>
      </c>
      <c r="P935" s="2">
        <v>34577000000</v>
      </c>
      <c r="Q935" s="2">
        <v>16162525000</v>
      </c>
      <c r="R935" s="2">
        <v>17498525000</v>
      </c>
      <c r="S935" s="2">
        <f t="shared" si="28"/>
        <v>1.5150000000000001</v>
      </c>
      <c r="T935" s="2">
        <f t="shared" si="29"/>
        <v>41323641800</v>
      </c>
    </row>
    <row r="936" spans="1:20" x14ac:dyDescent="0.3">
      <c r="A936" s="1">
        <v>44335</v>
      </c>
      <c r="B936" t="s">
        <v>749</v>
      </c>
      <c r="C936" t="s">
        <v>23</v>
      </c>
      <c r="D936" t="s">
        <v>688</v>
      </c>
      <c r="E936">
        <v>2.2149999999999999</v>
      </c>
      <c r="F936">
        <v>2.286</v>
      </c>
      <c r="G936">
        <v>2.15</v>
      </c>
      <c r="H936">
        <v>2.2400000000000002</v>
      </c>
      <c r="I936" s="2">
        <v>5240703700</v>
      </c>
      <c r="J936" s="2">
        <v>60362510000</v>
      </c>
      <c r="K936" s="2">
        <v>26994852500</v>
      </c>
      <c r="L936" s="2">
        <v>5149900</v>
      </c>
      <c r="M936" s="2">
        <v>5267900000</v>
      </c>
      <c r="N936" s="2">
        <v>7927900000</v>
      </c>
      <c r="O936" s="2">
        <v>6411342500</v>
      </c>
      <c r="P936" s="2">
        <v>34899000000</v>
      </c>
      <c r="Q936" s="2">
        <v>15315610000</v>
      </c>
      <c r="R936" s="2">
        <v>17535610000</v>
      </c>
      <c r="S936" s="2">
        <f t="shared" si="28"/>
        <v>0.13600000000000012</v>
      </c>
      <c r="T936" s="2">
        <f t="shared" si="29"/>
        <v>32240706100</v>
      </c>
    </row>
    <row r="937" spans="1:20" x14ac:dyDescent="0.3">
      <c r="A937" s="1">
        <v>44341</v>
      </c>
      <c r="B937" t="s">
        <v>748</v>
      </c>
      <c r="C937" t="s">
        <v>18</v>
      </c>
      <c r="D937" t="s">
        <v>21</v>
      </c>
      <c r="E937">
        <v>0.108</v>
      </c>
      <c r="F937">
        <v>0.152</v>
      </c>
      <c r="G937">
        <v>0.08</v>
      </c>
      <c r="H937">
        <v>2.74</v>
      </c>
      <c r="I937" s="2">
        <v>11646008300</v>
      </c>
      <c r="J937" s="2">
        <v>163939725000</v>
      </c>
      <c r="K937" s="2">
        <v>59794745000</v>
      </c>
      <c r="L937" s="2">
        <v>100284900</v>
      </c>
      <c r="M937" s="2">
        <v>10780000000</v>
      </c>
      <c r="N937" s="2">
        <v>17755000000</v>
      </c>
      <c r="O937" s="2">
        <v>14896020000</v>
      </c>
      <c r="P937" s="2">
        <v>88401000000</v>
      </c>
      <c r="Q937" s="2">
        <v>34118725000</v>
      </c>
      <c r="R937" s="2">
        <v>57783725000</v>
      </c>
      <c r="S937" s="2">
        <f t="shared" si="28"/>
        <v>7.1999999999999995E-2</v>
      </c>
      <c r="T937" s="2">
        <f t="shared" si="29"/>
        <v>71541038200</v>
      </c>
    </row>
    <row r="938" spans="1:20" x14ac:dyDescent="0.3">
      <c r="A938" s="1">
        <v>44342</v>
      </c>
      <c r="B938" t="s">
        <v>747</v>
      </c>
      <c r="C938" t="s">
        <v>18</v>
      </c>
      <c r="D938" t="s">
        <v>19</v>
      </c>
      <c r="E938">
        <v>0.74099999999999999</v>
      </c>
      <c r="F938">
        <v>0.78800000000000003</v>
      </c>
      <c r="G938">
        <v>0.08</v>
      </c>
      <c r="H938">
        <v>2.4900000000000002</v>
      </c>
      <c r="I938" s="2">
        <v>11840108300</v>
      </c>
      <c r="J938" s="2">
        <v>151683885000</v>
      </c>
      <c r="K938" s="2">
        <v>60861800400</v>
      </c>
      <c r="L938" s="2">
        <v>33232500</v>
      </c>
      <c r="M938" s="2">
        <v>9048000000</v>
      </c>
      <c r="N938" s="2">
        <v>14064000000</v>
      </c>
      <c r="O938" s="2">
        <v>12648000000</v>
      </c>
      <c r="P938" s="2">
        <v>83703000000</v>
      </c>
      <c r="Q938" s="2">
        <v>39165800400</v>
      </c>
      <c r="R938" s="2">
        <v>53916885000</v>
      </c>
      <c r="S938" s="2">
        <f t="shared" si="28"/>
        <v>0.70800000000000007</v>
      </c>
      <c r="T938" s="2">
        <f t="shared" si="29"/>
        <v>72735141200</v>
      </c>
    </row>
    <row r="939" spans="1:20" x14ac:dyDescent="0.3">
      <c r="A939" s="1">
        <v>44343</v>
      </c>
      <c r="B939" t="s">
        <v>750</v>
      </c>
      <c r="C939" t="s">
        <v>18</v>
      </c>
      <c r="D939" t="s">
        <v>68</v>
      </c>
      <c r="E939">
        <v>1.232</v>
      </c>
      <c r="F939">
        <v>1.2849999999999999</v>
      </c>
      <c r="G939">
        <v>0.08</v>
      </c>
      <c r="H939">
        <v>2.41</v>
      </c>
      <c r="I939" s="2">
        <v>12034208500</v>
      </c>
      <c r="J939" s="2">
        <v>149548367000</v>
      </c>
      <c r="K939" s="2">
        <v>61978474500</v>
      </c>
      <c r="L939" s="2">
        <v>21576400</v>
      </c>
      <c r="M939" s="2">
        <v>12828300000</v>
      </c>
      <c r="N939" s="2">
        <v>18215300000</v>
      </c>
      <c r="O939" s="2">
        <v>12228762500</v>
      </c>
      <c r="P939" s="2">
        <v>85129000000</v>
      </c>
      <c r="Q939" s="2">
        <v>36921412000</v>
      </c>
      <c r="R939" s="2">
        <v>46204067000</v>
      </c>
      <c r="S939" s="2">
        <f t="shared" si="28"/>
        <v>1.2049999999999998</v>
      </c>
      <c r="T939" s="2">
        <f t="shared" si="29"/>
        <v>74034259400</v>
      </c>
    </row>
    <row r="940" spans="1:20" x14ac:dyDescent="0.3">
      <c r="A940" s="1">
        <v>44355</v>
      </c>
      <c r="B940" t="s">
        <v>751</v>
      </c>
      <c r="C940" t="s">
        <v>18</v>
      </c>
      <c r="D940" t="s">
        <v>52</v>
      </c>
      <c r="E940">
        <v>0.29499999999999998</v>
      </c>
      <c r="F940">
        <v>0.32500000000000001</v>
      </c>
      <c r="G940">
        <v>0.22</v>
      </c>
      <c r="H940">
        <v>2.4700000000000002</v>
      </c>
      <c r="I940" s="2">
        <v>5332133400</v>
      </c>
      <c r="J940" s="2">
        <v>143075700000</v>
      </c>
      <c r="K940" s="2">
        <v>57961361600</v>
      </c>
      <c r="L940" s="2">
        <v>33736400</v>
      </c>
      <c r="M940" s="2">
        <v>10594000000</v>
      </c>
      <c r="N940" s="2">
        <v>15889000000</v>
      </c>
      <c r="O940" s="2">
        <v>15968925000</v>
      </c>
      <c r="P940" s="2">
        <v>80420000000</v>
      </c>
      <c r="Q940" s="2">
        <v>31398436600</v>
      </c>
      <c r="R940" s="2">
        <v>46766700000</v>
      </c>
      <c r="S940" s="2">
        <f t="shared" si="28"/>
        <v>0.10500000000000001</v>
      </c>
      <c r="T940" s="2">
        <f t="shared" si="29"/>
        <v>63327231400</v>
      </c>
    </row>
    <row r="941" spans="1:20" x14ac:dyDescent="0.3">
      <c r="A941" s="1">
        <v>44356</v>
      </c>
      <c r="B941" t="s">
        <v>745</v>
      </c>
      <c r="C941" t="s">
        <v>18</v>
      </c>
      <c r="D941" t="s">
        <v>29</v>
      </c>
      <c r="E941">
        <v>1.44</v>
      </c>
      <c r="F941">
        <v>1.4970000000000001</v>
      </c>
      <c r="G941">
        <v>0.08</v>
      </c>
      <c r="H941">
        <v>2.58</v>
      </c>
      <c r="I941" s="2">
        <v>3493466600</v>
      </c>
      <c r="J941" s="2">
        <v>98129455000</v>
      </c>
      <c r="K941" s="2">
        <v>37989945700</v>
      </c>
      <c r="L941" s="2">
        <v>10077100</v>
      </c>
      <c r="M941" s="2">
        <v>7306000000</v>
      </c>
      <c r="N941" s="2">
        <v>11206000000</v>
      </c>
      <c r="O941" s="2">
        <v>5973472500</v>
      </c>
      <c r="P941" s="2">
        <v>55834000000</v>
      </c>
      <c r="Q941" s="2">
        <v>24710473200</v>
      </c>
      <c r="R941" s="2">
        <v>31089455000</v>
      </c>
      <c r="S941" s="2">
        <f t="shared" si="28"/>
        <v>1.417</v>
      </c>
      <c r="T941" s="2">
        <f t="shared" si="29"/>
        <v>41493489400</v>
      </c>
    </row>
    <row r="942" spans="1:20" x14ac:dyDescent="0.3">
      <c r="A942" s="1">
        <v>44357</v>
      </c>
      <c r="B942" t="s">
        <v>744</v>
      </c>
      <c r="C942" t="s">
        <v>23</v>
      </c>
      <c r="D942" t="s">
        <v>72</v>
      </c>
      <c r="E942">
        <v>2.1</v>
      </c>
      <c r="F942">
        <v>2.1720000000000002</v>
      </c>
      <c r="G942">
        <v>0.88</v>
      </c>
      <c r="H942">
        <v>2.29</v>
      </c>
      <c r="I942" s="2">
        <v>2206400000</v>
      </c>
      <c r="J942" s="2">
        <v>54925050000</v>
      </c>
      <c r="K942" s="2">
        <v>23996814500</v>
      </c>
      <c r="L942" s="2">
        <v>3188200</v>
      </c>
      <c r="M942" s="2">
        <v>4316700000</v>
      </c>
      <c r="N942" s="2">
        <v>6416700000</v>
      </c>
      <c r="O942" s="2">
        <v>4313726500</v>
      </c>
      <c r="P942" s="2">
        <v>32270000000</v>
      </c>
      <c r="Q942" s="2">
        <v>15366388000</v>
      </c>
      <c r="R942" s="2">
        <v>16238350000</v>
      </c>
      <c r="S942" s="2">
        <f t="shared" si="28"/>
        <v>1.2920000000000003</v>
      </c>
      <c r="T942" s="2">
        <f t="shared" si="29"/>
        <v>26206402700</v>
      </c>
    </row>
    <row r="943" spans="1:20" x14ac:dyDescent="0.3">
      <c r="A943" s="1">
        <v>44362</v>
      </c>
      <c r="B943" t="s">
        <v>749</v>
      </c>
      <c r="C943" t="s">
        <v>23</v>
      </c>
      <c r="D943" t="s">
        <v>693</v>
      </c>
      <c r="E943">
        <v>2.0499999999999998</v>
      </c>
      <c r="F943">
        <v>2.12</v>
      </c>
      <c r="G943">
        <v>0.88</v>
      </c>
      <c r="H943">
        <v>2.4</v>
      </c>
      <c r="I943" s="2">
        <v>3643001200</v>
      </c>
      <c r="J943" s="2">
        <v>57520235000</v>
      </c>
      <c r="K943" s="2">
        <v>23996113900</v>
      </c>
      <c r="L943" s="2">
        <v>3915600</v>
      </c>
      <c r="M943" s="2">
        <v>4896380500</v>
      </c>
      <c r="N943" s="2">
        <v>6251000000</v>
      </c>
      <c r="O943" s="2">
        <v>4206447500</v>
      </c>
      <c r="P943" s="2">
        <v>32326000000</v>
      </c>
      <c r="Q943" s="2">
        <v>14893285900</v>
      </c>
      <c r="R943" s="2">
        <v>18943235000</v>
      </c>
      <c r="S943" s="2">
        <f t="shared" si="28"/>
        <v>1.2400000000000002</v>
      </c>
      <c r="T943" s="2">
        <f t="shared" si="29"/>
        <v>27643030700</v>
      </c>
    </row>
    <row r="944" spans="1:20" x14ac:dyDescent="0.3">
      <c r="A944" s="1">
        <v>44369</v>
      </c>
      <c r="B944" t="s">
        <v>754</v>
      </c>
      <c r="C944" t="s">
        <v>18</v>
      </c>
      <c r="D944" t="s">
        <v>21</v>
      </c>
      <c r="E944">
        <v>0.219</v>
      </c>
      <c r="F944">
        <v>0.249</v>
      </c>
      <c r="G944">
        <v>0.13</v>
      </c>
      <c r="H944">
        <v>2.54</v>
      </c>
      <c r="I944" s="2">
        <v>9107503100</v>
      </c>
      <c r="J944" s="2">
        <v>152320492000</v>
      </c>
      <c r="K944" s="2">
        <v>59890423500</v>
      </c>
      <c r="L944" s="2">
        <v>104698700</v>
      </c>
      <c r="M944" s="2">
        <v>11070000000</v>
      </c>
      <c r="N944" s="2">
        <v>17010000000</v>
      </c>
      <c r="O944" s="2">
        <v>18495300000</v>
      </c>
      <c r="P944" s="2">
        <v>84960000000</v>
      </c>
      <c r="Q944" s="2">
        <v>30325123500</v>
      </c>
      <c r="R944" s="2">
        <v>50350492000</v>
      </c>
      <c r="S944" s="2">
        <f t="shared" si="28"/>
        <v>0.11899999999999999</v>
      </c>
      <c r="T944" s="2">
        <f t="shared" si="29"/>
        <v>69102625300</v>
      </c>
    </row>
    <row r="945" spans="1:20" x14ac:dyDescent="0.3">
      <c r="A945" s="1">
        <v>44370</v>
      </c>
      <c r="B945" t="s">
        <v>753</v>
      </c>
      <c r="C945" t="s">
        <v>18</v>
      </c>
      <c r="D945" t="s">
        <v>19</v>
      </c>
      <c r="E945">
        <v>0.84299999999999997</v>
      </c>
      <c r="F945">
        <v>0.90400000000000003</v>
      </c>
      <c r="G945">
        <v>0.76</v>
      </c>
      <c r="H945">
        <v>2.36</v>
      </c>
      <c r="I945" s="2">
        <v>9259294800</v>
      </c>
      <c r="J945" s="2">
        <v>143749644400</v>
      </c>
      <c r="K945" s="2">
        <v>60967054400</v>
      </c>
      <c r="L945" s="2">
        <v>27948100</v>
      </c>
      <c r="M945" s="2">
        <v>11028000000</v>
      </c>
      <c r="N945" s="2">
        <v>15828000000</v>
      </c>
      <c r="O945" s="2">
        <v>14807700000</v>
      </c>
      <c r="P945" s="2">
        <v>82817000000</v>
      </c>
      <c r="Q945" s="2">
        <v>35131354400</v>
      </c>
      <c r="R945" s="2">
        <v>45104644400</v>
      </c>
      <c r="S945" s="2">
        <f t="shared" si="28"/>
        <v>0.14400000000000002</v>
      </c>
      <c r="T945" s="2">
        <f t="shared" si="29"/>
        <v>70254297300</v>
      </c>
    </row>
    <row r="946" spans="1:20" x14ac:dyDescent="0.3">
      <c r="A946" s="1">
        <v>44371</v>
      </c>
      <c r="B946" t="s">
        <v>752</v>
      </c>
      <c r="C946" t="s">
        <v>18</v>
      </c>
      <c r="D946" t="s">
        <v>68</v>
      </c>
      <c r="E946">
        <v>1.21</v>
      </c>
      <c r="F946">
        <v>1.264</v>
      </c>
      <c r="G946">
        <v>0.88</v>
      </c>
      <c r="H946">
        <v>2.36</v>
      </c>
      <c r="I946" s="2">
        <v>9411086500</v>
      </c>
      <c r="J946" s="2">
        <v>146334263000</v>
      </c>
      <c r="K946" s="2">
        <v>61982078000</v>
      </c>
      <c r="L946" s="2">
        <v>17924600</v>
      </c>
      <c r="M946" s="2">
        <v>13225800000</v>
      </c>
      <c r="N946" s="2">
        <v>18625800000</v>
      </c>
      <c r="O946" s="2">
        <v>11584815000</v>
      </c>
      <c r="P946" s="2">
        <v>81027000000</v>
      </c>
      <c r="Q946" s="2">
        <v>37171463000</v>
      </c>
      <c r="R946" s="2">
        <v>46681463000</v>
      </c>
      <c r="S946" s="2">
        <f t="shared" si="28"/>
        <v>0.38400000000000001</v>
      </c>
      <c r="T946" s="2">
        <f t="shared" si="29"/>
        <v>71411089100</v>
      </c>
    </row>
    <row r="947" spans="1:20" x14ac:dyDescent="0.3">
      <c r="A947" s="1">
        <v>44389</v>
      </c>
      <c r="B947" t="s">
        <v>745</v>
      </c>
      <c r="C947" t="s">
        <v>18</v>
      </c>
      <c r="D947" t="s">
        <v>59</v>
      </c>
      <c r="E947">
        <v>1.3140000000000001</v>
      </c>
      <c r="F947">
        <v>1.371</v>
      </c>
      <c r="G947">
        <v>1.2430000000000001</v>
      </c>
      <c r="H947">
        <v>2.39</v>
      </c>
      <c r="I947" s="2">
        <v>6255620100</v>
      </c>
      <c r="J947" s="2">
        <v>90709800000</v>
      </c>
      <c r="K947" s="2">
        <v>37990493300</v>
      </c>
      <c r="L947" s="2">
        <v>9595400</v>
      </c>
      <c r="M947" s="2">
        <v>6641000000</v>
      </c>
      <c r="N947" s="2">
        <v>8841000000</v>
      </c>
      <c r="O947" s="2">
        <v>7233000000</v>
      </c>
      <c r="P947" s="2">
        <v>53518000000</v>
      </c>
      <c r="Q947" s="2">
        <v>24116493300</v>
      </c>
      <c r="R947" s="2">
        <v>28350800000</v>
      </c>
      <c r="S947" s="2">
        <f t="shared" si="28"/>
        <v>0.12799999999999989</v>
      </c>
      <c r="T947" s="2">
        <f t="shared" si="29"/>
        <v>44255708800</v>
      </c>
    </row>
    <row r="948" spans="1:20" x14ac:dyDescent="0.3">
      <c r="A948" s="1">
        <v>44389</v>
      </c>
      <c r="B948" t="s">
        <v>755</v>
      </c>
      <c r="C948" t="s">
        <v>18</v>
      </c>
      <c r="D948" t="s">
        <v>52</v>
      </c>
      <c r="E948">
        <v>0.38</v>
      </c>
      <c r="F948">
        <v>0.42599999999999999</v>
      </c>
      <c r="G948">
        <v>0.08</v>
      </c>
      <c r="H948">
        <v>2.41</v>
      </c>
      <c r="I948" s="2">
        <v>9548051900</v>
      </c>
      <c r="J948" s="2">
        <v>139806250000</v>
      </c>
      <c r="K948" s="2">
        <v>57962031000</v>
      </c>
      <c r="L948" s="2">
        <v>38100400</v>
      </c>
      <c r="M948" s="2">
        <v>10596000000</v>
      </c>
      <c r="N948" s="2">
        <v>15291000000</v>
      </c>
      <c r="O948" s="2">
        <v>16549666000</v>
      </c>
      <c r="P948" s="2">
        <v>78943000000</v>
      </c>
      <c r="Q948" s="2">
        <v>30816365000</v>
      </c>
      <c r="R948" s="2">
        <v>45572250000</v>
      </c>
      <c r="S948" s="2">
        <f t="shared" si="28"/>
        <v>0.34599999999999997</v>
      </c>
      <c r="T948" s="2">
        <f t="shared" si="29"/>
        <v>67548183300</v>
      </c>
    </row>
    <row r="949" spans="1:20" x14ac:dyDescent="0.3">
      <c r="A949" s="1">
        <v>44390</v>
      </c>
      <c r="B949" t="s">
        <v>744</v>
      </c>
      <c r="C949" t="s">
        <v>23</v>
      </c>
      <c r="D949" t="s">
        <v>91</v>
      </c>
      <c r="E949">
        <v>1.9</v>
      </c>
      <c r="F949">
        <v>2</v>
      </c>
      <c r="G949">
        <v>1.87</v>
      </c>
      <c r="H949">
        <v>2.19</v>
      </c>
      <c r="I949" s="2">
        <v>3950918000</v>
      </c>
      <c r="J949" s="2">
        <v>52631750000</v>
      </c>
      <c r="K949" s="2">
        <v>23998547300</v>
      </c>
      <c r="L949" s="2">
        <v>1484700</v>
      </c>
      <c r="M949" s="2">
        <v>3989841500</v>
      </c>
      <c r="N949" s="2">
        <v>6141700000</v>
      </c>
      <c r="O949" s="2">
        <v>5347580800</v>
      </c>
      <c r="P949" s="2">
        <v>31608000000</v>
      </c>
      <c r="Q949" s="2">
        <v>14661125000</v>
      </c>
      <c r="R949" s="2">
        <v>14882050000</v>
      </c>
      <c r="S949" s="2">
        <f t="shared" si="28"/>
        <v>0.12999999999999989</v>
      </c>
      <c r="T949" s="2">
        <f t="shared" si="29"/>
        <v>27950950000</v>
      </c>
    </row>
    <row r="950" spans="1:20" x14ac:dyDescent="0.3">
      <c r="A950" s="1">
        <v>44398</v>
      </c>
      <c r="B950" t="s">
        <v>749</v>
      </c>
      <c r="C950" t="s">
        <v>23</v>
      </c>
      <c r="D950" t="s">
        <v>698</v>
      </c>
      <c r="E950">
        <v>1.8</v>
      </c>
      <c r="F950">
        <v>1.89</v>
      </c>
      <c r="G950">
        <v>0.88</v>
      </c>
      <c r="H950">
        <v>2.33</v>
      </c>
      <c r="I950" s="2">
        <v>2298311400</v>
      </c>
      <c r="J950" s="2">
        <v>55893630000</v>
      </c>
      <c r="K950" s="2">
        <v>23998663600</v>
      </c>
      <c r="L950" s="2">
        <v>1354200</v>
      </c>
      <c r="M950" s="2">
        <v>4545000000</v>
      </c>
      <c r="N950" s="2">
        <v>6720000000</v>
      </c>
      <c r="O950" s="2">
        <v>5017129600</v>
      </c>
      <c r="P950" s="2">
        <v>32788000000</v>
      </c>
      <c r="Q950" s="2">
        <v>14436534000</v>
      </c>
      <c r="R950" s="2">
        <v>16385630000</v>
      </c>
      <c r="S950" s="2">
        <f t="shared" si="28"/>
        <v>1.0099999999999998</v>
      </c>
      <c r="T950" s="2">
        <f t="shared" si="29"/>
        <v>26298329200</v>
      </c>
    </row>
    <row r="951" spans="1:20" x14ac:dyDescent="0.3">
      <c r="A951" s="1">
        <v>44403</v>
      </c>
      <c r="B951" t="s">
        <v>758</v>
      </c>
      <c r="C951" t="s">
        <v>18</v>
      </c>
      <c r="D951" t="s">
        <v>21</v>
      </c>
      <c r="E951">
        <v>0.18</v>
      </c>
      <c r="F951">
        <v>0.21299999999999999</v>
      </c>
      <c r="G951">
        <v>0.08</v>
      </c>
      <c r="H951">
        <v>2.4700000000000002</v>
      </c>
      <c r="I951" s="2">
        <v>5745778700</v>
      </c>
      <c r="J951" s="2">
        <v>147960555000</v>
      </c>
      <c r="K951" s="2">
        <v>59682552500</v>
      </c>
      <c r="L951" s="2">
        <v>117488500</v>
      </c>
      <c r="M951" s="2">
        <v>12688000000</v>
      </c>
      <c r="N951" s="2">
        <v>17848000000</v>
      </c>
      <c r="O951" s="2">
        <v>15506882500</v>
      </c>
      <c r="P951" s="2">
        <v>84507000000</v>
      </c>
      <c r="Q951" s="2">
        <v>31487670000</v>
      </c>
      <c r="R951" s="2">
        <v>45605555000</v>
      </c>
      <c r="S951" s="2">
        <f t="shared" si="28"/>
        <v>0.13300000000000001</v>
      </c>
      <c r="T951" s="2">
        <f t="shared" si="29"/>
        <v>65545819700</v>
      </c>
    </row>
    <row r="952" spans="1:20" x14ac:dyDescent="0.3">
      <c r="A952" s="1">
        <v>44404</v>
      </c>
      <c r="B952" t="s">
        <v>757</v>
      </c>
      <c r="C952" t="s">
        <v>18</v>
      </c>
      <c r="D952" t="s">
        <v>19</v>
      </c>
      <c r="E952">
        <v>0.66</v>
      </c>
      <c r="F952">
        <v>0.71</v>
      </c>
      <c r="G952">
        <v>0.59899999999999998</v>
      </c>
      <c r="H952">
        <v>2.36</v>
      </c>
      <c r="I952" s="2">
        <v>5841541700</v>
      </c>
      <c r="J952" s="2">
        <v>143863570000</v>
      </c>
      <c r="K952" s="2">
        <v>60929303000</v>
      </c>
      <c r="L952" s="2">
        <v>20759600</v>
      </c>
      <c r="M952" s="2">
        <v>10814345000</v>
      </c>
      <c r="N952" s="2">
        <v>15650000000</v>
      </c>
      <c r="O952" s="2">
        <v>14731250000</v>
      </c>
      <c r="P952" s="2">
        <v>84274000000</v>
      </c>
      <c r="Q952" s="2">
        <v>35383708000</v>
      </c>
      <c r="R952" s="2">
        <v>43939570000</v>
      </c>
      <c r="S952" s="2">
        <f t="shared" si="28"/>
        <v>0.11099999999999999</v>
      </c>
      <c r="T952" s="2">
        <f t="shared" si="29"/>
        <v>66791604300</v>
      </c>
    </row>
    <row r="953" spans="1:20" x14ac:dyDescent="0.3">
      <c r="A953" s="1">
        <v>44406</v>
      </c>
      <c r="B953" t="s">
        <v>756</v>
      </c>
      <c r="C953" t="s">
        <v>18</v>
      </c>
      <c r="D953" t="s">
        <v>68</v>
      </c>
      <c r="E953">
        <v>0.98499999999999999</v>
      </c>
      <c r="F953">
        <v>1.05</v>
      </c>
      <c r="G953">
        <v>0.08</v>
      </c>
      <c r="H953">
        <v>2.23</v>
      </c>
      <c r="I953" s="2">
        <v>5937304700</v>
      </c>
      <c r="J953" s="2">
        <v>138306820000</v>
      </c>
      <c r="K953" s="2">
        <v>61991100400</v>
      </c>
      <c r="L953" s="2">
        <v>8958700</v>
      </c>
      <c r="M953" s="2">
        <v>12056900000</v>
      </c>
      <c r="N953" s="2">
        <v>17306900000</v>
      </c>
      <c r="O953" s="2">
        <v>13751280400</v>
      </c>
      <c r="P953" s="2">
        <v>82377000000</v>
      </c>
      <c r="Q953" s="2">
        <v>36182920000</v>
      </c>
      <c r="R953" s="2">
        <v>38622920000</v>
      </c>
      <c r="S953" s="2">
        <f t="shared" si="28"/>
        <v>0.97000000000000008</v>
      </c>
      <c r="T953" s="2">
        <f t="shared" si="29"/>
        <v>67937363800</v>
      </c>
    </row>
    <row r="954" spans="1:20" x14ac:dyDescent="0.3">
      <c r="A954" s="1">
        <v>44418</v>
      </c>
      <c r="B954" t="s">
        <v>761</v>
      </c>
      <c r="C954" t="s">
        <v>18</v>
      </c>
      <c r="D954" t="s">
        <v>52</v>
      </c>
      <c r="E954">
        <v>0.42</v>
      </c>
      <c r="F954">
        <v>0.46500000000000002</v>
      </c>
      <c r="G954">
        <v>0.30299999999999999</v>
      </c>
      <c r="H954">
        <v>2.54</v>
      </c>
      <c r="I954" s="2">
        <v>25876210500</v>
      </c>
      <c r="J954" s="2">
        <v>147317900000</v>
      </c>
      <c r="K954" s="2">
        <v>57952470300</v>
      </c>
      <c r="L954" s="2">
        <v>42533600</v>
      </c>
      <c r="M954" s="2">
        <v>10678000000</v>
      </c>
      <c r="N954" s="2">
        <v>15728000000</v>
      </c>
      <c r="O954" s="2">
        <v>15164810000</v>
      </c>
      <c r="P954" s="2">
        <v>88762000000</v>
      </c>
      <c r="Q954" s="2">
        <v>32109660300</v>
      </c>
      <c r="R954" s="2">
        <v>42827900000</v>
      </c>
      <c r="S954" s="2">
        <f t="shared" si="28"/>
        <v>0.16200000000000003</v>
      </c>
      <c r="T954" s="2">
        <f t="shared" si="29"/>
        <v>83871214400</v>
      </c>
    </row>
    <row r="955" spans="1:20" x14ac:dyDescent="0.3">
      <c r="A955" s="1">
        <v>44419</v>
      </c>
      <c r="B955" t="s">
        <v>760</v>
      </c>
      <c r="C955" t="s">
        <v>18</v>
      </c>
      <c r="D955" t="s">
        <v>26</v>
      </c>
      <c r="E955">
        <v>1.3149999999999999</v>
      </c>
      <c r="F955">
        <v>1.34</v>
      </c>
      <c r="G955">
        <v>0.88</v>
      </c>
      <c r="H955">
        <v>2.65</v>
      </c>
      <c r="I955" s="2">
        <v>18291803900</v>
      </c>
      <c r="J955" s="2">
        <v>108510920000</v>
      </c>
      <c r="K955" s="2">
        <v>40984628800</v>
      </c>
      <c r="L955" s="2">
        <v>15437600</v>
      </c>
      <c r="M955" s="2">
        <v>5377000000</v>
      </c>
      <c r="N955" s="2">
        <v>11714000000</v>
      </c>
      <c r="O955" s="2">
        <v>3947671400</v>
      </c>
      <c r="P955" s="2">
        <v>55839000000</v>
      </c>
      <c r="Q955" s="2">
        <v>31659957400</v>
      </c>
      <c r="R955" s="2">
        <v>40957920000</v>
      </c>
      <c r="S955" s="2">
        <f t="shared" si="28"/>
        <v>0.46000000000000008</v>
      </c>
      <c r="T955" s="2">
        <f t="shared" si="29"/>
        <v>59291870300</v>
      </c>
    </row>
    <row r="956" spans="1:20" x14ac:dyDescent="0.3">
      <c r="A956" s="1">
        <v>44420</v>
      </c>
      <c r="B956" t="s">
        <v>759</v>
      </c>
      <c r="C956" t="s">
        <v>23</v>
      </c>
      <c r="D956" t="s">
        <v>65</v>
      </c>
      <c r="E956">
        <v>1.9590000000000001</v>
      </c>
      <c r="F956">
        <v>2.04</v>
      </c>
      <c r="G956">
        <v>1.9</v>
      </c>
      <c r="H956">
        <v>2.21</v>
      </c>
      <c r="I956" s="2">
        <v>12045822100</v>
      </c>
      <c r="J956" s="2">
        <v>59623220000</v>
      </c>
      <c r="K956" s="2">
        <v>26997292300</v>
      </c>
      <c r="L956" s="2">
        <v>2710800</v>
      </c>
      <c r="M956" s="2">
        <v>5668600000</v>
      </c>
      <c r="N956" s="2">
        <v>7478600000</v>
      </c>
      <c r="O956" s="2">
        <v>4953777300</v>
      </c>
      <c r="P956" s="2">
        <v>34418000000</v>
      </c>
      <c r="Q956" s="2">
        <v>16374915000</v>
      </c>
      <c r="R956" s="2">
        <v>17726620000</v>
      </c>
      <c r="S956" s="2">
        <f t="shared" si="28"/>
        <v>0.14000000000000012</v>
      </c>
      <c r="T956" s="2">
        <f t="shared" si="29"/>
        <v>39045825200</v>
      </c>
    </row>
    <row r="957" spans="1:20" x14ac:dyDescent="0.3">
      <c r="A957" s="1">
        <v>44426</v>
      </c>
      <c r="B957" t="s">
        <v>765</v>
      </c>
      <c r="C957" t="s">
        <v>23</v>
      </c>
      <c r="D957" t="s">
        <v>688</v>
      </c>
      <c r="E957">
        <v>1.7809999999999999</v>
      </c>
      <c r="F957">
        <v>1.85</v>
      </c>
      <c r="G957">
        <v>0.88</v>
      </c>
      <c r="H957">
        <v>2.44</v>
      </c>
      <c r="I957" s="2">
        <v>3392326300</v>
      </c>
      <c r="J957" s="2">
        <v>65746191000</v>
      </c>
      <c r="K957" s="2">
        <v>26998711800</v>
      </c>
      <c r="L957" s="2">
        <v>1337100</v>
      </c>
      <c r="M957" s="2">
        <v>5043357700</v>
      </c>
      <c r="N957" s="2">
        <v>8209000000</v>
      </c>
      <c r="O957" s="2">
        <v>5135985000</v>
      </c>
      <c r="P957" s="2">
        <v>36478000000</v>
      </c>
      <c r="Q957" s="2">
        <v>16819369100</v>
      </c>
      <c r="R957" s="2">
        <v>21059191000</v>
      </c>
      <c r="S957" s="2">
        <f t="shared" si="28"/>
        <v>0.97000000000000008</v>
      </c>
      <c r="T957" s="2">
        <f t="shared" si="29"/>
        <v>30392375200</v>
      </c>
    </row>
    <row r="958" spans="1:20" x14ac:dyDescent="0.3">
      <c r="A958" s="1">
        <v>44432</v>
      </c>
      <c r="B958" t="s">
        <v>764</v>
      </c>
      <c r="C958" t="s">
        <v>18</v>
      </c>
      <c r="D958" t="s">
        <v>21</v>
      </c>
      <c r="E958">
        <v>0.21</v>
      </c>
      <c r="F958">
        <v>0.24199999999999999</v>
      </c>
      <c r="G958">
        <v>8.7999999999999995E-2</v>
      </c>
      <c r="H958">
        <v>2.65</v>
      </c>
      <c r="I958" s="2">
        <v>7538503000</v>
      </c>
      <c r="J958" s="2">
        <v>158879335000</v>
      </c>
      <c r="K958" s="2">
        <v>59912499300</v>
      </c>
      <c r="L958" s="2">
        <v>87626000</v>
      </c>
      <c r="M958" s="2">
        <v>12690000000</v>
      </c>
      <c r="N958" s="2">
        <v>18540000000</v>
      </c>
      <c r="O958" s="2">
        <v>10950597500</v>
      </c>
      <c r="P958" s="2">
        <v>86444000000</v>
      </c>
      <c r="Q958" s="2">
        <v>36271901800</v>
      </c>
      <c r="R958" s="2">
        <v>53895335000</v>
      </c>
      <c r="S958" s="2">
        <f t="shared" si="28"/>
        <v>0.154</v>
      </c>
      <c r="T958" s="2">
        <f t="shared" si="29"/>
        <v>67538628300</v>
      </c>
    </row>
    <row r="959" spans="1:20" x14ac:dyDescent="0.3">
      <c r="A959" s="1">
        <v>44433</v>
      </c>
      <c r="B959" t="s">
        <v>763</v>
      </c>
      <c r="C959" t="s">
        <v>18</v>
      </c>
      <c r="D959" t="s">
        <v>19</v>
      </c>
      <c r="E959">
        <v>0.77500000000000002</v>
      </c>
      <c r="F959">
        <v>0.83099999999999996</v>
      </c>
      <c r="G959">
        <v>0.71</v>
      </c>
      <c r="H959">
        <v>2.35</v>
      </c>
      <c r="I959" s="2">
        <v>7664144700</v>
      </c>
      <c r="J959" s="2">
        <v>143273470000</v>
      </c>
      <c r="K959" s="2">
        <v>60962612600</v>
      </c>
      <c r="L959" s="2">
        <v>31945700</v>
      </c>
      <c r="M959" s="2">
        <v>10691000000</v>
      </c>
      <c r="N959" s="2">
        <v>15421000000</v>
      </c>
      <c r="O959" s="2">
        <v>12049902500</v>
      </c>
      <c r="P959" s="2">
        <v>84343000000</v>
      </c>
      <c r="Q959" s="2">
        <v>38221710100</v>
      </c>
      <c r="R959" s="2">
        <v>43509470000</v>
      </c>
      <c r="S959" s="2">
        <f t="shared" si="28"/>
        <v>0.121</v>
      </c>
      <c r="T959" s="2">
        <f t="shared" si="29"/>
        <v>68658703000</v>
      </c>
    </row>
    <row r="960" spans="1:20" x14ac:dyDescent="0.3">
      <c r="A960" s="1">
        <v>44434</v>
      </c>
      <c r="B960" t="s">
        <v>762</v>
      </c>
      <c r="C960" t="s">
        <v>18</v>
      </c>
      <c r="D960" t="s">
        <v>68</v>
      </c>
      <c r="E960">
        <v>1.099</v>
      </c>
      <c r="F960">
        <v>1.155</v>
      </c>
      <c r="G960">
        <v>0.99</v>
      </c>
      <c r="H960">
        <v>2.34</v>
      </c>
      <c r="I960" s="2">
        <v>7789786300</v>
      </c>
      <c r="J960" s="2">
        <v>144816802000</v>
      </c>
      <c r="K960" s="2">
        <v>61985937500</v>
      </c>
      <c r="L960" s="2">
        <v>14079100</v>
      </c>
      <c r="M960" s="2">
        <v>11688800000</v>
      </c>
      <c r="N960" s="2">
        <v>16888800000</v>
      </c>
      <c r="O960" s="2">
        <v>12444302500</v>
      </c>
      <c r="P960" s="2">
        <v>84834000000</v>
      </c>
      <c r="Q960" s="2">
        <v>37852835000</v>
      </c>
      <c r="R960" s="2">
        <v>43094002000</v>
      </c>
      <c r="S960" s="2">
        <f t="shared" si="28"/>
        <v>0.16500000000000004</v>
      </c>
      <c r="T960" s="2">
        <f t="shared" si="29"/>
        <v>69789802900</v>
      </c>
    </row>
    <row r="961" spans="1:20" x14ac:dyDescent="0.3">
      <c r="A961" s="1">
        <v>44446</v>
      </c>
      <c r="B961" t="s">
        <v>766</v>
      </c>
      <c r="C961" t="s">
        <v>18</v>
      </c>
      <c r="D961" t="s">
        <v>52</v>
      </c>
      <c r="E961">
        <v>0.4</v>
      </c>
      <c r="F961">
        <v>0.44700000000000001</v>
      </c>
      <c r="G961">
        <v>0.08</v>
      </c>
      <c r="H961">
        <v>2.4500000000000002</v>
      </c>
      <c r="I961" s="2">
        <v>6176033400</v>
      </c>
      <c r="J961" s="2">
        <v>141825050000</v>
      </c>
      <c r="K961" s="2">
        <v>57956330000</v>
      </c>
      <c r="L961" s="2">
        <v>37207900</v>
      </c>
      <c r="M961" s="2">
        <v>10992000000</v>
      </c>
      <c r="N961" s="2">
        <v>16192000000</v>
      </c>
      <c r="O961" s="2">
        <v>14121280000</v>
      </c>
      <c r="P961" s="2">
        <v>81300000000</v>
      </c>
      <c r="Q961" s="2">
        <v>32843050000</v>
      </c>
      <c r="R961" s="2">
        <v>44333050000</v>
      </c>
      <c r="S961" s="2">
        <f t="shared" si="28"/>
        <v>0.36699999999999999</v>
      </c>
      <c r="T961" s="2">
        <f t="shared" si="29"/>
        <v>64169571300</v>
      </c>
    </row>
    <row r="962" spans="1:20" x14ac:dyDescent="0.3">
      <c r="A962" s="1">
        <v>44447</v>
      </c>
      <c r="B962" t="s">
        <v>760</v>
      </c>
      <c r="C962" t="s">
        <v>18</v>
      </c>
      <c r="D962" t="s">
        <v>29</v>
      </c>
      <c r="E962">
        <v>1.288</v>
      </c>
      <c r="F962">
        <v>1.3380000000000001</v>
      </c>
      <c r="G962">
        <v>1.23</v>
      </c>
      <c r="H962">
        <v>2.59</v>
      </c>
      <c r="I962" s="2">
        <v>4046366600</v>
      </c>
      <c r="J962" s="2">
        <v>98564400000</v>
      </c>
      <c r="K962" s="2">
        <v>37991230000</v>
      </c>
      <c r="L962" s="2">
        <v>8773100</v>
      </c>
      <c r="M962" s="2">
        <v>6315000000</v>
      </c>
      <c r="N962" s="2">
        <v>11195000000</v>
      </c>
      <c r="O962" s="2">
        <v>4682000000</v>
      </c>
      <c r="P962" s="2">
        <v>54356000000</v>
      </c>
      <c r="Q962" s="2">
        <v>26994230000</v>
      </c>
      <c r="R962" s="2">
        <v>33013400000</v>
      </c>
      <c r="S962" s="2">
        <f t="shared" ref="S962:S1025" si="30">SUM($F962,-$G962)</f>
        <v>0.1080000000000001</v>
      </c>
      <c r="T962" s="2">
        <f t="shared" ref="T962:T1025" si="31">SUM(I962,K962,L962)</f>
        <v>42046369700</v>
      </c>
    </row>
    <row r="963" spans="1:20" x14ac:dyDescent="0.3">
      <c r="A963" s="1">
        <v>44448</v>
      </c>
      <c r="B963" t="s">
        <v>759</v>
      </c>
      <c r="C963" t="s">
        <v>23</v>
      </c>
      <c r="D963" t="s">
        <v>72</v>
      </c>
      <c r="E963">
        <v>1.86</v>
      </c>
      <c r="F963">
        <v>1.91</v>
      </c>
      <c r="G963">
        <v>0.88</v>
      </c>
      <c r="H963">
        <v>2.4900000000000002</v>
      </c>
      <c r="I963" s="2">
        <v>2555600000</v>
      </c>
      <c r="J963" s="2">
        <v>59658295000</v>
      </c>
      <c r="K963" s="2">
        <v>23998388300</v>
      </c>
      <c r="L963" s="2">
        <v>1623700</v>
      </c>
      <c r="M963" s="2">
        <v>4139313800</v>
      </c>
      <c r="N963" s="2">
        <v>7210900000</v>
      </c>
      <c r="O963" s="2">
        <v>3139591000</v>
      </c>
      <c r="P963" s="2">
        <v>32364000000</v>
      </c>
      <c r="Q963" s="2">
        <v>16719483500</v>
      </c>
      <c r="R963" s="2">
        <v>20083395000</v>
      </c>
      <c r="S963" s="2">
        <f t="shared" si="30"/>
        <v>1.0299999999999998</v>
      </c>
      <c r="T963" s="2">
        <f t="shared" si="31"/>
        <v>26555612000</v>
      </c>
    </row>
    <row r="964" spans="1:20" x14ac:dyDescent="0.3">
      <c r="A964" s="1">
        <v>44460</v>
      </c>
      <c r="B964" t="s">
        <v>765</v>
      </c>
      <c r="C964" t="s">
        <v>23</v>
      </c>
      <c r="D964" t="s">
        <v>693</v>
      </c>
      <c r="E964">
        <v>1.74</v>
      </c>
      <c r="F964">
        <v>1.7949999999999999</v>
      </c>
      <c r="G964">
        <v>0.88</v>
      </c>
      <c r="H964">
        <v>2.36</v>
      </c>
      <c r="I964" s="2">
        <v>2890410000</v>
      </c>
      <c r="J964" s="2">
        <v>56566985000</v>
      </c>
      <c r="K964" s="2">
        <v>23999023000</v>
      </c>
      <c r="L964" s="2">
        <v>985900</v>
      </c>
      <c r="M964" s="2">
        <v>4534000000</v>
      </c>
      <c r="N964" s="2">
        <v>6899000000</v>
      </c>
      <c r="O964" s="2">
        <v>4052346000</v>
      </c>
      <c r="P964" s="2">
        <v>31965000000</v>
      </c>
      <c r="Q964" s="2">
        <v>15412677000</v>
      </c>
      <c r="R964" s="2">
        <v>17702985000</v>
      </c>
      <c r="S964" s="2">
        <f t="shared" si="30"/>
        <v>0.91499999999999992</v>
      </c>
      <c r="T964" s="2">
        <f t="shared" si="31"/>
        <v>26890418900</v>
      </c>
    </row>
    <row r="965" spans="1:20" x14ac:dyDescent="0.3">
      <c r="A965" s="1">
        <v>44466</v>
      </c>
      <c r="B965" t="s">
        <v>769</v>
      </c>
      <c r="C965" t="s">
        <v>18</v>
      </c>
      <c r="D965" t="s">
        <v>19</v>
      </c>
      <c r="E965">
        <v>0.93600000000000005</v>
      </c>
      <c r="F965">
        <v>0.99</v>
      </c>
      <c r="G965">
        <v>0.88</v>
      </c>
      <c r="H965">
        <v>2.37</v>
      </c>
      <c r="I965" s="2">
        <v>7346458700</v>
      </c>
      <c r="J965" s="2">
        <v>144285700000</v>
      </c>
      <c r="K965" s="2">
        <v>60956028000</v>
      </c>
      <c r="L965" s="2">
        <v>39022200</v>
      </c>
      <c r="M965" s="2">
        <v>12317000000</v>
      </c>
      <c r="N965" s="2">
        <v>14729000000</v>
      </c>
      <c r="O965" s="2">
        <v>15529240000</v>
      </c>
      <c r="P965" s="2">
        <v>89020000000</v>
      </c>
      <c r="Q965" s="2">
        <v>33109788000</v>
      </c>
      <c r="R965" s="2">
        <v>40536700000</v>
      </c>
      <c r="S965" s="2">
        <f t="shared" si="30"/>
        <v>0.10999999999999999</v>
      </c>
      <c r="T965" s="2">
        <f t="shared" si="31"/>
        <v>68341508900</v>
      </c>
    </row>
    <row r="966" spans="1:20" x14ac:dyDescent="0.3">
      <c r="A966" s="1">
        <v>44466</v>
      </c>
      <c r="B966" t="s">
        <v>768</v>
      </c>
      <c r="C966" t="s">
        <v>18</v>
      </c>
      <c r="D966" t="s">
        <v>21</v>
      </c>
      <c r="E966">
        <v>0.28000000000000003</v>
      </c>
      <c r="F966">
        <v>0.31</v>
      </c>
      <c r="G966">
        <v>0.2</v>
      </c>
      <c r="H966">
        <v>2.2799999999999998</v>
      </c>
      <c r="I966" s="2">
        <v>7226025100</v>
      </c>
      <c r="J966" s="2">
        <v>136732625000</v>
      </c>
      <c r="K966" s="2">
        <v>59906153000</v>
      </c>
      <c r="L966" s="2">
        <v>93853400</v>
      </c>
      <c r="M966" s="2">
        <v>12993000000</v>
      </c>
      <c r="N966" s="2">
        <v>15493000000</v>
      </c>
      <c r="O966" s="2">
        <v>19761960000</v>
      </c>
      <c r="P966" s="2">
        <v>85540000000</v>
      </c>
      <c r="Q966" s="2">
        <v>27151193000</v>
      </c>
      <c r="R966" s="2">
        <v>35699625000</v>
      </c>
      <c r="S966" s="2">
        <f t="shared" si="30"/>
        <v>0.10999999999999999</v>
      </c>
      <c r="T966" s="2">
        <f t="shared" si="31"/>
        <v>67226031500</v>
      </c>
    </row>
    <row r="967" spans="1:20" x14ac:dyDescent="0.3">
      <c r="A967" s="1">
        <v>44467</v>
      </c>
      <c r="B967" t="s">
        <v>767</v>
      </c>
      <c r="C967" t="s">
        <v>18</v>
      </c>
      <c r="D967" t="s">
        <v>68</v>
      </c>
      <c r="E967">
        <v>1.27</v>
      </c>
      <c r="F967">
        <v>1.3320000000000001</v>
      </c>
      <c r="G967">
        <v>0.88</v>
      </c>
      <c r="H967">
        <v>2.2400000000000002</v>
      </c>
      <c r="I967" s="2">
        <v>7466892500</v>
      </c>
      <c r="J967" s="2">
        <v>139153653000</v>
      </c>
      <c r="K967" s="2">
        <v>61976716000</v>
      </c>
      <c r="L967" s="2">
        <v>23289100</v>
      </c>
      <c r="M967" s="2">
        <v>12965900000</v>
      </c>
      <c r="N967" s="2">
        <v>15775900000</v>
      </c>
      <c r="O967" s="2">
        <v>11770891000</v>
      </c>
      <c r="P967" s="2">
        <v>82342000000</v>
      </c>
      <c r="Q967" s="2">
        <v>37239925000</v>
      </c>
      <c r="R967" s="2">
        <v>41035753000</v>
      </c>
      <c r="S967" s="2">
        <f t="shared" si="30"/>
        <v>0.45200000000000007</v>
      </c>
      <c r="T967" s="2">
        <f t="shared" si="31"/>
        <v>69466897600</v>
      </c>
    </row>
    <row r="968" spans="1:20" x14ac:dyDescent="0.3">
      <c r="A968" s="1">
        <v>44481</v>
      </c>
      <c r="B968" t="s">
        <v>760</v>
      </c>
      <c r="C968" t="s">
        <v>18</v>
      </c>
      <c r="D968" t="s">
        <v>59</v>
      </c>
      <c r="E968">
        <v>1.54</v>
      </c>
      <c r="F968">
        <v>1.5840000000000001</v>
      </c>
      <c r="G968">
        <v>1.5</v>
      </c>
      <c r="H968">
        <v>2.58</v>
      </c>
      <c r="I968" s="2">
        <v>2859183300</v>
      </c>
      <c r="J968" s="2">
        <v>98023680300</v>
      </c>
      <c r="K968" s="2">
        <v>37982884300</v>
      </c>
      <c r="L968" s="2">
        <v>17123200</v>
      </c>
      <c r="M968" s="2">
        <v>6739000000</v>
      </c>
      <c r="N968" s="2">
        <v>10949000000</v>
      </c>
      <c r="O968" s="2">
        <v>4256000000</v>
      </c>
      <c r="P968" s="2">
        <v>56071000000</v>
      </c>
      <c r="Q968" s="2">
        <v>26987884300</v>
      </c>
      <c r="R968" s="2">
        <v>31003680300</v>
      </c>
      <c r="S968" s="2">
        <f t="shared" si="30"/>
        <v>8.4000000000000075E-2</v>
      </c>
      <c r="T968" s="2">
        <f t="shared" si="31"/>
        <v>40859190800</v>
      </c>
    </row>
    <row r="969" spans="1:20" x14ac:dyDescent="0.3">
      <c r="A969" s="1">
        <v>44481</v>
      </c>
      <c r="B969" t="s">
        <v>770</v>
      </c>
      <c r="C969" t="s">
        <v>18</v>
      </c>
      <c r="D969" t="s">
        <v>52</v>
      </c>
      <c r="E969">
        <v>0.59499999999999997</v>
      </c>
      <c r="F969">
        <v>0.63500000000000001</v>
      </c>
      <c r="G969">
        <v>0.52</v>
      </c>
      <c r="H969">
        <v>2.36</v>
      </c>
      <c r="I969" s="2">
        <v>4364016700</v>
      </c>
      <c r="J969" s="2">
        <v>136403600000</v>
      </c>
      <c r="K969" s="2">
        <v>57751703700</v>
      </c>
      <c r="L969" s="2">
        <v>43321100</v>
      </c>
      <c r="M969" s="2">
        <v>10897000000</v>
      </c>
      <c r="N969" s="2">
        <v>15847000000</v>
      </c>
      <c r="O969" s="2">
        <v>21310005000</v>
      </c>
      <c r="P969" s="2">
        <v>84764000000</v>
      </c>
      <c r="Q969" s="2">
        <v>25544698700</v>
      </c>
      <c r="R969" s="2">
        <v>35792600000</v>
      </c>
      <c r="S969" s="2">
        <f t="shared" si="30"/>
        <v>0.11499999999999999</v>
      </c>
      <c r="T969" s="2">
        <f t="shared" si="31"/>
        <v>62159041500</v>
      </c>
    </row>
    <row r="970" spans="1:20" x14ac:dyDescent="0.3">
      <c r="A970" s="1">
        <v>44482</v>
      </c>
      <c r="B970" t="s">
        <v>759</v>
      </c>
      <c r="C970" t="s">
        <v>23</v>
      </c>
      <c r="D970" t="s">
        <v>91</v>
      </c>
      <c r="E970">
        <v>1.97</v>
      </c>
      <c r="F970">
        <v>2.0489999999999999</v>
      </c>
      <c r="G970">
        <v>1.9</v>
      </c>
      <c r="H970">
        <v>2.36</v>
      </c>
      <c r="I970" s="2">
        <v>1805800000</v>
      </c>
      <c r="J970" s="2">
        <v>56624335000</v>
      </c>
      <c r="K970" s="2">
        <v>23996214400</v>
      </c>
      <c r="L970" s="2">
        <v>3808600</v>
      </c>
      <c r="M970" s="2">
        <v>4120000000</v>
      </c>
      <c r="N970" s="2">
        <v>6633000000</v>
      </c>
      <c r="O970" s="2">
        <v>2948000000</v>
      </c>
      <c r="P970" s="2">
        <v>31745000000</v>
      </c>
      <c r="Q970" s="2">
        <v>16928214400</v>
      </c>
      <c r="R970" s="2">
        <v>18246335000</v>
      </c>
      <c r="S970" s="2">
        <f t="shared" si="30"/>
        <v>0.14900000000000002</v>
      </c>
      <c r="T970" s="2">
        <f t="shared" si="31"/>
        <v>25805823000</v>
      </c>
    </row>
    <row r="971" spans="1:20" x14ac:dyDescent="0.3">
      <c r="A971" s="1">
        <v>44489</v>
      </c>
      <c r="B971" t="s">
        <v>765</v>
      </c>
      <c r="C971" t="s">
        <v>23</v>
      </c>
      <c r="D971" t="s">
        <v>698</v>
      </c>
      <c r="E971">
        <v>2.0070000000000001</v>
      </c>
      <c r="F971">
        <v>2.1</v>
      </c>
      <c r="G971">
        <v>1.88</v>
      </c>
      <c r="H971">
        <v>2.25</v>
      </c>
      <c r="I971" s="2">
        <v>2439978000</v>
      </c>
      <c r="J971" s="2">
        <v>54084840000</v>
      </c>
      <c r="K971" s="2">
        <v>23993770400</v>
      </c>
      <c r="L971" s="2">
        <v>6241700</v>
      </c>
      <c r="M971" s="2">
        <v>3744000000</v>
      </c>
      <c r="N971" s="2">
        <v>6069000000</v>
      </c>
      <c r="O971" s="2">
        <v>4694380000</v>
      </c>
      <c r="P971" s="2">
        <v>31860000000</v>
      </c>
      <c r="Q971" s="2">
        <v>15555390400</v>
      </c>
      <c r="R971" s="2">
        <v>16155840000</v>
      </c>
      <c r="S971" s="2">
        <f t="shared" si="30"/>
        <v>0.2200000000000002</v>
      </c>
      <c r="T971" s="2">
        <f t="shared" si="31"/>
        <v>26439990100</v>
      </c>
    </row>
    <row r="972" spans="1:20" x14ac:dyDescent="0.3">
      <c r="A972" s="1">
        <v>44495</v>
      </c>
      <c r="B972" t="s">
        <v>773</v>
      </c>
      <c r="C972" t="s">
        <v>18</v>
      </c>
      <c r="D972" t="s">
        <v>21</v>
      </c>
      <c r="E972">
        <v>0.44</v>
      </c>
      <c r="F972">
        <v>0.48099999999999998</v>
      </c>
      <c r="G972">
        <v>0.35</v>
      </c>
      <c r="H972">
        <v>2.69</v>
      </c>
      <c r="I972" s="2">
        <v>6099945100</v>
      </c>
      <c r="J972" s="2">
        <v>160962825000</v>
      </c>
      <c r="K972" s="2">
        <v>59802980200</v>
      </c>
      <c r="L972" s="2">
        <v>92019800</v>
      </c>
      <c r="M972" s="2">
        <v>13337000000</v>
      </c>
      <c r="N972" s="2">
        <v>17937000000</v>
      </c>
      <c r="O972" s="2">
        <v>11694000000</v>
      </c>
      <c r="P972" s="2">
        <v>93519000000</v>
      </c>
      <c r="Q972" s="2">
        <v>34771980200</v>
      </c>
      <c r="R972" s="2">
        <v>49506825000</v>
      </c>
      <c r="S972" s="2">
        <f t="shared" si="30"/>
        <v>0.13100000000000001</v>
      </c>
      <c r="T972" s="2">
        <f t="shared" si="31"/>
        <v>65994945100</v>
      </c>
    </row>
    <row r="973" spans="1:20" x14ac:dyDescent="0.3">
      <c r="A973" s="1">
        <v>44496</v>
      </c>
      <c r="B973" t="s">
        <v>772</v>
      </c>
      <c r="C973" t="s">
        <v>18</v>
      </c>
      <c r="D973" t="s">
        <v>19</v>
      </c>
      <c r="E973">
        <v>1.119</v>
      </c>
      <c r="F973">
        <v>1.157</v>
      </c>
      <c r="G973">
        <v>0.88</v>
      </c>
      <c r="H973">
        <v>2.5499999999999998</v>
      </c>
      <c r="I973" s="2">
        <v>6201610800</v>
      </c>
      <c r="J973" s="2">
        <v>155498274000</v>
      </c>
      <c r="K973" s="2">
        <v>60856788400</v>
      </c>
      <c r="L973" s="2">
        <v>38269400</v>
      </c>
      <c r="M973" s="2">
        <v>10569825600</v>
      </c>
      <c r="N973" s="2">
        <v>16561000000</v>
      </c>
      <c r="O973" s="2">
        <v>10864080000</v>
      </c>
      <c r="P973" s="2">
        <v>88415000000</v>
      </c>
      <c r="Q973" s="2">
        <v>39422882800</v>
      </c>
      <c r="R973" s="2">
        <v>50522274000</v>
      </c>
      <c r="S973" s="2">
        <f t="shared" si="30"/>
        <v>0.27700000000000002</v>
      </c>
      <c r="T973" s="2">
        <f t="shared" si="31"/>
        <v>67096668600</v>
      </c>
    </row>
    <row r="974" spans="1:20" x14ac:dyDescent="0.3">
      <c r="A974" s="1">
        <v>44497</v>
      </c>
      <c r="B974" t="s">
        <v>771</v>
      </c>
      <c r="C974" t="s">
        <v>18</v>
      </c>
      <c r="D974" t="s">
        <v>68</v>
      </c>
      <c r="E974">
        <v>1.38</v>
      </c>
      <c r="F974">
        <v>1.4610000000000001</v>
      </c>
      <c r="G974">
        <v>1.2909999999999999</v>
      </c>
      <c r="H974">
        <v>2.25</v>
      </c>
      <c r="I974" s="2">
        <v>6303276500</v>
      </c>
      <c r="J974" s="2">
        <v>139195080000</v>
      </c>
      <c r="K974" s="2">
        <v>61980820000</v>
      </c>
      <c r="L974" s="2">
        <v>19187900</v>
      </c>
      <c r="M974" s="2">
        <v>12111700000</v>
      </c>
      <c r="N974" s="2">
        <v>17631700000</v>
      </c>
      <c r="O974" s="2">
        <v>10267740000</v>
      </c>
      <c r="P974" s="2">
        <v>78928000000</v>
      </c>
      <c r="Q974" s="2">
        <v>39601380000</v>
      </c>
      <c r="R974" s="2">
        <v>42635380000</v>
      </c>
      <c r="S974" s="2">
        <f t="shared" si="30"/>
        <v>0.17000000000000015</v>
      </c>
      <c r="T974" s="2">
        <f t="shared" si="31"/>
        <v>68303284400</v>
      </c>
    </row>
    <row r="975" spans="1:20" x14ac:dyDescent="0.3">
      <c r="A975" s="1">
        <v>44508</v>
      </c>
      <c r="B975" t="s">
        <v>776</v>
      </c>
      <c r="C975" t="s">
        <v>18</v>
      </c>
      <c r="D975" t="s">
        <v>52</v>
      </c>
      <c r="E975">
        <v>0.69</v>
      </c>
      <c r="F975">
        <v>0.75</v>
      </c>
      <c r="G975">
        <v>0.08</v>
      </c>
      <c r="H975">
        <v>2.33</v>
      </c>
      <c r="I975" s="2">
        <v>32393526800</v>
      </c>
      <c r="J975" s="2">
        <v>130053460000</v>
      </c>
      <c r="K975" s="2">
        <v>55799030000</v>
      </c>
      <c r="L975" s="2">
        <v>96039300</v>
      </c>
      <c r="M975" s="2">
        <v>10068030000</v>
      </c>
      <c r="N975" s="2">
        <v>15098000000</v>
      </c>
      <c r="O975" s="2">
        <v>13580390000</v>
      </c>
      <c r="P975" s="2">
        <v>75424000000</v>
      </c>
      <c r="Q975" s="2">
        <v>32150610000</v>
      </c>
      <c r="R975" s="2">
        <v>39531460000</v>
      </c>
      <c r="S975" s="2">
        <f t="shared" si="30"/>
        <v>0.67</v>
      </c>
      <c r="T975" s="2">
        <f t="shared" si="31"/>
        <v>88288596100</v>
      </c>
    </row>
    <row r="976" spans="1:20" x14ac:dyDescent="0.3">
      <c r="A976" s="1">
        <v>44509</v>
      </c>
      <c r="B976" t="s">
        <v>775</v>
      </c>
      <c r="C976" t="s">
        <v>18</v>
      </c>
      <c r="D976" t="s">
        <v>26</v>
      </c>
      <c r="E976">
        <v>1.37</v>
      </c>
      <c r="F976">
        <v>1.444</v>
      </c>
      <c r="G976">
        <v>1.337</v>
      </c>
      <c r="H976">
        <v>2.35</v>
      </c>
      <c r="I976" s="2">
        <v>22559777600</v>
      </c>
      <c r="J976" s="2">
        <v>91800575000</v>
      </c>
      <c r="K976" s="2">
        <v>38978888200</v>
      </c>
      <c r="L976" s="2">
        <v>21121300</v>
      </c>
      <c r="M976" s="2">
        <v>5381000000</v>
      </c>
      <c r="N976" s="2">
        <v>9161000000</v>
      </c>
      <c r="O976" s="2">
        <v>5919555000</v>
      </c>
      <c r="P976" s="2">
        <v>52003000000</v>
      </c>
      <c r="Q976" s="2">
        <v>27678333200</v>
      </c>
      <c r="R976" s="2">
        <v>30636575000</v>
      </c>
      <c r="S976" s="2">
        <f t="shared" si="30"/>
        <v>0.10699999999999998</v>
      </c>
      <c r="T976" s="2">
        <f t="shared" si="31"/>
        <v>61559787100</v>
      </c>
    </row>
    <row r="977" spans="1:20" x14ac:dyDescent="0.3">
      <c r="A977" s="1">
        <v>44510</v>
      </c>
      <c r="B977" t="s">
        <v>774</v>
      </c>
      <c r="C977" t="s">
        <v>23</v>
      </c>
      <c r="D977" t="s">
        <v>65</v>
      </c>
      <c r="E977">
        <v>1.8240000000000001</v>
      </c>
      <c r="F977">
        <v>1.94</v>
      </c>
      <c r="G977">
        <v>1.75</v>
      </c>
      <c r="H977">
        <v>2.2000000000000002</v>
      </c>
      <c r="I977" s="2">
        <v>14461395800</v>
      </c>
      <c r="J977" s="2">
        <v>55056380000</v>
      </c>
      <c r="K977" s="2">
        <v>24996054000</v>
      </c>
      <c r="L977" s="2">
        <v>3975900</v>
      </c>
      <c r="M977" s="2">
        <v>3943890000</v>
      </c>
      <c r="N977" s="2">
        <v>6177600000</v>
      </c>
      <c r="O977" s="2">
        <v>6305384000</v>
      </c>
      <c r="P977" s="2">
        <v>34043000000</v>
      </c>
      <c r="Q977" s="2">
        <v>14746780000</v>
      </c>
      <c r="R977" s="2">
        <v>14835780000</v>
      </c>
      <c r="S977" s="2">
        <f t="shared" si="30"/>
        <v>0.18999999999999995</v>
      </c>
      <c r="T977" s="2">
        <f t="shared" si="31"/>
        <v>39461425700</v>
      </c>
    </row>
    <row r="978" spans="1:20" x14ac:dyDescent="0.3">
      <c r="A978" s="1">
        <v>44517</v>
      </c>
      <c r="B978" t="s">
        <v>780</v>
      </c>
      <c r="C978" t="s">
        <v>23</v>
      </c>
      <c r="D978" t="s">
        <v>688</v>
      </c>
      <c r="E978">
        <v>1.9890000000000001</v>
      </c>
      <c r="F978">
        <v>2.0649999999999999</v>
      </c>
      <c r="G978">
        <v>1.94</v>
      </c>
      <c r="H978">
        <v>2.34</v>
      </c>
      <c r="I978" s="2">
        <v>1895741600</v>
      </c>
      <c r="J978" s="2">
        <v>53771974000</v>
      </c>
      <c r="K978" s="2">
        <v>22997792000</v>
      </c>
      <c r="L978" s="2">
        <v>2216000</v>
      </c>
      <c r="M978" s="2">
        <v>4456291600</v>
      </c>
      <c r="N978" s="2">
        <v>7524000000</v>
      </c>
      <c r="O978" s="2">
        <v>4700360000</v>
      </c>
      <c r="P978" s="2">
        <v>30364000000</v>
      </c>
      <c r="Q978" s="2">
        <v>13841140400</v>
      </c>
      <c r="R978" s="2">
        <v>15883974000</v>
      </c>
      <c r="S978" s="2">
        <f t="shared" si="30"/>
        <v>0.125</v>
      </c>
      <c r="T978" s="2">
        <f t="shared" si="31"/>
        <v>24895749600</v>
      </c>
    </row>
    <row r="979" spans="1:20" x14ac:dyDescent="0.3">
      <c r="A979" s="1">
        <v>44522</v>
      </c>
      <c r="B979" t="s">
        <v>779</v>
      </c>
      <c r="C979" t="s">
        <v>18</v>
      </c>
      <c r="D979" t="s">
        <v>19</v>
      </c>
      <c r="E979">
        <v>1.25</v>
      </c>
      <c r="F979">
        <v>1.319</v>
      </c>
      <c r="G979">
        <v>1.1299999999999999</v>
      </c>
      <c r="H979">
        <v>2.34</v>
      </c>
      <c r="I979" s="2">
        <v>4862989600</v>
      </c>
      <c r="J979" s="2">
        <v>137891514000</v>
      </c>
      <c r="K979" s="2">
        <v>58883726000</v>
      </c>
      <c r="L979" s="2">
        <v>61335200</v>
      </c>
      <c r="M979" s="2">
        <v>9563000000</v>
      </c>
      <c r="N979" s="2">
        <v>14583000000</v>
      </c>
      <c r="O979" s="2">
        <v>15830300000</v>
      </c>
      <c r="P979" s="2">
        <v>85277000000</v>
      </c>
      <c r="Q979" s="2">
        <v>33490426000</v>
      </c>
      <c r="R979" s="2">
        <v>38031514000</v>
      </c>
      <c r="S979" s="2">
        <f t="shared" si="30"/>
        <v>0.18900000000000006</v>
      </c>
      <c r="T979" s="2">
        <f t="shared" si="31"/>
        <v>63808050800</v>
      </c>
    </row>
    <row r="980" spans="1:20" x14ac:dyDescent="0.3">
      <c r="A980" s="1">
        <v>44522</v>
      </c>
      <c r="B980" t="s">
        <v>778</v>
      </c>
      <c r="C980" t="s">
        <v>18</v>
      </c>
      <c r="D980" t="s">
        <v>21</v>
      </c>
      <c r="E980">
        <v>0.57499999999999996</v>
      </c>
      <c r="F980">
        <v>0.623</v>
      </c>
      <c r="G980">
        <v>0.43</v>
      </c>
      <c r="H980">
        <v>2.36</v>
      </c>
      <c r="I980" s="2">
        <v>4780566100</v>
      </c>
      <c r="J980" s="2">
        <v>136627080000</v>
      </c>
      <c r="K980" s="2">
        <v>57840525000</v>
      </c>
      <c r="L980" s="2">
        <v>154492700</v>
      </c>
      <c r="M980" s="2">
        <v>9930000000</v>
      </c>
      <c r="N980" s="2">
        <v>14680000000</v>
      </c>
      <c r="O980" s="2">
        <v>21523445000</v>
      </c>
      <c r="P980" s="2">
        <v>84710000000</v>
      </c>
      <c r="Q980" s="2">
        <v>26387080000</v>
      </c>
      <c r="R980" s="2">
        <v>37237080000</v>
      </c>
      <c r="S980" s="2">
        <f t="shared" si="30"/>
        <v>0.193</v>
      </c>
      <c r="T980" s="2">
        <f t="shared" si="31"/>
        <v>62775583800</v>
      </c>
    </row>
    <row r="981" spans="1:20" x14ac:dyDescent="0.3">
      <c r="A981" s="1">
        <v>44523</v>
      </c>
      <c r="B981" t="s">
        <v>777</v>
      </c>
      <c r="C981" t="s">
        <v>18</v>
      </c>
      <c r="D981" t="s">
        <v>68</v>
      </c>
      <c r="E981">
        <v>1.532</v>
      </c>
      <c r="F981">
        <v>1.5880000000000001</v>
      </c>
      <c r="G981">
        <v>0.88800000000000001</v>
      </c>
      <c r="H981">
        <v>2.42</v>
      </c>
      <c r="I981" s="2">
        <v>4862989600</v>
      </c>
      <c r="J981" s="2">
        <v>142992266000</v>
      </c>
      <c r="K981" s="2">
        <v>58977844400</v>
      </c>
      <c r="L981" s="2">
        <v>22156700</v>
      </c>
      <c r="M981" s="2">
        <v>13730200000</v>
      </c>
      <c r="N981" s="2">
        <v>20160200000</v>
      </c>
      <c r="O981" s="2">
        <v>10277354000</v>
      </c>
      <c r="P981" s="2">
        <v>81957000000</v>
      </c>
      <c r="Q981" s="2">
        <v>34970290400</v>
      </c>
      <c r="R981" s="2">
        <v>40875066000</v>
      </c>
      <c r="S981" s="2">
        <f t="shared" si="30"/>
        <v>0.70000000000000007</v>
      </c>
      <c r="T981" s="2">
        <f t="shared" si="31"/>
        <v>63862990700</v>
      </c>
    </row>
    <row r="982" spans="1:20" x14ac:dyDescent="0.3">
      <c r="A982" s="1">
        <v>44532</v>
      </c>
      <c r="B982" t="s">
        <v>780</v>
      </c>
      <c r="C982" t="s">
        <v>23</v>
      </c>
      <c r="D982" t="s">
        <v>693</v>
      </c>
      <c r="E982">
        <v>1.865</v>
      </c>
      <c r="F982">
        <v>1.8720000000000001</v>
      </c>
      <c r="G982">
        <v>1.81</v>
      </c>
      <c r="H982">
        <v>2.92</v>
      </c>
      <c r="I982" s="2">
        <v>0</v>
      </c>
      <c r="J982" s="2">
        <v>72950000</v>
      </c>
      <c r="K982" s="2">
        <v>25000100</v>
      </c>
      <c r="L982" s="2">
        <v>0</v>
      </c>
      <c r="M982" s="2">
        <v>0</v>
      </c>
      <c r="N982" s="2">
        <v>0</v>
      </c>
      <c r="O982" s="2">
        <v>25000100</v>
      </c>
      <c r="P982" s="2">
        <v>72950000</v>
      </c>
      <c r="Q982" s="2">
        <v>0</v>
      </c>
      <c r="R982" s="2">
        <v>0</v>
      </c>
      <c r="S982" s="2">
        <f t="shared" si="30"/>
        <v>6.2000000000000055E-2</v>
      </c>
      <c r="T982" s="2">
        <f t="shared" si="31"/>
        <v>25000100</v>
      </c>
    </row>
    <row r="983" spans="1:20" x14ac:dyDescent="0.3">
      <c r="A983" s="1">
        <v>44537</v>
      </c>
      <c r="B983" t="s">
        <v>781</v>
      </c>
      <c r="C983" t="s">
        <v>18</v>
      </c>
      <c r="D983" t="s">
        <v>52</v>
      </c>
      <c r="E983">
        <v>0.95699999999999996</v>
      </c>
      <c r="F983">
        <v>1</v>
      </c>
      <c r="G983">
        <v>0.84899999999999998</v>
      </c>
      <c r="H983">
        <v>2.4300000000000002</v>
      </c>
      <c r="I983" s="2">
        <v>7962589300</v>
      </c>
      <c r="J983" s="2">
        <v>131119750000</v>
      </c>
      <c r="K983" s="2">
        <v>53801326000</v>
      </c>
      <c r="L983" s="2">
        <v>93894100</v>
      </c>
      <c r="M983" s="2">
        <v>9691000000</v>
      </c>
      <c r="N983" s="2">
        <v>16102000000</v>
      </c>
      <c r="O983" s="2">
        <v>16040726000</v>
      </c>
      <c r="P983" s="2">
        <v>77916000000</v>
      </c>
      <c r="Q983" s="2">
        <v>28069600000</v>
      </c>
      <c r="R983" s="2">
        <v>37101750000</v>
      </c>
      <c r="S983" s="2">
        <f t="shared" si="30"/>
        <v>0.15100000000000002</v>
      </c>
      <c r="T983" s="2">
        <f t="shared" si="31"/>
        <v>61857809400</v>
      </c>
    </row>
    <row r="984" spans="1:20" x14ac:dyDescent="0.3">
      <c r="A984" s="1">
        <v>44538</v>
      </c>
      <c r="B984" t="s">
        <v>775</v>
      </c>
      <c r="C984" t="s">
        <v>18</v>
      </c>
      <c r="D984" t="s">
        <v>29</v>
      </c>
      <c r="E984">
        <v>1.45</v>
      </c>
      <c r="F984">
        <v>1.518</v>
      </c>
      <c r="G984">
        <v>0.88</v>
      </c>
      <c r="H984">
        <v>2.4300000000000002</v>
      </c>
      <c r="I984" s="2">
        <v>5308392900</v>
      </c>
      <c r="J984" s="2">
        <v>87552860000</v>
      </c>
      <c r="K984" s="2">
        <v>35983170000</v>
      </c>
      <c r="L984" s="2">
        <v>16830300</v>
      </c>
      <c r="M984" s="2">
        <v>6403000000</v>
      </c>
      <c r="N984" s="2">
        <v>10183000000</v>
      </c>
      <c r="O984" s="2">
        <v>4809155000</v>
      </c>
      <c r="P984" s="2">
        <v>49258000000</v>
      </c>
      <c r="Q984" s="2">
        <v>24771015000</v>
      </c>
      <c r="R984" s="2">
        <v>28111860000</v>
      </c>
      <c r="S984" s="2">
        <f t="shared" si="30"/>
        <v>0.63800000000000001</v>
      </c>
      <c r="T984" s="2">
        <f t="shared" si="31"/>
        <v>41308393200</v>
      </c>
    </row>
    <row r="985" spans="1:20" x14ac:dyDescent="0.3">
      <c r="A985" s="1">
        <v>44539</v>
      </c>
      <c r="B985" t="s">
        <v>774</v>
      </c>
      <c r="C985" t="s">
        <v>23</v>
      </c>
      <c r="D985" t="s">
        <v>72</v>
      </c>
      <c r="E985">
        <v>1.8</v>
      </c>
      <c r="F985">
        <v>1.895</v>
      </c>
      <c r="G985">
        <v>1.75</v>
      </c>
      <c r="H985">
        <v>2.2200000000000002</v>
      </c>
      <c r="I985" s="2">
        <v>3244017800</v>
      </c>
      <c r="J985" s="2">
        <v>48815720000</v>
      </c>
      <c r="K985" s="2">
        <v>21997290000</v>
      </c>
      <c r="L985" s="2">
        <v>2711300</v>
      </c>
      <c r="M985" s="2">
        <v>4066785000</v>
      </c>
      <c r="N985" s="2">
        <v>6669000000</v>
      </c>
      <c r="O985" s="2">
        <v>4555785000</v>
      </c>
      <c r="P985" s="2">
        <v>28507000000</v>
      </c>
      <c r="Q985" s="2">
        <v>13374720000</v>
      </c>
      <c r="R985" s="2">
        <v>13639720000</v>
      </c>
      <c r="S985" s="2">
        <f t="shared" si="30"/>
        <v>0.14500000000000002</v>
      </c>
      <c r="T985" s="2">
        <f t="shared" si="31"/>
        <v>25244019100</v>
      </c>
    </row>
    <row r="986" spans="1:20" x14ac:dyDescent="0.3">
      <c r="A986" s="1">
        <v>44551</v>
      </c>
      <c r="B986" t="s">
        <v>780</v>
      </c>
      <c r="C986" t="s">
        <v>23</v>
      </c>
      <c r="D986" t="s">
        <v>693</v>
      </c>
      <c r="E986">
        <v>1.9</v>
      </c>
      <c r="F986">
        <v>1.9419999999999999</v>
      </c>
      <c r="G986">
        <v>1.84</v>
      </c>
      <c r="H986">
        <v>2.59</v>
      </c>
      <c r="I986" s="2">
        <v>2717198400</v>
      </c>
      <c r="J986" s="2">
        <v>51892005000</v>
      </c>
      <c r="K986" s="2">
        <v>19998115000</v>
      </c>
      <c r="L986" s="2">
        <v>1962300</v>
      </c>
      <c r="M986" s="2">
        <v>4166110000</v>
      </c>
      <c r="N986" s="2">
        <v>8243000000</v>
      </c>
      <c r="O986" s="2">
        <v>2868000000</v>
      </c>
      <c r="P986" s="2">
        <v>26973000000</v>
      </c>
      <c r="Q986" s="2">
        <v>12964005000</v>
      </c>
      <c r="R986" s="2">
        <v>16676005000</v>
      </c>
      <c r="S986" s="2">
        <f t="shared" si="30"/>
        <v>0.10199999999999987</v>
      </c>
      <c r="T986" s="2">
        <f t="shared" si="31"/>
        <v>22717275700</v>
      </c>
    </row>
    <row r="987" spans="1:20" x14ac:dyDescent="0.3">
      <c r="A987" s="1">
        <v>44557</v>
      </c>
      <c r="B987" t="s">
        <v>783</v>
      </c>
      <c r="C987" t="s">
        <v>18</v>
      </c>
      <c r="D987" t="s">
        <v>21</v>
      </c>
      <c r="E987">
        <v>0.72499999999999998</v>
      </c>
      <c r="F987">
        <v>0.76900000000000002</v>
      </c>
      <c r="G987">
        <v>0.65</v>
      </c>
      <c r="H987">
        <v>2.5499999999999998</v>
      </c>
      <c r="I987" s="2">
        <v>7608155600</v>
      </c>
      <c r="J987" s="2">
        <v>142691665000</v>
      </c>
      <c r="K987" s="2">
        <v>55729046300</v>
      </c>
      <c r="L987" s="2">
        <v>171151000</v>
      </c>
      <c r="M987" s="2">
        <v>8017750000</v>
      </c>
      <c r="N987" s="2">
        <v>14365000000</v>
      </c>
      <c r="O987" s="2">
        <v>13498860000</v>
      </c>
      <c r="P987" s="2">
        <v>81105000000</v>
      </c>
      <c r="Q987" s="2">
        <v>34212436300</v>
      </c>
      <c r="R987" s="2">
        <v>47221665000</v>
      </c>
      <c r="S987" s="2">
        <f t="shared" si="30"/>
        <v>0.11899999999999999</v>
      </c>
      <c r="T987" s="2">
        <f t="shared" si="31"/>
        <v>63508352900</v>
      </c>
    </row>
    <row r="988" spans="1:20" x14ac:dyDescent="0.3">
      <c r="A988" s="1">
        <v>44558</v>
      </c>
      <c r="B988" t="s">
        <v>782</v>
      </c>
      <c r="C988" t="s">
        <v>18</v>
      </c>
      <c r="D988" t="s">
        <v>19</v>
      </c>
      <c r="E988">
        <v>1.21</v>
      </c>
      <c r="F988">
        <v>1.2629999999999999</v>
      </c>
      <c r="G988">
        <v>1.1499999999999999</v>
      </c>
      <c r="H988">
        <v>2.41</v>
      </c>
      <c r="I988" s="2">
        <v>7744015600</v>
      </c>
      <c r="J988" s="2">
        <v>137110033000</v>
      </c>
      <c r="K988" s="2">
        <v>56962248500</v>
      </c>
      <c r="L988" s="2">
        <v>37781500</v>
      </c>
      <c r="M988" s="2">
        <v>8158918000</v>
      </c>
      <c r="N988" s="2">
        <v>13458000000</v>
      </c>
      <c r="O988" s="2">
        <v>11402297500</v>
      </c>
      <c r="P988" s="2">
        <v>77964000000</v>
      </c>
      <c r="Q988" s="2">
        <v>37401033000</v>
      </c>
      <c r="R988" s="2">
        <v>45688033000</v>
      </c>
      <c r="S988" s="2">
        <f t="shared" si="30"/>
        <v>0.11299999999999999</v>
      </c>
      <c r="T988" s="2">
        <f t="shared" si="31"/>
        <v>64744045600</v>
      </c>
    </row>
    <row r="989" spans="1:20" x14ac:dyDescent="0.3">
      <c r="A989" s="1">
        <v>44559</v>
      </c>
      <c r="B989" t="s">
        <v>784</v>
      </c>
      <c r="C989" t="s">
        <v>18</v>
      </c>
      <c r="D989" t="s">
        <v>68</v>
      </c>
      <c r="E989">
        <v>1.397</v>
      </c>
      <c r="F989">
        <v>1.48</v>
      </c>
      <c r="G989">
        <v>1.3169999999999999</v>
      </c>
      <c r="H989">
        <v>2.21</v>
      </c>
      <c r="I989" s="2">
        <v>7608155500</v>
      </c>
      <c r="J989" s="2">
        <v>123838785000</v>
      </c>
      <c r="K989" s="2">
        <v>55989175000</v>
      </c>
      <c r="L989" s="2">
        <v>10846600</v>
      </c>
      <c r="M989" s="2">
        <v>10891500000</v>
      </c>
      <c r="N989" s="2">
        <v>15841500000</v>
      </c>
      <c r="O989" s="2">
        <v>11922390000</v>
      </c>
      <c r="P989" s="2">
        <v>71802000000</v>
      </c>
      <c r="Q989" s="2">
        <v>33175285000</v>
      </c>
      <c r="R989" s="2">
        <v>36195285000</v>
      </c>
      <c r="S989" s="2">
        <f t="shared" si="30"/>
        <v>0.16300000000000003</v>
      </c>
      <c r="T989" s="2">
        <f t="shared" si="31"/>
        <v>63608177100</v>
      </c>
    </row>
    <row r="990" spans="1:20" x14ac:dyDescent="0.3">
      <c r="A990" s="1">
        <v>44572</v>
      </c>
      <c r="B990" t="s">
        <v>785</v>
      </c>
      <c r="C990" t="s">
        <v>18</v>
      </c>
      <c r="D990" t="s">
        <v>52</v>
      </c>
      <c r="E990">
        <v>1.19</v>
      </c>
      <c r="F990">
        <v>1.2370000000000001</v>
      </c>
      <c r="G990">
        <v>1.05</v>
      </c>
      <c r="H990">
        <v>2.4700000000000002</v>
      </c>
      <c r="I990" s="2">
        <v>8343334300</v>
      </c>
      <c r="J990" s="2">
        <v>128303150000</v>
      </c>
      <c r="K990" s="2">
        <v>51896683000</v>
      </c>
      <c r="L990" s="2">
        <v>98417600</v>
      </c>
      <c r="M990" s="2">
        <v>8049000000</v>
      </c>
      <c r="N990" s="2">
        <v>14753000000</v>
      </c>
      <c r="O990" s="2">
        <v>11853850000</v>
      </c>
      <c r="P990" s="2">
        <v>72443000000</v>
      </c>
      <c r="Q990" s="2">
        <v>31993833000</v>
      </c>
      <c r="R990" s="2">
        <v>41107150000</v>
      </c>
      <c r="S990" s="2">
        <f t="shared" si="30"/>
        <v>0.18700000000000006</v>
      </c>
      <c r="T990" s="2">
        <f t="shared" si="31"/>
        <v>60338434900</v>
      </c>
    </row>
    <row r="991" spans="1:20" x14ac:dyDescent="0.3">
      <c r="A991" s="1">
        <v>44573</v>
      </c>
      <c r="B991" t="s">
        <v>775</v>
      </c>
      <c r="C991" t="s">
        <v>18</v>
      </c>
      <c r="D991" t="s">
        <v>59</v>
      </c>
      <c r="E991">
        <v>1.6519999999999999</v>
      </c>
      <c r="F991">
        <v>1.7230000000000001</v>
      </c>
      <c r="G991">
        <v>1.6</v>
      </c>
      <c r="H991">
        <v>2.5099999999999998</v>
      </c>
      <c r="I991" s="2">
        <v>5776154500</v>
      </c>
      <c r="J991" s="2">
        <v>90353310000</v>
      </c>
      <c r="K991" s="2">
        <v>35992396200</v>
      </c>
      <c r="L991" s="2">
        <v>7619400</v>
      </c>
      <c r="M991" s="2">
        <v>6430000000</v>
      </c>
      <c r="N991" s="2">
        <v>10080000000</v>
      </c>
      <c r="O991" s="2">
        <v>5977970000</v>
      </c>
      <c r="P991" s="2">
        <v>53576000000</v>
      </c>
      <c r="Q991" s="2">
        <v>23584426200</v>
      </c>
      <c r="R991" s="2">
        <v>26697310000</v>
      </c>
      <c r="S991" s="2">
        <f t="shared" si="30"/>
        <v>0.123</v>
      </c>
      <c r="T991" s="2">
        <f t="shared" si="31"/>
        <v>41776170100</v>
      </c>
    </row>
    <row r="992" spans="1:20" x14ac:dyDescent="0.3">
      <c r="A992" s="1">
        <v>44574</v>
      </c>
      <c r="B992" t="s">
        <v>774</v>
      </c>
      <c r="C992" t="s">
        <v>23</v>
      </c>
      <c r="D992" t="s">
        <v>91</v>
      </c>
      <c r="E992">
        <v>2</v>
      </c>
      <c r="F992">
        <v>2.0750000000000002</v>
      </c>
      <c r="G992">
        <v>1.94</v>
      </c>
      <c r="H992">
        <v>2.35</v>
      </c>
      <c r="I992" s="2">
        <v>3529872200</v>
      </c>
      <c r="J992" s="2">
        <v>51795250000</v>
      </c>
      <c r="K992" s="2">
        <v>21997657500</v>
      </c>
      <c r="L992" s="2">
        <v>2352200</v>
      </c>
      <c r="M992" s="2">
        <v>3756281500</v>
      </c>
      <c r="N992" s="2">
        <v>6184400000</v>
      </c>
      <c r="O992" s="2">
        <v>3948099500</v>
      </c>
      <c r="P992" s="2">
        <v>29903000000</v>
      </c>
      <c r="Q992" s="2">
        <v>14293276500</v>
      </c>
      <c r="R992" s="2">
        <v>15707850000</v>
      </c>
      <c r="S992" s="2">
        <f t="shared" si="30"/>
        <v>0.13500000000000023</v>
      </c>
      <c r="T992" s="2">
        <f t="shared" si="31"/>
        <v>25529881900</v>
      </c>
    </row>
    <row r="993" spans="1:20" x14ac:dyDescent="0.3">
      <c r="A993" s="1">
        <v>44580</v>
      </c>
      <c r="B993" t="s">
        <v>780</v>
      </c>
      <c r="C993" t="s">
        <v>23</v>
      </c>
      <c r="D993" t="s">
        <v>698</v>
      </c>
      <c r="E993">
        <v>2.15</v>
      </c>
      <c r="F993">
        <v>2.21</v>
      </c>
      <c r="G993">
        <v>2.12</v>
      </c>
      <c r="H993">
        <v>2.48</v>
      </c>
      <c r="I993" s="2">
        <v>2989254100</v>
      </c>
      <c r="J993" s="2">
        <v>49621300000</v>
      </c>
      <c r="K993" s="2">
        <v>19998247200</v>
      </c>
      <c r="L993" s="2">
        <v>1759200</v>
      </c>
      <c r="M993" s="2">
        <v>3404864500</v>
      </c>
      <c r="N993" s="2">
        <v>5873000000</v>
      </c>
      <c r="O993" s="2">
        <v>3350196500</v>
      </c>
      <c r="P993" s="2">
        <v>27774000000</v>
      </c>
      <c r="Q993" s="2">
        <v>13243186200</v>
      </c>
      <c r="R993" s="2">
        <v>15974300000</v>
      </c>
      <c r="S993" s="2">
        <f t="shared" si="30"/>
        <v>8.9999999999999858E-2</v>
      </c>
      <c r="T993" s="2">
        <f t="shared" si="31"/>
        <v>22989260500</v>
      </c>
    </row>
    <row r="994" spans="1:20" x14ac:dyDescent="0.3">
      <c r="A994" s="1">
        <v>44585</v>
      </c>
      <c r="B994" t="s">
        <v>787</v>
      </c>
      <c r="C994" t="s">
        <v>18</v>
      </c>
      <c r="D994" t="s">
        <v>21</v>
      </c>
      <c r="E994">
        <v>0.95</v>
      </c>
      <c r="F994">
        <v>0.99</v>
      </c>
      <c r="G994">
        <v>0.90300000000000002</v>
      </c>
      <c r="H994">
        <v>2.81</v>
      </c>
      <c r="I994" s="2">
        <v>8070986400</v>
      </c>
      <c r="J994" s="2">
        <v>151455060000</v>
      </c>
      <c r="K994" s="2">
        <v>53665608000</v>
      </c>
      <c r="L994" s="2">
        <v>231672400</v>
      </c>
      <c r="M994" s="2">
        <v>5037500000</v>
      </c>
      <c r="N994" s="2">
        <v>14575000000</v>
      </c>
      <c r="O994" s="2">
        <v>13207128000</v>
      </c>
      <c r="P994" s="2">
        <v>81528000000</v>
      </c>
      <c r="Q994" s="2">
        <v>35420980000</v>
      </c>
      <c r="R994" s="2">
        <v>55352060000</v>
      </c>
      <c r="S994" s="2">
        <f t="shared" si="30"/>
        <v>8.6999999999999966E-2</v>
      </c>
      <c r="T994" s="2">
        <f t="shared" si="31"/>
        <v>61968266800</v>
      </c>
    </row>
    <row r="995" spans="1:20" x14ac:dyDescent="0.3">
      <c r="A995" s="1">
        <v>44586</v>
      </c>
      <c r="B995" t="s">
        <v>664</v>
      </c>
      <c r="C995" t="s">
        <v>18</v>
      </c>
      <c r="D995" t="s">
        <v>19</v>
      </c>
      <c r="E995">
        <v>1.4850000000000001</v>
      </c>
      <c r="F995">
        <v>1.5329999999999999</v>
      </c>
      <c r="G995">
        <v>1.44</v>
      </c>
      <c r="H995">
        <v>2.5</v>
      </c>
      <c r="I995" s="2">
        <v>8220449100</v>
      </c>
      <c r="J995" s="2">
        <v>137252138000</v>
      </c>
      <c r="K995" s="2">
        <v>54946015000</v>
      </c>
      <c r="L995" s="2">
        <v>49065100</v>
      </c>
      <c r="M995" s="2">
        <v>9053500000</v>
      </c>
      <c r="N995" s="2">
        <v>15332000000</v>
      </c>
      <c r="O995" s="2">
        <v>8133150000</v>
      </c>
      <c r="P995" s="2">
        <v>76997000000</v>
      </c>
      <c r="Q995" s="2">
        <v>37759365000</v>
      </c>
      <c r="R995" s="2">
        <v>44923138000</v>
      </c>
      <c r="S995" s="2">
        <f t="shared" si="30"/>
        <v>9.2999999999999972E-2</v>
      </c>
      <c r="T995" s="2">
        <f t="shared" si="31"/>
        <v>63215529200</v>
      </c>
    </row>
    <row r="996" spans="1:20" x14ac:dyDescent="0.3">
      <c r="A996" s="1">
        <v>44588</v>
      </c>
      <c r="B996" t="s">
        <v>786</v>
      </c>
      <c r="C996" t="s">
        <v>18</v>
      </c>
      <c r="D996" t="s">
        <v>68</v>
      </c>
      <c r="E996">
        <v>1.7</v>
      </c>
      <c r="F996">
        <v>1.7689999999999999</v>
      </c>
      <c r="G996">
        <v>1.65</v>
      </c>
      <c r="H996">
        <v>2.36</v>
      </c>
      <c r="I996" s="2">
        <v>7921523500</v>
      </c>
      <c r="J996" s="2">
        <v>125106580000</v>
      </c>
      <c r="K996" s="2">
        <v>52976471700</v>
      </c>
      <c r="L996" s="2">
        <v>23531700</v>
      </c>
      <c r="M996" s="2">
        <v>12110756700</v>
      </c>
      <c r="N996" s="2">
        <v>17293600000</v>
      </c>
      <c r="O996" s="2">
        <v>7677362500</v>
      </c>
      <c r="P996" s="2">
        <v>69523000000</v>
      </c>
      <c r="Q996" s="2">
        <v>33188352500</v>
      </c>
      <c r="R996" s="2">
        <v>38289980000</v>
      </c>
      <c r="S996" s="2">
        <f t="shared" si="30"/>
        <v>0.11899999999999999</v>
      </c>
      <c r="T996" s="2">
        <f t="shared" si="31"/>
        <v>60921526900</v>
      </c>
    </row>
    <row r="997" spans="1:20" x14ac:dyDescent="0.3">
      <c r="A997" s="1">
        <v>44600</v>
      </c>
      <c r="B997" t="s">
        <v>790</v>
      </c>
      <c r="C997" t="s">
        <v>18</v>
      </c>
      <c r="D997" t="s">
        <v>52</v>
      </c>
      <c r="E997">
        <v>1.54</v>
      </c>
      <c r="F997">
        <v>1.5920000000000001</v>
      </c>
      <c r="G997">
        <v>1.4</v>
      </c>
      <c r="H997">
        <v>2.4500000000000002</v>
      </c>
      <c r="I997" s="2">
        <v>30248102600</v>
      </c>
      <c r="J997" s="2">
        <v>122396200000</v>
      </c>
      <c r="K997" s="2">
        <v>49803033900</v>
      </c>
      <c r="L997" s="2">
        <v>96984500</v>
      </c>
      <c r="M997" s="2">
        <v>5550250000</v>
      </c>
      <c r="N997" s="2">
        <v>10397000000</v>
      </c>
      <c r="O997" s="2">
        <v>10113355000</v>
      </c>
      <c r="P997" s="2">
        <v>70208000000</v>
      </c>
      <c r="Q997" s="2">
        <v>34139428900</v>
      </c>
      <c r="R997" s="2">
        <v>41791200000</v>
      </c>
      <c r="S997" s="2">
        <f t="shared" si="30"/>
        <v>0.19200000000000017</v>
      </c>
      <c r="T997" s="2">
        <f t="shared" si="31"/>
        <v>80148121000</v>
      </c>
    </row>
    <row r="998" spans="1:20" x14ac:dyDescent="0.3">
      <c r="A998" s="1">
        <v>44601</v>
      </c>
      <c r="B998" t="s">
        <v>789</v>
      </c>
      <c r="C998" t="s">
        <v>18</v>
      </c>
      <c r="D998" t="s">
        <v>26</v>
      </c>
      <c r="E998">
        <v>1.853</v>
      </c>
      <c r="F998">
        <v>1.9039999999999999</v>
      </c>
      <c r="G998">
        <v>1.8</v>
      </c>
      <c r="H998">
        <v>2.68</v>
      </c>
      <c r="I998" s="2">
        <v>22383595900</v>
      </c>
      <c r="J998" s="2">
        <v>99153115000</v>
      </c>
      <c r="K998" s="2">
        <v>36977598400</v>
      </c>
      <c r="L998" s="2">
        <v>22402800</v>
      </c>
      <c r="M998" s="2">
        <v>5545000000</v>
      </c>
      <c r="N998" s="2">
        <v>9993000000</v>
      </c>
      <c r="O998" s="2">
        <v>2752472000</v>
      </c>
      <c r="P998" s="2">
        <v>53777000000</v>
      </c>
      <c r="Q998" s="2">
        <v>28680126400</v>
      </c>
      <c r="R998" s="2">
        <v>35383115000</v>
      </c>
      <c r="S998" s="2">
        <f t="shared" si="30"/>
        <v>0.10399999999999987</v>
      </c>
      <c r="T998" s="2">
        <f t="shared" si="31"/>
        <v>59383597100</v>
      </c>
    </row>
    <row r="999" spans="1:20" x14ac:dyDescent="0.3">
      <c r="A999" s="1">
        <v>44602</v>
      </c>
      <c r="B999" t="s">
        <v>788</v>
      </c>
      <c r="C999" t="s">
        <v>23</v>
      </c>
      <c r="D999" t="s">
        <v>65</v>
      </c>
      <c r="E999">
        <v>2.2490000000000001</v>
      </c>
      <c r="F999">
        <v>2.34</v>
      </c>
      <c r="G999">
        <v>2.15</v>
      </c>
      <c r="H999">
        <v>2.2999999999999998</v>
      </c>
      <c r="I999" s="2">
        <v>13914127100</v>
      </c>
      <c r="J999" s="2">
        <v>52935395000</v>
      </c>
      <c r="K999" s="2">
        <v>22996924400</v>
      </c>
      <c r="L999" s="2">
        <v>3081600</v>
      </c>
      <c r="M999" s="2">
        <v>4082150000</v>
      </c>
      <c r="N999" s="2">
        <v>6347900000</v>
      </c>
      <c r="O999" s="2">
        <v>3287463000</v>
      </c>
      <c r="P999" s="2">
        <v>30390000000</v>
      </c>
      <c r="Q999" s="2">
        <v>15627311400</v>
      </c>
      <c r="R999" s="2">
        <v>16197495000</v>
      </c>
      <c r="S999" s="2">
        <f t="shared" si="30"/>
        <v>0.18999999999999995</v>
      </c>
      <c r="T999" s="2">
        <f t="shared" si="31"/>
        <v>36914133100</v>
      </c>
    </row>
    <row r="1000" spans="1:20" x14ac:dyDescent="0.3">
      <c r="A1000" s="1">
        <v>44608</v>
      </c>
      <c r="B1000" t="s">
        <v>792</v>
      </c>
      <c r="C1000" t="s">
        <v>23</v>
      </c>
      <c r="D1000" t="s">
        <v>688</v>
      </c>
      <c r="E1000">
        <v>2.33</v>
      </c>
      <c r="F1000">
        <v>2.3959999999999999</v>
      </c>
      <c r="G1000">
        <v>2.2799999999999998</v>
      </c>
      <c r="H1000">
        <v>2.44</v>
      </c>
      <c r="I1000" s="2">
        <v>3254997000</v>
      </c>
      <c r="J1000" s="2">
        <v>46336550000</v>
      </c>
      <c r="K1000" s="2">
        <v>18993522000</v>
      </c>
      <c r="L1000" s="2">
        <v>6488600</v>
      </c>
      <c r="M1000" s="2">
        <v>3985500000</v>
      </c>
      <c r="N1000" s="2">
        <v>6408000000</v>
      </c>
      <c r="O1000" s="2">
        <v>3060030000</v>
      </c>
      <c r="P1000" s="2">
        <v>25821000000</v>
      </c>
      <c r="Q1000" s="2">
        <v>11947992000</v>
      </c>
      <c r="R1000" s="2">
        <v>14107550000</v>
      </c>
      <c r="S1000" s="2">
        <f t="shared" si="30"/>
        <v>0.1160000000000001</v>
      </c>
      <c r="T1000" s="2">
        <f t="shared" si="31"/>
        <v>22255007600</v>
      </c>
    </row>
    <row r="1001" spans="1:20" x14ac:dyDescent="0.3">
      <c r="A1001" s="1">
        <v>44614</v>
      </c>
      <c r="B1001" t="s">
        <v>794</v>
      </c>
      <c r="C1001" t="s">
        <v>18</v>
      </c>
      <c r="D1001" t="s">
        <v>21</v>
      </c>
      <c r="E1001">
        <v>1.51</v>
      </c>
      <c r="F1001">
        <v>1.5529999999999999</v>
      </c>
      <c r="G1001">
        <v>1.4</v>
      </c>
      <c r="H1001">
        <v>2.64</v>
      </c>
      <c r="I1001" s="2">
        <v>8908413000</v>
      </c>
      <c r="J1001" s="2">
        <v>136858728000</v>
      </c>
      <c r="K1001" s="2">
        <v>51690563000</v>
      </c>
      <c r="L1001" s="2">
        <v>304444100</v>
      </c>
      <c r="M1001" s="2">
        <v>9702000000</v>
      </c>
      <c r="N1001" s="2">
        <v>16838000000</v>
      </c>
      <c r="O1001" s="2">
        <v>8088835000</v>
      </c>
      <c r="P1001" s="2">
        <v>73500000000</v>
      </c>
      <c r="Q1001" s="2">
        <v>33899728000</v>
      </c>
      <c r="R1001" s="2">
        <v>46520728000</v>
      </c>
      <c r="S1001" s="2">
        <f t="shared" si="30"/>
        <v>0.15300000000000002</v>
      </c>
      <c r="T1001" s="2">
        <f t="shared" si="31"/>
        <v>60903420100</v>
      </c>
    </row>
    <row r="1002" spans="1:20" x14ac:dyDescent="0.3">
      <c r="A1002" s="1">
        <v>44615</v>
      </c>
      <c r="B1002" t="s">
        <v>793</v>
      </c>
      <c r="C1002" t="s">
        <v>18</v>
      </c>
      <c r="D1002" t="s">
        <v>19</v>
      </c>
      <c r="E1002">
        <v>1.83</v>
      </c>
      <c r="F1002">
        <v>1.88</v>
      </c>
      <c r="G1002">
        <v>1.75</v>
      </c>
      <c r="H1002">
        <v>2.4900000000000002</v>
      </c>
      <c r="I1002" s="2">
        <v>9079728600</v>
      </c>
      <c r="J1002" s="2">
        <v>131964010000</v>
      </c>
      <c r="K1002" s="2">
        <v>52926360900</v>
      </c>
      <c r="L1002" s="2">
        <v>68669600</v>
      </c>
      <c r="M1002" s="2">
        <v>9754000000</v>
      </c>
      <c r="N1002" s="2">
        <v>14897000000</v>
      </c>
      <c r="O1002" s="2">
        <v>7282514900</v>
      </c>
      <c r="P1002" s="2">
        <v>74526000000</v>
      </c>
      <c r="Q1002" s="2">
        <v>35889846000</v>
      </c>
      <c r="R1002" s="2">
        <v>42541010000</v>
      </c>
      <c r="S1002" s="2">
        <f t="shared" si="30"/>
        <v>0.12999999999999989</v>
      </c>
      <c r="T1002" s="2">
        <f t="shared" si="31"/>
        <v>62074759100</v>
      </c>
    </row>
    <row r="1003" spans="1:20" x14ac:dyDescent="0.3">
      <c r="A1003" s="1">
        <v>44616</v>
      </c>
      <c r="B1003" t="s">
        <v>791</v>
      </c>
      <c r="C1003" t="s">
        <v>18</v>
      </c>
      <c r="D1003" t="s">
        <v>68</v>
      </c>
      <c r="E1003">
        <v>1.84</v>
      </c>
      <c r="F1003">
        <v>1.905</v>
      </c>
      <c r="G1003">
        <v>1.75</v>
      </c>
      <c r="H1003">
        <v>2.36</v>
      </c>
      <c r="I1003" s="2">
        <v>8565781600</v>
      </c>
      <c r="J1003" s="2">
        <v>118203170000</v>
      </c>
      <c r="K1003" s="2">
        <v>49985494800</v>
      </c>
      <c r="L1003" s="2">
        <v>14534400</v>
      </c>
      <c r="M1003" s="2">
        <v>11908268000</v>
      </c>
      <c r="N1003" s="2">
        <v>16301200000</v>
      </c>
      <c r="O1003" s="2">
        <v>6160120000</v>
      </c>
      <c r="P1003" s="2">
        <v>65598000000</v>
      </c>
      <c r="Q1003" s="2">
        <v>31917106800</v>
      </c>
      <c r="R1003" s="2">
        <v>36303970000</v>
      </c>
      <c r="S1003" s="2">
        <f t="shared" si="30"/>
        <v>0.15500000000000003</v>
      </c>
      <c r="T1003" s="2">
        <f t="shared" si="31"/>
        <v>58565810800</v>
      </c>
    </row>
    <row r="1004" spans="1:20" x14ac:dyDescent="0.3">
      <c r="A1004" s="1">
        <v>44628</v>
      </c>
      <c r="B1004" t="s">
        <v>795</v>
      </c>
      <c r="C1004" t="s">
        <v>18</v>
      </c>
      <c r="D1004" t="s">
        <v>52</v>
      </c>
      <c r="E1004">
        <v>1.7010000000000001</v>
      </c>
      <c r="F1004">
        <v>1.7749999999999999</v>
      </c>
      <c r="G1004">
        <v>1.55</v>
      </c>
      <c r="H1004">
        <v>2.39</v>
      </c>
      <c r="I1004" s="2">
        <v>8064941200</v>
      </c>
      <c r="J1004" s="2">
        <v>114503250000</v>
      </c>
      <c r="K1004" s="2">
        <v>47816992500</v>
      </c>
      <c r="L1004" s="2">
        <v>77075700</v>
      </c>
      <c r="M1004" s="2">
        <v>8894000000</v>
      </c>
      <c r="N1004" s="2">
        <v>14012000000</v>
      </c>
      <c r="O1004" s="2">
        <v>12581642500</v>
      </c>
      <c r="P1004" s="2">
        <v>66482000000</v>
      </c>
      <c r="Q1004" s="2">
        <v>26341350000</v>
      </c>
      <c r="R1004" s="2">
        <v>34009250000</v>
      </c>
      <c r="S1004" s="2">
        <f t="shared" si="30"/>
        <v>0.22499999999999987</v>
      </c>
      <c r="T1004" s="2">
        <f t="shared" si="31"/>
        <v>55959009400</v>
      </c>
    </row>
    <row r="1005" spans="1:20" x14ac:dyDescent="0.3">
      <c r="A1005" s="1">
        <v>44629</v>
      </c>
      <c r="B1005" t="s">
        <v>789</v>
      </c>
      <c r="C1005" t="s">
        <v>18</v>
      </c>
      <c r="D1005" t="s">
        <v>29</v>
      </c>
      <c r="E1005">
        <v>1.84</v>
      </c>
      <c r="F1005">
        <v>1.92</v>
      </c>
      <c r="G1005">
        <v>1.8</v>
      </c>
      <c r="H1005">
        <v>2.4700000000000002</v>
      </c>
      <c r="I1005" s="2">
        <v>5712666700</v>
      </c>
      <c r="J1005" s="2">
        <v>84045485000</v>
      </c>
      <c r="K1005" s="2">
        <v>33991365000</v>
      </c>
      <c r="L1005" s="2">
        <v>8657600</v>
      </c>
      <c r="M1005" s="2">
        <v>6130000000</v>
      </c>
      <c r="N1005" s="2">
        <v>9780000000</v>
      </c>
      <c r="O1005" s="2">
        <v>4670532000</v>
      </c>
      <c r="P1005" s="2">
        <v>48995000000</v>
      </c>
      <c r="Q1005" s="2">
        <v>23190833000</v>
      </c>
      <c r="R1005" s="2">
        <v>25270485000</v>
      </c>
      <c r="S1005" s="2">
        <f t="shared" si="30"/>
        <v>0.11999999999999988</v>
      </c>
      <c r="T1005" s="2">
        <f t="shared" si="31"/>
        <v>39712689300</v>
      </c>
    </row>
    <row r="1006" spans="1:20" x14ac:dyDescent="0.3">
      <c r="A1006" s="1">
        <v>44630</v>
      </c>
      <c r="B1006" t="s">
        <v>788</v>
      </c>
      <c r="C1006" t="s">
        <v>23</v>
      </c>
      <c r="D1006" t="s">
        <v>72</v>
      </c>
      <c r="E1006">
        <v>2.3199999999999998</v>
      </c>
      <c r="F1006">
        <v>2.375</v>
      </c>
      <c r="G1006">
        <v>2.25</v>
      </c>
      <c r="H1006">
        <v>2.46</v>
      </c>
      <c r="I1006" s="2">
        <v>3360392100</v>
      </c>
      <c r="J1006" s="2">
        <v>49153460000</v>
      </c>
      <c r="K1006" s="2">
        <v>19995810500</v>
      </c>
      <c r="L1006" s="2">
        <v>4191400</v>
      </c>
      <c r="M1006" s="2">
        <v>3284127400</v>
      </c>
      <c r="N1006" s="2">
        <v>5969700000</v>
      </c>
      <c r="O1006" s="2">
        <v>2411321000</v>
      </c>
      <c r="P1006" s="2">
        <v>26614000000</v>
      </c>
      <c r="Q1006" s="2">
        <v>14300362100</v>
      </c>
      <c r="R1006" s="2">
        <v>16569760000</v>
      </c>
      <c r="S1006" s="2">
        <f t="shared" si="30"/>
        <v>0.125</v>
      </c>
      <c r="T1006" s="2">
        <f t="shared" si="31"/>
        <v>23360394000</v>
      </c>
    </row>
    <row r="1007" spans="1:20" x14ac:dyDescent="0.3">
      <c r="A1007" s="1">
        <v>44643</v>
      </c>
      <c r="B1007" t="s">
        <v>792</v>
      </c>
      <c r="C1007" t="s">
        <v>23</v>
      </c>
      <c r="D1007" t="s">
        <v>693</v>
      </c>
      <c r="E1007">
        <v>2.6019999999999999</v>
      </c>
      <c r="F1007">
        <v>2.6509999999999998</v>
      </c>
      <c r="G1007">
        <v>2.59</v>
      </c>
      <c r="H1007">
        <v>2.72</v>
      </c>
      <c r="I1007" s="2">
        <v>2978612300</v>
      </c>
      <c r="J1007" s="2">
        <v>43571150000</v>
      </c>
      <c r="K1007" s="2">
        <v>15993546300</v>
      </c>
      <c r="L1007" s="2">
        <v>6464700</v>
      </c>
      <c r="M1007" s="2">
        <v>4162596300</v>
      </c>
      <c r="N1007" s="2">
        <v>6762000000</v>
      </c>
      <c r="O1007" s="2">
        <v>1533000000</v>
      </c>
      <c r="P1007" s="2">
        <v>22908000000</v>
      </c>
      <c r="Q1007" s="2">
        <v>10297950000</v>
      </c>
      <c r="R1007" s="2">
        <v>13901150000</v>
      </c>
      <c r="S1007" s="2">
        <f t="shared" si="30"/>
        <v>6.0999999999999943E-2</v>
      </c>
      <c r="T1007" s="2">
        <f t="shared" si="31"/>
        <v>18978623300</v>
      </c>
    </row>
    <row r="1008" spans="1:20" x14ac:dyDescent="0.3">
      <c r="A1008" s="1">
        <v>44648</v>
      </c>
      <c r="B1008" t="s">
        <v>796</v>
      </c>
      <c r="C1008" t="s">
        <v>18</v>
      </c>
      <c r="D1008" t="s">
        <v>19</v>
      </c>
      <c r="E1008">
        <v>2.46</v>
      </c>
      <c r="F1008">
        <v>2.5430000000000001</v>
      </c>
      <c r="G1008">
        <v>2.35</v>
      </c>
      <c r="H1008">
        <v>2.5299999999999998</v>
      </c>
      <c r="I1008" s="2">
        <v>9494326800</v>
      </c>
      <c r="J1008" s="2">
        <v>128701440000</v>
      </c>
      <c r="K1008" s="2">
        <v>50923260900</v>
      </c>
      <c r="L1008" s="2">
        <v>72718300</v>
      </c>
      <c r="M1008" s="2">
        <v>10053145700</v>
      </c>
      <c r="N1008" s="2">
        <v>15702000000</v>
      </c>
      <c r="O1008" s="2">
        <v>10212000000</v>
      </c>
      <c r="P1008" s="2">
        <v>75642000000</v>
      </c>
      <c r="Q1008" s="2">
        <v>30658115200</v>
      </c>
      <c r="R1008" s="2">
        <v>37357440000</v>
      </c>
      <c r="S1008" s="2">
        <f t="shared" si="30"/>
        <v>0.19300000000000006</v>
      </c>
      <c r="T1008" s="2">
        <f t="shared" si="31"/>
        <v>60490306000</v>
      </c>
    </row>
    <row r="1009" spans="1:20" x14ac:dyDescent="0.3">
      <c r="A1009" s="1">
        <v>44648</v>
      </c>
      <c r="B1009" t="s">
        <v>798</v>
      </c>
      <c r="C1009" t="s">
        <v>18</v>
      </c>
      <c r="D1009" t="s">
        <v>21</v>
      </c>
      <c r="E1009">
        <v>2.2999999999999998</v>
      </c>
      <c r="F1009">
        <v>2.3650000000000002</v>
      </c>
      <c r="G1009">
        <v>2.23</v>
      </c>
      <c r="H1009">
        <v>2.46</v>
      </c>
      <c r="I1009" s="2">
        <v>9308163600</v>
      </c>
      <c r="J1009" s="2">
        <v>122328935000</v>
      </c>
      <c r="K1009" s="2">
        <v>49186880000</v>
      </c>
      <c r="L1009" s="2">
        <v>711163200</v>
      </c>
      <c r="M1009" s="2">
        <v>12566000000</v>
      </c>
      <c r="N1009" s="2">
        <v>16766000000</v>
      </c>
      <c r="O1009" s="2">
        <v>9554645000</v>
      </c>
      <c r="P1009" s="2">
        <v>66710000000</v>
      </c>
      <c r="Q1009" s="2">
        <v>27066235000</v>
      </c>
      <c r="R1009" s="2">
        <v>38852935000</v>
      </c>
      <c r="S1009" s="2">
        <f t="shared" si="30"/>
        <v>0.13500000000000023</v>
      </c>
      <c r="T1009" s="2">
        <f t="shared" si="31"/>
        <v>59206206800</v>
      </c>
    </row>
    <row r="1010" spans="1:20" x14ac:dyDescent="0.3">
      <c r="A1010" s="1">
        <v>44649</v>
      </c>
      <c r="B1010" t="s">
        <v>797</v>
      </c>
      <c r="C1010" t="s">
        <v>18</v>
      </c>
      <c r="D1010" t="s">
        <v>68</v>
      </c>
      <c r="E1010">
        <v>2.4300000000000002</v>
      </c>
      <c r="F1010">
        <v>2.4990000000000001</v>
      </c>
      <c r="G1010">
        <v>2.37</v>
      </c>
      <c r="H1010">
        <v>2.44</v>
      </c>
      <c r="I1010" s="2">
        <v>8749673700</v>
      </c>
      <c r="J1010" s="2">
        <v>114806230000</v>
      </c>
      <c r="K1010" s="2">
        <v>46981439500</v>
      </c>
      <c r="L1010" s="2">
        <v>18561600</v>
      </c>
      <c r="M1010" s="2">
        <v>13413600000</v>
      </c>
      <c r="N1010" s="2">
        <v>18510600000</v>
      </c>
      <c r="O1010" s="2">
        <v>4940522500</v>
      </c>
      <c r="P1010" s="2">
        <v>61391000000</v>
      </c>
      <c r="Q1010" s="2">
        <v>28627317000</v>
      </c>
      <c r="R1010" s="2">
        <v>34904630000</v>
      </c>
      <c r="S1010" s="2">
        <f t="shared" si="30"/>
        <v>0.129</v>
      </c>
      <c r="T1010" s="2">
        <f t="shared" si="31"/>
        <v>55749674800</v>
      </c>
    </row>
    <row r="1011" spans="1:20" x14ac:dyDescent="0.3">
      <c r="A1011" s="1">
        <v>44662</v>
      </c>
      <c r="B1011" t="s">
        <v>799</v>
      </c>
      <c r="C1011" t="s">
        <v>18</v>
      </c>
      <c r="D1011" t="s">
        <v>52</v>
      </c>
      <c r="E1011">
        <v>2.68</v>
      </c>
      <c r="F1011">
        <v>2.738</v>
      </c>
      <c r="G1011">
        <v>2.61</v>
      </c>
      <c r="H1011">
        <v>2.48</v>
      </c>
      <c r="I1011" s="2">
        <v>10973031600</v>
      </c>
      <c r="J1011" s="2">
        <v>113748650000</v>
      </c>
      <c r="K1011" s="2">
        <v>45557551100</v>
      </c>
      <c r="L1011" s="2">
        <v>237524700</v>
      </c>
      <c r="M1011" s="2">
        <v>8000111100</v>
      </c>
      <c r="N1011" s="2">
        <v>11357000000</v>
      </c>
      <c r="O1011" s="2">
        <v>13208395000</v>
      </c>
      <c r="P1011" s="2">
        <v>68515000000</v>
      </c>
      <c r="Q1011" s="2">
        <v>24349045000</v>
      </c>
      <c r="R1011" s="2">
        <v>33876650000</v>
      </c>
      <c r="S1011" s="2">
        <f t="shared" si="30"/>
        <v>0.12800000000000011</v>
      </c>
      <c r="T1011" s="2">
        <f t="shared" si="31"/>
        <v>56768107400</v>
      </c>
    </row>
    <row r="1012" spans="1:20" x14ac:dyDescent="0.3">
      <c r="A1012" s="1">
        <v>44663</v>
      </c>
      <c r="B1012" t="s">
        <v>789</v>
      </c>
      <c r="C1012" t="s">
        <v>18</v>
      </c>
      <c r="D1012" t="s">
        <v>59</v>
      </c>
      <c r="E1012">
        <v>2.62</v>
      </c>
      <c r="F1012">
        <v>2.72</v>
      </c>
      <c r="G1012">
        <v>2.57</v>
      </c>
      <c r="H1012">
        <v>2.4300000000000002</v>
      </c>
      <c r="I1012" s="2">
        <v>8110501600</v>
      </c>
      <c r="J1012" s="2">
        <v>82712205000</v>
      </c>
      <c r="K1012" s="2">
        <v>33990122000</v>
      </c>
      <c r="L1012" s="2">
        <v>9955000</v>
      </c>
      <c r="M1012" s="2">
        <v>5784000000</v>
      </c>
      <c r="N1012" s="2">
        <v>7484000000</v>
      </c>
      <c r="O1012" s="2">
        <v>6341930000</v>
      </c>
      <c r="P1012" s="2">
        <v>51251000000</v>
      </c>
      <c r="Q1012" s="2">
        <v>21864192000</v>
      </c>
      <c r="R1012" s="2">
        <v>23977205000</v>
      </c>
      <c r="S1012" s="2">
        <f t="shared" si="30"/>
        <v>0.15000000000000036</v>
      </c>
      <c r="T1012" s="2">
        <f t="shared" si="31"/>
        <v>42110578600</v>
      </c>
    </row>
    <row r="1013" spans="1:20" x14ac:dyDescent="0.3">
      <c r="A1013" s="1">
        <v>44664</v>
      </c>
      <c r="B1013" t="s">
        <v>788</v>
      </c>
      <c r="C1013" t="s">
        <v>23</v>
      </c>
      <c r="D1013" t="s">
        <v>91</v>
      </c>
      <c r="E1013">
        <v>2.7250000000000001</v>
      </c>
      <c r="F1013">
        <v>2.8149999999999999</v>
      </c>
      <c r="G1013">
        <v>2.67</v>
      </c>
      <c r="H1013">
        <v>2.2999999999999998</v>
      </c>
      <c r="I1013" s="2">
        <v>4770883200</v>
      </c>
      <c r="J1013" s="2">
        <v>45998040000</v>
      </c>
      <c r="K1013" s="2">
        <v>19995400600</v>
      </c>
      <c r="L1013" s="2">
        <v>4635600</v>
      </c>
      <c r="M1013" s="2">
        <v>3780900000</v>
      </c>
      <c r="N1013" s="2">
        <v>4630900000</v>
      </c>
      <c r="O1013" s="2">
        <v>3172481000</v>
      </c>
      <c r="P1013" s="2">
        <v>26996000000</v>
      </c>
      <c r="Q1013" s="2">
        <v>13042019600</v>
      </c>
      <c r="R1013" s="2">
        <v>14371140000</v>
      </c>
      <c r="S1013" s="2">
        <f t="shared" si="30"/>
        <v>0.14500000000000002</v>
      </c>
      <c r="T1013" s="2">
        <f t="shared" si="31"/>
        <v>24770919400</v>
      </c>
    </row>
    <row r="1014" spans="1:20" x14ac:dyDescent="0.3">
      <c r="A1014" s="1">
        <v>44671</v>
      </c>
      <c r="B1014" t="s">
        <v>792</v>
      </c>
      <c r="C1014" t="s">
        <v>23</v>
      </c>
      <c r="D1014" t="s">
        <v>698</v>
      </c>
      <c r="E1014">
        <v>3.03</v>
      </c>
      <c r="F1014">
        <v>3.0950000000000002</v>
      </c>
      <c r="G1014">
        <v>2.88</v>
      </c>
      <c r="H1014">
        <v>2.8</v>
      </c>
      <c r="I1014" s="2">
        <v>2218396100</v>
      </c>
      <c r="J1014" s="2">
        <v>44807020000</v>
      </c>
      <c r="K1014" s="2">
        <v>15991717700</v>
      </c>
      <c r="L1014" s="2">
        <v>8340600</v>
      </c>
      <c r="M1014" s="2">
        <v>2450372100</v>
      </c>
      <c r="N1014" s="2">
        <v>3819000000</v>
      </c>
      <c r="O1014" s="2">
        <v>1397998000</v>
      </c>
      <c r="P1014" s="2">
        <v>23553000000</v>
      </c>
      <c r="Q1014" s="2">
        <v>12143347600</v>
      </c>
      <c r="R1014" s="2">
        <v>17435020000</v>
      </c>
      <c r="S1014" s="2">
        <f t="shared" si="30"/>
        <v>0.2150000000000003</v>
      </c>
      <c r="T1014" s="2">
        <f t="shared" si="31"/>
        <v>18218454400</v>
      </c>
    </row>
    <row r="1015" spans="1:20" x14ac:dyDescent="0.3">
      <c r="A1015" s="1">
        <v>44677</v>
      </c>
      <c r="B1015" t="s">
        <v>802</v>
      </c>
      <c r="C1015" t="s">
        <v>18</v>
      </c>
      <c r="D1015" t="s">
        <v>21</v>
      </c>
      <c r="E1015">
        <v>2.5339999999999998</v>
      </c>
      <c r="F1015">
        <v>2.585</v>
      </c>
      <c r="G1015">
        <v>2.4500000000000002</v>
      </c>
      <c r="H1015">
        <v>2.74</v>
      </c>
      <c r="I1015" s="2">
        <v>6655188500</v>
      </c>
      <c r="J1015" s="2">
        <v>130485872000</v>
      </c>
      <c r="K1015" s="2">
        <v>47034301300</v>
      </c>
      <c r="L1015" s="2">
        <v>860703800</v>
      </c>
      <c r="M1015" s="2">
        <v>10082500000</v>
      </c>
      <c r="N1015" s="2">
        <v>15235000000</v>
      </c>
      <c r="O1015" s="2">
        <v>5925550000</v>
      </c>
      <c r="P1015" s="2">
        <v>67495000000</v>
      </c>
      <c r="Q1015" s="2">
        <v>31026251300</v>
      </c>
      <c r="R1015" s="2">
        <v>47755872000</v>
      </c>
      <c r="S1015" s="2">
        <f t="shared" si="30"/>
        <v>0.13499999999999979</v>
      </c>
      <c r="T1015" s="2">
        <f t="shared" si="31"/>
        <v>54550193600</v>
      </c>
    </row>
    <row r="1016" spans="1:20" x14ac:dyDescent="0.3">
      <c r="A1016" s="1">
        <v>44678</v>
      </c>
      <c r="B1016" t="s">
        <v>801</v>
      </c>
      <c r="C1016" t="s">
        <v>18</v>
      </c>
      <c r="D1016" t="s">
        <v>19</v>
      </c>
      <c r="E1016">
        <v>2.72</v>
      </c>
      <c r="F1016">
        <v>2.7850000000000001</v>
      </c>
      <c r="G1016">
        <v>2.65</v>
      </c>
      <c r="H1016">
        <v>2.41</v>
      </c>
      <c r="I1016" s="2">
        <v>6793838100</v>
      </c>
      <c r="J1016" s="2">
        <v>118088895000</v>
      </c>
      <c r="K1016" s="2">
        <v>48795541400</v>
      </c>
      <c r="L1016" s="2">
        <v>99464500</v>
      </c>
      <c r="M1016" s="2">
        <v>9492000000</v>
      </c>
      <c r="N1016" s="2">
        <v>11517000000</v>
      </c>
      <c r="O1016" s="2">
        <v>8060464000</v>
      </c>
      <c r="P1016" s="2">
        <v>70345000000</v>
      </c>
      <c r="Q1016" s="2">
        <v>31243077400</v>
      </c>
      <c r="R1016" s="2">
        <v>36226895000</v>
      </c>
      <c r="S1016" s="2">
        <f t="shared" si="30"/>
        <v>0.13500000000000023</v>
      </c>
      <c r="T1016" s="2">
        <f t="shared" si="31"/>
        <v>55688844000</v>
      </c>
    </row>
    <row r="1017" spans="1:20" x14ac:dyDescent="0.3">
      <c r="A1017" s="1">
        <v>44679</v>
      </c>
      <c r="B1017" t="s">
        <v>800</v>
      </c>
      <c r="C1017" t="s">
        <v>18</v>
      </c>
      <c r="D1017" t="s">
        <v>68</v>
      </c>
      <c r="E1017">
        <v>2.84</v>
      </c>
      <c r="F1017">
        <v>2.9079999999999999</v>
      </c>
      <c r="G1017">
        <v>2.78</v>
      </c>
      <c r="H1017">
        <v>2.41</v>
      </c>
      <c r="I1017" s="2">
        <v>6100589400</v>
      </c>
      <c r="J1017" s="2">
        <v>105881115000</v>
      </c>
      <c r="K1017" s="2">
        <v>43979363000</v>
      </c>
      <c r="L1017" s="2">
        <v>20655200</v>
      </c>
      <c r="M1017" s="2">
        <v>8718300000</v>
      </c>
      <c r="N1017" s="2">
        <v>10568300000</v>
      </c>
      <c r="O1017" s="2">
        <v>6694743000</v>
      </c>
      <c r="P1017" s="2">
        <v>62388000000</v>
      </c>
      <c r="Q1017" s="2">
        <v>28566320000</v>
      </c>
      <c r="R1017" s="2">
        <v>32924815000</v>
      </c>
      <c r="S1017" s="2">
        <f t="shared" si="30"/>
        <v>0.12800000000000011</v>
      </c>
      <c r="T1017" s="2">
        <f t="shared" si="31"/>
        <v>50100607600</v>
      </c>
    </row>
    <row r="1018" spans="1:20" x14ac:dyDescent="0.3">
      <c r="A1018" s="1">
        <v>44691</v>
      </c>
      <c r="B1018" t="s">
        <v>804</v>
      </c>
      <c r="C1018" t="s">
        <v>18</v>
      </c>
      <c r="D1018" t="s">
        <v>52</v>
      </c>
      <c r="E1018">
        <v>2.74</v>
      </c>
      <c r="F1018">
        <v>2.8090000000000002</v>
      </c>
      <c r="G1018">
        <v>2.69</v>
      </c>
      <c r="H1018">
        <v>2.59</v>
      </c>
      <c r="I1018" s="2">
        <v>31492633500</v>
      </c>
      <c r="J1018" s="2">
        <v>116424350000</v>
      </c>
      <c r="K1018" s="2">
        <v>44663736000</v>
      </c>
      <c r="L1018" s="2">
        <v>231398900</v>
      </c>
      <c r="M1018" s="2">
        <v>8057306000</v>
      </c>
      <c r="N1018" s="2">
        <v>13493000000</v>
      </c>
      <c r="O1018" s="2">
        <v>8935800000</v>
      </c>
      <c r="P1018" s="2">
        <v>67274000000</v>
      </c>
      <c r="Q1018" s="2">
        <v>27670630000</v>
      </c>
      <c r="R1018" s="2">
        <v>35657350000</v>
      </c>
      <c r="S1018" s="2">
        <f t="shared" si="30"/>
        <v>0.11900000000000022</v>
      </c>
      <c r="T1018" s="2">
        <f t="shared" si="31"/>
        <v>76387768400</v>
      </c>
    </row>
    <row r="1019" spans="1:20" x14ac:dyDescent="0.3">
      <c r="A1019" s="1">
        <v>44692</v>
      </c>
      <c r="B1019" t="s">
        <v>805</v>
      </c>
      <c r="C1019" t="s">
        <v>18</v>
      </c>
      <c r="D1019" t="s">
        <v>26</v>
      </c>
      <c r="E1019">
        <v>2.85</v>
      </c>
      <c r="F1019">
        <v>2.9430000000000001</v>
      </c>
      <c r="G1019">
        <v>2.8</v>
      </c>
      <c r="H1019">
        <v>2.4900000000000002</v>
      </c>
      <c r="I1019" s="2">
        <v>25194106800</v>
      </c>
      <c r="J1019" s="2">
        <v>89497090000</v>
      </c>
      <c r="K1019" s="2">
        <v>35949055600</v>
      </c>
      <c r="L1019" s="2">
        <v>50979700</v>
      </c>
      <c r="M1019" s="2">
        <v>6545000000</v>
      </c>
      <c r="N1019" s="2">
        <v>8195000000</v>
      </c>
      <c r="O1019" s="2">
        <v>4132000000</v>
      </c>
      <c r="P1019" s="2">
        <v>52812000000</v>
      </c>
      <c r="Q1019" s="2">
        <v>25272055600</v>
      </c>
      <c r="R1019" s="2">
        <v>28490090000</v>
      </c>
      <c r="S1019" s="2">
        <f t="shared" si="30"/>
        <v>0.14300000000000024</v>
      </c>
      <c r="T1019" s="2">
        <f t="shared" si="31"/>
        <v>61194142100</v>
      </c>
    </row>
    <row r="1020" spans="1:20" x14ac:dyDescent="0.3">
      <c r="A1020" s="1">
        <v>44693</v>
      </c>
      <c r="B1020" t="s">
        <v>803</v>
      </c>
      <c r="C1020" t="s">
        <v>23</v>
      </c>
      <c r="D1020" t="s">
        <v>65</v>
      </c>
      <c r="E1020">
        <v>2.91</v>
      </c>
      <c r="F1020">
        <v>2.9969999999999999</v>
      </c>
      <c r="G1020">
        <v>2.86</v>
      </c>
      <c r="H1020">
        <v>2.38</v>
      </c>
      <c r="I1020" s="2">
        <v>15396398600</v>
      </c>
      <c r="J1020" s="2">
        <v>52388395000</v>
      </c>
      <c r="K1020" s="2">
        <v>21985717700</v>
      </c>
      <c r="L1020" s="2">
        <v>14282500</v>
      </c>
      <c r="M1020" s="2">
        <v>3648842700</v>
      </c>
      <c r="N1020" s="2">
        <v>5073100000</v>
      </c>
      <c r="O1020" s="2">
        <v>3021000000</v>
      </c>
      <c r="P1020" s="2">
        <v>29686000000</v>
      </c>
      <c r="Q1020" s="2">
        <v>15315875000</v>
      </c>
      <c r="R1020" s="2">
        <v>17629295000</v>
      </c>
      <c r="S1020" s="2">
        <f t="shared" si="30"/>
        <v>0.13700000000000001</v>
      </c>
      <c r="T1020" s="2">
        <f t="shared" si="31"/>
        <v>37396398800</v>
      </c>
    </row>
    <row r="1021" spans="1:20" x14ac:dyDescent="0.3">
      <c r="A1021" s="1">
        <v>44699</v>
      </c>
      <c r="B1021" t="s">
        <v>809</v>
      </c>
      <c r="C1021" t="s">
        <v>23</v>
      </c>
      <c r="D1021" t="s">
        <v>688</v>
      </c>
      <c r="E1021">
        <v>3.2149999999999999</v>
      </c>
      <c r="F1021">
        <v>3.29</v>
      </c>
      <c r="G1021">
        <v>2.88</v>
      </c>
      <c r="H1021">
        <v>2.5</v>
      </c>
      <c r="I1021" s="2">
        <v>2555726000</v>
      </c>
      <c r="J1021" s="2">
        <v>42408785000</v>
      </c>
      <c r="K1021" s="2">
        <v>16988406000</v>
      </c>
      <c r="L1021" s="2">
        <v>11631900</v>
      </c>
      <c r="M1021" s="2">
        <v>2790775000</v>
      </c>
      <c r="N1021" s="2">
        <v>3978000000</v>
      </c>
      <c r="O1021" s="2">
        <v>2208632500</v>
      </c>
      <c r="P1021" s="2">
        <v>24549000000</v>
      </c>
      <c r="Q1021" s="2">
        <v>11988998500</v>
      </c>
      <c r="R1021" s="2">
        <v>13881785000</v>
      </c>
      <c r="S1021" s="2">
        <f t="shared" si="30"/>
        <v>0.41000000000000014</v>
      </c>
      <c r="T1021" s="2">
        <f t="shared" si="31"/>
        <v>19555763900</v>
      </c>
    </row>
    <row r="1022" spans="1:20" x14ac:dyDescent="0.3">
      <c r="A1022" s="1">
        <v>44705</v>
      </c>
      <c r="B1022" t="s">
        <v>808</v>
      </c>
      <c r="C1022" t="s">
        <v>18</v>
      </c>
      <c r="D1022" t="s">
        <v>21</v>
      </c>
      <c r="E1022">
        <v>2.4449999999999998</v>
      </c>
      <c r="F1022">
        <v>2.5190000000000001</v>
      </c>
      <c r="G1022">
        <v>2.4</v>
      </c>
      <c r="H1022">
        <v>2.61</v>
      </c>
      <c r="I1022" s="2">
        <v>7065830800</v>
      </c>
      <c r="J1022" s="2">
        <v>121731203000</v>
      </c>
      <c r="K1022" s="2">
        <v>46222751600</v>
      </c>
      <c r="L1022" s="2">
        <v>677416300</v>
      </c>
      <c r="M1022" s="2">
        <v>10212168600</v>
      </c>
      <c r="N1022" s="2">
        <v>14766000000</v>
      </c>
      <c r="O1022" s="2">
        <v>7096680000</v>
      </c>
      <c r="P1022" s="2">
        <v>66099000000</v>
      </c>
      <c r="Q1022" s="2">
        <v>28913903000</v>
      </c>
      <c r="R1022" s="2">
        <v>40866203000</v>
      </c>
      <c r="S1022" s="2">
        <f t="shared" si="30"/>
        <v>0.11900000000000022</v>
      </c>
      <c r="T1022" s="2">
        <f t="shared" si="31"/>
        <v>53965998700</v>
      </c>
    </row>
    <row r="1023" spans="1:20" x14ac:dyDescent="0.3">
      <c r="A1023" s="1">
        <v>44706</v>
      </c>
      <c r="B1023" t="s">
        <v>807</v>
      </c>
      <c r="C1023" t="s">
        <v>18</v>
      </c>
      <c r="D1023" t="s">
        <v>19</v>
      </c>
      <c r="E1023">
        <v>2.66</v>
      </c>
      <c r="F1023">
        <v>2.7360000000000002</v>
      </c>
      <c r="G1023">
        <v>2.6</v>
      </c>
      <c r="H1023">
        <v>2.44</v>
      </c>
      <c r="I1023" s="2">
        <v>7216167600</v>
      </c>
      <c r="J1023" s="2">
        <v>117064495000</v>
      </c>
      <c r="K1023" s="2">
        <v>47789053400</v>
      </c>
      <c r="L1023" s="2">
        <v>107996500</v>
      </c>
      <c r="M1023" s="2">
        <v>9572000000</v>
      </c>
      <c r="N1023" s="2">
        <v>11672000000</v>
      </c>
      <c r="O1023" s="2">
        <v>8143440000</v>
      </c>
      <c r="P1023" s="2">
        <v>71563000000</v>
      </c>
      <c r="Q1023" s="2">
        <v>30073613400</v>
      </c>
      <c r="R1023" s="2">
        <v>33829495000</v>
      </c>
      <c r="S1023" s="2">
        <f t="shared" si="30"/>
        <v>0.13600000000000012</v>
      </c>
      <c r="T1023" s="2">
        <f t="shared" si="31"/>
        <v>55113217500</v>
      </c>
    </row>
    <row r="1024" spans="1:20" x14ac:dyDescent="0.3">
      <c r="A1024" s="1">
        <v>44707</v>
      </c>
      <c r="B1024" t="s">
        <v>806</v>
      </c>
      <c r="C1024" t="s">
        <v>18</v>
      </c>
      <c r="D1024" t="s">
        <v>68</v>
      </c>
      <c r="E1024">
        <v>2.7120000000000002</v>
      </c>
      <c r="F1024">
        <v>2.7770000000000001</v>
      </c>
      <c r="G1024">
        <v>2.65</v>
      </c>
      <c r="H1024">
        <v>2.69</v>
      </c>
      <c r="I1024" s="2">
        <v>6314146600</v>
      </c>
      <c r="J1024" s="2">
        <v>112954820000</v>
      </c>
      <c r="K1024" s="2">
        <v>41982995000</v>
      </c>
      <c r="L1024" s="2">
        <v>17009000</v>
      </c>
      <c r="M1024" s="2">
        <v>6617100000</v>
      </c>
      <c r="N1024" s="2">
        <v>10101100000</v>
      </c>
      <c r="O1024" s="2">
        <v>2677000000</v>
      </c>
      <c r="P1024" s="2">
        <v>62487000000</v>
      </c>
      <c r="Q1024" s="2">
        <v>32688895000</v>
      </c>
      <c r="R1024" s="2">
        <v>40366720000</v>
      </c>
      <c r="S1024" s="2">
        <f t="shared" si="30"/>
        <v>0.12700000000000022</v>
      </c>
      <c r="T1024" s="2">
        <f t="shared" si="31"/>
        <v>48314150600</v>
      </c>
    </row>
    <row r="1025" spans="1:20" x14ac:dyDescent="0.3">
      <c r="A1025" s="1">
        <v>44719</v>
      </c>
      <c r="B1025" t="s">
        <v>810</v>
      </c>
      <c r="C1025" t="s">
        <v>18</v>
      </c>
      <c r="D1025" t="s">
        <v>52</v>
      </c>
      <c r="E1025">
        <v>2.87</v>
      </c>
      <c r="F1025">
        <v>2.927</v>
      </c>
      <c r="G1025">
        <v>2.78</v>
      </c>
      <c r="H1025">
        <v>2.4500000000000002</v>
      </c>
      <c r="I1025" s="2">
        <v>2587168100</v>
      </c>
      <c r="J1025" s="2">
        <v>107559550000</v>
      </c>
      <c r="K1025" s="2">
        <v>43625747800</v>
      </c>
      <c r="L1025" s="2">
        <v>174362800</v>
      </c>
      <c r="M1025" s="2">
        <v>10284652800</v>
      </c>
      <c r="N1025" s="2">
        <v>10773000000</v>
      </c>
      <c r="O1025" s="2">
        <v>10867545000</v>
      </c>
      <c r="P1025" s="2">
        <v>67164000000</v>
      </c>
      <c r="Q1025" s="2">
        <v>22473550000</v>
      </c>
      <c r="R1025" s="2">
        <v>29622550000</v>
      </c>
      <c r="S1025" s="2">
        <f t="shared" si="30"/>
        <v>0.14700000000000024</v>
      </c>
      <c r="T1025" s="2">
        <f t="shared" si="31"/>
        <v>46387278700</v>
      </c>
    </row>
    <row r="1026" spans="1:20" x14ac:dyDescent="0.3">
      <c r="A1026" s="1">
        <v>44720</v>
      </c>
      <c r="B1026" t="s">
        <v>805</v>
      </c>
      <c r="C1026" t="s">
        <v>18</v>
      </c>
      <c r="D1026" t="s">
        <v>29</v>
      </c>
      <c r="E1026">
        <v>2.95</v>
      </c>
      <c r="F1026">
        <v>3.03</v>
      </c>
      <c r="G1026">
        <v>2.89</v>
      </c>
      <c r="H1026">
        <v>2.41</v>
      </c>
      <c r="I1026" s="2">
        <v>1940376000</v>
      </c>
      <c r="J1026" s="2">
        <v>79577695000</v>
      </c>
      <c r="K1026" s="2">
        <v>32980790000</v>
      </c>
      <c r="L1026" s="2">
        <v>19228200</v>
      </c>
      <c r="M1026" s="2">
        <v>6388000000</v>
      </c>
      <c r="N1026" s="2">
        <v>6388000000</v>
      </c>
      <c r="O1026" s="2">
        <v>5619095000</v>
      </c>
      <c r="P1026" s="2">
        <v>49588000000</v>
      </c>
      <c r="Q1026" s="2">
        <v>20973695000</v>
      </c>
      <c r="R1026" s="2">
        <v>23601695000</v>
      </c>
      <c r="S1026" s="2">
        <f t="shared" ref="S1026:S1089" si="32">SUM($F1026,-$G1026)</f>
        <v>0.13999999999999968</v>
      </c>
      <c r="T1026" s="2">
        <f t="shared" ref="T1026:T1089" si="33">SUM(I1026,K1026,L1026)</f>
        <v>34940394200</v>
      </c>
    </row>
    <row r="1027" spans="1:20" x14ac:dyDescent="0.3">
      <c r="A1027" s="1">
        <v>44721</v>
      </c>
      <c r="B1027" t="s">
        <v>803</v>
      </c>
      <c r="C1027" t="s">
        <v>23</v>
      </c>
      <c r="D1027" t="s">
        <v>72</v>
      </c>
      <c r="E1027">
        <v>3.105</v>
      </c>
      <c r="F1027">
        <v>3.1850000000000001</v>
      </c>
      <c r="G1027">
        <v>3.03</v>
      </c>
      <c r="H1027">
        <v>2.35</v>
      </c>
      <c r="I1027" s="2">
        <v>1117186100</v>
      </c>
      <c r="J1027" s="2">
        <v>44665615000</v>
      </c>
      <c r="K1027" s="2">
        <v>18995835000</v>
      </c>
      <c r="L1027" s="2">
        <v>4183000</v>
      </c>
      <c r="M1027" s="2">
        <v>3209450000</v>
      </c>
      <c r="N1027" s="2">
        <v>3804200000</v>
      </c>
      <c r="O1027" s="2">
        <v>2675000000</v>
      </c>
      <c r="P1027" s="2">
        <v>25999000000</v>
      </c>
      <c r="Q1027" s="2">
        <v>13111385000</v>
      </c>
      <c r="R1027" s="2">
        <v>14862415000</v>
      </c>
      <c r="S1027" s="2">
        <f t="shared" si="32"/>
        <v>0.15500000000000025</v>
      </c>
      <c r="T1027" s="2">
        <f t="shared" si="33"/>
        <v>20117204100</v>
      </c>
    </row>
    <row r="1028" spans="1:20" x14ac:dyDescent="0.3">
      <c r="A1028" s="1">
        <v>44734</v>
      </c>
      <c r="B1028" t="s">
        <v>809</v>
      </c>
      <c r="C1028" t="s">
        <v>23</v>
      </c>
      <c r="D1028" t="s">
        <v>693</v>
      </c>
      <c r="E1028">
        <v>3.4049999999999998</v>
      </c>
      <c r="F1028">
        <v>3.488</v>
      </c>
      <c r="G1028">
        <v>3.38</v>
      </c>
      <c r="H1028">
        <v>2.6</v>
      </c>
      <c r="I1028" s="2">
        <v>1069995200</v>
      </c>
      <c r="J1028" s="2">
        <v>36336052000</v>
      </c>
      <c r="K1028" s="2">
        <v>13987507000</v>
      </c>
      <c r="L1028" s="2">
        <v>12493400</v>
      </c>
      <c r="M1028" s="2">
        <v>2826000000</v>
      </c>
      <c r="N1028" s="2">
        <v>3426000000</v>
      </c>
      <c r="O1028" s="2">
        <v>1728000000</v>
      </c>
      <c r="P1028" s="2">
        <v>21409000000</v>
      </c>
      <c r="Q1028" s="2">
        <v>9433507000</v>
      </c>
      <c r="R1028" s="2">
        <v>11501052000</v>
      </c>
      <c r="S1028" s="2">
        <f t="shared" si="32"/>
        <v>0.1080000000000001</v>
      </c>
      <c r="T1028" s="2">
        <f t="shared" si="33"/>
        <v>15069995600</v>
      </c>
    </row>
    <row r="1029" spans="1:20" x14ac:dyDescent="0.3">
      <c r="A1029" s="1">
        <v>44739</v>
      </c>
      <c r="B1029" t="s">
        <v>813</v>
      </c>
      <c r="C1029" t="s">
        <v>18</v>
      </c>
      <c r="D1029" t="s">
        <v>19</v>
      </c>
      <c r="E1029">
        <v>3.18</v>
      </c>
      <c r="F1029">
        <v>3.2709999999999999</v>
      </c>
      <c r="G1029">
        <v>3.12</v>
      </c>
      <c r="H1029">
        <v>2.2799999999999998</v>
      </c>
      <c r="I1029" s="2">
        <v>3592126900</v>
      </c>
      <c r="J1029" s="2">
        <v>107150435000</v>
      </c>
      <c r="K1029" s="2">
        <v>46888035000</v>
      </c>
      <c r="L1029" s="2">
        <v>111967900</v>
      </c>
      <c r="M1029" s="2">
        <v>9237000000</v>
      </c>
      <c r="N1029" s="2">
        <v>11237000000</v>
      </c>
      <c r="O1029" s="2">
        <v>11173600000</v>
      </c>
      <c r="P1029" s="2">
        <v>66136000000</v>
      </c>
      <c r="Q1029" s="2">
        <v>26477435000</v>
      </c>
      <c r="R1029" s="2">
        <v>29777435000</v>
      </c>
      <c r="S1029" s="2">
        <f t="shared" si="32"/>
        <v>0.1509999999999998</v>
      </c>
      <c r="T1029" s="2">
        <f t="shared" si="33"/>
        <v>50592129800</v>
      </c>
    </row>
    <row r="1030" spans="1:20" x14ac:dyDescent="0.3">
      <c r="A1030" s="1">
        <v>44739</v>
      </c>
      <c r="B1030" t="s">
        <v>812</v>
      </c>
      <c r="C1030" t="s">
        <v>18</v>
      </c>
      <c r="D1030" t="s">
        <v>21</v>
      </c>
      <c r="E1030">
        <v>3</v>
      </c>
      <c r="F1030">
        <v>3.0840000000000001</v>
      </c>
      <c r="G1030">
        <v>2.94</v>
      </c>
      <c r="H1030">
        <v>2.5099999999999998</v>
      </c>
      <c r="I1030" s="2">
        <v>3515698700</v>
      </c>
      <c r="J1030" s="2">
        <v>114511436000</v>
      </c>
      <c r="K1030" s="2">
        <v>45115298500</v>
      </c>
      <c r="L1030" s="2">
        <v>784936800</v>
      </c>
      <c r="M1030" s="2">
        <v>11406300000</v>
      </c>
      <c r="N1030" s="2">
        <v>13406300000</v>
      </c>
      <c r="O1030" s="2">
        <v>10486322500</v>
      </c>
      <c r="P1030" s="2">
        <v>64691000000</v>
      </c>
      <c r="Q1030" s="2">
        <v>23222676000</v>
      </c>
      <c r="R1030" s="2">
        <v>36414136000</v>
      </c>
      <c r="S1030" s="2">
        <f t="shared" si="32"/>
        <v>0.14400000000000013</v>
      </c>
      <c r="T1030" s="2">
        <f t="shared" si="33"/>
        <v>49415934000</v>
      </c>
    </row>
    <row r="1031" spans="1:20" x14ac:dyDescent="0.3">
      <c r="A1031" s="1">
        <v>44740</v>
      </c>
      <c r="B1031" t="s">
        <v>811</v>
      </c>
      <c r="C1031" t="s">
        <v>18</v>
      </c>
      <c r="D1031" t="s">
        <v>68</v>
      </c>
      <c r="E1031">
        <v>3.1989999999999998</v>
      </c>
      <c r="F1031">
        <v>3.28</v>
      </c>
      <c r="G1031">
        <v>3.13</v>
      </c>
      <c r="H1031">
        <v>2.48</v>
      </c>
      <c r="I1031" s="2">
        <v>3057129200</v>
      </c>
      <c r="J1031" s="2">
        <v>99218190000</v>
      </c>
      <c r="K1031" s="2">
        <v>39973204000</v>
      </c>
      <c r="L1031" s="2">
        <v>26817200</v>
      </c>
      <c r="M1031" s="2">
        <v>8160500000</v>
      </c>
      <c r="N1031" s="2">
        <v>9910500000</v>
      </c>
      <c r="O1031" s="2">
        <v>7086765000</v>
      </c>
      <c r="P1031" s="2">
        <v>60597000000</v>
      </c>
      <c r="Q1031" s="2">
        <v>24725939000</v>
      </c>
      <c r="R1031" s="2">
        <v>28710690000</v>
      </c>
      <c r="S1031" s="2">
        <f t="shared" si="32"/>
        <v>0.14999999999999991</v>
      </c>
      <c r="T1031" s="2">
        <f t="shared" si="33"/>
        <v>43057150400</v>
      </c>
    </row>
    <row r="1032" spans="1:20" x14ac:dyDescent="0.3">
      <c r="A1032" s="1">
        <v>44753</v>
      </c>
      <c r="B1032" t="s">
        <v>814</v>
      </c>
      <c r="C1032" t="s">
        <v>18</v>
      </c>
      <c r="D1032" t="s">
        <v>52</v>
      </c>
      <c r="E1032">
        <v>3.0379999999999998</v>
      </c>
      <c r="F1032">
        <v>3.093</v>
      </c>
      <c r="G1032">
        <v>2.9</v>
      </c>
      <c r="H1032">
        <v>2.4300000000000002</v>
      </c>
      <c r="I1032" s="2">
        <v>5480672400</v>
      </c>
      <c r="J1032" s="2">
        <v>104134900000</v>
      </c>
      <c r="K1032" s="2">
        <v>42740347400</v>
      </c>
      <c r="L1032" s="2">
        <v>159662100</v>
      </c>
      <c r="M1032" s="2">
        <v>8271207400</v>
      </c>
      <c r="N1032" s="2">
        <v>8592000000</v>
      </c>
      <c r="O1032" s="2">
        <v>8668240000</v>
      </c>
      <c r="P1032" s="2">
        <v>62227000000</v>
      </c>
      <c r="Q1032" s="2">
        <v>25800900000</v>
      </c>
      <c r="R1032" s="2">
        <v>33315900000</v>
      </c>
      <c r="S1032" s="2">
        <f t="shared" si="32"/>
        <v>0.19300000000000006</v>
      </c>
      <c r="T1032" s="2">
        <f t="shared" si="33"/>
        <v>48380681900</v>
      </c>
    </row>
    <row r="1033" spans="1:20" x14ac:dyDescent="0.3">
      <c r="A1033" s="1">
        <v>44754</v>
      </c>
      <c r="B1033" t="s">
        <v>805</v>
      </c>
      <c r="C1033" t="s">
        <v>18</v>
      </c>
      <c r="D1033" t="s">
        <v>59</v>
      </c>
      <c r="E1033">
        <v>2.85</v>
      </c>
      <c r="F1033">
        <v>2.96</v>
      </c>
      <c r="G1033">
        <v>2.81</v>
      </c>
      <c r="H1033">
        <v>2.34</v>
      </c>
      <c r="I1033" s="2">
        <v>4206097400</v>
      </c>
      <c r="J1033" s="2">
        <v>77346345000</v>
      </c>
      <c r="K1033" s="2">
        <v>32988390000</v>
      </c>
      <c r="L1033" s="2">
        <v>11623000</v>
      </c>
      <c r="M1033" s="2">
        <v>5929000000</v>
      </c>
      <c r="N1033" s="2">
        <v>5929000000</v>
      </c>
      <c r="O1033" s="2">
        <v>6827870000</v>
      </c>
      <c r="P1033" s="2">
        <v>48798000000</v>
      </c>
      <c r="Q1033" s="2">
        <v>20231520000</v>
      </c>
      <c r="R1033" s="2">
        <v>22619345000</v>
      </c>
      <c r="S1033" s="2">
        <f t="shared" si="32"/>
        <v>0.14999999999999991</v>
      </c>
      <c r="T1033" s="2">
        <f t="shared" si="33"/>
        <v>37206110400</v>
      </c>
    </row>
    <row r="1034" spans="1:20" x14ac:dyDescent="0.3">
      <c r="A1034" s="1">
        <v>44755</v>
      </c>
      <c r="B1034" t="s">
        <v>803</v>
      </c>
      <c r="C1034" t="s">
        <v>23</v>
      </c>
      <c r="D1034" t="s">
        <v>91</v>
      </c>
      <c r="E1034">
        <v>3.05</v>
      </c>
      <c r="F1034">
        <v>3.1150000000000002</v>
      </c>
      <c r="G1034">
        <v>2.99</v>
      </c>
      <c r="H1034">
        <v>2.44</v>
      </c>
      <c r="I1034" s="2">
        <v>2421692400</v>
      </c>
      <c r="J1034" s="2">
        <v>46277320000</v>
      </c>
      <c r="K1034" s="2">
        <v>18997865100</v>
      </c>
      <c r="L1034" s="2">
        <v>2140800</v>
      </c>
      <c r="M1034" s="2">
        <v>3103450000</v>
      </c>
      <c r="N1034" s="2">
        <v>3562200000</v>
      </c>
      <c r="O1034" s="2">
        <v>1988000000</v>
      </c>
      <c r="P1034" s="2">
        <v>26111000000</v>
      </c>
      <c r="Q1034" s="2">
        <v>13906415100</v>
      </c>
      <c r="R1034" s="2">
        <v>16604120000</v>
      </c>
      <c r="S1034" s="2">
        <f t="shared" si="32"/>
        <v>0.125</v>
      </c>
      <c r="T1034" s="2">
        <f t="shared" si="33"/>
        <v>21421698300</v>
      </c>
    </row>
    <row r="1035" spans="1:20" x14ac:dyDescent="0.3">
      <c r="A1035" s="1">
        <v>44762</v>
      </c>
      <c r="B1035" t="s">
        <v>809</v>
      </c>
      <c r="C1035" t="s">
        <v>23</v>
      </c>
      <c r="D1035" t="s">
        <v>698</v>
      </c>
      <c r="E1035">
        <v>3.33</v>
      </c>
      <c r="F1035">
        <v>3.42</v>
      </c>
      <c r="G1035">
        <v>2.88</v>
      </c>
      <c r="H1035">
        <v>2.65</v>
      </c>
      <c r="I1035" s="2">
        <v>1214667200</v>
      </c>
      <c r="J1035" s="2">
        <v>37136990000</v>
      </c>
      <c r="K1035" s="2">
        <v>13980661700</v>
      </c>
      <c r="L1035" s="2">
        <v>19340100</v>
      </c>
      <c r="M1035" s="2">
        <v>1970000000</v>
      </c>
      <c r="N1035" s="2">
        <v>2697000000</v>
      </c>
      <c r="O1035" s="2">
        <v>1110241400</v>
      </c>
      <c r="P1035" s="2">
        <v>20900000000</v>
      </c>
      <c r="Q1035" s="2">
        <v>10900420300</v>
      </c>
      <c r="R1035" s="2">
        <v>13539990000</v>
      </c>
      <c r="S1035" s="2">
        <f t="shared" si="32"/>
        <v>0.54</v>
      </c>
      <c r="T1035" s="2">
        <f t="shared" si="33"/>
        <v>15214669000</v>
      </c>
    </row>
    <row r="1036" spans="1:20" x14ac:dyDescent="0.3">
      <c r="A1036" s="1">
        <v>44767</v>
      </c>
      <c r="B1036" t="s">
        <v>816</v>
      </c>
      <c r="C1036" t="s">
        <v>18</v>
      </c>
      <c r="D1036" t="s">
        <v>21</v>
      </c>
      <c r="E1036">
        <v>2.95</v>
      </c>
      <c r="F1036">
        <v>3.0150000000000001</v>
      </c>
      <c r="G1036">
        <v>2.85</v>
      </c>
      <c r="H1036">
        <v>2.58</v>
      </c>
      <c r="I1036" s="2">
        <v>3904287700</v>
      </c>
      <c r="J1036" s="2">
        <v>115484485000</v>
      </c>
      <c r="K1036" s="2">
        <v>44253657400</v>
      </c>
      <c r="L1036" s="2">
        <v>643391200</v>
      </c>
      <c r="M1036" s="2">
        <v>8855682400</v>
      </c>
      <c r="N1036" s="2">
        <v>11307000000</v>
      </c>
      <c r="O1036" s="2">
        <v>7941490000</v>
      </c>
      <c r="P1036" s="2">
        <v>64515000000</v>
      </c>
      <c r="Q1036" s="2">
        <v>27456485000</v>
      </c>
      <c r="R1036" s="2">
        <v>39662485000</v>
      </c>
      <c r="S1036" s="2">
        <f t="shared" si="32"/>
        <v>0.16500000000000004</v>
      </c>
      <c r="T1036" s="2">
        <f t="shared" si="33"/>
        <v>48801336300</v>
      </c>
    </row>
    <row r="1037" spans="1:20" x14ac:dyDescent="0.3">
      <c r="A1037" s="1">
        <v>44768</v>
      </c>
      <c r="B1037" t="s">
        <v>815</v>
      </c>
      <c r="C1037" t="s">
        <v>18</v>
      </c>
      <c r="D1037" t="s">
        <v>19</v>
      </c>
      <c r="E1037">
        <v>2.8</v>
      </c>
      <c r="F1037">
        <v>2.86</v>
      </c>
      <c r="G1037">
        <v>2.72</v>
      </c>
      <c r="H1037">
        <v>2.46</v>
      </c>
      <c r="I1037" s="2">
        <v>3991049500</v>
      </c>
      <c r="J1037" s="2">
        <v>113252120000</v>
      </c>
      <c r="K1037" s="2">
        <v>45932955000</v>
      </c>
      <c r="L1037" s="2">
        <v>64082100</v>
      </c>
      <c r="M1037" s="2">
        <v>7723500000</v>
      </c>
      <c r="N1037" s="2">
        <v>9088000000</v>
      </c>
      <c r="O1037" s="2">
        <v>7722335000</v>
      </c>
      <c r="P1037" s="2">
        <v>66400000000</v>
      </c>
      <c r="Q1037" s="2">
        <v>30487120000</v>
      </c>
      <c r="R1037" s="2">
        <v>37764120000</v>
      </c>
      <c r="S1037" s="2">
        <f t="shared" si="32"/>
        <v>0.13999999999999968</v>
      </c>
      <c r="T1037" s="2">
        <f t="shared" si="33"/>
        <v>49988086600</v>
      </c>
    </row>
    <row r="1038" spans="1:20" x14ac:dyDescent="0.3">
      <c r="A1038" s="1">
        <v>44770</v>
      </c>
      <c r="B1038" t="s">
        <v>817</v>
      </c>
      <c r="C1038" t="s">
        <v>18</v>
      </c>
      <c r="D1038" t="s">
        <v>68</v>
      </c>
      <c r="E1038">
        <v>2.65</v>
      </c>
      <c r="F1038">
        <v>2.73</v>
      </c>
      <c r="G1038">
        <v>2.5920000000000001</v>
      </c>
      <c r="H1038">
        <v>2.6</v>
      </c>
      <c r="I1038" s="2">
        <v>3296953900</v>
      </c>
      <c r="J1038" s="2">
        <v>98935690000</v>
      </c>
      <c r="K1038" s="2">
        <v>37986148000</v>
      </c>
      <c r="L1038" s="2">
        <v>13898900</v>
      </c>
      <c r="M1038" s="2">
        <v>7003480000</v>
      </c>
      <c r="N1038" s="2">
        <v>7977500000</v>
      </c>
      <c r="O1038" s="2">
        <v>4037280000</v>
      </c>
      <c r="P1038" s="2">
        <v>58299000000</v>
      </c>
      <c r="Q1038" s="2">
        <v>26945388000</v>
      </c>
      <c r="R1038" s="2">
        <v>32659190000</v>
      </c>
      <c r="S1038" s="2">
        <f t="shared" si="32"/>
        <v>0.1379999999999999</v>
      </c>
      <c r="T1038" s="2">
        <f t="shared" si="33"/>
        <v>41297000800</v>
      </c>
    </row>
    <row r="1039" spans="1:20" x14ac:dyDescent="0.3">
      <c r="A1039" s="1">
        <v>44782</v>
      </c>
      <c r="B1039" t="s">
        <v>820</v>
      </c>
      <c r="C1039" t="s">
        <v>18</v>
      </c>
      <c r="D1039" t="s">
        <v>52</v>
      </c>
      <c r="E1039">
        <v>3.14</v>
      </c>
      <c r="F1039">
        <v>3.202</v>
      </c>
      <c r="G1039">
        <v>3.0750000000000002</v>
      </c>
      <c r="H1039">
        <v>2.5</v>
      </c>
      <c r="I1039" s="2">
        <v>26564314000</v>
      </c>
      <c r="J1039" s="2">
        <v>104730405000</v>
      </c>
      <c r="K1039" s="2">
        <v>41704680000</v>
      </c>
      <c r="L1039" s="2">
        <v>195323600</v>
      </c>
      <c r="M1039" s="2">
        <v>7207500000</v>
      </c>
      <c r="N1039" s="2">
        <v>8940000000</v>
      </c>
      <c r="O1039" s="2">
        <v>8191625000</v>
      </c>
      <c r="P1039" s="2">
        <v>59633000000</v>
      </c>
      <c r="Q1039" s="2">
        <v>26305555000</v>
      </c>
      <c r="R1039" s="2">
        <v>36157405000</v>
      </c>
      <c r="S1039" s="2">
        <f t="shared" si="32"/>
        <v>0.12699999999999978</v>
      </c>
      <c r="T1039" s="2">
        <f t="shared" si="33"/>
        <v>68464317600</v>
      </c>
    </row>
    <row r="1040" spans="1:20" x14ac:dyDescent="0.3">
      <c r="A1040" s="1">
        <v>44783</v>
      </c>
      <c r="B1040" t="s">
        <v>819</v>
      </c>
      <c r="C1040" t="s">
        <v>18</v>
      </c>
      <c r="D1040" t="s">
        <v>26</v>
      </c>
      <c r="E1040">
        <v>2.69</v>
      </c>
      <c r="F1040">
        <v>2.7549999999999999</v>
      </c>
      <c r="G1040">
        <v>2.59</v>
      </c>
      <c r="H1040">
        <v>2.5299999999999998</v>
      </c>
      <c r="I1040" s="2">
        <v>22136928300</v>
      </c>
      <c r="J1040" s="2">
        <v>88603550000</v>
      </c>
      <c r="K1040" s="2">
        <v>34972143000</v>
      </c>
      <c r="L1040" s="2">
        <v>27867100</v>
      </c>
      <c r="M1040" s="2">
        <v>5442000000</v>
      </c>
      <c r="N1040" s="2">
        <v>6006000000</v>
      </c>
      <c r="O1040" s="2">
        <v>3469593000</v>
      </c>
      <c r="P1040" s="2">
        <v>52934000000</v>
      </c>
      <c r="Q1040" s="2">
        <v>26060550000</v>
      </c>
      <c r="R1040" s="2">
        <v>29663550000</v>
      </c>
      <c r="S1040" s="2">
        <f t="shared" si="32"/>
        <v>0.16500000000000004</v>
      </c>
      <c r="T1040" s="2">
        <f t="shared" si="33"/>
        <v>57136938400</v>
      </c>
    </row>
    <row r="1041" spans="1:20" x14ac:dyDescent="0.3">
      <c r="A1041" s="1">
        <v>44784</v>
      </c>
      <c r="B1041" t="s">
        <v>818</v>
      </c>
      <c r="C1041" t="s">
        <v>23</v>
      </c>
      <c r="D1041" t="s">
        <v>65</v>
      </c>
      <c r="E1041">
        <v>3.0190000000000001</v>
      </c>
      <c r="F1041">
        <v>3.1059999999999999</v>
      </c>
      <c r="G1041">
        <v>2.9</v>
      </c>
      <c r="H1041">
        <v>2.31</v>
      </c>
      <c r="I1041" s="2">
        <v>13282157000</v>
      </c>
      <c r="J1041" s="2">
        <v>48503751000</v>
      </c>
      <c r="K1041" s="2">
        <v>20991551000</v>
      </c>
      <c r="L1041" s="2">
        <v>8450900</v>
      </c>
      <c r="M1041" s="2">
        <v>3886400000</v>
      </c>
      <c r="N1041" s="2">
        <v>3906400000</v>
      </c>
      <c r="O1041" s="2">
        <v>2275000000</v>
      </c>
      <c r="P1041" s="2">
        <v>27682000000</v>
      </c>
      <c r="Q1041" s="2">
        <v>14830151000</v>
      </c>
      <c r="R1041" s="2">
        <v>16915351000</v>
      </c>
      <c r="S1041" s="2">
        <f t="shared" si="32"/>
        <v>0.20599999999999996</v>
      </c>
      <c r="T1041" s="2">
        <f t="shared" si="33"/>
        <v>34282158900</v>
      </c>
    </row>
    <row r="1042" spans="1:20" x14ac:dyDescent="0.3">
      <c r="A1042" s="1">
        <v>44790</v>
      </c>
      <c r="B1042" t="s">
        <v>824</v>
      </c>
      <c r="C1042" t="s">
        <v>23</v>
      </c>
      <c r="D1042" t="s">
        <v>688</v>
      </c>
      <c r="E1042">
        <v>3.28</v>
      </c>
      <c r="F1042">
        <v>3.38</v>
      </c>
      <c r="G1042">
        <v>3.22</v>
      </c>
      <c r="H1042">
        <v>2.2999999999999998</v>
      </c>
      <c r="I1042" s="2">
        <v>1952865900</v>
      </c>
      <c r="J1042" s="2">
        <v>34548820000</v>
      </c>
      <c r="K1042" s="2">
        <v>14975804000</v>
      </c>
      <c r="L1042" s="2">
        <v>24211300</v>
      </c>
      <c r="M1042" s="2">
        <v>2743000000</v>
      </c>
      <c r="N1042" s="2">
        <v>2743000000</v>
      </c>
      <c r="O1042" s="2">
        <v>2202984000</v>
      </c>
      <c r="P1042" s="2">
        <v>20320000000</v>
      </c>
      <c r="Q1042" s="2">
        <v>10029820000</v>
      </c>
      <c r="R1042" s="2">
        <v>11485820000</v>
      </c>
      <c r="S1042" s="2">
        <f t="shared" si="32"/>
        <v>0.1599999999999997</v>
      </c>
      <c r="T1042" s="2">
        <f t="shared" si="33"/>
        <v>16952881200</v>
      </c>
    </row>
    <row r="1043" spans="1:20" x14ac:dyDescent="0.3">
      <c r="A1043" s="1">
        <v>44796</v>
      </c>
      <c r="B1043" t="s">
        <v>823</v>
      </c>
      <c r="C1043" t="s">
        <v>18</v>
      </c>
      <c r="D1043" t="s">
        <v>21</v>
      </c>
      <c r="E1043">
        <v>3.25</v>
      </c>
      <c r="F1043">
        <v>3.3069999999999999</v>
      </c>
      <c r="G1043">
        <v>3.15</v>
      </c>
      <c r="H1043">
        <v>2.4900000000000002</v>
      </c>
      <c r="I1043" s="2">
        <v>5728406800</v>
      </c>
      <c r="J1043" s="2">
        <v>108500187000</v>
      </c>
      <c r="K1043" s="2">
        <v>43039847000</v>
      </c>
      <c r="L1043" s="2">
        <v>755211300</v>
      </c>
      <c r="M1043" s="2">
        <v>7452000000</v>
      </c>
      <c r="N1043" s="2">
        <v>7452000000</v>
      </c>
      <c r="O1043" s="2">
        <v>9878580000</v>
      </c>
      <c r="P1043" s="2">
        <v>62146000000</v>
      </c>
      <c r="Q1043" s="2">
        <v>25709267000</v>
      </c>
      <c r="R1043" s="2">
        <v>38902187000</v>
      </c>
      <c r="S1043" s="2">
        <f t="shared" si="32"/>
        <v>0.15700000000000003</v>
      </c>
      <c r="T1043" s="2">
        <f t="shared" si="33"/>
        <v>49523465100</v>
      </c>
    </row>
    <row r="1044" spans="1:20" x14ac:dyDescent="0.3">
      <c r="A1044" s="1">
        <v>44797</v>
      </c>
      <c r="B1044" t="s">
        <v>822</v>
      </c>
      <c r="C1044" t="s">
        <v>18</v>
      </c>
      <c r="D1044" t="s">
        <v>19</v>
      </c>
      <c r="E1044">
        <v>3.15</v>
      </c>
      <c r="F1044">
        <v>3.23</v>
      </c>
      <c r="G1044">
        <v>3.05</v>
      </c>
      <c r="H1044">
        <v>2.2999999999999998</v>
      </c>
      <c r="I1044" s="2">
        <v>5858597800</v>
      </c>
      <c r="J1044" s="2">
        <v>103277450000</v>
      </c>
      <c r="K1044" s="2">
        <v>44899090000</v>
      </c>
      <c r="L1044" s="2">
        <v>97952400</v>
      </c>
      <c r="M1044" s="2">
        <v>8179000000</v>
      </c>
      <c r="N1044" s="2">
        <v>8329000000</v>
      </c>
      <c r="O1044" s="2">
        <v>9251960000</v>
      </c>
      <c r="P1044" s="2">
        <v>62706000000</v>
      </c>
      <c r="Q1044" s="2">
        <v>27468130000</v>
      </c>
      <c r="R1044" s="2">
        <v>32242450000</v>
      </c>
      <c r="S1044" s="2">
        <f t="shared" si="32"/>
        <v>0.18000000000000016</v>
      </c>
      <c r="T1044" s="2">
        <f t="shared" si="33"/>
        <v>50855640200</v>
      </c>
    </row>
    <row r="1045" spans="1:20" x14ac:dyDescent="0.3">
      <c r="A1045" s="1">
        <v>44798</v>
      </c>
      <c r="B1045" t="s">
        <v>821</v>
      </c>
      <c r="C1045" t="s">
        <v>18</v>
      </c>
      <c r="D1045" t="s">
        <v>68</v>
      </c>
      <c r="E1045">
        <v>3.09</v>
      </c>
      <c r="F1045">
        <v>3.13</v>
      </c>
      <c r="G1045">
        <v>3.05</v>
      </c>
      <c r="H1045">
        <v>2.65</v>
      </c>
      <c r="I1045" s="2">
        <v>4817069300</v>
      </c>
      <c r="J1045" s="2">
        <v>98204705000</v>
      </c>
      <c r="K1045" s="2">
        <v>36980452100</v>
      </c>
      <c r="L1045" s="2">
        <v>19604600</v>
      </c>
      <c r="M1045" s="2">
        <v>5805500000</v>
      </c>
      <c r="N1045" s="2">
        <v>8124500000</v>
      </c>
      <c r="O1045" s="2">
        <v>3174403000</v>
      </c>
      <c r="P1045" s="2">
        <v>54206000000</v>
      </c>
      <c r="Q1045" s="2">
        <v>28000549100</v>
      </c>
      <c r="R1045" s="2">
        <v>35874205000</v>
      </c>
      <c r="S1045" s="2">
        <f t="shared" si="32"/>
        <v>8.0000000000000071E-2</v>
      </c>
      <c r="T1045" s="2">
        <f t="shared" si="33"/>
        <v>41817126000</v>
      </c>
    </row>
    <row r="1046" spans="1:20" x14ac:dyDescent="0.3">
      <c r="A1046" s="1">
        <v>44816</v>
      </c>
      <c r="B1046" t="s">
        <v>819</v>
      </c>
      <c r="C1046" t="s">
        <v>18</v>
      </c>
      <c r="D1046" t="s">
        <v>29</v>
      </c>
      <c r="E1046">
        <v>3.24</v>
      </c>
      <c r="F1046">
        <v>3.33</v>
      </c>
      <c r="G1046">
        <v>3.17</v>
      </c>
      <c r="H1046">
        <v>2.37</v>
      </c>
      <c r="I1046" s="2">
        <v>0</v>
      </c>
      <c r="J1046" s="2">
        <v>75776005000</v>
      </c>
      <c r="K1046" s="2">
        <v>31981829000</v>
      </c>
      <c r="L1046" s="2">
        <v>18181400</v>
      </c>
      <c r="M1046" s="2">
        <v>5721000000</v>
      </c>
      <c r="N1046" s="2">
        <v>5741000000</v>
      </c>
      <c r="O1046" s="2">
        <v>6336744000</v>
      </c>
      <c r="P1046" s="2">
        <v>47514000000</v>
      </c>
      <c r="Q1046" s="2">
        <v>19924085000</v>
      </c>
      <c r="R1046" s="2">
        <v>22521005000</v>
      </c>
      <c r="S1046" s="2">
        <f t="shared" si="32"/>
        <v>0.16000000000000014</v>
      </c>
      <c r="T1046" s="2">
        <f t="shared" si="33"/>
        <v>32000010400</v>
      </c>
    </row>
    <row r="1047" spans="1:20" x14ac:dyDescent="0.3">
      <c r="A1047" s="1">
        <v>44816</v>
      </c>
      <c r="B1047" t="s">
        <v>825</v>
      </c>
      <c r="C1047" t="s">
        <v>18</v>
      </c>
      <c r="D1047" t="s">
        <v>52</v>
      </c>
      <c r="E1047">
        <v>3.5</v>
      </c>
      <c r="F1047">
        <v>3.5640000000000001</v>
      </c>
      <c r="G1047">
        <v>3.39</v>
      </c>
      <c r="H1047">
        <v>2.4900000000000002</v>
      </c>
      <c r="I1047" s="2">
        <v>0</v>
      </c>
      <c r="J1047" s="2">
        <v>102035600000</v>
      </c>
      <c r="K1047" s="2">
        <v>40791578000</v>
      </c>
      <c r="L1047" s="2">
        <v>208435000</v>
      </c>
      <c r="M1047" s="2">
        <v>8913000000</v>
      </c>
      <c r="N1047" s="2">
        <v>10913000000</v>
      </c>
      <c r="O1047" s="2">
        <v>9627585000</v>
      </c>
      <c r="P1047" s="2">
        <v>59518000000</v>
      </c>
      <c r="Q1047" s="2">
        <v>22250993000</v>
      </c>
      <c r="R1047" s="2">
        <v>31604600000</v>
      </c>
      <c r="S1047" s="2">
        <f t="shared" si="32"/>
        <v>0.17399999999999993</v>
      </c>
      <c r="T1047" s="2">
        <f t="shared" si="33"/>
        <v>41000013000</v>
      </c>
    </row>
    <row r="1048" spans="1:20" x14ac:dyDescent="0.3">
      <c r="A1048" s="1">
        <v>44817</v>
      </c>
      <c r="B1048" t="s">
        <v>818</v>
      </c>
      <c r="C1048" t="s">
        <v>23</v>
      </c>
      <c r="D1048" t="s">
        <v>72</v>
      </c>
      <c r="E1048">
        <v>3.45</v>
      </c>
      <c r="F1048">
        <v>3.5110000000000001</v>
      </c>
      <c r="G1048">
        <v>3.4</v>
      </c>
      <c r="H1048">
        <v>2.42</v>
      </c>
      <c r="I1048" s="2">
        <v>0</v>
      </c>
      <c r="J1048" s="2">
        <v>43531375000</v>
      </c>
      <c r="K1048" s="2">
        <v>17996633400</v>
      </c>
      <c r="L1048" s="2">
        <v>3376400</v>
      </c>
      <c r="M1048" s="2">
        <v>3070100000</v>
      </c>
      <c r="N1048" s="2">
        <v>3333600000</v>
      </c>
      <c r="O1048" s="2">
        <v>1952911900</v>
      </c>
      <c r="P1048" s="2">
        <v>24573000000</v>
      </c>
      <c r="Q1048" s="2">
        <v>12973621500</v>
      </c>
      <c r="R1048" s="2">
        <v>15624775000</v>
      </c>
      <c r="S1048" s="2">
        <f t="shared" si="32"/>
        <v>0.11100000000000021</v>
      </c>
      <c r="T1048" s="2">
        <f t="shared" si="33"/>
        <v>18000009800</v>
      </c>
    </row>
    <row r="1049" spans="1:20" x14ac:dyDescent="0.3">
      <c r="A1049" s="1">
        <v>44824</v>
      </c>
      <c r="B1049" t="s">
        <v>824</v>
      </c>
      <c r="C1049" t="s">
        <v>23</v>
      </c>
      <c r="D1049" t="s">
        <v>693</v>
      </c>
      <c r="E1049">
        <v>3.75</v>
      </c>
      <c r="F1049">
        <v>3.82</v>
      </c>
      <c r="G1049">
        <v>3.7</v>
      </c>
      <c r="H1049">
        <v>2.65</v>
      </c>
      <c r="I1049" s="2">
        <v>0</v>
      </c>
      <c r="J1049" s="2">
        <v>31847630000</v>
      </c>
      <c r="K1049" s="2">
        <v>11989480000</v>
      </c>
      <c r="L1049" s="2">
        <v>10543100</v>
      </c>
      <c r="M1049" s="2">
        <v>1992500000</v>
      </c>
      <c r="N1049" s="2">
        <v>2405000000</v>
      </c>
      <c r="O1049" s="2">
        <v>966529000</v>
      </c>
      <c r="P1049" s="2">
        <v>17804000000</v>
      </c>
      <c r="Q1049" s="2">
        <v>9030451000</v>
      </c>
      <c r="R1049" s="2">
        <v>11638630000</v>
      </c>
      <c r="S1049" s="2">
        <f t="shared" si="32"/>
        <v>0.11999999999999966</v>
      </c>
      <c r="T1049" s="2">
        <f t="shared" si="33"/>
        <v>12000023100</v>
      </c>
    </row>
    <row r="1050" spans="1:20" x14ac:dyDescent="0.3">
      <c r="A1050" s="1">
        <v>44830</v>
      </c>
      <c r="B1050" t="s">
        <v>826</v>
      </c>
      <c r="C1050" t="s">
        <v>18</v>
      </c>
      <c r="D1050" t="s">
        <v>21</v>
      </c>
      <c r="E1050">
        <v>4.22</v>
      </c>
      <c r="F1050">
        <v>4.29</v>
      </c>
      <c r="G1050">
        <v>4.0999999999999996</v>
      </c>
      <c r="H1050">
        <v>2.5099999999999998</v>
      </c>
      <c r="I1050" s="2">
        <v>0</v>
      </c>
      <c r="J1050" s="2">
        <v>106044797000</v>
      </c>
      <c r="K1050" s="2">
        <v>41136040500</v>
      </c>
      <c r="L1050" s="2">
        <v>1644083200</v>
      </c>
      <c r="M1050" s="2">
        <v>10219000000</v>
      </c>
      <c r="N1050" s="2">
        <v>10219000000</v>
      </c>
      <c r="O1050" s="2">
        <v>9133651500</v>
      </c>
      <c r="P1050" s="2">
        <v>60743000000</v>
      </c>
      <c r="Q1050" s="2">
        <v>21783389000</v>
      </c>
      <c r="R1050" s="2">
        <v>35082797000</v>
      </c>
      <c r="S1050" s="2">
        <f t="shared" si="32"/>
        <v>0.19000000000000039</v>
      </c>
      <c r="T1050" s="2">
        <f t="shared" si="33"/>
        <v>42780123700</v>
      </c>
    </row>
    <row r="1051" spans="1:20" x14ac:dyDescent="0.3">
      <c r="A1051" s="1">
        <v>44831</v>
      </c>
      <c r="B1051" t="s">
        <v>828</v>
      </c>
      <c r="C1051" t="s">
        <v>18</v>
      </c>
      <c r="D1051" t="s">
        <v>19</v>
      </c>
      <c r="E1051">
        <v>4.13</v>
      </c>
      <c r="F1051">
        <v>4.2279999999999998</v>
      </c>
      <c r="G1051">
        <v>4.05</v>
      </c>
      <c r="H1051">
        <v>2.27</v>
      </c>
      <c r="I1051" s="2">
        <v>0</v>
      </c>
      <c r="J1051" s="2">
        <v>99736080000</v>
      </c>
      <c r="K1051" s="2">
        <v>43805510000</v>
      </c>
      <c r="L1051" s="2">
        <v>192397900</v>
      </c>
      <c r="M1051" s="2">
        <v>8192000000</v>
      </c>
      <c r="N1051" s="2">
        <v>8442000000</v>
      </c>
      <c r="O1051" s="2">
        <v>9514000000</v>
      </c>
      <c r="P1051" s="2">
        <v>61484000000</v>
      </c>
      <c r="Q1051" s="2">
        <v>26099510000</v>
      </c>
      <c r="R1051" s="2">
        <v>29810080000</v>
      </c>
      <c r="S1051" s="2">
        <f t="shared" si="32"/>
        <v>0.17799999999999994</v>
      </c>
      <c r="T1051" s="2">
        <f t="shared" si="33"/>
        <v>43997907900</v>
      </c>
    </row>
    <row r="1052" spans="1:20" x14ac:dyDescent="0.3">
      <c r="A1052" s="1">
        <v>44832</v>
      </c>
      <c r="B1052" t="s">
        <v>827</v>
      </c>
      <c r="C1052" t="s">
        <v>18</v>
      </c>
      <c r="D1052" t="s">
        <v>68</v>
      </c>
      <c r="E1052">
        <v>3.85</v>
      </c>
      <c r="F1052">
        <v>3.8980000000000001</v>
      </c>
      <c r="G1052">
        <v>3.7970000000000002</v>
      </c>
      <c r="H1052">
        <v>2.57</v>
      </c>
      <c r="I1052" s="2">
        <v>0</v>
      </c>
      <c r="J1052" s="2">
        <v>92432265000</v>
      </c>
      <c r="K1052" s="2">
        <v>35947089000</v>
      </c>
      <c r="L1052" s="2">
        <v>52914600</v>
      </c>
      <c r="M1052" s="2">
        <v>8865400000</v>
      </c>
      <c r="N1052" s="2">
        <v>9878400000</v>
      </c>
      <c r="O1052" s="2">
        <v>4618000000</v>
      </c>
      <c r="P1052" s="2">
        <v>53203000000</v>
      </c>
      <c r="Q1052" s="2">
        <v>22463689000</v>
      </c>
      <c r="R1052" s="2">
        <v>29350865000</v>
      </c>
      <c r="S1052" s="2">
        <f t="shared" si="32"/>
        <v>0.10099999999999998</v>
      </c>
      <c r="T1052" s="2">
        <f t="shared" si="33"/>
        <v>36000003600</v>
      </c>
    </row>
    <row r="1053" spans="1:20" x14ac:dyDescent="0.3">
      <c r="A1053" s="1">
        <v>44845</v>
      </c>
      <c r="B1053" t="s">
        <v>829</v>
      </c>
      <c r="C1053" t="s">
        <v>18</v>
      </c>
      <c r="D1053" t="s">
        <v>52</v>
      </c>
      <c r="E1053">
        <v>4.24</v>
      </c>
      <c r="F1053">
        <v>4.3179999999999996</v>
      </c>
      <c r="G1053">
        <v>4.18</v>
      </c>
      <c r="H1053">
        <v>2.57</v>
      </c>
      <c r="I1053" s="2">
        <v>0</v>
      </c>
      <c r="J1053" s="2">
        <v>102188870000</v>
      </c>
      <c r="K1053" s="2">
        <v>39502040000</v>
      </c>
      <c r="L1053" s="2">
        <v>397969700</v>
      </c>
      <c r="M1053" s="2">
        <v>7724000000</v>
      </c>
      <c r="N1053" s="2">
        <v>7774000000</v>
      </c>
      <c r="O1053" s="2">
        <v>10685170000</v>
      </c>
      <c r="P1053" s="2">
        <v>65162000000</v>
      </c>
      <c r="Q1053" s="2">
        <v>21092870000</v>
      </c>
      <c r="R1053" s="2">
        <v>29252870000</v>
      </c>
      <c r="S1053" s="2">
        <f t="shared" si="32"/>
        <v>0.1379999999999999</v>
      </c>
      <c r="T1053" s="2">
        <f t="shared" si="33"/>
        <v>39900009700</v>
      </c>
    </row>
    <row r="1054" spans="1:20" x14ac:dyDescent="0.3">
      <c r="A1054" s="1">
        <v>44846</v>
      </c>
      <c r="B1054" t="s">
        <v>819</v>
      </c>
      <c r="C1054" t="s">
        <v>18</v>
      </c>
      <c r="D1054" t="s">
        <v>59</v>
      </c>
      <c r="E1054">
        <v>3.85</v>
      </c>
      <c r="F1054">
        <v>3.93</v>
      </c>
      <c r="G1054">
        <v>3.8</v>
      </c>
      <c r="H1054">
        <v>2.34</v>
      </c>
      <c r="I1054" s="2">
        <v>0</v>
      </c>
      <c r="J1054" s="2">
        <v>74879434000</v>
      </c>
      <c r="K1054" s="2">
        <v>31985066500</v>
      </c>
      <c r="L1054" s="2">
        <v>14963100</v>
      </c>
      <c r="M1054" s="2">
        <v>7520600000</v>
      </c>
      <c r="N1054" s="2">
        <v>7595600000</v>
      </c>
      <c r="O1054" s="2">
        <v>6300632500</v>
      </c>
      <c r="P1054" s="2">
        <v>46406000000</v>
      </c>
      <c r="Q1054" s="2">
        <v>18163834000</v>
      </c>
      <c r="R1054" s="2">
        <v>20877834000</v>
      </c>
      <c r="S1054" s="2">
        <f t="shared" si="32"/>
        <v>0.13000000000000034</v>
      </c>
      <c r="T1054" s="2">
        <f t="shared" si="33"/>
        <v>32000029600</v>
      </c>
    </row>
    <row r="1055" spans="1:20" x14ac:dyDescent="0.3">
      <c r="A1055" s="1">
        <v>44847</v>
      </c>
      <c r="B1055" t="s">
        <v>818</v>
      </c>
      <c r="C1055" t="s">
        <v>23</v>
      </c>
      <c r="D1055" t="s">
        <v>91</v>
      </c>
      <c r="E1055">
        <v>3.85</v>
      </c>
      <c r="F1055">
        <v>3.93</v>
      </c>
      <c r="G1055">
        <v>3.79</v>
      </c>
      <c r="H1055">
        <v>2.39</v>
      </c>
      <c r="I1055" s="2">
        <v>0</v>
      </c>
      <c r="J1055" s="2">
        <v>42941679000</v>
      </c>
      <c r="K1055" s="2">
        <v>17990969000</v>
      </c>
      <c r="L1055" s="2">
        <v>9032400</v>
      </c>
      <c r="M1055" s="2">
        <v>3355600000</v>
      </c>
      <c r="N1055" s="2">
        <v>3395600000</v>
      </c>
      <c r="O1055" s="2">
        <v>2198950000</v>
      </c>
      <c r="P1055" s="2">
        <v>24680000000</v>
      </c>
      <c r="Q1055" s="2">
        <v>12436419000</v>
      </c>
      <c r="R1055" s="2">
        <v>14866079000</v>
      </c>
      <c r="S1055" s="2">
        <f t="shared" si="32"/>
        <v>0.14000000000000012</v>
      </c>
      <c r="T1055" s="2">
        <f t="shared" si="33"/>
        <v>18000001400</v>
      </c>
    </row>
    <row r="1056" spans="1:20" x14ac:dyDescent="0.3">
      <c r="A1056" s="1">
        <v>44853</v>
      </c>
      <c r="B1056" t="s">
        <v>824</v>
      </c>
      <c r="C1056" t="s">
        <v>23</v>
      </c>
      <c r="D1056" t="s">
        <v>698</v>
      </c>
      <c r="E1056">
        <v>4.319</v>
      </c>
      <c r="F1056">
        <v>4.3949999999999996</v>
      </c>
      <c r="G1056">
        <v>4.22</v>
      </c>
      <c r="H1056">
        <v>2.5</v>
      </c>
      <c r="I1056" s="2">
        <v>0</v>
      </c>
      <c r="J1056" s="2">
        <v>29993020000</v>
      </c>
      <c r="K1056" s="2">
        <v>11965293000</v>
      </c>
      <c r="L1056" s="2">
        <v>34717800</v>
      </c>
      <c r="M1056" s="2">
        <v>2376843000</v>
      </c>
      <c r="N1056" s="2">
        <v>2384000000</v>
      </c>
      <c r="O1056" s="2">
        <v>1966430000</v>
      </c>
      <c r="P1056" s="2">
        <v>18038000000</v>
      </c>
      <c r="Q1056" s="2">
        <v>7622020000</v>
      </c>
      <c r="R1056" s="2">
        <v>9571020000</v>
      </c>
      <c r="S1056" s="2">
        <f t="shared" si="32"/>
        <v>0.17499999999999982</v>
      </c>
      <c r="T1056" s="2">
        <f t="shared" si="33"/>
        <v>12000010800</v>
      </c>
    </row>
    <row r="1057" spans="1:20" x14ac:dyDescent="0.3">
      <c r="A1057" s="1">
        <v>44859</v>
      </c>
      <c r="B1057" t="s">
        <v>832</v>
      </c>
      <c r="C1057" t="s">
        <v>18</v>
      </c>
      <c r="D1057" t="s">
        <v>21</v>
      </c>
      <c r="E1057">
        <v>4.3879999999999999</v>
      </c>
      <c r="F1057">
        <v>4.46</v>
      </c>
      <c r="G1057">
        <v>4.25</v>
      </c>
      <c r="H1057">
        <v>2.59</v>
      </c>
      <c r="I1057" s="2">
        <v>0</v>
      </c>
      <c r="J1057" s="2">
        <v>107184080000</v>
      </c>
      <c r="K1057" s="2">
        <v>40527786000</v>
      </c>
      <c r="L1057" s="2">
        <v>1372259400</v>
      </c>
      <c r="M1057" s="2">
        <v>10244600000</v>
      </c>
      <c r="N1057" s="2">
        <v>10244600000</v>
      </c>
      <c r="O1057" s="2">
        <v>9812941000</v>
      </c>
      <c r="P1057" s="2">
        <v>65211000000</v>
      </c>
      <c r="Q1057" s="2">
        <v>20470245000</v>
      </c>
      <c r="R1057" s="2">
        <v>31728480000</v>
      </c>
      <c r="S1057" s="2">
        <f t="shared" si="32"/>
        <v>0.20999999999999996</v>
      </c>
      <c r="T1057" s="2">
        <f t="shared" si="33"/>
        <v>41900045400</v>
      </c>
    </row>
    <row r="1058" spans="1:20" x14ac:dyDescent="0.3">
      <c r="A1058" s="1">
        <v>44860</v>
      </c>
      <c r="B1058" t="s">
        <v>831</v>
      </c>
      <c r="C1058" t="s">
        <v>18</v>
      </c>
      <c r="D1058" t="s">
        <v>19</v>
      </c>
      <c r="E1058">
        <v>4.1189999999999998</v>
      </c>
      <c r="F1058">
        <v>4.1920000000000002</v>
      </c>
      <c r="G1058">
        <v>4.05</v>
      </c>
      <c r="H1058">
        <v>2.48</v>
      </c>
      <c r="I1058" s="2">
        <v>0</v>
      </c>
      <c r="J1058" s="2">
        <v>106396052000</v>
      </c>
      <c r="K1058" s="2">
        <v>42777382000</v>
      </c>
      <c r="L1058" s="2">
        <v>222624400</v>
      </c>
      <c r="M1058" s="2">
        <v>6655500000</v>
      </c>
      <c r="N1058" s="2">
        <v>8206000000</v>
      </c>
      <c r="O1058" s="2">
        <v>7042830000</v>
      </c>
      <c r="P1058" s="2">
        <v>62185000000</v>
      </c>
      <c r="Q1058" s="2">
        <v>29079052000</v>
      </c>
      <c r="R1058" s="2">
        <v>36005052000</v>
      </c>
      <c r="S1058" s="2">
        <f t="shared" si="32"/>
        <v>0.14200000000000035</v>
      </c>
      <c r="T1058" s="2">
        <f t="shared" si="33"/>
        <v>43000006400</v>
      </c>
    </row>
    <row r="1059" spans="1:20" x14ac:dyDescent="0.3">
      <c r="A1059" s="1">
        <v>44861</v>
      </c>
      <c r="B1059" t="s">
        <v>830</v>
      </c>
      <c r="C1059" t="s">
        <v>18</v>
      </c>
      <c r="D1059" t="s">
        <v>68</v>
      </c>
      <c r="E1059">
        <v>3.95</v>
      </c>
      <c r="F1059">
        <v>4.0270000000000001</v>
      </c>
      <c r="G1059">
        <v>3.85</v>
      </c>
      <c r="H1059">
        <v>2.4300000000000002</v>
      </c>
      <c r="I1059" s="2">
        <v>0</v>
      </c>
      <c r="J1059" s="2">
        <v>85020084000</v>
      </c>
      <c r="K1059" s="2">
        <v>34956232800</v>
      </c>
      <c r="L1059" s="2">
        <v>43794200</v>
      </c>
      <c r="M1059" s="2">
        <v>7941356300</v>
      </c>
      <c r="N1059" s="2">
        <v>8172700000</v>
      </c>
      <c r="O1059" s="2">
        <v>4933492500</v>
      </c>
      <c r="P1059" s="2">
        <v>50157000000</v>
      </c>
      <c r="Q1059" s="2">
        <v>22081384000</v>
      </c>
      <c r="R1059" s="2">
        <v>26690384000</v>
      </c>
      <c r="S1059" s="2">
        <f t="shared" si="32"/>
        <v>0.17700000000000005</v>
      </c>
      <c r="T1059" s="2">
        <f t="shared" si="33"/>
        <v>35000027000</v>
      </c>
    </row>
    <row r="1060" spans="1:20" x14ac:dyDescent="0.3">
      <c r="A1060" s="1">
        <v>44873</v>
      </c>
      <c r="B1060" t="s">
        <v>835</v>
      </c>
      <c r="C1060" t="s">
        <v>18</v>
      </c>
      <c r="D1060" t="s">
        <v>52</v>
      </c>
      <c r="E1060">
        <v>4.54</v>
      </c>
      <c r="F1060">
        <v>4.6050000000000004</v>
      </c>
      <c r="G1060">
        <v>4</v>
      </c>
      <c r="H1060">
        <v>2.57</v>
      </c>
      <c r="I1060" s="2">
        <v>14027052200</v>
      </c>
      <c r="J1060" s="2">
        <v>102137600000</v>
      </c>
      <c r="K1060" s="2">
        <v>39411710000</v>
      </c>
      <c r="L1060" s="2">
        <v>388314100</v>
      </c>
      <c r="M1060" s="2">
        <v>6716100000</v>
      </c>
      <c r="N1060" s="2">
        <v>9887000000</v>
      </c>
      <c r="O1060" s="2">
        <v>8188975000</v>
      </c>
      <c r="P1060" s="2">
        <v>56280000000</v>
      </c>
      <c r="Q1060" s="2">
        <v>24506635000</v>
      </c>
      <c r="R1060" s="2">
        <v>35970600000</v>
      </c>
      <c r="S1060" s="2">
        <f t="shared" si="32"/>
        <v>0.60500000000000043</v>
      </c>
      <c r="T1060" s="2">
        <f t="shared" si="33"/>
        <v>53827076300</v>
      </c>
    </row>
    <row r="1061" spans="1:20" x14ac:dyDescent="0.3">
      <c r="A1061" s="1">
        <v>44874</v>
      </c>
      <c r="B1061" t="s">
        <v>834</v>
      </c>
      <c r="C1061" t="s">
        <v>18</v>
      </c>
      <c r="D1061" t="s">
        <v>26</v>
      </c>
      <c r="E1061">
        <v>4.0439999999999996</v>
      </c>
      <c r="F1061">
        <v>4.1399999999999997</v>
      </c>
      <c r="G1061">
        <v>3.96</v>
      </c>
      <c r="H1061">
        <v>2.23</v>
      </c>
      <c r="I1061" s="2">
        <v>12273670600</v>
      </c>
      <c r="J1061" s="2">
        <v>78064810000</v>
      </c>
      <c r="K1061" s="2">
        <v>34879130000</v>
      </c>
      <c r="L1061" s="2">
        <v>120900800</v>
      </c>
      <c r="M1061" s="2">
        <v>6303000000</v>
      </c>
      <c r="N1061" s="2">
        <v>6323000000</v>
      </c>
      <c r="O1061" s="2">
        <v>8520247500</v>
      </c>
      <c r="P1061" s="2">
        <v>49805000000</v>
      </c>
      <c r="Q1061" s="2">
        <v>20055882500</v>
      </c>
      <c r="R1061" s="2">
        <v>21936810000</v>
      </c>
      <c r="S1061" s="2">
        <f t="shared" si="32"/>
        <v>0.17999999999999972</v>
      </c>
      <c r="T1061" s="2">
        <f t="shared" si="33"/>
        <v>47273701400</v>
      </c>
    </row>
    <row r="1062" spans="1:20" x14ac:dyDescent="0.3">
      <c r="A1062" s="1">
        <v>44875</v>
      </c>
      <c r="B1062" t="s">
        <v>833</v>
      </c>
      <c r="C1062" t="s">
        <v>23</v>
      </c>
      <c r="D1062" t="s">
        <v>65</v>
      </c>
      <c r="E1062">
        <v>4</v>
      </c>
      <c r="F1062">
        <v>4.08</v>
      </c>
      <c r="G1062">
        <v>3.8879999999999999</v>
      </c>
      <c r="H1062">
        <v>2.42</v>
      </c>
      <c r="I1062" s="2">
        <v>7364202400</v>
      </c>
      <c r="J1062" s="2">
        <v>50829718000</v>
      </c>
      <c r="K1062" s="2">
        <v>20964791200</v>
      </c>
      <c r="L1062" s="2">
        <v>35259700</v>
      </c>
      <c r="M1062" s="2">
        <v>4273800000</v>
      </c>
      <c r="N1062" s="2">
        <v>4914100000</v>
      </c>
      <c r="O1062" s="2">
        <v>2030932000</v>
      </c>
      <c r="P1062" s="2">
        <v>27589000000</v>
      </c>
      <c r="Q1062" s="2">
        <v>14660059200</v>
      </c>
      <c r="R1062" s="2">
        <v>18326618000</v>
      </c>
      <c r="S1062" s="2">
        <f t="shared" si="32"/>
        <v>0.19200000000000017</v>
      </c>
      <c r="T1062" s="2">
        <f t="shared" si="33"/>
        <v>28364253300</v>
      </c>
    </row>
    <row r="1063" spans="1:20" x14ac:dyDescent="0.3">
      <c r="A1063" s="1">
        <v>44881</v>
      </c>
      <c r="B1063" t="s">
        <v>839</v>
      </c>
      <c r="C1063" t="s">
        <v>23</v>
      </c>
      <c r="D1063" t="s">
        <v>688</v>
      </c>
      <c r="E1063">
        <v>4.01</v>
      </c>
      <c r="F1063">
        <v>4.0720000000000001</v>
      </c>
      <c r="G1063">
        <v>3.96</v>
      </c>
      <c r="H1063">
        <v>2.64</v>
      </c>
      <c r="I1063" s="2">
        <v>1630725800</v>
      </c>
      <c r="J1063" s="2">
        <v>39507045000</v>
      </c>
      <c r="K1063" s="2">
        <v>14897800100</v>
      </c>
      <c r="L1063" s="2">
        <v>102213300</v>
      </c>
      <c r="M1063" s="2">
        <v>2295000000</v>
      </c>
      <c r="N1063" s="2">
        <v>2846000000</v>
      </c>
      <c r="O1063" s="2">
        <v>1378000000</v>
      </c>
      <c r="P1063" s="2">
        <v>21135000000</v>
      </c>
      <c r="Q1063" s="2">
        <v>11224800100</v>
      </c>
      <c r="R1063" s="2">
        <v>15526045000</v>
      </c>
      <c r="S1063" s="2">
        <f t="shared" si="32"/>
        <v>0.1120000000000001</v>
      </c>
      <c r="T1063" s="2">
        <f t="shared" si="33"/>
        <v>16630739200</v>
      </c>
    </row>
    <row r="1064" spans="1:20" x14ac:dyDescent="0.3">
      <c r="A1064" s="1">
        <v>44886</v>
      </c>
      <c r="B1064" t="s">
        <v>838</v>
      </c>
      <c r="C1064" t="s">
        <v>18</v>
      </c>
      <c r="D1064" t="s">
        <v>19</v>
      </c>
      <c r="E1064">
        <v>3.899</v>
      </c>
      <c r="F1064">
        <v>3.9740000000000002</v>
      </c>
      <c r="G1064">
        <v>3.8</v>
      </c>
      <c r="H1064">
        <v>2.39</v>
      </c>
      <c r="I1064" s="2">
        <v>4674747500</v>
      </c>
      <c r="J1064" s="2">
        <v>102619225000</v>
      </c>
      <c r="K1064" s="2">
        <v>42854513600</v>
      </c>
      <c r="L1064" s="2">
        <v>145501300</v>
      </c>
      <c r="M1064" s="2">
        <v>8016895000</v>
      </c>
      <c r="N1064" s="2">
        <v>8576000000</v>
      </c>
      <c r="O1064" s="2">
        <v>6457253000</v>
      </c>
      <c r="P1064" s="2">
        <v>59155000000</v>
      </c>
      <c r="Q1064" s="2">
        <v>28380365600</v>
      </c>
      <c r="R1064" s="2">
        <v>34888225000</v>
      </c>
      <c r="S1064" s="2">
        <f t="shared" si="32"/>
        <v>0.17400000000000038</v>
      </c>
      <c r="T1064" s="2">
        <f t="shared" si="33"/>
        <v>47674762400</v>
      </c>
    </row>
    <row r="1065" spans="1:20" x14ac:dyDescent="0.3">
      <c r="A1065" s="1">
        <v>44886</v>
      </c>
      <c r="B1065" t="s">
        <v>837</v>
      </c>
      <c r="C1065" t="s">
        <v>18</v>
      </c>
      <c r="D1065" t="s">
        <v>21</v>
      </c>
      <c r="E1065">
        <v>4.46</v>
      </c>
      <c r="F1065">
        <v>4.5049999999999999</v>
      </c>
      <c r="G1065">
        <v>4.3499999999999996</v>
      </c>
      <c r="H1065">
        <v>2.64</v>
      </c>
      <c r="I1065" s="2">
        <v>4566032400</v>
      </c>
      <c r="J1065" s="2">
        <v>109923555000</v>
      </c>
      <c r="K1065" s="2">
        <v>40926642500</v>
      </c>
      <c r="L1065" s="2">
        <v>973450300</v>
      </c>
      <c r="M1065" s="2">
        <v>9164525000</v>
      </c>
      <c r="N1065" s="2">
        <v>10235000000</v>
      </c>
      <c r="O1065" s="2">
        <v>8441050000</v>
      </c>
      <c r="P1065" s="2">
        <v>62178000000</v>
      </c>
      <c r="Q1065" s="2">
        <v>23321067500</v>
      </c>
      <c r="R1065" s="2">
        <v>37510555000</v>
      </c>
      <c r="S1065" s="2">
        <f t="shared" si="32"/>
        <v>0.15500000000000025</v>
      </c>
      <c r="T1065" s="2">
        <f t="shared" si="33"/>
        <v>46466125200</v>
      </c>
    </row>
    <row r="1066" spans="1:20" x14ac:dyDescent="0.3">
      <c r="A1066" s="1">
        <v>44887</v>
      </c>
      <c r="B1066" t="s">
        <v>836</v>
      </c>
      <c r="C1066" t="s">
        <v>18</v>
      </c>
      <c r="D1066" t="s">
        <v>68</v>
      </c>
      <c r="E1066">
        <v>3.819</v>
      </c>
      <c r="F1066">
        <v>3.89</v>
      </c>
      <c r="G1066">
        <v>3.75</v>
      </c>
      <c r="H1066">
        <v>2.33</v>
      </c>
      <c r="I1066" s="2">
        <v>3805026900</v>
      </c>
      <c r="J1066" s="2">
        <v>81513270000</v>
      </c>
      <c r="K1066" s="2">
        <v>34961096000</v>
      </c>
      <c r="L1066" s="2">
        <v>38917200</v>
      </c>
      <c r="M1066" s="2">
        <v>5856990000</v>
      </c>
      <c r="N1066" s="2">
        <v>6274900000</v>
      </c>
      <c r="O1066" s="2">
        <v>7465736000</v>
      </c>
      <c r="P1066" s="2">
        <v>50312000000</v>
      </c>
      <c r="Q1066" s="2">
        <v>21638370000</v>
      </c>
      <c r="R1066" s="2">
        <v>24926370000</v>
      </c>
      <c r="S1066" s="2">
        <f t="shared" si="32"/>
        <v>0.14000000000000012</v>
      </c>
      <c r="T1066" s="2">
        <f t="shared" si="33"/>
        <v>38805040100</v>
      </c>
    </row>
    <row r="1067" spans="1:20" x14ac:dyDescent="0.3">
      <c r="A1067" s="1">
        <v>44907</v>
      </c>
      <c r="B1067" t="s">
        <v>834</v>
      </c>
      <c r="C1067" t="s">
        <v>18</v>
      </c>
      <c r="D1067" t="s">
        <v>29</v>
      </c>
      <c r="E1067">
        <v>3.5350000000000001</v>
      </c>
      <c r="F1067">
        <v>3.625</v>
      </c>
      <c r="G1067">
        <v>3.4</v>
      </c>
      <c r="H1067">
        <v>2.31</v>
      </c>
      <c r="I1067" s="2">
        <v>0</v>
      </c>
      <c r="J1067" s="2">
        <v>73945570000</v>
      </c>
      <c r="K1067" s="2">
        <v>31952660000</v>
      </c>
      <c r="L1067" s="2">
        <v>47344400</v>
      </c>
      <c r="M1067" s="2">
        <v>5974000000</v>
      </c>
      <c r="N1067" s="2">
        <v>5974000000</v>
      </c>
      <c r="O1067" s="2">
        <v>6984090000</v>
      </c>
      <c r="P1067" s="2">
        <v>47213000000</v>
      </c>
      <c r="Q1067" s="2">
        <v>18994570000</v>
      </c>
      <c r="R1067" s="2">
        <v>20758570000</v>
      </c>
      <c r="S1067" s="2">
        <f t="shared" si="32"/>
        <v>0.22500000000000009</v>
      </c>
      <c r="T1067" s="2">
        <f t="shared" si="33"/>
        <v>32000004400</v>
      </c>
    </row>
    <row r="1068" spans="1:20" x14ac:dyDescent="0.3">
      <c r="A1068" s="1">
        <v>44907</v>
      </c>
      <c r="B1068" t="s">
        <v>840</v>
      </c>
      <c r="C1068" t="s">
        <v>18</v>
      </c>
      <c r="D1068" t="s">
        <v>52</v>
      </c>
      <c r="E1068">
        <v>4.03</v>
      </c>
      <c r="F1068">
        <v>4.093</v>
      </c>
      <c r="G1068">
        <v>3.94</v>
      </c>
      <c r="H1068">
        <v>2.5499999999999998</v>
      </c>
      <c r="I1068" s="2">
        <v>0</v>
      </c>
      <c r="J1068" s="2">
        <v>101602400000</v>
      </c>
      <c r="K1068" s="2">
        <v>39545800000</v>
      </c>
      <c r="L1068" s="2">
        <v>254247800</v>
      </c>
      <c r="M1068" s="2">
        <v>8083000000</v>
      </c>
      <c r="N1068" s="2">
        <v>8183000000</v>
      </c>
      <c r="O1068" s="2">
        <v>7060000000</v>
      </c>
      <c r="P1068" s="2">
        <v>58315000000</v>
      </c>
      <c r="Q1068" s="2">
        <v>24402800000</v>
      </c>
      <c r="R1068" s="2">
        <v>35104400000</v>
      </c>
      <c r="S1068" s="2">
        <f t="shared" si="32"/>
        <v>0.15300000000000002</v>
      </c>
      <c r="T1068" s="2">
        <f t="shared" si="33"/>
        <v>39800047800</v>
      </c>
    </row>
    <row r="1069" spans="1:20" x14ac:dyDescent="0.3">
      <c r="A1069" s="1">
        <v>44908</v>
      </c>
      <c r="B1069" t="s">
        <v>833</v>
      </c>
      <c r="C1069" t="s">
        <v>23</v>
      </c>
      <c r="D1069" t="s">
        <v>72</v>
      </c>
      <c r="E1069">
        <v>3.43</v>
      </c>
      <c r="F1069">
        <v>3.5129999999999999</v>
      </c>
      <c r="G1069">
        <v>3.35</v>
      </c>
      <c r="H1069">
        <v>2.25</v>
      </c>
      <c r="I1069" s="2">
        <v>0</v>
      </c>
      <c r="J1069" s="2">
        <v>40451920000</v>
      </c>
      <c r="K1069" s="2">
        <v>17977779200</v>
      </c>
      <c r="L1069" s="2">
        <v>22242200</v>
      </c>
      <c r="M1069" s="2">
        <v>4153400000</v>
      </c>
      <c r="N1069" s="2">
        <v>4203400000</v>
      </c>
      <c r="O1069" s="2">
        <v>2756104000</v>
      </c>
      <c r="P1069" s="2">
        <v>24073000000</v>
      </c>
      <c r="Q1069" s="2">
        <v>11068275200</v>
      </c>
      <c r="R1069" s="2">
        <v>12175520000</v>
      </c>
      <c r="S1069" s="2">
        <f t="shared" si="32"/>
        <v>0.16299999999999981</v>
      </c>
      <c r="T1069" s="2">
        <f t="shared" si="33"/>
        <v>18000021400</v>
      </c>
    </row>
    <row r="1070" spans="1:20" x14ac:dyDescent="0.3">
      <c r="A1070" s="1">
        <v>44916</v>
      </c>
      <c r="B1070" t="s">
        <v>839</v>
      </c>
      <c r="C1070" t="s">
        <v>23</v>
      </c>
      <c r="D1070" t="s">
        <v>693</v>
      </c>
      <c r="E1070">
        <v>3.899</v>
      </c>
      <c r="F1070">
        <v>3.9350000000000001</v>
      </c>
      <c r="G1070">
        <v>3.8109999999999999</v>
      </c>
      <c r="H1070">
        <v>2.68</v>
      </c>
      <c r="I1070" s="2">
        <v>0</v>
      </c>
      <c r="J1070" s="2">
        <v>32119540000</v>
      </c>
      <c r="K1070" s="2">
        <v>11940441500</v>
      </c>
      <c r="L1070" s="2">
        <v>59559300</v>
      </c>
      <c r="M1070" s="2">
        <v>2270000000</v>
      </c>
      <c r="N1070" s="2">
        <v>2570000000</v>
      </c>
      <c r="O1070" s="2">
        <v>1037415000</v>
      </c>
      <c r="P1070" s="2">
        <v>17144000000</v>
      </c>
      <c r="Q1070" s="2">
        <v>8633026500</v>
      </c>
      <c r="R1070" s="2">
        <v>12405540000</v>
      </c>
      <c r="S1070" s="2">
        <f t="shared" si="32"/>
        <v>0.12400000000000011</v>
      </c>
      <c r="T1070" s="2">
        <f t="shared" si="33"/>
        <v>12000000800</v>
      </c>
    </row>
    <row r="1071" spans="1:20" x14ac:dyDescent="0.3">
      <c r="A1071" s="1">
        <v>44922</v>
      </c>
      <c r="B1071" t="s">
        <v>843</v>
      </c>
      <c r="C1071" t="s">
        <v>18</v>
      </c>
      <c r="D1071" t="s">
        <v>21</v>
      </c>
      <c r="E1071">
        <v>4.3170000000000002</v>
      </c>
      <c r="F1071">
        <v>4.3730000000000002</v>
      </c>
      <c r="G1071">
        <v>4.22</v>
      </c>
      <c r="H1071">
        <v>2.71</v>
      </c>
      <c r="I1071" s="2">
        <v>0</v>
      </c>
      <c r="J1071" s="2">
        <v>113099710000</v>
      </c>
      <c r="K1071" s="2">
        <v>41144126000</v>
      </c>
      <c r="L1071" s="2">
        <v>855917000</v>
      </c>
      <c r="M1071" s="2">
        <v>7697666000</v>
      </c>
      <c r="N1071" s="2">
        <v>10090000000</v>
      </c>
      <c r="O1071" s="2">
        <v>7846000000</v>
      </c>
      <c r="P1071" s="2">
        <v>60906000000</v>
      </c>
      <c r="Q1071" s="2">
        <v>25600460000</v>
      </c>
      <c r="R1071" s="2">
        <v>42103710000</v>
      </c>
      <c r="S1071" s="2">
        <f t="shared" si="32"/>
        <v>0.15300000000000047</v>
      </c>
      <c r="T1071" s="2">
        <f t="shared" si="33"/>
        <v>42000043000</v>
      </c>
    </row>
    <row r="1072" spans="1:20" x14ac:dyDescent="0.3">
      <c r="A1072" s="1">
        <v>44923</v>
      </c>
      <c r="B1072" t="s">
        <v>842</v>
      </c>
      <c r="C1072" t="s">
        <v>18</v>
      </c>
      <c r="D1072" t="s">
        <v>19</v>
      </c>
      <c r="E1072">
        <v>3.9049999999999998</v>
      </c>
      <c r="F1072">
        <v>3.9729999999999999</v>
      </c>
      <c r="G1072">
        <v>3.83</v>
      </c>
      <c r="H1072">
        <v>2.46</v>
      </c>
      <c r="I1072" s="2">
        <v>0</v>
      </c>
      <c r="J1072" s="2">
        <v>105449120000</v>
      </c>
      <c r="K1072" s="2">
        <v>42861166900</v>
      </c>
      <c r="L1072" s="2">
        <v>138852000</v>
      </c>
      <c r="M1072" s="2">
        <v>7957034900</v>
      </c>
      <c r="N1072" s="2">
        <v>8540000000</v>
      </c>
      <c r="O1072" s="2">
        <v>7253180000</v>
      </c>
      <c r="P1072" s="2">
        <v>60676000000</v>
      </c>
      <c r="Q1072" s="2">
        <v>27650952000</v>
      </c>
      <c r="R1072" s="2">
        <v>36233120000</v>
      </c>
      <c r="S1072" s="2">
        <f t="shared" si="32"/>
        <v>0.14299999999999979</v>
      </c>
      <c r="T1072" s="2">
        <f t="shared" si="33"/>
        <v>43000018900</v>
      </c>
    </row>
    <row r="1073" spans="1:20" x14ac:dyDescent="0.3">
      <c r="A1073" s="1">
        <v>44924</v>
      </c>
      <c r="B1073" t="s">
        <v>841</v>
      </c>
      <c r="C1073" t="s">
        <v>18</v>
      </c>
      <c r="D1073" t="s">
        <v>68</v>
      </c>
      <c r="E1073">
        <v>3.859</v>
      </c>
      <c r="F1073">
        <v>3.9209999999999998</v>
      </c>
      <c r="G1073">
        <v>3.8</v>
      </c>
      <c r="H1073">
        <v>2.4500000000000002</v>
      </c>
      <c r="I1073" s="2">
        <v>0</v>
      </c>
      <c r="J1073" s="2">
        <v>85821065000</v>
      </c>
      <c r="K1073" s="2">
        <v>34946725000</v>
      </c>
      <c r="L1073" s="2">
        <v>53285200</v>
      </c>
      <c r="M1073" s="2">
        <v>5650100000</v>
      </c>
      <c r="N1073" s="2">
        <v>5883100000</v>
      </c>
      <c r="O1073" s="2">
        <v>5505060000</v>
      </c>
      <c r="P1073" s="2">
        <v>51982000000</v>
      </c>
      <c r="Q1073" s="2">
        <v>23791565000</v>
      </c>
      <c r="R1073" s="2">
        <v>27955965000</v>
      </c>
      <c r="S1073" s="2">
        <f t="shared" si="32"/>
        <v>0.121</v>
      </c>
      <c r="T1073" s="2">
        <f t="shared" si="33"/>
        <v>35000010200</v>
      </c>
    </row>
    <row r="1074" spans="1:20" x14ac:dyDescent="0.3">
      <c r="A1074" s="1">
        <v>44936</v>
      </c>
      <c r="B1074" t="s">
        <v>844</v>
      </c>
      <c r="C1074" t="s">
        <v>18</v>
      </c>
      <c r="D1074" t="s">
        <v>52</v>
      </c>
      <c r="E1074">
        <v>3.93</v>
      </c>
      <c r="F1074">
        <v>3.9769999999999999</v>
      </c>
      <c r="G1074">
        <v>3.86</v>
      </c>
      <c r="H1074">
        <v>2.84</v>
      </c>
      <c r="I1074" s="2">
        <v>0</v>
      </c>
      <c r="J1074" s="2">
        <v>113374415000</v>
      </c>
      <c r="K1074" s="2">
        <v>39795840000</v>
      </c>
      <c r="L1074" s="2">
        <v>204169200</v>
      </c>
      <c r="M1074" s="2">
        <v>5244000000</v>
      </c>
      <c r="N1074" s="2">
        <v>9445000000</v>
      </c>
      <c r="O1074" s="2">
        <v>6877000000</v>
      </c>
      <c r="P1074" s="2">
        <v>61977000000</v>
      </c>
      <c r="Q1074" s="2">
        <v>27674840000</v>
      </c>
      <c r="R1074" s="2">
        <v>41952415000</v>
      </c>
      <c r="S1074" s="2">
        <f t="shared" si="32"/>
        <v>0.11699999999999999</v>
      </c>
      <c r="T1074" s="2">
        <f t="shared" si="33"/>
        <v>40000009200</v>
      </c>
    </row>
    <row r="1075" spans="1:20" x14ac:dyDescent="0.3">
      <c r="A1075" s="1">
        <v>44937</v>
      </c>
      <c r="B1075" t="s">
        <v>834</v>
      </c>
      <c r="C1075" t="s">
        <v>18</v>
      </c>
      <c r="D1075" t="s">
        <v>59</v>
      </c>
      <c r="E1075">
        <v>3.4990000000000001</v>
      </c>
      <c r="F1075">
        <v>3.5750000000000002</v>
      </c>
      <c r="G1075">
        <v>3.45</v>
      </c>
      <c r="H1075">
        <v>2.5299999999999998</v>
      </c>
      <c r="I1075" s="2">
        <v>0</v>
      </c>
      <c r="J1075" s="2">
        <v>80913151000</v>
      </c>
      <c r="K1075" s="2">
        <v>31971531000</v>
      </c>
      <c r="L1075" s="2">
        <v>28502900</v>
      </c>
      <c r="M1075" s="2">
        <v>5728380000</v>
      </c>
      <c r="N1075" s="2">
        <v>6504000000</v>
      </c>
      <c r="O1075" s="2">
        <v>4816000000</v>
      </c>
      <c r="P1075" s="2">
        <v>47730000000</v>
      </c>
      <c r="Q1075" s="2">
        <v>21427151000</v>
      </c>
      <c r="R1075" s="2">
        <v>26679151000</v>
      </c>
      <c r="S1075" s="2">
        <f t="shared" si="32"/>
        <v>0.125</v>
      </c>
      <c r="T1075" s="2">
        <f t="shared" si="33"/>
        <v>32000033900</v>
      </c>
    </row>
    <row r="1076" spans="1:20" x14ac:dyDescent="0.3">
      <c r="A1076" s="1">
        <v>44938</v>
      </c>
      <c r="B1076" t="s">
        <v>833</v>
      </c>
      <c r="C1076" t="s">
        <v>23</v>
      </c>
      <c r="D1076" t="s">
        <v>91</v>
      </c>
      <c r="E1076">
        <v>3.5350000000000001</v>
      </c>
      <c r="F1076">
        <v>3.585</v>
      </c>
      <c r="G1076">
        <v>3.5</v>
      </c>
      <c r="H1076">
        <v>2.4500000000000002</v>
      </c>
      <c r="I1076" s="2">
        <v>0</v>
      </c>
      <c r="J1076" s="2">
        <v>44095910000</v>
      </c>
      <c r="K1076" s="2">
        <v>17986672000</v>
      </c>
      <c r="L1076" s="2">
        <v>13368700</v>
      </c>
      <c r="M1076" s="2">
        <v>2937600000</v>
      </c>
      <c r="N1076" s="2">
        <v>3497600000</v>
      </c>
      <c r="O1076" s="2">
        <v>1626132000</v>
      </c>
      <c r="P1076" s="2">
        <v>23893000000</v>
      </c>
      <c r="Q1076" s="2">
        <v>13422940000</v>
      </c>
      <c r="R1076" s="2">
        <v>16705310000</v>
      </c>
      <c r="S1076" s="2">
        <f t="shared" si="32"/>
        <v>8.4999999999999964E-2</v>
      </c>
      <c r="T1076" s="2">
        <f t="shared" si="33"/>
        <v>18000040700</v>
      </c>
    </row>
    <row r="1077" spans="1:20" x14ac:dyDescent="0.3">
      <c r="A1077" s="1">
        <v>44944</v>
      </c>
      <c r="B1077" t="s">
        <v>839</v>
      </c>
      <c r="C1077" t="s">
        <v>23</v>
      </c>
      <c r="D1077" t="s">
        <v>698</v>
      </c>
      <c r="E1077">
        <v>3.62</v>
      </c>
      <c r="F1077">
        <v>3.6779999999999999</v>
      </c>
      <c r="G1077">
        <v>3.58</v>
      </c>
      <c r="H1077">
        <v>2.83</v>
      </c>
      <c r="I1077" s="2">
        <v>0</v>
      </c>
      <c r="J1077" s="2">
        <v>33937020000</v>
      </c>
      <c r="K1077" s="2">
        <v>11980222300</v>
      </c>
      <c r="L1077" s="2">
        <v>19782400</v>
      </c>
      <c r="M1077" s="2">
        <v>1870000000</v>
      </c>
      <c r="N1077" s="2">
        <v>2512000000</v>
      </c>
      <c r="O1077" s="2">
        <v>975000000</v>
      </c>
      <c r="P1077" s="2">
        <v>18213000000</v>
      </c>
      <c r="Q1077" s="2">
        <v>9135222300</v>
      </c>
      <c r="R1077" s="2">
        <v>13212020000</v>
      </c>
      <c r="S1077" s="2">
        <f t="shared" si="32"/>
        <v>9.7999999999999865E-2</v>
      </c>
      <c r="T1077" s="2">
        <f t="shared" si="33"/>
        <v>12000004700</v>
      </c>
    </row>
    <row r="1078" spans="1:20" x14ac:dyDescent="0.3">
      <c r="A1078" s="1">
        <v>44950</v>
      </c>
      <c r="B1078" t="s">
        <v>845</v>
      </c>
      <c r="C1078" t="s">
        <v>18</v>
      </c>
      <c r="D1078" t="s">
        <v>21</v>
      </c>
      <c r="E1078">
        <v>4.0999999999999996</v>
      </c>
      <c r="F1078">
        <v>4.1390000000000002</v>
      </c>
      <c r="G1078">
        <v>4.07</v>
      </c>
      <c r="H1078">
        <v>2.94</v>
      </c>
      <c r="I1078" s="2">
        <v>0</v>
      </c>
      <c r="J1078" s="2">
        <v>123030665000</v>
      </c>
      <c r="K1078" s="2">
        <v>41380365000</v>
      </c>
      <c r="L1078" s="2">
        <v>619637800</v>
      </c>
      <c r="M1078" s="2">
        <v>7750000000</v>
      </c>
      <c r="N1078" s="2">
        <v>10115000000</v>
      </c>
      <c r="O1078" s="2">
        <v>6737000000</v>
      </c>
      <c r="P1078" s="2">
        <v>67682000000</v>
      </c>
      <c r="Q1078" s="2">
        <v>26893365000</v>
      </c>
      <c r="R1078" s="2">
        <v>45233665000</v>
      </c>
      <c r="S1078" s="2">
        <f t="shared" si="32"/>
        <v>6.899999999999995E-2</v>
      </c>
      <c r="T1078" s="2">
        <f t="shared" si="33"/>
        <v>42000002800</v>
      </c>
    </row>
    <row r="1079" spans="1:20" x14ac:dyDescent="0.3">
      <c r="A1079" s="1">
        <v>44951</v>
      </c>
      <c r="B1079" t="s">
        <v>847</v>
      </c>
      <c r="C1079" t="s">
        <v>18</v>
      </c>
      <c r="D1079" t="s">
        <v>19</v>
      </c>
      <c r="E1079">
        <v>3.464</v>
      </c>
      <c r="F1079">
        <v>3.53</v>
      </c>
      <c r="G1079">
        <v>3.44</v>
      </c>
      <c r="H1079">
        <v>2.64</v>
      </c>
      <c r="I1079" s="2">
        <v>0</v>
      </c>
      <c r="J1079" s="2">
        <v>113289680000</v>
      </c>
      <c r="K1079" s="2">
        <v>42888479000</v>
      </c>
      <c r="L1079" s="2">
        <v>106533400</v>
      </c>
      <c r="M1079" s="2">
        <v>6621570000</v>
      </c>
      <c r="N1079" s="2">
        <v>8772000000</v>
      </c>
      <c r="O1079" s="2">
        <v>3783229000</v>
      </c>
      <c r="P1079" s="2">
        <v>60938000000</v>
      </c>
      <c r="Q1079" s="2">
        <v>32483680000</v>
      </c>
      <c r="R1079" s="2">
        <v>43579680000</v>
      </c>
      <c r="S1079" s="2">
        <f t="shared" si="32"/>
        <v>8.9999999999999858E-2</v>
      </c>
      <c r="T1079" s="2">
        <f t="shared" si="33"/>
        <v>42995012400</v>
      </c>
    </row>
    <row r="1080" spans="1:20" x14ac:dyDescent="0.3">
      <c r="A1080" s="1">
        <v>44952</v>
      </c>
      <c r="B1080" t="s">
        <v>846</v>
      </c>
      <c r="C1080" t="s">
        <v>18</v>
      </c>
      <c r="D1080" t="s">
        <v>68</v>
      </c>
      <c r="E1080">
        <v>3.4569999999999999</v>
      </c>
      <c r="F1080">
        <v>3.5169999999999999</v>
      </c>
      <c r="G1080">
        <v>3.41</v>
      </c>
      <c r="H1080">
        <v>2.69</v>
      </c>
      <c r="I1080" s="2">
        <v>0</v>
      </c>
      <c r="J1080" s="2">
        <v>94136550000</v>
      </c>
      <c r="K1080" s="2">
        <v>34962200000</v>
      </c>
      <c r="L1080" s="2">
        <v>37809400</v>
      </c>
      <c r="M1080" s="2">
        <v>5879300000</v>
      </c>
      <c r="N1080" s="2">
        <v>7688300000</v>
      </c>
      <c r="O1080" s="2">
        <v>2138250000</v>
      </c>
      <c r="P1080" s="2">
        <v>52040000000</v>
      </c>
      <c r="Q1080" s="2">
        <v>26944650000</v>
      </c>
      <c r="R1080" s="2">
        <v>34408250000</v>
      </c>
      <c r="S1080" s="2">
        <f t="shared" si="32"/>
        <v>0.10699999999999976</v>
      </c>
      <c r="T1080" s="2">
        <f t="shared" si="33"/>
        <v>35000009400</v>
      </c>
    </row>
    <row r="1081" spans="1:20" x14ac:dyDescent="0.3">
      <c r="A1081" s="1">
        <v>44964</v>
      </c>
      <c r="B1081" t="s">
        <v>850</v>
      </c>
      <c r="C1081" t="s">
        <v>18</v>
      </c>
      <c r="D1081" t="s">
        <v>52</v>
      </c>
      <c r="E1081">
        <v>3.9889999999999999</v>
      </c>
      <c r="F1081">
        <v>4.0730000000000004</v>
      </c>
      <c r="G1081">
        <v>3.96</v>
      </c>
      <c r="H1081">
        <v>2.33</v>
      </c>
      <c r="I1081" s="2">
        <v>15631526200</v>
      </c>
      <c r="J1081" s="2">
        <v>93028366000</v>
      </c>
      <c r="K1081" s="2">
        <v>39717991000</v>
      </c>
      <c r="L1081" s="2">
        <v>182132300</v>
      </c>
      <c r="M1081" s="2">
        <v>8365000000</v>
      </c>
      <c r="N1081" s="2">
        <v>8415000000</v>
      </c>
      <c r="O1081" s="2">
        <v>7898050000</v>
      </c>
      <c r="P1081" s="2">
        <v>60680000000</v>
      </c>
      <c r="Q1081" s="2">
        <v>23454941000</v>
      </c>
      <c r="R1081" s="2">
        <v>23933366000</v>
      </c>
      <c r="S1081" s="2">
        <f t="shared" si="32"/>
        <v>0.11300000000000043</v>
      </c>
      <c r="T1081" s="2">
        <f t="shared" si="33"/>
        <v>55531649500</v>
      </c>
    </row>
    <row r="1082" spans="1:20" x14ac:dyDescent="0.3">
      <c r="A1082" s="1">
        <v>44965</v>
      </c>
      <c r="B1082" t="s">
        <v>849</v>
      </c>
      <c r="C1082" t="s">
        <v>18</v>
      </c>
      <c r="D1082" t="s">
        <v>26</v>
      </c>
      <c r="E1082">
        <v>3.55</v>
      </c>
      <c r="F1082">
        <v>3.613</v>
      </c>
      <c r="G1082">
        <v>3.5270000000000001</v>
      </c>
      <c r="H1082">
        <v>2.66</v>
      </c>
      <c r="I1082" s="2">
        <v>13677585300</v>
      </c>
      <c r="J1082" s="2">
        <v>92822782000</v>
      </c>
      <c r="K1082" s="2">
        <v>34884868400</v>
      </c>
      <c r="L1082" s="2">
        <v>115460700</v>
      </c>
      <c r="M1082" s="2">
        <v>5297784000</v>
      </c>
      <c r="N1082" s="2">
        <v>6906000000</v>
      </c>
      <c r="O1082" s="2">
        <v>1870000000</v>
      </c>
      <c r="P1082" s="2">
        <v>50775000000</v>
      </c>
      <c r="Q1082" s="2">
        <v>27717084400</v>
      </c>
      <c r="R1082" s="2">
        <v>35141782000</v>
      </c>
      <c r="S1082" s="2">
        <f t="shared" si="32"/>
        <v>8.5999999999999854E-2</v>
      </c>
      <c r="T1082" s="2">
        <f t="shared" si="33"/>
        <v>48677914400</v>
      </c>
    </row>
    <row r="1083" spans="1:20" x14ac:dyDescent="0.3">
      <c r="A1083" s="1">
        <v>44966</v>
      </c>
      <c r="B1083" t="s">
        <v>848</v>
      </c>
      <c r="C1083" t="s">
        <v>23</v>
      </c>
      <c r="D1083" t="s">
        <v>65</v>
      </c>
      <c r="E1083">
        <v>3.5720000000000001</v>
      </c>
      <c r="F1083">
        <v>3.6859999999999999</v>
      </c>
      <c r="G1083">
        <v>3.5</v>
      </c>
      <c r="H1083">
        <v>2.25</v>
      </c>
      <c r="I1083" s="2">
        <v>8206551200</v>
      </c>
      <c r="J1083" s="2">
        <v>47164730000</v>
      </c>
      <c r="K1083" s="2">
        <v>20982385000</v>
      </c>
      <c r="L1083" s="2">
        <v>17629100</v>
      </c>
      <c r="M1083" s="2">
        <v>3974400000</v>
      </c>
      <c r="N1083" s="2">
        <v>3994400000</v>
      </c>
      <c r="O1083" s="2">
        <v>3324655000</v>
      </c>
      <c r="P1083" s="2">
        <v>28308000000</v>
      </c>
      <c r="Q1083" s="2">
        <v>13683330000</v>
      </c>
      <c r="R1083" s="2">
        <v>14862330000</v>
      </c>
      <c r="S1083" s="2">
        <f t="shared" si="32"/>
        <v>0.18599999999999994</v>
      </c>
      <c r="T1083" s="2">
        <f t="shared" si="33"/>
        <v>29206565300</v>
      </c>
    </row>
    <row r="1084" spans="1:20" x14ac:dyDescent="0.3">
      <c r="A1084" s="1">
        <v>44972</v>
      </c>
      <c r="B1084" t="s">
        <v>854</v>
      </c>
      <c r="C1084" t="s">
        <v>23</v>
      </c>
      <c r="D1084" t="s">
        <v>688</v>
      </c>
      <c r="E1084">
        <v>3.9</v>
      </c>
      <c r="F1084">
        <v>3.9769999999999999</v>
      </c>
      <c r="G1084">
        <v>3.8</v>
      </c>
      <c r="H1084">
        <v>2.54</v>
      </c>
      <c r="I1084" s="2">
        <v>3408061900</v>
      </c>
      <c r="J1084" s="2">
        <v>38067535000</v>
      </c>
      <c r="K1084" s="2">
        <v>14957677000</v>
      </c>
      <c r="L1084" s="2">
        <v>42355900</v>
      </c>
      <c r="M1084" s="2">
        <v>2688197000</v>
      </c>
      <c r="N1084" s="2">
        <v>3037000000</v>
      </c>
      <c r="O1084" s="2">
        <v>1005945000</v>
      </c>
      <c r="P1084" s="2">
        <v>21096000000</v>
      </c>
      <c r="Q1084" s="2">
        <v>11263535000</v>
      </c>
      <c r="R1084" s="2">
        <v>13934535000</v>
      </c>
      <c r="S1084" s="2">
        <f t="shared" si="32"/>
        <v>0.17700000000000005</v>
      </c>
      <c r="T1084" s="2">
        <f t="shared" si="33"/>
        <v>18408094800</v>
      </c>
    </row>
    <row r="1085" spans="1:20" x14ac:dyDescent="0.3">
      <c r="A1085" s="1">
        <v>44978</v>
      </c>
      <c r="B1085" t="s">
        <v>852</v>
      </c>
      <c r="C1085" t="s">
        <v>18</v>
      </c>
      <c r="D1085" t="s">
        <v>21</v>
      </c>
      <c r="E1085">
        <v>4.6100000000000003</v>
      </c>
      <c r="F1085">
        <v>4.673</v>
      </c>
      <c r="G1085">
        <v>4.54</v>
      </c>
      <c r="H1085">
        <v>2.61</v>
      </c>
      <c r="I1085" s="2">
        <v>9542573400</v>
      </c>
      <c r="J1085" s="2">
        <v>109089936100</v>
      </c>
      <c r="K1085" s="2">
        <v>41323938100</v>
      </c>
      <c r="L1085" s="2">
        <v>676087700</v>
      </c>
      <c r="M1085" s="2">
        <v>9500778000</v>
      </c>
      <c r="N1085" s="2">
        <v>9865000000</v>
      </c>
      <c r="O1085" s="2">
        <v>6185000000</v>
      </c>
      <c r="P1085" s="2">
        <v>59015000000</v>
      </c>
      <c r="Q1085" s="2">
        <v>25638160100</v>
      </c>
      <c r="R1085" s="2">
        <v>40209936100</v>
      </c>
      <c r="S1085" s="2">
        <f t="shared" si="32"/>
        <v>0.13300000000000001</v>
      </c>
      <c r="T1085" s="2">
        <f t="shared" si="33"/>
        <v>51542599200</v>
      </c>
    </row>
    <row r="1086" spans="1:20" x14ac:dyDescent="0.3">
      <c r="A1086" s="1">
        <v>44979</v>
      </c>
      <c r="B1086" t="s">
        <v>851</v>
      </c>
      <c r="C1086" t="s">
        <v>18</v>
      </c>
      <c r="D1086" t="s">
        <v>19</v>
      </c>
      <c r="E1086">
        <v>4.03</v>
      </c>
      <c r="F1086">
        <v>4.109</v>
      </c>
      <c r="G1086">
        <v>4</v>
      </c>
      <c r="H1086">
        <v>2.48</v>
      </c>
      <c r="I1086" s="2">
        <v>9769777400</v>
      </c>
      <c r="J1086" s="2">
        <v>106594930000</v>
      </c>
      <c r="K1086" s="2">
        <v>42848281500</v>
      </c>
      <c r="L1086" s="2">
        <v>145580500</v>
      </c>
      <c r="M1086" s="2">
        <v>8154901500</v>
      </c>
      <c r="N1086" s="2">
        <v>8835000000</v>
      </c>
      <c r="O1086" s="2">
        <v>4722000000</v>
      </c>
      <c r="P1086" s="2">
        <v>59612000000</v>
      </c>
      <c r="Q1086" s="2">
        <v>29971380000</v>
      </c>
      <c r="R1086" s="2">
        <v>38147930000</v>
      </c>
      <c r="S1086" s="2">
        <f t="shared" si="32"/>
        <v>0.10899999999999999</v>
      </c>
      <c r="T1086" s="2">
        <f t="shared" si="33"/>
        <v>52763639400</v>
      </c>
    </row>
    <row r="1087" spans="1:20" x14ac:dyDescent="0.3">
      <c r="A1087" s="1">
        <v>44980</v>
      </c>
      <c r="B1087" t="s">
        <v>853</v>
      </c>
      <c r="C1087" t="s">
        <v>18</v>
      </c>
      <c r="D1087" t="s">
        <v>68</v>
      </c>
      <c r="E1087">
        <v>3.972</v>
      </c>
      <c r="F1087">
        <v>4.0620000000000003</v>
      </c>
      <c r="G1087">
        <v>3.94</v>
      </c>
      <c r="H1087">
        <v>2.4900000000000002</v>
      </c>
      <c r="I1087" s="2">
        <v>7952144400</v>
      </c>
      <c r="J1087" s="2">
        <v>87108035000</v>
      </c>
      <c r="K1087" s="2">
        <v>34960939000</v>
      </c>
      <c r="L1087" s="2">
        <v>39066100</v>
      </c>
      <c r="M1087" s="2">
        <v>7270300000</v>
      </c>
      <c r="N1087" s="2">
        <v>7360300000</v>
      </c>
      <c r="O1087" s="2">
        <v>4792140000</v>
      </c>
      <c r="P1087" s="2">
        <v>50108000000</v>
      </c>
      <c r="Q1087" s="2">
        <v>22898499000</v>
      </c>
      <c r="R1087" s="2">
        <v>29639735000</v>
      </c>
      <c r="S1087" s="2">
        <f t="shared" si="32"/>
        <v>0.12200000000000033</v>
      </c>
      <c r="T1087" s="2">
        <f t="shared" si="33"/>
        <v>42952149500</v>
      </c>
    </row>
    <row r="1088" spans="1:20" x14ac:dyDescent="0.3">
      <c r="A1088" s="1">
        <v>44992</v>
      </c>
      <c r="B1088" t="s">
        <v>855</v>
      </c>
      <c r="C1088" t="s">
        <v>18</v>
      </c>
      <c r="D1088" t="s">
        <v>52</v>
      </c>
      <c r="E1088">
        <v>4.58</v>
      </c>
      <c r="F1088">
        <v>4.6349999999999998</v>
      </c>
      <c r="G1088">
        <v>4.5</v>
      </c>
      <c r="H1088">
        <v>2.73</v>
      </c>
      <c r="I1088" s="2">
        <v>0</v>
      </c>
      <c r="J1088" s="2">
        <v>108839247000</v>
      </c>
      <c r="K1088" s="2">
        <v>39774711000</v>
      </c>
      <c r="L1088" s="2">
        <v>225292600</v>
      </c>
      <c r="M1088" s="2">
        <v>8223024000</v>
      </c>
      <c r="N1088" s="2">
        <v>8640000000</v>
      </c>
      <c r="O1088" s="2">
        <v>6696840000</v>
      </c>
      <c r="P1088" s="2">
        <v>63846000000</v>
      </c>
      <c r="Q1088" s="2">
        <v>24854847000</v>
      </c>
      <c r="R1088" s="2">
        <v>36353247000</v>
      </c>
      <c r="S1088" s="2">
        <f t="shared" si="32"/>
        <v>0.13499999999999979</v>
      </c>
      <c r="T1088" s="2">
        <f t="shared" si="33"/>
        <v>40000003600</v>
      </c>
    </row>
    <row r="1089" spans="1:20" x14ac:dyDescent="0.3">
      <c r="A1089" s="1">
        <v>44993</v>
      </c>
      <c r="B1089" t="s">
        <v>849</v>
      </c>
      <c r="C1089" t="s">
        <v>18</v>
      </c>
      <c r="D1089" t="s">
        <v>29</v>
      </c>
      <c r="E1089">
        <v>3.8889999999999998</v>
      </c>
      <c r="F1089">
        <v>3.9849999999999999</v>
      </c>
      <c r="G1089">
        <v>3.8</v>
      </c>
      <c r="H1089">
        <v>2.35</v>
      </c>
      <c r="I1089" s="2">
        <v>0</v>
      </c>
      <c r="J1089" s="2">
        <v>75168645000</v>
      </c>
      <c r="K1089" s="2">
        <v>31963511800</v>
      </c>
      <c r="L1089" s="2">
        <v>36530600</v>
      </c>
      <c r="M1089" s="2">
        <v>6386420000</v>
      </c>
      <c r="N1089" s="2">
        <v>6540000000</v>
      </c>
      <c r="O1089" s="2">
        <v>5666940000</v>
      </c>
      <c r="P1089" s="2">
        <v>45802000000</v>
      </c>
      <c r="Q1089" s="2">
        <v>19910151800</v>
      </c>
      <c r="R1089" s="2">
        <v>22826645000</v>
      </c>
      <c r="S1089" s="2">
        <f t="shared" si="32"/>
        <v>0.18500000000000005</v>
      </c>
      <c r="T1089" s="2">
        <f t="shared" si="33"/>
        <v>32000042400</v>
      </c>
    </row>
    <row r="1090" spans="1:20" x14ac:dyDescent="0.3">
      <c r="A1090" s="1">
        <v>44994</v>
      </c>
      <c r="B1090" t="s">
        <v>848</v>
      </c>
      <c r="C1090" t="s">
        <v>23</v>
      </c>
      <c r="D1090" t="s">
        <v>72</v>
      </c>
      <c r="E1090">
        <v>3.8039999999999998</v>
      </c>
      <c r="F1090">
        <v>3.8769999999999998</v>
      </c>
      <c r="G1090">
        <v>3.77</v>
      </c>
      <c r="H1090">
        <v>2.35</v>
      </c>
      <c r="I1090" s="2">
        <v>0</v>
      </c>
      <c r="J1090" s="2">
        <v>42318305000</v>
      </c>
      <c r="K1090" s="2">
        <v>17995635000</v>
      </c>
      <c r="L1090" s="2">
        <v>4365000</v>
      </c>
      <c r="M1090" s="2">
        <v>3569500000</v>
      </c>
      <c r="N1090" s="2">
        <v>3909500000</v>
      </c>
      <c r="O1090" s="2">
        <v>1700330000</v>
      </c>
      <c r="P1090" s="2">
        <v>23958000000</v>
      </c>
      <c r="Q1090" s="2">
        <v>12725805000</v>
      </c>
      <c r="R1090" s="2">
        <v>14450805000</v>
      </c>
      <c r="S1090" s="2">
        <f t="shared" ref="S1090:S1153" si="34">SUM($F1090,-$G1090)</f>
        <v>0.10699999999999976</v>
      </c>
      <c r="T1090" s="2">
        <f t="shared" ref="T1090:T1153" si="35">SUM(I1090,K1090,L1090)</f>
        <v>18000000000</v>
      </c>
    </row>
    <row r="1091" spans="1:20" x14ac:dyDescent="0.3">
      <c r="A1091" s="1">
        <v>45006</v>
      </c>
      <c r="B1091" t="s">
        <v>854</v>
      </c>
      <c r="C1091" t="s">
        <v>23</v>
      </c>
      <c r="D1091" t="s">
        <v>693</v>
      </c>
      <c r="E1091">
        <v>3.8</v>
      </c>
      <c r="F1091">
        <v>3.9089999999999998</v>
      </c>
      <c r="G1091">
        <v>2.88</v>
      </c>
      <c r="H1091">
        <v>2.5299999999999998</v>
      </c>
      <c r="I1091" s="2">
        <v>0</v>
      </c>
      <c r="J1091" s="2">
        <v>30277250000</v>
      </c>
      <c r="K1091" s="2">
        <v>11963995000</v>
      </c>
      <c r="L1091" s="2">
        <v>36006600</v>
      </c>
      <c r="M1091" s="2">
        <v>2520000000</v>
      </c>
      <c r="N1091" s="2">
        <v>2640000000</v>
      </c>
      <c r="O1091" s="2">
        <v>1425000000</v>
      </c>
      <c r="P1091" s="2">
        <v>17909000000</v>
      </c>
      <c r="Q1091" s="2">
        <v>8018995000</v>
      </c>
      <c r="R1091" s="2">
        <v>9728250000</v>
      </c>
      <c r="S1091" s="2">
        <f t="shared" si="34"/>
        <v>1.0289999999999999</v>
      </c>
      <c r="T1091" s="2">
        <f t="shared" si="35"/>
        <v>12000001600</v>
      </c>
    </row>
    <row r="1092" spans="1:20" x14ac:dyDescent="0.3">
      <c r="A1092" s="1">
        <v>45012</v>
      </c>
      <c r="B1092" t="s">
        <v>858</v>
      </c>
      <c r="C1092" t="s">
        <v>18</v>
      </c>
      <c r="D1092" t="s">
        <v>21</v>
      </c>
      <c r="E1092">
        <v>3.87</v>
      </c>
      <c r="F1092">
        <v>3.9540000000000002</v>
      </c>
      <c r="G1092">
        <v>3.8</v>
      </c>
      <c r="H1092">
        <v>2.44</v>
      </c>
      <c r="I1092" s="2">
        <v>0</v>
      </c>
      <c r="J1092" s="2">
        <v>101844275000</v>
      </c>
      <c r="K1092" s="2">
        <v>41437725000</v>
      </c>
      <c r="L1092" s="2">
        <v>462293600</v>
      </c>
      <c r="M1092" s="2">
        <v>10015000000</v>
      </c>
      <c r="N1092" s="2">
        <v>10665000000</v>
      </c>
      <c r="O1092" s="2">
        <v>9543450000</v>
      </c>
      <c r="P1092" s="2">
        <v>58800000000</v>
      </c>
      <c r="Q1092" s="2">
        <v>21879275000</v>
      </c>
      <c r="R1092" s="2">
        <v>32379275000</v>
      </c>
      <c r="S1092" s="2">
        <f t="shared" si="34"/>
        <v>0.15400000000000036</v>
      </c>
      <c r="T1092" s="2">
        <f t="shared" si="35"/>
        <v>41900018600</v>
      </c>
    </row>
    <row r="1093" spans="1:20" x14ac:dyDescent="0.3">
      <c r="A1093" s="1">
        <v>45013</v>
      </c>
      <c r="B1093" t="s">
        <v>857</v>
      </c>
      <c r="C1093" t="s">
        <v>18</v>
      </c>
      <c r="D1093" t="s">
        <v>19</v>
      </c>
      <c r="E1093">
        <v>3.589</v>
      </c>
      <c r="F1093">
        <v>3.665</v>
      </c>
      <c r="G1093">
        <v>3.53</v>
      </c>
      <c r="H1093">
        <v>2.48</v>
      </c>
      <c r="I1093" s="2">
        <v>0</v>
      </c>
      <c r="J1093" s="2">
        <v>106534920000</v>
      </c>
      <c r="K1093" s="2">
        <v>42900891500</v>
      </c>
      <c r="L1093" s="2">
        <v>99162700</v>
      </c>
      <c r="M1093" s="2">
        <v>7810463500</v>
      </c>
      <c r="N1093" s="2">
        <v>9884000000</v>
      </c>
      <c r="O1093" s="2">
        <v>5718587000</v>
      </c>
      <c r="P1093" s="2">
        <v>60782000000</v>
      </c>
      <c r="Q1093" s="2">
        <v>29371841000</v>
      </c>
      <c r="R1093" s="2">
        <v>35868920000</v>
      </c>
      <c r="S1093" s="2">
        <f t="shared" si="34"/>
        <v>0.13500000000000023</v>
      </c>
      <c r="T1093" s="2">
        <f t="shared" si="35"/>
        <v>43000054200</v>
      </c>
    </row>
    <row r="1094" spans="1:20" x14ac:dyDescent="0.3">
      <c r="A1094" s="1">
        <v>45014</v>
      </c>
      <c r="B1094" t="s">
        <v>856</v>
      </c>
      <c r="C1094" t="s">
        <v>18</v>
      </c>
      <c r="D1094" t="s">
        <v>68</v>
      </c>
      <c r="E1094">
        <v>3.55</v>
      </c>
      <c r="F1094">
        <v>3.6259999999999999</v>
      </c>
      <c r="G1094">
        <v>3.5</v>
      </c>
      <c r="H1094">
        <v>2.39</v>
      </c>
      <c r="I1094" s="2">
        <v>0</v>
      </c>
      <c r="J1094" s="2">
        <v>83738500000</v>
      </c>
      <c r="K1094" s="2">
        <v>34952646300</v>
      </c>
      <c r="L1094" s="2">
        <v>47364100</v>
      </c>
      <c r="M1094" s="2">
        <v>7468600000</v>
      </c>
      <c r="N1094" s="2">
        <v>8218600000</v>
      </c>
      <c r="O1094" s="2">
        <v>5381730000</v>
      </c>
      <c r="P1094" s="2">
        <v>49437000000</v>
      </c>
      <c r="Q1094" s="2">
        <v>22102316300</v>
      </c>
      <c r="R1094" s="2">
        <v>26082900000</v>
      </c>
      <c r="S1094" s="2">
        <f t="shared" si="34"/>
        <v>0.12599999999999989</v>
      </c>
      <c r="T1094" s="2">
        <f t="shared" si="35"/>
        <v>35000010400</v>
      </c>
    </row>
    <row r="1095" spans="1:20" x14ac:dyDescent="0.3">
      <c r="A1095" s="1">
        <v>45027</v>
      </c>
      <c r="B1095" t="s">
        <v>859</v>
      </c>
      <c r="C1095" t="s">
        <v>18</v>
      </c>
      <c r="D1095" t="s">
        <v>52</v>
      </c>
      <c r="E1095">
        <v>3.7570000000000001</v>
      </c>
      <c r="F1095">
        <v>3.81</v>
      </c>
      <c r="G1095">
        <v>3.65</v>
      </c>
      <c r="H1095">
        <v>2.59</v>
      </c>
      <c r="I1095" s="2">
        <v>2557486100</v>
      </c>
      <c r="J1095" s="2">
        <v>103644860000</v>
      </c>
      <c r="K1095" s="2">
        <v>39847606000</v>
      </c>
      <c r="L1095" s="2">
        <v>152397000</v>
      </c>
      <c r="M1095" s="2">
        <v>8373032000</v>
      </c>
      <c r="N1095" s="2">
        <v>10871000000</v>
      </c>
      <c r="O1095" s="2">
        <v>7047714000</v>
      </c>
      <c r="P1095" s="2">
        <v>58931000000</v>
      </c>
      <c r="Q1095" s="2">
        <v>24426860000</v>
      </c>
      <c r="R1095" s="2">
        <v>33842860000</v>
      </c>
      <c r="S1095" s="2">
        <f t="shared" si="34"/>
        <v>0.16000000000000014</v>
      </c>
      <c r="T1095" s="2">
        <f t="shared" si="35"/>
        <v>42557489100</v>
      </c>
    </row>
    <row r="1096" spans="1:20" x14ac:dyDescent="0.3">
      <c r="A1096" s="1">
        <v>45028</v>
      </c>
      <c r="B1096" t="s">
        <v>849</v>
      </c>
      <c r="C1096" t="s">
        <v>18</v>
      </c>
      <c r="D1096" t="s">
        <v>59</v>
      </c>
      <c r="E1096">
        <v>3.3639999999999999</v>
      </c>
      <c r="F1096">
        <v>3.4550000000000001</v>
      </c>
      <c r="G1096">
        <v>3.3</v>
      </c>
      <c r="H1096">
        <v>2.36</v>
      </c>
      <c r="I1096" s="2">
        <v>2045988800</v>
      </c>
      <c r="J1096" s="2">
        <v>75372280000</v>
      </c>
      <c r="K1096" s="2">
        <v>31949495000</v>
      </c>
      <c r="L1096" s="2">
        <v>50524800</v>
      </c>
      <c r="M1096" s="2">
        <v>6360000000</v>
      </c>
      <c r="N1096" s="2">
        <v>6970000000</v>
      </c>
      <c r="O1096" s="2">
        <v>5477215000</v>
      </c>
      <c r="P1096" s="2">
        <v>45130000000</v>
      </c>
      <c r="Q1096" s="2">
        <v>20112280000</v>
      </c>
      <c r="R1096" s="2">
        <v>23272280000</v>
      </c>
      <c r="S1096" s="2">
        <f t="shared" si="34"/>
        <v>0.15500000000000025</v>
      </c>
      <c r="T1096" s="2">
        <f t="shared" si="35"/>
        <v>34046008600</v>
      </c>
    </row>
    <row r="1097" spans="1:20" x14ac:dyDescent="0.3">
      <c r="A1097" s="1">
        <v>45029</v>
      </c>
      <c r="B1097" t="s">
        <v>848</v>
      </c>
      <c r="C1097" t="s">
        <v>23</v>
      </c>
      <c r="D1097" t="s">
        <v>91</v>
      </c>
      <c r="E1097">
        <v>3.589</v>
      </c>
      <c r="F1097">
        <v>3.661</v>
      </c>
      <c r="G1097">
        <v>3.5270000000000001</v>
      </c>
      <c r="H1097">
        <v>2.36</v>
      </c>
      <c r="I1097" s="2">
        <v>1150868700</v>
      </c>
      <c r="J1097" s="2">
        <v>42437533600</v>
      </c>
      <c r="K1097" s="2">
        <v>17979393200</v>
      </c>
      <c r="L1097" s="2">
        <v>20609700</v>
      </c>
      <c r="M1097" s="2">
        <v>3559400000</v>
      </c>
      <c r="N1097" s="2">
        <v>3799400000</v>
      </c>
      <c r="O1097" s="2">
        <v>1993095000</v>
      </c>
      <c r="P1097" s="2">
        <v>24204000000</v>
      </c>
      <c r="Q1097" s="2">
        <v>12426898200</v>
      </c>
      <c r="R1097" s="2">
        <v>14434133600</v>
      </c>
      <c r="S1097" s="2">
        <f t="shared" si="34"/>
        <v>0.1339999999999999</v>
      </c>
      <c r="T1097" s="2">
        <f t="shared" si="35"/>
        <v>19150871600</v>
      </c>
    </row>
    <row r="1098" spans="1:20" x14ac:dyDescent="0.3">
      <c r="A1098" s="1">
        <v>45035</v>
      </c>
      <c r="B1098" t="s">
        <v>854</v>
      </c>
      <c r="C1098" t="s">
        <v>23</v>
      </c>
      <c r="D1098" t="s">
        <v>698</v>
      </c>
      <c r="E1098">
        <v>3.85</v>
      </c>
      <c r="F1098">
        <v>3.92</v>
      </c>
      <c r="G1098">
        <v>3.82</v>
      </c>
      <c r="H1098">
        <v>2.66</v>
      </c>
      <c r="I1098" s="2">
        <v>1171099800</v>
      </c>
      <c r="J1098" s="2">
        <v>31914810000</v>
      </c>
      <c r="K1098" s="2">
        <v>11960168000</v>
      </c>
      <c r="L1098" s="2">
        <v>39845100</v>
      </c>
      <c r="M1098" s="2">
        <v>2300783500</v>
      </c>
      <c r="N1098" s="2">
        <v>3545000000</v>
      </c>
      <c r="O1098" s="2">
        <v>1440810000</v>
      </c>
      <c r="P1098" s="2">
        <v>17184000000</v>
      </c>
      <c r="Q1098" s="2">
        <v>8218574500</v>
      </c>
      <c r="R1098" s="2">
        <v>11185810000</v>
      </c>
      <c r="S1098" s="2">
        <f t="shared" si="34"/>
        <v>0.10000000000000009</v>
      </c>
      <c r="T1098" s="2">
        <f t="shared" si="35"/>
        <v>13171112900</v>
      </c>
    </row>
    <row r="1099" spans="1:20" x14ac:dyDescent="0.3">
      <c r="A1099" s="1">
        <v>45041</v>
      </c>
      <c r="B1099" t="s">
        <v>862</v>
      </c>
      <c r="C1099" t="s">
        <v>18</v>
      </c>
      <c r="D1099" t="s">
        <v>21</v>
      </c>
      <c r="E1099">
        <v>3.92</v>
      </c>
      <c r="F1099">
        <v>3.9689999999999999</v>
      </c>
      <c r="G1099">
        <v>3.85</v>
      </c>
      <c r="H1099">
        <v>2.68</v>
      </c>
      <c r="I1099" s="2">
        <v>4098849500</v>
      </c>
      <c r="J1099" s="2">
        <v>112157560000</v>
      </c>
      <c r="K1099" s="2">
        <v>41610110000</v>
      </c>
      <c r="L1099" s="2">
        <v>389942700</v>
      </c>
      <c r="M1099" s="2">
        <v>8265970000</v>
      </c>
      <c r="N1099" s="2">
        <v>11506000000</v>
      </c>
      <c r="O1099" s="2">
        <v>7878580000</v>
      </c>
      <c r="P1099" s="2">
        <v>61650000000</v>
      </c>
      <c r="Q1099" s="2">
        <v>25465560000</v>
      </c>
      <c r="R1099" s="2">
        <v>39001560000</v>
      </c>
      <c r="S1099" s="2">
        <f t="shared" si="34"/>
        <v>0.11899999999999977</v>
      </c>
      <c r="T1099" s="2">
        <f t="shared" si="35"/>
        <v>46098902200</v>
      </c>
    </row>
    <row r="1100" spans="1:20" x14ac:dyDescent="0.3">
      <c r="A1100" s="1">
        <v>45042</v>
      </c>
      <c r="B1100" t="s">
        <v>861</v>
      </c>
      <c r="C1100" t="s">
        <v>18</v>
      </c>
      <c r="D1100" t="s">
        <v>19</v>
      </c>
      <c r="E1100">
        <v>3.427</v>
      </c>
      <c r="F1100">
        <v>3.5</v>
      </c>
      <c r="G1100">
        <v>3.35</v>
      </c>
      <c r="H1100">
        <v>2.54</v>
      </c>
      <c r="I1100" s="2">
        <v>4196441000</v>
      </c>
      <c r="J1100" s="2">
        <v>109065560000</v>
      </c>
      <c r="K1100" s="2">
        <v>42915960000</v>
      </c>
      <c r="L1100" s="2">
        <v>84059700</v>
      </c>
      <c r="M1100" s="2">
        <v>7419000000</v>
      </c>
      <c r="N1100" s="2">
        <v>11009600000</v>
      </c>
      <c r="O1100" s="2">
        <v>5853000000</v>
      </c>
      <c r="P1100" s="2">
        <v>60738000000</v>
      </c>
      <c r="Q1100" s="2">
        <v>29643960000</v>
      </c>
      <c r="R1100" s="2">
        <v>37317960000</v>
      </c>
      <c r="S1100" s="2">
        <f t="shared" si="34"/>
        <v>0.14999999999999991</v>
      </c>
      <c r="T1100" s="2">
        <f t="shared" si="35"/>
        <v>47196460700</v>
      </c>
    </row>
    <row r="1101" spans="1:20" x14ac:dyDescent="0.3">
      <c r="A1101" s="1">
        <v>45043</v>
      </c>
      <c r="B1101" t="s">
        <v>860</v>
      </c>
      <c r="C1101" t="s">
        <v>18</v>
      </c>
      <c r="D1101" t="s">
        <v>68</v>
      </c>
      <c r="E1101">
        <v>3.4889999999999999</v>
      </c>
      <c r="F1101">
        <v>3.5630000000000002</v>
      </c>
      <c r="G1101">
        <v>3.4</v>
      </c>
      <c r="H1101">
        <v>2.41</v>
      </c>
      <c r="I1101" s="2">
        <v>3415707800</v>
      </c>
      <c r="J1101" s="2">
        <v>84487680000</v>
      </c>
      <c r="K1101" s="2">
        <v>34963362500</v>
      </c>
      <c r="L1101" s="2">
        <v>36642400</v>
      </c>
      <c r="M1101" s="2">
        <v>7368800000</v>
      </c>
      <c r="N1101" s="2">
        <v>8248800000</v>
      </c>
      <c r="O1101" s="2">
        <v>5178682500</v>
      </c>
      <c r="P1101" s="2">
        <v>48905000000</v>
      </c>
      <c r="Q1101" s="2">
        <v>22415880000</v>
      </c>
      <c r="R1101" s="2">
        <v>27333880000</v>
      </c>
      <c r="S1101" s="2">
        <f t="shared" si="34"/>
        <v>0.16300000000000026</v>
      </c>
      <c r="T1101" s="2">
        <f t="shared" si="35"/>
        <v>38415712700</v>
      </c>
    </row>
    <row r="1102" spans="1:20" x14ac:dyDescent="0.3">
      <c r="A1102" s="1">
        <v>45055</v>
      </c>
      <c r="B1102" t="s">
        <v>865</v>
      </c>
      <c r="C1102" t="s">
        <v>18</v>
      </c>
      <c r="D1102" t="s">
        <v>52</v>
      </c>
      <c r="E1102">
        <v>3.6549999999999998</v>
      </c>
      <c r="F1102">
        <v>3.6949999999999998</v>
      </c>
      <c r="G1102">
        <v>3.5</v>
      </c>
      <c r="H1102">
        <v>2.93</v>
      </c>
      <c r="I1102" s="2">
        <v>10897698800</v>
      </c>
      <c r="J1102" s="2">
        <v>117057950000</v>
      </c>
      <c r="K1102" s="2">
        <v>39890554500</v>
      </c>
      <c r="L1102" s="2">
        <v>109460000</v>
      </c>
      <c r="M1102" s="2">
        <v>5450000000</v>
      </c>
      <c r="N1102" s="2">
        <v>11242000000</v>
      </c>
      <c r="O1102" s="2">
        <v>5180892000</v>
      </c>
      <c r="P1102" s="2">
        <v>61473000000</v>
      </c>
      <c r="Q1102" s="2">
        <v>29259662500</v>
      </c>
      <c r="R1102" s="2">
        <v>44342950000</v>
      </c>
      <c r="S1102" s="2">
        <f t="shared" si="34"/>
        <v>0.19499999999999984</v>
      </c>
      <c r="T1102" s="2">
        <f t="shared" si="35"/>
        <v>50897713300</v>
      </c>
    </row>
    <row r="1103" spans="1:20" x14ac:dyDescent="0.3">
      <c r="A1103" s="1">
        <v>45056</v>
      </c>
      <c r="B1103" t="s">
        <v>863</v>
      </c>
      <c r="C1103" t="s">
        <v>18</v>
      </c>
      <c r="D1103" t="s">
        <v>26</v>
      </c>
      <c r="E1103">
        <v>3.363</v>
      </c>
      <c r="F1103">
        <v>3.448</v>
      </c>
      <c r="G1103">
        <v>3.32</v>
      </c>
      <c r="H1103">
        <v>2.4500000000000002</v>
      </c>
      <c r="I1103" s="2">
        <v>9535486500</v>
      </c>
      <c r="J1103" s="2">
        <v>85617440000</v>
      </c>
      <c r="K1103" s="2">
        <v>34950234000</v>
      </c>
      <c r="L1103" s="2">
        <v>49877000</v>
      </c>
      <c r="M1103" s="2">
        <v>6800000000</v>
      </c>
      <c r="N1103" s="2">
        <v>9475000000</v>
      </c>
      <c r="O1103" s="2">
        <v>4559215000</v>
      </c>
      <c r="P1103" s="2">
        <v>48734000000</v>
      </c>
      <c r="Q1103" s="2">
        <v>23591019000</v>
      </c>
      <c r="R1103" s="2">
        <v>27408440000</v>
      </c>
      <c r="S1103" s="2">
        <f t="shared" si="34"/>
        <v>0.12800000000000011</v>
      </c>
      <c r="T1103" s="2">
        <f t="shared" si="35"/>
        <v>44535597500</v>
      </c>
    </row>
    <row r="1104" spans="1:20" x14ac:dyDescent="0.3">
      <c r="A1104" s="1">
        <v>45057</v>
      </c>
      <c r="B1104" t="s">
        <v>864</v>
      </c>
      <c r="C1104" t="s">
        <v>23</v>
      </c>
      <c r="D1104" t="s">
        <v>65</v>
      </c>
      <c r="E1104">
        <v>3.6709999999999998</v>
      </c>
      <c r="F1104">
        <v>3.7410000000000001</v>
      </c>
      <c r="G1104">
        <v>3.6</v>
      </c>
      <c r="H1104">
        <v>2.4300000000000002</v>
      </c>
      <c r="I1104" s="2">
        <v>5721291900</v>
      </c>
      <c r="J1104" s="2">
        <v>50918140000</v>
      </c>
      <c r="K1104" s="2">
        <v>20971305000</v>
      </c>
      <c r="L1104" s="2">
        <v>28699000</v>
      </c>
      <c r="M1104" s="2">
        <v>3639800000</v>
      </c>
      <c r="N1104" s="2">
        <v>5399800000</v>
      </c>
      <c r="O1104" s="2">
        <v>2141000000</v>
      </c>
      <c r="P1104" s="2">
        <v>27864000000</v>
      </c>
      <c r="Q1104" s="2">
        <v>15190505000</v>
      </c>
      <c r="R1104" s="2">
        <v>17654340000</v>
      </c>
      <c r="S1104" s="2">
        <f t="shared" si="34"/>
        <v>0.14100000000000001</v>
      </c>
      <c r="T1104" s="2">
        <f t="shared" si="35"/>
        <v>26721295900</v>
      </c>
    </row>
    <row r="1105" spans="1:20" x14ac:dyDescent="0.3">
      <c r="A1105" s="1">
        <v>45063</v>
      </c>
      <c r="B1105" t="s">
        <v>869</v>
      </c>
      <c r="C1105" t="s">
        <v>23</v>
      </c>
      <c r="D1105" t="s">
        <v>688</v>
      </c>
      <c r="E1105">
        <v>3.875</v>
      </c>
      <c r="F1105">
        <v>3.9540000000000002</v>
      </c>
      <c r="G1105">
        <v>2.88</v>
      </c>
      <c r="H1105">
        <v>2.56</v>
      </c>
      <c r="I1105" s="2">
        <v>2816958900</v>
      </c>
      <c r="J1105" s="2">
        <v>38354640000</v>
      </c>
      <c r="K1105" s="2">
        <v>14922117000</v>
      </c>
      <c r="L1105" s="2">
        <v>77883300</v>
      </c>
      <c r="M1105" s="2">
        <v>2703477000</v>
      </c>
      <c r="N1105" s="2">
        <v>4260000000</v>
      </c>
      <c r="O1105" s="2">
        <v>1687000000</v>
      </c>
      <c r="P1105" s="2">
        <v>21423000000</v>
      </c>
      <c r="Q1105" s="2">
        <v>10531640000</v>
      </c>
      <c r="R1105" s="2">
        <v>12671640000</v>
      </c>
      <c r="S1105" s="2">
        <f t="shared" si="34"/>
        <v>1.0740000000000003</v>
      </c>
      <c r="T1105" s="2">
        <f t="shared" si="35"/>
        <v>17816959200</v>
      </c>
    </row>
    <row r="1106" spans="1:20" x14ac:dyDescent="0.3">
      <c r="A1106" s="1">
        <v>45069</v>
      </c>
      <c r="B1106" t="s">
        <v>868</v>
      </c>
      <c r="C1106" t="s">
        <v>18</v>
      </c>
      <c r="D1106" t="s">
        <v>21</v>
      </c>
      <c r="E1106">
        <v>4.2549999999999999</v>
      </c>
      <c r="F1106">
        <v>4.3</v>
      </c>
      <c r="G1106">
        <v>4.1500000000000004</v>
      </c>
      <c r="H1106">
        <v>2.9</v>
      </c>
      <c r="I1106" s="2">
        <v>7887485100</v>
      </c>
      <c r="J1106" s="2">
        <v>121443720000</v>
      </c>
      <c r="K1106" s="2">
        <v>41665843300</v>
      </c>
      <c r="L1106" s="2">
        <v>323572200</v>
      </c>
      <c r="M1106" s="2">
        <v>6501373500</v>
      </c>
      <c r="N1106" s="2">
        <v>14490000000</v>
      </c>
      <c r="O1106" s="2">
        <v>6743954000</v>
      </c>
      <c r="P1106" s="2">
        <v>62228000000</v>
      </c>
      <c r="Q1106" s="2">
        <v>28420515800</v>
      </c>
      <c r="R1106" s="2">
        <v>44725720000</v>
      </c>
      <c r="S1106" s="2">
        <f t="shared" si="34"/>
        <v>0.14999999999999947</v>
      </c>
      <c r="T1106" s="2">
        <f t="shared" si="35"/>
        <v>49876900600</v>
      </c>
    </row>
    <row r="1107" spans="1:20" x14ac:dyDescent="0.3">
      <c r="A1107" s="1">
        <v>45070</v>
      </c>
      <c r="B1107" t="s">
        <v>867</v>
      </c>
      <c r="C1107" t="s">
        <v>18</v>
      </c>
      <c r="D1107" t="s">
        <v>19</v>
      </c>
      <c r="E1107">
        <v>3.6869999999999998</v>
      </c>
      <c r="F1107">
        <v>3.7490000000000001</v>
      </c>
      <c r="G1107">
        <v>3.55</v>
      </c>
      <c r="H1107">
        <v>2.58</v>
      </c>
      <c r="I1107" s="2">
        <v>8075282400</v>
      </c>
      <c r="J1107" s="2">
        <v>110878120000</v>
      </c>
      <c r="K1107" s="2">
        <v>42920796300</v>
      </c>
      <c r="L1107" s="2">
        <v>75222700</v>
      </c>
      <c r="M1107" s="2">
        <v>7707051300</v>
      </c>
      <c r="N1107" s="2">
        <v>10881000000</v>
      </c>
      <c r="O1107" s="2">
        <v>4007125000</v>
      </c>
      <c r="P1107" s="2">
        <v>60290000000</v>
      </c>
      <c r="Q1107" s="2">
        <v>31206620000</v>
      </c>
      <c r="R1107" s="2">
        <v>39707120000</v>
      </c>
      <c r="S1107" s="2">
        <f t="shared" si="34"/>
        <v>0.19900000000000029</v>
      </c>
      <c r="T1107" s="2">
        <f t="shared" si="35"/>
        <v>51071301400</v>
      </c>
    </row>
    <row r="1108" spans="1:20" x14ac:dyDescent="0.3">
      <c r="A1108" s="1">
        <v>45071</v>
      </c>
      <c r="B1108" t="s">
        <v>866</v>
      </c>
      <c r="C1108" t="s">
        <v>18</v>
      </c>
      <c r="D1108" t="s">
        <v>68</v>
      </c>
      <c r="E1108">
        <v>3.7690000000000001</v>
      </c>
      <c r="F1108">
        <v>3.827</v>
      </c>
      <c r="G1108">
        <v>3.68</v>
      </c>
      <c r="H1108">
        <v>2.61</v>
      </c>
      <c r="I1108" s="2">
        <v>6572904300</v>
      </c>
      <c r="J1108" s="2">
        <v>91286515000</v>
      </c>
      <c r="K1108" s="2">
        <v>34967519600</v>
      </c>
      <c r="L1108" s="2">
        <v>32589600</v>
      </c>
      <c r="M1108" s="2">
        <v>6044500000</v>
      </c>
      <c r="N1108" s="2">
        <v>9210000000</v>
      </c>
      <c r="O1108" s="2">
        <v>3641990000</v>
      </c>
      <c r="P1108" s="2">
        <v>50308000000</v>
      </c>
      <c r="Q1108" s="2">
        <v>25281029600</v>
      </c>
      <c r="R1108" s="2">
        <v>31768515000</v>
      </c>
      <c r="S1108" s="2">
        <f t="shared" si="34"/>
        <v>0.1469999999999998</v>
      </c>
      <c r="T1108" s="2">
        <f t="shared" si="35"/>
        <v>41573013500</v>
      </c>
    </row>
    <row r="1109" spans="1:20" x14ac:dyDescent="0.3">
      <c r="A1109" s="1">
        <v>45089</v>
      </c>
      <c r="B1109" t="s">
        <v>863</v>
      </c>
      <c r="C1109" t="s">
        <v>18</v>
      </c>
      <c r="D1109" t="s">
        <v>29</v>
      </c>
      <c r="E1109">
        <v>3.714</v>
      </c>
      <c r="F1109">
        <v>3.7909999999999999</v>
      </c>
      <c r="G1109">
        <v>3.6</v>
      </c>
      <c r="H1109">
        <v>2.36</v>
      </c>
      <c r="I1109" s="2">
        <v>0</v>
      </c>
      <c r="J1109" s="2">
        <v>75530085000</v>
      </c>
      <c r="K1109" s="2">
        <v>31981695000</v>
      </c>
      <c r="L1109" s="2">
        <v>18314600</v>
      </c>
      <c r="M1109" s="2">
        <v>6371000000</v>
      </c>
      <c r="N1109" s="2">
        <v>7871000000</v>
      </c>
      <c r="O1109" s="2">
        <v>5691610000</v>
      </c>
      <c r="P1109" s="2">
        <v>44902000000</v>
      </c>
      <c r="Q1109" s="2">
        <v>19919085000</v>
      </c>
      <c r="R1109" s="2">
        <v>22757085000</v>
      </c>
      <c r="S1109" s="2">
        <f t="shared" si="34"/>
        <v>0.19099999999999984</v>
      </c>
      <c r="T1109" s="2">
        <f t="shared" si="35"/>
        <v>32000009600</v>
      </c>
    </row>
    <row r="1110" spans="1:20" x14ac:dyDescent="0.3">
      <c r="A1110" s="1">
        <v>45089</v>
      </c>
      <c r="B1110" t="s">
        <v>870</v>
      </c>
      <c r="C1110" t="s">
        <v>18</v>
      </c>
      <c r="D1110" t="s">
        <v>52</v>
      </c>
      <c r="E1110">
        <v>4.1289999999999996</v>
      </c>
      <c r="F1110">
        <v>4.202</v>
      </c>
      <c r="G1110">
        <v>3.88</v>
      </c>
      <c r="H1110">
        <v>2.7</v>
      </c>
      <c r="I1110" s="2">
        <v>0</v>
      </c>
      <c r="J1110" s="2">
        <v>107716460000</v>
      </c>
      <c r="K1110" s="2">
        <v>39884564200</v>
      </c>
      <c r="L1110" s="2">
        <v>110509600</v>
      </c>
      <c r="M1110" s="2">
        <v>8669104200</v>
      </c>
      <c r="N1110" s="2">
        <v>11301000000</v>
      </c>
      <c r="O1110" s="2">
        <v>6676000000</v>
      </c>
      <c r="P1110" s="2">
        <v>60161000000</v>
      </c>
      <c r="Q1110" s="2">
        <v>24539460000</v>
      </c>
      <c r="R1110" s="2">
        <v>36254460000</v>
      </c>
      <c r="S1110" s="2">
        <f t="shared" si="34"/>
        <v>0.32200000000000006</v>
      </c>
      <c r="T1110" s="2">
        <f t="shared" si="35"/>
        <v>39995073800</v>
      </c>
    </row>
    <row r="1111" spans="1:20" x14ac:dyDescent="0.3">
      <c r="A1111" s="1">
        <v>45090</v>
      </c>
      <c r="B1111" t="s">
        <v>864</v>
      </c>
      <c r="C1111" t="s">
        <v>23</v>
      </c>
      <c r="D1111" t="s">
        <v>72</v>
      </c>
      <c r="E1111">
        <v>3.839</v>
      </c>
      <c r="F1111">
        <v>3.9079999999999999</v>
      </c>
      <c r="G1111">
        <v>2.88</v>
      </c>
      <c r="H1111">
        <v>2.52</v>
      </c>
      <c r="I1111" s="2">
        <v>0</v>
      </c>
      <c r="J1111" s="2">
        <v>45383085000</v>
      </c>
      <c r="K1111" s="2">
        <v>17994584600</v>
      </c>
      <c r="L1111" s="2">
        <v>5433500</v>
      </c>
      <c r="M1111" s="2">
        <v>3263012100</v>
      </c>
      <c r="N1111" s="2">
        <v>6001000000</v>
      </c>
      <c r="O1111" s="2">
        <v>1611487500</v>
      </c>
      <c r="P1111" s="2">
        <v>24325000000</v>
      </c>
      <c r="Q1111" s="2">
        <v>13120085000</v>
      </c>
      <c r="R1111" s="2">
        <v>15057085000</v>
      </c>
      <c r="S1111" s="2">
        <f t="shared" si="34"/>
        <v>1.028</v>
      </c>
      <c r="T1111" s="2">
        <f t="shared" si="35"/>
        <v>18000018100</v>
      </c>
    </row>
    <row r="1112" spans="1:20" x14ac:dyDescent="0.3">
      <c r="A1112" s="1">
        <v>45098</v>
      </c>
      <c r="B1112" t="s">
        <v>869</v>
      </c>
      <c r="C1112" t="s">
        <v>23</v>
      </c>
      <c r="D1112" t="s">
        <v>693</v>
      </c>
      <c r="E1112">
        <v>3.94</v>
      </c>
      <c r="F1112">
        <v>4.01</v>
      </c>
      <c r="G1112">
        <v>3.89</v>
      </c>
      <c r="H1112">
        <v>2.87</v>
      </c>
      <c r="I1112" s="2">
        <v>0</v>
      </c>
      <c r="J1112" s="2">
        <v>34435540000</v>
      </c>
      <c r="K1112" s="2">
        <v>11968954800</v>
      </c>
      <c r="L1112" s="2">
        <v>31049600</v>
      </c>
      <c r="M1112" s="2">
        <v>2109500000</v>
      </c>
      <c r="N1112" s="2">
        <v>4604000000</v>
      </c>
      <c r="O1112" s="2">
        <v>932746000</v>
      </c>
      <c r="P1112" s="2">
        <v>17891000000</v>
      </c>
      <c r="Q1112" s="2">
        <v>8926708800</v>
      </c>
      <c r="R1112" s="2">
        <v>11940540000</v>
      </c>
      <c r="S1112" s="2">
        <f t="shared" si="34"/>
        <v>0.11999999999999966</v>
      </c>
      <c r="T1112" s="2">
        <f t="shared" si="35"/>
        <v>12000004400</v>
      </c>
    </row>
    <row r="1113" spans="1:20" x14ac:dyDescent="0.3">
      <c r="A1113" s="1">
        <v>45103</v>
      </c>
      <c r="B1113" t="s">
        <v>872</v>
      </c>
      <c r="C1113" t="s">
        <v>18</v>
      </c>
      <c r="D1113" t="s">
        <v>21</v>
      </c>
      <c r="E1113">
        <v>4.625</v>
      </c>
      <c r="F1113">
        <v>4.67</v>
      </c>
      <c r="G1113">
        <v>4.5</v>
      </c>
      <c r="H1113">
        <v>2.86</v>
      </c>
      <c r="I1113" s="2">
        <v>0</v>
      </c>
      <c r="J1113" s="2">
        <v>119663285000</v>
      </c>
      <c r="K1113" s="2">
        <v>41536569000</v>
      </c>
      <c r="L1113" s="2">
        <v>460475500</v>
      </c>
      <c r="M1113" s="2">
        <v>7548350000</v>
      </c>
      <c r="N1113" s="2">
        <v>14415000000</v>
      </c>
      <c r="O1113" s="2">
        <v>5540938000</v>
      </c>
      <c r="P1113" s="2">
        <v>60148000000</v>
      </c>
      <c r="Q1113" s="2">
        <v>28447281000</v>
      </c>
      <c r="R1113" s="2">
        <v>45100285000</v>
      </c>
      <c r="S1113" s="2">
        <f t="shared" si="34"/>
        <v>0.16999999999999993</v>
      </c>
      <c r="T1113" s="2">
        <f t="shared" si="35"/>
        <v>41997044500</v>
      </c>
    </row>
    <row r="1114" spans="1:20" x14ac:dyDescent="0.3">
      <c r="A1114" s="1">
        <v>45104</v>
      </c>
      <c r="B1114" t="s">
        <v>871</v>
      </c>
      <c r="C1114" t="s">
        <v>18</v>
      </c>
      <c r="D1114" t="s">
        <v>19</v>
      </c>
      <c r="E1114">
        <v>3.95</v>
      </c>
      <c r="F1114">
        <v>4.0190000000000001</v>
      </c>
      <c r="G1114">
        <v>3.88</v>
      </c>
      <c r="H1114">
        <v>2.52</v>
      </c>
      <c r="I1114" s="2">
        <v>0</v>
      </c>
      <c r="J1114" s="2">
        <v>108099385000</v>
      </c>
      <c r="K1114" s="2">
        <v>42898324900</v>
      </c>
      <c r="L1114" s="2">
        <v>96747200</v>
      </c>
      <c r="M1114" s="2">
        <v>8447000000</v>
      </c>
      <c r="N1114" s="2">
        <v>11748000000</v>
      </c>
      <c r="O1114" s="2">
        <v>5238260000</v>
      </c>
      <c r="P1114" s="2">
        <v>60180000000</v>
      </c>
      <c r="Q1114" s="2">
        <v>29213064900</v>
      </c>
      <c r="R1114" s="2">
        <v>36171385000</v>
      </c>
      <c r="S1114" s="2">
        <f t="shared" si="34"/>
        <v>0.13900000000000023</v>
      </c>
      <c r="T1114" s="2">
        <f t="shared" si="35"/>
        <v>42995072100</v>
      </c>
    </row>
    <row r="1115" spans="1:20" x14ac:dyDescent="0.3">
      <c r="A1115" s="1">
        <v>45105</v>
      </c>
      <c r="B1115" t="s">
        <v>873</v>
      </c>
      <c r="C1115" t="s">
        <v>18</v>
      </c>
      <c r="D1115" t="s">
        <v>68</v>
      </c>
      <c r="E1115">
        <v>3.77</v>
      </c>
      <c r="F1115">
        <v>3.839</v>
      </c>
      <c r="G1115">
        <v>3.6</v>
      </c>
      <c r="H1115">
        <v>2.65</v>
      </c>
      <c r="I1115" s="2">
        <v>0</v>
      </c>
      <c r="J1115" s="2">
        <v>92840985000</v>
      </c>
      <c r="K1115" s="2">
        <v>34969185800</v>
      </c>
      <c r="L1115" s="2">
        <v>30822100</v>
      </c>
      <c r="M1115" s="2">
        <v>5788500800</v>
      </c>
      <c r="N1115" s="2">
        <v>11098300000</v>
      </c>
      <c r="O1115" s="2">
        <v>2846000000</v>
      </c>
      <c r="P1115" s="2">
        <v>48127000000</v>
      </c>
      <c r="Q1115" s="2">
        <v>26334685000</v>
      </c>
      <c r="R1115" s="2">
        <v>33615685000</v>
      </c>
      <c r="S1115" s="2">
        <f t="shared" si="34"/>
        <v>0.23899999999999988</v>
      </c>
      <c r="T1115" s="2">
        <f t="shared" si="35"/>
        <v>35000007900</v>
      </c>
    </row>
    <row r="1116" spans="1:20" x14ac:dyDescent="0.3">
      <c r="A1116" s="1">
        <v>45118</v>
      </c>
      <c r="B1116" t="s">
        <v>874</v>
      </c>
      <c r="C1116" t="s">
        <v>18</v>
      </c>
      <c r="D1116" t="s">
        <v>52</v>
      </c>
      <c r="E1116">
        <v>4.4749999999999996</v>
      </c>
      <c r="F1116">
        <v>4.5339999999999998</v>
      </c>
      <c r="G1116">
        <v>4.25</v>
      </c>
      <c r="H1116">
        <v>2.88</v>
      </c>
      <c r="I1116" s="2">
        <v>0</v>
      </c>
      <c r="J1116" s="2">
        <v>114919440000</v>
      </c>
      <c r="K1116" s="2">
        <v>39633005100</v>
      </c>
      <c r="L1116" s="2">
        <v>162007500</v>
      </c>
      <c r="M1116" s="2">
        <v>7844280100</v>
      </c>
      <c r="N1116" s="2">
        <v>12016000000</v>
      </c>
      <c r="O1116" s="2">
        <v>4272000000</v>
      </c>
      <c r="P1116" s="2">
        <v>62647000000</v>
      </c>
      <c r="Q1116" s="2">
        <v>27516725000</v>
      </c>
      <c r="R1116" s="2">
        <v>40256440000</v>
      </c>
      <c r="S1116" s="2">
        <f t="shared" si="34"/>
        <v>0.28399999999999981</v>
      </c>
      <c r="T1116" s="2">
        <f t="shared" si="35"/>
        <v>39795012600</v>
      </c>
    </row>
    <row r="1117" spans="1:20" x14ac:dyDescent="0.3">
      <c r="A1117" s="1">
        <v>45119</v>
      </c>
      <c r="B1117" t="s">
        <v>863</v>
      </c>
      <c r="C1117" t="s">
        <v>18</v>
      </c>
      <c r="D1117" t="s">
        <v>59</v>
      </c>
      <c r="E1117">
        <v>3.7749999999999999</v>
      </c>
      <c r="F1117">
        <v>3.8570000000000002</v>
      </c>
      <c r="G1117">
        <v>3.73</v>
      </c>
      <c r="H1117">
        <v>2.5299999999999998</v>
      </c>
      <c r="I1117" s="2">
        <v>0</v>
      </c>
      <c r="J1117" s="2">
        <v>80984320000</v>
      </c>
      <c r="K1117" s="2">
        <v>31963359600</v>
      </c>
      <c r="L1117" s="2">
        <v>36650600</v>
      </c>
      <c r="M1117" s="2">
        <v>6351000000</v>
      </c>
      <c r="N1117" s="2">
        <v>10976000000</v>
      </c>
      <c r="O1117" s="2">
        <v>3961265000</v>
      </c>
      <c r="P1117" s="2">
        <v>43911000000</v>
      </c>
      <c r="Q1117" s="2">
        <v>21651094600</v>
      </c>
      <c r="R1117" s="2">
        <v>26097320000</v>
      </c>
      <c r="S1117" s="2">
        <f t="shared" si="34"/>
        <v>0.12700000000000022</v>
      </c>
      <c r="T1117" s="2">
        <f t="shared" si="35"/>
        <v>32000010200</v>
      </c>
    </row>
    <row r="1118" spans="1:20" x14ac:dyDescent="0.3">
      <c r="A1118" s="1">
        <v>45120</v>
      </c>
      <c r="B1118" t="s">
        <v>864</v>
      </c>
      <c r="C1118" t="s">
        <v>23</v>
      </c>
      <c r="D1118" t="s">
        <v>91</v>
      </c>
      <c r="E1118">
        <v>3.83</v>
      </c>
      <c r="F1118">
        <v>3.91</v>
      </c>
      <c r="G1118">
        <v>3.78</v>
      </c>
      <c r="H1118">
        <v>2.4300000000000002</v>
      </c>
      <c r="I1118" s="2">
        <v>0</v>
      </c>
      <c r="J1118" s="2">
        <v>43768325000</v>
      </c>
      <c r="K1118" s="2">
        <v>17983945000</v>
      </c>
      <c r="L1118" s="2">
        <v>16057300</v>
      </c>
      <c r="M1118" s="2">
        <v>3620700000</v>
      </c>
      <c r="N1118" s="2">
        <v>5570700000</v>
      </c>
      <c r="O1118" s="2">
        <v>1951620000</v>
      </c>
      <c r="P1118" s="2">
        <v>24179000000</v>
      </c>
      <c r="Q1118" s="2">
        <v>12411625000</v>
      </c>
      <c r="R1118" s="2">
        <v>14018625000</v>
      </c>
      <c r="S1118" s="2">
        <f t="shared" si="34"/>
        <v>0.13000000000000034</v>
      </c>
      <c r="T1118" s="2">
        <f t="shared" si="35"/>
        <v>18000002300</v>
      </c>
    </row>
    <row r="1119" spans="1:20" x14ac:dyDescent="0.3">
      <c r="A1119" s="1">
        <v>45126</v>
      </c>
      <c r="B1119" t="s">
        <v>869</v>
      </c>
      <c r="C1119" t="s">
        <v>23</v>
      </c>
      <c r="D1119" t="s">
        <v>698</v>
      </c>
      <c r="E1119">
        <v>3.9649999999999999</v>
      </c>
      <c r="F1119">
        <v>4.0359999999999996</v>
      </c>
      <c r="G1119">
        <v>3.92</v>
      </c>
      <c r="H1119">
        <v>2.68</v>
      </c>
      <c r="I1119" s="2">
        <v>0</v>
      </c>
      <c r="J1119" s="2">
        <v>32026530000</v>
      </c>
      <c r="K1119" s="2">
        <v>11827793000</v>
      </c>
      <c r="L1119" s="2">
        <v>172212400</v>
      </c>
      <c r="M1119" s="2">
        <v>2564000000</v>
      </c>
      <c r="N1119" s="2">
        <v>4689000000</v>
      </c>
      <c r="O1119" s="2">
        <v>1131725000</v>
      </c>
      <c r="P1119" s="2">
        <v>17136000000</v>
      </c>
      <c r="Q1119" s="2">
        <v>8132068000</v>
      </c>
      <c r="R1119" s="2">
        <v>10201530000</v>
      </c>
      <c r="S1119" s="2">
        <f t="shared" si="34"/>
        <v>0.11599999999999966</v>
      </c>
      <c r="T1119" s="2">
        <f t="shared" si="35"/>
        <v>12000005400</v>
      </c>
    </row>
    <row r="1120" spans="1:20" x14ac:dyDescent="0.3">
      <c r="A1120" s="1">
        <v>45131</v>
      </c>
      <c r="B1120" t="s">
        <v>876</v>
      </c>
      <c r="C1120" t="s">
        <v>18</v>
      </c>
      <c r="D1120" t="s">
        <v>21</v>
      </c>
      <c r="E1120">
        <v>4.76</v>
      </c>
      <c r="F1120">
        <v>4.8230000000000004</v>
      </c>
      <c r="G1120">
        <v>4.7</v>
      </c>
      <c r="H1120">
        <v>2.78</v>
      </c>
      <c r="I1120" s="2">
        <v>0</v>
      </c>
      <c r="J1120" s="2">
        <v>116092220000</v>
      </c>
      <c r="K1120" s="2">
        <v>41253110000</v>
      </c>
      <c r="L1120" s="2">
        <v>641999600</v>
      </c>
      <c r="M1120" s="2">
        <v>8566250000</v>
      </c>
      <c r="N1120" s="2">
        <v>16085000000</v>
      </c>
      <c r="O1120" s="2">
        <v>5688640000</v>
      </c>
      <c r="P1120" s="2">
        <v>58084000000</v>
      </c>
      <c r="Q1120" s="2">
        <v>26998220000</v>
      </c>
      <c r="R1120" s="2">
        <v>41923220000</v>
      </c>
      <c r="S1120" s="2">
        <f t="shared" si="34"/>
        <v>0.12300000000000022</v>
      </c>
      <c r="T1120" s="2">
        <f t="shared" si="35"/>
        <v>41895109600</v>
      </c>
    </row>
    <row r="1121" spans="1:20" x14ac:dyDescent="0.3">
      <c r="A1121" s="1">
        <v>45132</v>
      </c>
      <c r="B1121" t="s">
        <v>875</v>
      </c>
      <c r="C1121" t="s">
        <v>18</v>
      </c>
      <c r="D1121" t="s">
        <v>19</v>
      </c>
      <c r="E1121">
        <v>4.0999999999999996</v>
      </c>
      <c r="F1121">
        <v>4.17</v>
      </c>
      <c r="G1121">
        <v>4.0599999999999996</v>
      </c>
      <c r="H1121">
        <v>2.6</v>
      </c>
      <c r="I1121" s="2">
        <v>0</v>
      </c>
      <c r="J1121" s="2">
        <v>111785920000</v>
      </c>
      <c r="K1121" s="2">
        <v>42889723800</v>
      </c>
      <c r="L1121" s="2">
        <v>105324100</v>
      </c>
      <c r="M1121" s="2">
        <v>9489516300</v>
      </c>
      <c r="N1121" s="2">
        <v>17110000000</v>
      </c>
      <c r="O1121" s="2">
        <v>5786900000</v>
      </c>
      <c r="P1121" s="2">
        <v>60053000000</v>
      </c>
      <c r="Q1121" s="2">
        <v>27613307500</v>
      </c>
      <c r="R1121" s="2">
        <v>34622920000</v>
      </c>
      <c r="S1121" s="2">
        <f t="shared" si="34"/>
        <v>0.11000000000000032</v>
      </c>
      <c r="T1121" s="2">
        <f t="shared" si="35"/>
        <v>42995047900</v>
      </c>
    </row>
    <row r="1122" spans="1:20" x14ac:dyDescent="0.3">
      <c r="A1122" s="1">
        <v>45134</v>
      </c>
      <c r="B1122" t="s">
        <v>877</v>
      </c>
      <c r="C1122" t="s">
        <v>18</v>
      </c>
      <c r="D1122" t="s">
        <v>68</v>
      </c>
      <c r="E1122">
        <v>4.0199999999999996</v>
      </c>
      <c r="F1122">
        <v>4.0869999999999997</v>
      </c>
      <c r="G1122">
        <v>3.92</v>
      </c>
      <c r="H1122">
        <v>2.48</v>
      </c>
      <c r="I1122" s="2">
        <v>0</v>
      </c>
      <c r="J1122" s="2">
        <v>86716825100</v>
      </c>
      <c r="K1122" s="2">
        <v>34951525100</v>
      </c>
      <c r="L1122" s="2">
        <v>48477600</v>
      </c>
      <c r="M1122" s="2">
        <v>5559600000</v>
      </c>
      <c r="N1122" s="2">
        <v>10859600000</v>
      </c>
      <c r="O1122" s="2">
        <v>5011810100</v>
      </c>
      <c r="P1122" s="2">
        <v>47617000100</v>
      </c>
      <c r="Q1122" s="2">
        <v>24380115000</v>
      </c>
      <c r="R1122" s="2">
        <v>28240225000</v>
      </c>
      <c r="S1122" s="2">
        <f t="shared" si="34"/>
        <v>0.16699999999999982</v>
      </c>
      <c r="T1122" s="2">
        <f t="shared" si="35"/>
        <v>35000002700</v>
      </c>
    </row>
    <row r="1123" spans="1:20" x14ac:dyDescent="0.3">
      <c r="A1123" s="1">
        <v>45146</v>
      </c>
      <c r="B1123" t="s">
        <v>880</v>
      </c>
      <c r="C1123" t="s">
        <v>18</v>
      </c>
      <c r="D1123" t="s">
        <v>52</v>
      </c>
      <c r="E1123">
        <v>4.3550000000000004</v>
      </c>
      <c r="F1123">
        <v>4.3979999999999997</v>
      </c>
      <c r="G1123">
        <v>4.2</v>
      </c>
      <c r="H1123">
        <v>2.9</v>
      </c>
      <c r="I1123" s="2">
        <v>15712741100</v>
      </c>
      <c r="J1123" s="2">
        <v>121326130000</v>
      </c>
      <c r="K1123" s="2">
        <v>41499634100</v>
      </c>
      <c r="L1123" s="2">
        <v>250425700</v>
      </c>
      <c r="M1123" s="2">
        <v>6514000000</v>
      </c>
      <c r="N1123" s="2">
        <v>15012000000</v>
      </c>
      <c r="O1123" s="2">
        <v>4286560000</v>
      </c>
      <c r="P1123" s="2">
        <v>62593000000</v>
      </c>
      <c r="Q1123" s="2">
        <v>30699074100</v>
      </c>
      <c r="R1123" s="2">
        <v>43721130000</v>
      </c>
      <c r="S1123" s="2">
        <f t="shared" si="34"/>
        <v>0.19799999999999951</v>
      </c>
      <c r="T1123" s="2">
        <f t="shared" si="35"/>
        <v>57462800900</v>
      </c>
    </row>
    <row r="1124" spans="1:20" x14ac:dyDescent="0.3">
      <c r="A1124" s="1">
        <v>45147</v>
      </c>
      <c r="B1124" t="s">
        <v>879</v>
      </c>
      <c r="C1124" t="s">
        <v>18</v>
      </c>
      <c r="D1124" t="s">
        <v>26</v>
      </c>
      <c r="E1124">
        <v>3.9220000000000002</v>
      </c>
      <c r="F1124">
        <v>3.9990000000000001</v>
      </c>
      <c r="G1124">
        <v>3.88</v>
      </c>
      <c r="H1124">
        <v>2.56</v>
      </c>
      <c r="I1124" s="2">
        <v>14216289500</v>
      </c>
      <c r="J1124" s="2">
        <v>97031036400</v>
      </c>
      <c r="K1124" s="2">
        <v>37866146900</v>
      </c>
      <c r="L1124" s="2">
        <v>133873900</v>
      </c>
      <c r="M1124" s="2">
        <v>6928750000</v>
      </c>
      <c r="N1124" s="2">
        <v>13559000000</v>
      </c>
      <c r="O1124" s="2">
        <v>3599155500</v>
      </c>
      <c r="P1124" s="2">
        <v>51197000000</v>
      </c>
      <c r="Q1124" s="2">
        <v>27338241400</v>
      </c>
      <c r="R1124" s="2">
        <v>32275036400</v>
      </c>
      <c r="S1124" s="2">
        <f t="shared" si="34"/>
        <v>0.11900000000000022</v>
      </c>
      <c r="T1124" s="2">
        <f t="shared" si="35"/>
        <v>52216310300</v>
      </c>
    </row>
    <row r="1125" spans="1:20" x14ac:dyDescent="0.3">
      <c r="A1125" s="1">
        <v>45148</v>
      </c>
      <c r="B1125" t="s">
        <v>878</v>
      </c>
      <c r="C1125" t="s">
        <v>23</v>
      </c>
      <c r="D1125" t="s">
        <v>65</v>
      </c>
      <c r="E1125">
        <v>4.1150000000000002</v>
      </c>
      <c r="F1125">
        <v>4.1890000000000001</v>
      </c>
      <c r="G1125">
        <v>4.05</v>
      </c>
      <c r="H1125">
        <v>2.42</v>
      </c>
      <c r="I1125" s="2">
        <v>8604596200</v>
      </c>
      <c r="J1125" s="2">
        <v>55560849000</v>
      </c>
      <c r="K1125" s="2">
        <v>22955401500</v>
      </c>
      <c r="L1125" s="2">
        <v>44608700</v>
      </c>
      <c r="M1125" s="2">
        <v>4509000000</v>
      </c>
      <c r="N1125" s="2">
        <v>8249000000</v>
      </c>
      <c r="O1125" s="2">
        <v>2875537500</v>
      </c>
      <c r="P1125" s="2">
        <v>29727000000</v>
      </c>
      <c r="Q1125" s="2">
        <v>15570864000</v>
      </c>
      <c r="R1125" s="2">
        <v>17584849000</v>
      </c>
      <c r="S1125" s="2">
        <f t="shared" si="34"/>
        <v>0.13900000000000023</v>
      </c>
      <c r="T1125" s="2">
        <f t="shared" si="35"/>
        <v>31604606400</v>
      </c>
    </row>
    <row r="1126" spans="1:20" x14ac:dyDescent="0.3">
      <c r="A1126" s="1">
        <v>45161</v>
      </c>
      <c r="B1126" t="s">
        <v>882</v>
      </c>
      <c r="C1126" t="s">
        <v>23</v>
      </c>
      <c r="D1126" t="s">
        <v>688</v>
      </c>
      <c r="E1126">
        <v>4.4269999999999996</v>
      </c>
      <c r="F1126">
        <v>4.4989999999999997</v>
      </c>
      <c r="G1126">
        <v>4.3899999999999997</v>
      </c>
      <c r="H1126">
        <v>2.56</v>
      </c>
      <c r="I1126" s="2">
        <v>1662322000</v>
      </c>
      <c r="J1126" s="2">
        <v>40813055000</v>
      </c>
      <c r="K1126" s="2">
        <v>15885025000</v>
      </c>
      <c r="L1126" s="2">
        <v>114975300</v>
      </c>
      <c r="M1126" s="2">
        <v>3209000000</v>
      </c>
      <c r="N1126" s="2">
        <v>6079000000</v>
      </c>
      <c r="O1126" s="2">
        <v>1802980000</v>
      </c>
      <c r="P1126" s="2">
        <v>21430000000</v>
      </c>
      <c r="Q1126" s="2">
        <v>10873045000</v>
      </c>
      <c r="R1126" s="2">
        <v>13304055000</v>
      </c>
      <c r="S1126" s="2">
        <f t="shared" si="34"/>
        <v>0.10899999999999999</v>
      </c>
      <c r="T1126" s="2">
        <f t="shared" si="35"/>
        <v>17662322300</v>
      </c>
    </row>
    <row r="1127" spans="1:20" x14ac:dyDescent="0.3">
      <c r="A1127" s="1">
        <v>45166</v>
      </c>
      <c r="B1127" t="s">
        <v>884</v>
      </c>
      <c r="C1127" t="s">
        <v>18</v>
      </c>
      <c r="D1127" t="s">
        <v>19</v>
      </c>
      <c r="E1127">
        <v>4.33</v>
      </c>
      <c r="F1127">
        <v>4.4000000000000004</v>
      </c>
      <c r="G1127">
        <v>4.3</v>
      </c>
      <c r="H1127">
        <v>2.54</v>
      </c>
      <c r="I1127" s="2">
        <v>4779175900</v>
      </c>
      <c r="J1127" s="2">
        <v>116417995000</v>
      </c>
      <c r="K1127" s="2">
        <v>45794512100</v>
      </c>
      <c r="L1127" s="2">
        <v>200589000</v>
      </c>
      <c r="M1127" s="2">
        <v>8359429600</v>
      </c>
      <c r="N1127" s="2">
        <v>15293000000</v>
      </c>
      <c r="O1127" s="2">
        <v>6332040000</v>
      </c>
      <c r="P1127" s="2">
        <v>62341000000</v>
      </c>
      <c r="Q1127" s="2">
        <v>31103042500</v>
      </c>
      <c r="R1127" s="2">
        <v>38783995000</v>
      </c>
      <c r="S1127" s="2">
        <f t="shared" si="34"/>
        <v>0.10000000000000053</v>
      </c>
      <c r="T1127" s="2">
        <f t="shared" si="35"/>
        <v>50774277000</v>
      </c>
    </row>
    <row r="1128" spans="1:20" x14ac:dyDescent="0.3">
      <c r="A1128" s="1">
        <v>45166</v>
      </c>
      <c r="B1128" t="s">
        <v>883</v>
      </c>
      <c r="C1128" t="s">
        <v>18</v>
      </c>
      <c r="D1128" t="s">
        <v>21</v>
      </c>
      <c r="E1128">
        <v>4.9800000000000004</v>
      </c>
      <c r="F1128">
        <v>5.024</v>
      </c>
      <c r="G1128">
        <v>4.9000000000000004</v>
      </c>
      <c r="H1128">
        <v>2.94</v>
      </c>
      <c r="I1128" s="2">
        <v>4675280800</v>
      </c>
      <c r="J1128" s="2">
        <v>131589450000</v>
      </c>
      <c r="K1128" s="2">
        <v>44147021300</v>
      </c>
      <c r="L1128" s="2">
        <v>748055000</v>
      </c>
      <c r="M1128" s="2">
        <v>8832431300</v>
      </c>
      <c r="N1128" s="2">
        <v>17175000000</v>
      </c>
      <c r="O1128" s="2">
        <v>6614140000</v>
      </c>
      <c r="P1128" s="2">
        <v>69725000000</v>
      </c>
      <c r="Q1128" s="2">
        <v>28700450000</v>
      </c>
      <c r="R1128" s="2">
        <v>44689450000</v>
      </c>
      <c r="S1128" s="2">
        <f t="shared" si="34"/>
        <v>0.12399999999999967</v>
      </c>
      <c r="T1128" s="2">
        <f t="shared" si="35"/>
        <v>49570357100</v>
      </c>
    </row>
    <row r="1129" spans="1:20" x14ac:dyDescent="0.3">
      <c r="A1129" s="1">
        <v>45167</v>
      </c>
      <c r="B1129" t="s">
        <v>881</v>
      </c>
      <c r="C1129" t="s">
        <v>18</v>
      </c>
      <c r="D1129" t="s">
        <v>68</v>
      </c>
      <c r="E1129">
        <v>4.1550000000000002</v>
      </c>
      <c r="F1129">
        <v>4.2119999999999997</v>
      </c>
      <c r="G1129">
        <v>4.0999999999999996</v>
      </c>
      <c r="H1129">
        <v>2.66</v>
      </c>
      <c r="I1129" s="2">
        <v>3740224600</v>
      </c>
      <c r="J1129" s="2">
        <v>95785320000</v>
      </c>
      <c r="K1129" s="2">
        <v>35931827500</v>
      </c>
      <c r="L1129" s="2">
        <v>68179000</v>
      </c>
      <c r="M1129" s="2">
        <v>5380400000</v>
      </c>
      <c r="N1129" s="2">
        <v>11410400000</v>
      </c>
      <c r="O1129" s="2">
        <v>3512000000</v>
      </c>
      <c r="P1129" s="2">
        <v>51058000000</v>
      </c>
      <c r="Q1129" s="2">
        <v>27039427500</v>
      </c>
      <c r="R1129" s="2">
        <v>33316920000</v>
      </c>
      <c r="S1129" s="2">
        <f t="shared" si="34"/>
        <v>0.1120000000000001</v>
      </c>
      <c r="T1129" s="2">
        <f t="shared" si="35"/>
        <v>39740231100</v>
      </c>
    </row>
    <row r="1130" spans="1:20" x14ac:dyDescent="0.3">
      <c r="A1130" s="1">
        <v>45180</v>
      </c>
      <c r="B1130" t="s">
        <v>885</v>
      </c>
      <c r="C1130" t="s">
        <v>18</v>
      </c>
      <c r="D1130" t="s">
        <v>52</v>
      </c>
      <c r="E1130">
        <v>4.5970000000000004</v>
      </c>
      <c r="F1130">
        <v>4.66</v>
      </c>
      <c r="G1130">
        <v>4.548</v>
      </c>
      <c r="H1130">
        <v>2.75</v>
      </c>
      <c r="I1130" s="2">
        <v>0</v>
      </c>
      <c r="J1130" s="2">
        <v>120699915000</v>
      </c>
      <c r="K1130" s="2">
        <v>43673039500</v>
      </c>
      <c r="L1130" s="2">
        <v>226993100</v>
      </c>
      <c r="M1130" s="2">
        <v>9643000000</v>
      </c>
      <c r="N1130" s="2">
        <v>16293000000</v>
      </c>
      <c r="O1130" s="2">
        <v>8845124500</v>
      </c>
      <c r="P1130" s="2">
        <v>69802000000</v>
      </c>
      <c r="Q1130" s="2">
        <v>25184915000</v>
      </c>
      <c r="R1130" s="2">
        <v>34604915000</v>
      </c>
      <c r="S1130" s="2">
        <f t="shared" si="34"/>
        <v>0.1120000000000001</v>
      </c>
      <c r="T1130" s="2">
        <f t="shared" si="35"/>
        <v>43900032600</v>
      </c>
    </row>
    <row r="1131" spans="1:20" x14ac:dyDescent="0.3">
      <c r="A1131" s="1">
        <v>45181</v>
      </c>
      <c r="B1131" t="s">
        <v>879</v>
      </c>
      <c r="C1131" t="s">
        <v>18</v>
      </c>
      <c r="D1131" t="s">
        <v>29</v>
      </c>
      <c r="E1131">
        <v>4.2290000000000001</v>
      </c>
      <c r="F1131">
        <v>4.2889999999999997</v>
      </c>
      <c r="G1131">
        <v>4.18</v>
      </c>
      <c r="H1131">
        <v>2.52</v>
      </c>
      <c r="I1131" s="2">
        <v>0</v>
      </c>
      <c r="J1131" s="2">
        <v>88176725000</v>
      </c>
      <c r="K1131" s="2">
        <v>34921465200</v>
      </c>
      <c r="L1131" s="2">
        <v>78576500</v>
      </c>
      <c r="M1131" s="2">
        <v>6955740200</v>
      </c>
      <c r="N1131" s="2">
        <v>12415000000</v>
      </c>
      <c r="O1131" s="2">
        <v>4808000000</v>
      </c>
      <c r="P1131" s="2">
        <v>48795000000</v>
      </c>
      <c r="Q1131" s="2">
        <v>23157725000</v>
      </c>
      <c r="R1131" s="2">
        <v>26966725000</v>
      </c>
      <c r="S1131" s="2">
        <f t="shared" si="34"/>
        <v>0.10899999999999999</v>
      </c>
      <c r="T1131" s="2">
        <f t="shared" si="35"/>
        <v>35000041700</v>
      </c>
    </row>
    <row r="1132" spans="1:20" x14ac:dyDescent="0.3">
      <c r="A1132" s="1">
        <v>45182</v>
      </c>
      <c r="B1132" t="s">
        <v>878</v>
      </c>
      <c r="C1132" t="s">
        <v>23</v>
      </c>
      <c r="D1132" t="s">
        <v>72</v>
      </c>
      <c r="E1132">
        <v>4.2699999999999996</v>
      </c>
      <c r="F1132">
        <v>4.3449999999999998</v>
      </c>
      <c r="G1132">
        <v>4.2300000000000004</v>
      </c>
      <c r="H1132">
        <v>2.46</v>
      </c>
      <c r="I1132" s="2">
        <v>0</v>
      </c>
      <c r="J1132" s="2">
        <v>49204740000</v>
      </c>
      <c r="K1132" s="2">
        <v>19984111000</v>
      </c>
      <c r="L1132" s="2">
        <v>15896500</v>
      </c>
      <c r="M1132" s="2">
        <v>3944100000</v>
      </c>
      <c r="N1132" s="2">
        <v>7400100000</v>
      </c>
      <c r="O1132" s="2">
        <v>3152900000</v>
      </c>
      <c r="P1132" s="2">
        <v>27198000000</v>
      </c>
      <c r="Q1132" s="2">
        <v>12887111000</v>
      </c>
      <c r="R1132" s="2">
        <v>14606640000</v>
      </c>
      <c r="S1132" s="2">
        <f t="shared" si="34"/>
        <v>0.11499999999999932</v>
      </c>
      <c r="T1132" s="2">
        <f t="shared" si="35"/>
        <v>20000007500</v>
      </c>
    </row>
    <row r="1133" spans="1:20" x14ac:dyDescent="0.3">
      <c r="A1133" s="1">
        <v>45188</v>
      </c>
      <c r="B1133" t="s">
        <v>882</v>
      </c>
      <c r="C1133" t="s">
        <v>23</v>
      </c>
      <c r="D1133" t="s">
        <v>693</v>
      </c>
      <c r="E1133">
        <v>4.5380000000000003</v>
      </c>
      <c r="F1133">
        <v>4.5919999999999996</v>
      </c>
      <c r="G1133">
        <v>4.47</v>
      </c>
      <c r="H1133">
        <v>2.74</v>
      </c>
      <c r="I1133" s="2">
        <v>0</v>
      </c>
      <c r="J1133" s="2">
        <v>35514020000</v>
      </c>
      <c r="K1133" s="2">
        <v>12943305000</v>
      </c>
      <c r="L1133" s="2">
        <v>56702300</v>
      </c>
      <c r="M1133" s="2">
        <v>3283000000</v>
      </c>
      <c r="N1133" s="2">
        <v>5624000000</v>
      </c>
      <c r="O1133" s="2">
        <v>1200285000</v>
      </c>
      <c r="P1133" s="2">
        <v>18575000000</v>
      </c>
      <c r="Q1133" s="2">
        <v>8460020000</v>
      </c>
      <c r="R1133" s="2">
        <v>11315020000</v>
      </c>
      <c r="S1133" s="2">
        <f t="shared" si="34"/>
        <v>0.12199999999999989</v>
      </c>
      <c r="T1133" s="2">
        <f t="shared" si="35"/>
        <v>13000007300</v>
      </c>
    </row>
    <row r="1134" spans="1:20" x14ac:dyDescent="0.3">
      <c r="A1134" s="1">
        <v>45195</v>
      </c>
      <c r="B1134" t="s">
        <v>887</v>
      </c>
      <c r="C1134" t="s">
        <v>18</v>
      </c>
      <c r="D1134" t="s">
        <v>21</v>
      </c>
      <c r="E1134">
        <v>5.03</v>
      </c>
      <c r="F1134">
        <v>5.085</v>
      </c>
      <c r="G1134">
        <v>4.95</v>
      </c>
      <c r="H1134">
        <v>2.73</v>
      </c>
      <c r="I1134" s="2">
        <v>0</v>
      </c>
      <c r="J1134" s="2">
        <v>130093786500</v>
      </c>
      <c r="K1134" s="2">
        <v>47170608500</v>
      </c>
      <c r="L1134" s="2">
        <v>829529300</v>
      </c>
      <c r="M1134" s="2">
        <v>9903340000</v>
      </c>
      <c r="N1134" s="2">
        <v>18210000000</v>
      </c>
      <c r="O1134" s="2">
        <v>6597584500</v>
      </c>
      <c r="P1134" s="2">
        <v>65864000000</v>
      </c>
      <c r="Q1134" s="2">
        <v>30669684000</v>
      </c>
      <c r="R1134" s="2">
        <v>46019786500</v>
      </c>
      <c r="S1134" s="2">
        <f t="shared" si="34"/>
        <v>0.13499999999999979</v>
      </c>
      <c r="T1134" s="2">
        <f t="shared" si="35"/>
        <v>48000137800</v>
      </c>
    </row>
    <row r="1135" spans="1:20" x14ac:dyDescent="0.3">
      <c r="A1135" s="1">
        <v>45196</v>
      </c>
      <c r="B1135" t="s">
        <v>888</v>
      </c>
      <c r="C1135" t="s">
        <v>18</v>
      </c>
      <c r="D1135" t="s">
        <v>19</v>
      </c>
      <c r="E1135">
        <v>4.5990000000000002</v>
      </c>
      <c r="F1135">
        <v>4.6589999999999998</v>
      </c>
      <c r="G1135">
        <v>4.53</v>
      </c>
      <c r="H1135">
        <v>2.52</v>
      </c>
      <c r="I1135" s="2">
        <v>0</v>
      </c>
      <c r="J1135" s="2">
        <v>123408752000</v>
      </c>
      <c r="K1135" s="2">
        <v>48823560500</v>
      </c>
      <c r="L1135" s="2">
        <v>176489100</v>
      </c>
      <c r="M1135" s="2">
        <v>8602808500</v>
      </c>
      <c r="N1135" s="2">
        <v>16445000000</v>
      </c>
      <c r="O1135" s="2">
        <v>5483000000</v>
      </c>
      <c r="P1135" s="2">
        <v>65466000000</v>
      </c>
      <c r="Q1135" s="2">
        <v>34737752000</v>
      </c>
      <c r="R1135" s="2">
        <v>41497752000</v>
      </c>
      <c r="S1135" s="2">
        <f t="shared" si="34"/>
        <v>0.12899999999999956</v>
      </c>
      <c r="T1135" s="2">
        <f t="shared" si="35"/>
        <v>49000049600</v>
      </c>
    </row>
    <row r="1136" spans="1:20" x14ac:dyDescent="0.3">
      <c r="A1136" s="1">
        <v>45197</v>
      </c>
      <c r="B1136" t="s">
        <v>886</v>
      </c>
      <c r="C1136" t="s">
        <v>18</v>
      </c>
      <c r="D1136" t="s">
        <v>68</v>
      </c>
      <c r="E1136">
        <v>4.5999999999999996</v>
      </c>
      <c r="F1136">
        <v>4.673</v>
      </c>
      <c r="G1136">
        <v>4.54</v>
      </c>
      <c r="H1136">
        <v>2.4700000000000002</v>
      </c>
      <c r="I1136" s="2">
        <v>0</v>
      </c>
      <c r="J1136" s="2">
        <v>91127970000</v>
      </c>
      <c r="K1136" s="2">
        <v>36908724400</v>
      </c>
      <c r="L1136" s="2">
        <v>91302100</v>
      </c>
      <c r="M1136" s="2">
        <v>7357413400</v>
      </c>
      <c r="N1136" s="2">
        <v>12043000000</v>
      </c>
      <c r="O1136" s="2">
        <v>5387712500</v>
      </c>
      <c r="P1136" s="2">
        <v>50837000000</v>
      </c>
      <c r="Q1136" s="2">
        <v>24163598500</v>
      </c>
      <c r="R1136" s="2">
        <v>28247970000</v>
      </c>
      <c r="S1136" s="2">
        <f t="shared" si="34"/>
        <v>0.13300000000000001</v>
      </c>
      <c r="T1136" s="2">
        <f t="shared" si="35"/>
        <v>37000026500</v>
      </c>
    </row>
    <row r="1137" spans="1:20" x14ac:dyDescent="0.3">
      <c r="A1137" s="1">
        <v>45209</v>
      </c>
      <c r="B1137" t="s">
        <v>889</v>
      </c>
      <c r="C1137" t="s">
        <v>18</v>
      </c>
      <c r="D1137" t="s">
        <v>52</v>
      </c>
      <c r="E1137">
        <v>4.67</v>
      </c>
      <c r="F1137">
        <v>4.74</v>
      </c>
      <c r="G1137">
        <v>4.63</v>
      </c>
      <c r="H1137">
        <v>2.56</v>
      </c>
      <c r="I1137" s="2">
        <v>0</v>
      </c>
      <c r="J1137" s="2">
        <v>117637740000</v>
      </c>
      <c r="K1137" s="2">
        <v>45786940000</v>
      </c>
      <c r="L1137" s="2">
        <v>213068300</v>
      </c>
      <c r="M1137" s="2">
        <v>10047400000</v>
      </c>
      <c r="N1137" s="2">
        <v>17053000000</v>
      </c>
      <c r="O1137" s="2">
        <v>10113800000</v>
      </c>
      <c r="P1137" s="2">
        <v>67741000000</v>
      </c>
      <c r="Q1137" s="2">
        <v>25625740000</v>
      </c>
      <c r="R1137" s="2">
        <v>32843740000</v>
      </c>
      <c r="S1137" s="2">
        <f t="shared" si="34"/>
        <v>0.11000000000000032</v>
      </c>
      <c r="T1137" s="2">
        <f t="shared" si="35"/>
        <v>46000008300</v>
      </c>
    </row>
    <row r="1138" spans="1:20" x14ac:dyDescent="0.3">
      <c r="A1138" s="1">
        <v>45210</v>
      </c>
      <c r="B1138" t="s">
        <v>879</v>
      </c>
      <c r="C1138" t="s">
        <v>18</v>
      </c>
      <c r="D1138" t="s">
        <v>59</v>
      </c>
      <c r="E1138">
        <v>4.53</v>
      </c>
      <c r="F1138">
        <v>4.6100000000000003</v>
      </c>
      <c r="G1138">
        <v>4.47</v>
      </c>
      <c r="H1138">
        <v>2.5</v>
      </c>
      <c r="I1138" s="2">
        <v>0</v>
      </c>
      <c r="J1138" s="2">
        <v>87423610000</v>
      </c>
      <c r="K1138" s="2">
        <v>34915937800</v>
      </c>
      <c r="L1138" s="2">
        <v>84114600</v>
      </c>
      <c r="M1138" s="2">
        <v>7300390000</v>
      </c>
      <c r="N1138" s="2">
        <v>12363000000</v>
      </c>
      <c r="O1138" s="2">
        <v>6546677800</v>
      </c>
      <c r="P1138" s="2">
        <v>50894000000</v>
      </c>
      <c r="Q1138" s="2">
        <v>21068870000</v>
      </c>
      <c r="R1138" s="2">
        <v>24166610000</v>
      </c>
      <c r="S1138" s="2">
        <f t="shared" si="34"/>
        <v>0.14000000000000057</v>
      </c>
      <c r="T1138" s="2">
        <f t="shared" si="35"/>
        <v>35000052400</v>
      </c>
    </row>
    <row r="1139" spans="1:20" x14ac:dyDescent="0.3">
      <c r="A1139" s="1">
        <v>45211</v>
      </c>
      <c r="B1139" t="s">
        <v>878</v>
      </c>
      <c r="C1139" t="s">
        <v>23</v>
      </c>
      <c r="D1139" t="s">
        <v>91</v>
      </c>
      <c r="E1139">
        <v>4.74</v>
      </c>
      <c r="F1139">
        <v>4.8369999999999997</v>
      </c>
      <c r="G1139">
        <v>4.6500000000000004</v>
      </c>
      <c r="H1139">
        <v>2.35</v>
      </c>
      <c r="I1139" s="2">
        <v>0</v>
      </c>
      <c r="J1139" s="2">
        <v>46942950000</v>
      </c>
      <c r="K1139" s="2">
        <v>19968020000</v>
      </c>
      <c r="L1139" s="2">
        <v>31982800</v>
      </c>
      <c r="M1139" s="2">
        <v>3335700000</v>
      </c>
      <c r="N1139" s="2">
        <v>6390700000</v>
      </c>
      <c r="O1139" s="2">
        <v>3628070000</v>
      </c>
      <c r="P1139" s="2">
        <v>26176000000</v>
      </c>
      <c r="Q1139" s="2">
        <v>13004250000</v>
      </c>
      <c r="R1139" s="2">
        <v>14376250000</v>
      </c>
      <c r="S1139" s="2">
        <f t="shared" si="34"/>
        <v>0.18699999999999939</v>
      </c>
      <c r="T1139" s="2">
        <f t="shared" si="35"/>
        <v>20000002800</v>
      </c>
    </row>
    <row r="1140" spans="1:20" x14ac:dyDescent="0.3">
      <c r="A1140" s="1">
        <v>45217</v>
      </c>
      <c r="B1140" t="s">
        <v>882</v>
      </c>
      <c r="C1140" t="s">
        <v>23</v>
      </c>
      <c r="D1140" t="s">
        <v>698</v>
      </c>
      <c r="E1140">
        <v>5.1859999999999999</v>
      </c>
      <c r="F1140">
        <v>5.2450000000000001</v>
      </c>
      <c r="G1140">
        <v>5.0999999999999996</v>
      </c>
      <c r="H1140">
        <v>2.59</v>
      </c>
      <c r="I1140" s="2">
        <v>0</v>
      </c>
      <c r="J1140" s="2">
        <v>33530762000</v>
      </c>
      <c r="K1140" s="2">
        <v>12912887000</v>
      </c>
      <c r="L1140" s="2">
        <v>87129300</v>
      </c>
      <c r="M1140" s="2">
        <v>1962912500</v>
      </c>
      <c r="N1140" s="2">
        <v>3778000000</v>
      </c>
      <c r="O1140" s="2">
        <v>1540912500</v>
      </c>
      <c r="P1140" s="2">
        <v>17523000000</v>
      </c>
      <c r="Q1140" s="2">
        <v>9409062000</v>
      </c>
      <c r="R1140" s="2">
        <v>12229762000</v>
      </c>
      <c r="S1140" s="2">
        <f t="shared" si="34"/>
        <v>0.14500000000000046</v>
      </c>
      <c r="T1140" s="2">
        <f t="shared" si="35"/>
        <v>13000016300</v>
      </c>
    </row>
    <row r="1141" spans="1:20" x14ac:dyDescent="0.3">
      <c r="A1141" s="1">
        <v>45223</v>
      </c>
      <c r="B1141" t="s">
        <v>891</v>
      </c>
      <c r="C1141" t="s">
        <v>18</v>
      </c>
      <c r="D1141" t="s">
        <v>21</v>
      </c>
      <c r="E1141">
        <v>5.01</v>
      </c>
      <c r="F1141">
        <v>5.0549999999999997</v>
      </c>
      <c r="G1141">
        <v>4.95</v>
      </c>
      <c r="H1141">
        <v>2.64</v>
      </c>
      <c r="I1141" s="2">
        <v>0</v>
      </c>
      <c r="J1141" s="2">
        <v>133748750300</v>
      </c>
      <c r="K1141" s="2">
        <v>50334877100</v>
      </c>
      <c r="L1141" s="2">
        <v>665149800</v>
      </c>
      <c r="M1141" s="2">
        <v>10231750000</v>
      </c>
      <c r="N1141" s="2">
        <v>18151000000</v>
      </c>
      <c r="O1141" s="2">
        <v>8872515000</v>
      </c>
      <c r="P1141" s="2">
        <v>68888000000</v>
      </c>
      <c r="Q1141" s="2">
        <v>31230612100</v>
      </c>
      <c r="R1141" s="2">
        <v>46709750300</v>
      </c>
      <c r="S1141" s="2">
        <f t="shared" si="34"/>
        <v>0.10499999999999954</v>
      </c>
      <c r="T1141" s="2">
        <f t="shared" si="35"/>
        <v>51000026900</v>
      </c>
    </row>
    <row r="1142" spans="1:20" x14ac:dyDescent="0.3">
      <c r="A1142" s="1">
        <v>45224</v>
      </c>
      <c r="B1142" t="s">
        <v>892</v>
      </c>
      <c r="C1142" t="s">
        <v>18</v>
      </c>
      <c r="D1142" t="s">
        <v>19</v>
      </c>
      <c r="E1142">
        <v>4.819</v>
      </c>
      <c r="F1142">
        <v>4.899</v>
      </c>
      <c r="G1142">
        <v>4.7300000000000004</v>
      </c>
      <c r="H1142">
        <v>2.36</v>
      </c>
      <c r="I1142" s="2">
        <v>0</v>
      </c>
      <c r="J1142" s="2">
        <v>122746500000</v>
      </c>
      <c r="K1142" s="2">
        <v>51790231000</v>
      </c>
      <c r="L1142" s="2">
        <v>209796800</v>
      </c>
      <c r="M1142" s="2">
        <v>9884000000</v>
      </c>
      <c r="N1142" s="2">
        <v>16785000000</v>
      </c>
      <c r="O1142" s="2">
        <v>10050000000</v>
      </c>
      <c r="P1142" s="2">
        <v>69020000000</v>
      </c>
      <c r="Q1142" s="2">
        <v>31856231000</v>
      </c>
      <c r="R1142" s="2">
        <v>36941500000</v>
      </c>
      <c r="S1142" s="2">
        <f t="shared" si="34"/>
        <v>0.16899999999999959</v>
      </c>
      <c r="T1142" s="2">
        <f t="shared" si="35"/>
        <v>52000027800</v>
      </c>
    </row>
    <row r="1143" spans="1:20" x14ac:dyDescent="0.3">
      <c r="A1143" s="1">
        <v>45225</v>
      </c>
      <c r="B1143" t="s">
        <v>890</v>
      </c>
      <c r="C1143" t="s">
        <v>18</v>
      </c>
      <c r="D1143" t="s">
        <v>68</v>
      </c>
      <c r="E1143">
        <v>4.8490000000000002</v>
      </c>
      <c r="F1143">
        <v>4.9080000000000004</v>
      </c>
      <c r="G1143">
        <v>4.78</v>
      </c>
      <c r="H1143">
        <v>2.7</v>
      </c>
      <c r="I1143" s="2">
        <v>0</v>
      </c>
      <c r="J1143" s="2">
        <v>102496510000</v>
      </c>
      <c r="K1143" s="2">
        <v>37746850000</v>
      </c>
      <c r="L1143" s="2">
        <v>253182300</v>
      </c>
      <c r="M1143" s="2">
        <v>6944820000</v>
      </c>
      <c r="N1143" s="2">
        <v>13790100000</v>
      </c>
      <c r="O1143" s="2">
        <v>4145000000</v>
      </c>
      <c r="P1143" s="2">
        <v>55560000000</v>
      </c>
      <c r="Q1143" s="2">
        <v>26657030000</v>
      </c>
      <c r="R1143" s="2">
        <v>33146410000</v>
      </c>
      <c r="S1143" s="2">
        <f t="shared" si="34"/>
        <v>0.12800000000000011</v>
      </c>
      <c r="T1143" s="2">
        <f t="shared" si="35"/>
        <v>38000032300</v>
      </c>
    </row>
    <row r="1144" spans="1:20" x14ac:dyDescent="0.3">
      <c r="A1144" s="1">
        <v>45237</v>
      </c>
      <c r="B1144" t="s">
        <v>895</v>
      </c>
      <c r="C1144" t="s">
        <v>18</v>
      </c>
      <c r="D1144" t="s">
        <v>52</v>
      </c>
      <c r="E1144">
        <v>4.649</v>
      </c>
      <c r="F1144">
        <v>4.7009999999999996</v>
      </c>
      <c r="G1144">
        <v>4.55</v>
      </c>
      <c r="H1144">
        <v>2.67</v>
      </c>
      <c r="I1144" s="2">
        <v>913430800</v>
      </c>
      <c r="J1144" s="2">
        <v>127563600800</v>
      </c>
      <c r="K1144" s="2">
        <v>47505891200</v>
      </c>
      <c r="L1144" s="2">
        <v>294146500</v>
      </c>
      <c r="M1144" s="2">
        <v>9090010400</v>
      </c>
      <c r="N1144" s="2">
        <v>16273000000</v>
      </c>
      <c r="O1144" s="2">
        <v>7726280000</v>
      </c>
      <c r="P1144" s="2">
        <v>70797000000</v>
      </c>
      <c r="Q1144" s="2">
        <v>30689600800</v>
      </c>
      <c r="R1144" s="2">
        <v>40493600800</v>
      </c>
      <c r="S1144" s="2">
        <f t="shared" si="34"/>
        <v>0.1509999999999998</v>
      </c>
      <c r="T1144" s="2">
        <f t="shared" si="35"/>
        <v>48713468500</v>
      </c>
    </row>
    <row r="1145" spans="1:20" x14ac:dyDescent="0.3">
      <c r="A1145" s="1">
        <v>45238</v>
      </c>
      <c r="B1145" t="s">
        <v>893</v>
      </c>
      <c r="C1145" t="s">
        <v>18</v>
      </c>
      <c r="D1145" t="s">
        <v>26</v>
      </c>
      <c r="E1145">
        <v>4.4400000000000004</v>
      </c>
      <c r="F1145">
        <v>4.5190000000000001</v>
      </c>
      <c r="G1145">
        <v>4.4000000000000004</v>
      </c>
      <c r="H1145">
        <v>2.4500000000000002</v>
      </c>
      <c r="I1145" s="2">
        <v>761192300</v>
      </c>
      <c r="J1145" s="2">
        <v>97840042000</v>
      </c>
      <c r="K1145" s="2">
        <v>39731221000</v>
      </c>
      <c r="L1145" s="2">
        <v>268783300</v>
      </c>
      <c r="M1145" s="2">
        <v>6028022000</v>
      </c>
      <c r="N1145" s="2">
        <v>12103022000</v>
      </c>
      <c r="O1145" s="2">
        <v>6000179000</v>
      </c>
      <c r="P1145" s="2">
        <v>54165000000</v>
      </c>
      <c r="Q1145" s="2">
        <v>27703020000</v>
      </c>
      <c r="R1145" s="2">
        <v>31572020000</v>
      </c>
      <c r="S1145" s="2">
        <f t="shared" si="34"/>
        <v>0.11899999999999977</v>
      </c>
      <c r="T1145" s="2">
        <f t="shared" si="35"/>
        <v>40761196600</v>
      </c>
    </row>
    <row r="1146" spans="1:20" x14ac:dyDescent="0.3">
      <c r="A1146" s="1">
        <v>45239</v>
      </c>
      <c r="B1146" t="s">
        <v>894</v>
      </c>
      <c r="C1146" t="s">
        <v>23</v>
      </c>
      <c r="D1146" t="s">
        <v>65</v>
      </c>
      <c r="E1146">
        <v>4.6500000000000004</v>
      </c>
      <c r="F1146">
        <v>4.7690000000000001</v>
      </c>
      <c r="G1146">
        <v>4.59</v>
      </c>
      <c r="H1146">
        <v>2.2400000000000002</v>
      </c>
      <c r="I1146" s="2">
        <v>456715300</v>
      </c>
      <c r="J1146" s="2">
        <v>53578480000</v>
      </c>
      <c r="K1146" s="2">
        <v>23910420000</v>
      </c>
      <c r="L1146" s="2">
        <v>89597100</v>
      </c>
      <c r="M1146" s="2">
        <v>3625500000</v>
      </c>
      <c r="N1146" s="2">
        <v>6910500000</v>
      </c>
      <c r="O1146" s="2">
        <v>5912940000</v>
      </c>
      <c r="P1146" s="2">
        <v>31037000000</v>
      </c>
      <c r="Q1146" s="2">
        <v>14371980000</v>
      </c>
      <c r="R1146" s="2">
        <v>15630980000</v>
      </c>
      <c r="S1146" s="2">
        <f t="shared" si="34"/>
        <v>0.17900000000000027</v>
      </c>
      <c r="T1146" s="2">
        <f t="shared" si="35"/>
        <v>24456732400</v>
      </c>
    </row>
    <row r="1147" spans="1:20" x14ac:dyDescent="0.3">
      <c r="A1147" s="1">
        <v>45250</v>
      </c>
      <c r="B1147" t="s">
        <v>897</v>
      </c>
      <c r="C1147" t="s">
        <v>23</v>
      </c>
      <c r="D1147" t="s">
        <v>688</v>
      </c>
      <c r="E1147">
        <v>4.7300000000000004</v>
      </c>
      <c r="F1147">
        <v>4.78</v>
      </c>
      <c r="G1147">
        <v>4.68</v>
      </c>
      <c r="H1147">
        <v>2.58</v>
      </c>
      <c r="I1147" s="2">
        <v>184294600</v>
      </c>
      <c r="J1147" s="2">
        <v>41045201300</v>
      </c>
      <c r="K1147" s="2">
        <v>15831222900</v>
      </c>
      <c r="L1147" s="2">
        <v>168798900</v>
      </c>
      <c r="M1147" s="2">
        <v>2614007000</v>
      </c>
      <c r="N1147" s="2">
        <v>5093007000</v>
      </c>
      <c r="O1147" s="2">
        <v>1505021800</v>
      </c>
      <c r="P1147" s="2">
        <v>21499000000</v>
      </c>
      <c r="Q1147" s="2">
        <v>11712194100</v>
      </c>
      <c r="R1147" s="2">
        <v>14453194300</v>
      </c>
      <c r="S1147" s="2">
        <f t="shared" si="34"/>
        <v>0.10000000000000053</v>
      </c>
      <c r="T1147" s="2">
        <f t="shared" si="35"/>
        <v>16184316400</v>
      </c>
    </row>
    <row r="1148" spans="1:20" x14ac:dyDescent="0.3">
      <c r="A1148" s="1">
        <v>45257</v>
      </c>
      <c r="B1148" t="s">
        <v>899</v>
      </c>
      <c r="C1148" t="s">
        <v>18</v>
      </c>
      <c r="D1148" t="s">
        <v>19</v>
      </c>
      <c r="E1148">
        <v>4.3650000000000002</v>
      </c>
      <c r="F1148">
        <v>4.42</v>
      </c>
      <c r="G1148">
        <v>4.3099999999999996</v>
      </c>
      <c r="H1148">
        <v>2.46</v>
      </c>
      <c r="I1148" s="2">
        <v>633512900</v>
      </c>
      <c r="J1148" s="2">
        <v>135253890000</v>
      </c>
      <c r="K1148" s="2">
        <v>54800530300</v>
      </c>
      <c r="L1148" s="2">
        <v>199475300</v>
      </c>
      <c r="M1148" s="2">
        <v>9663000000</v>
      </c>
      <c r="N1148" s="2">
        <v>17703000000</v>
      </c>
      <c r="O1148" s="2">
        <v>9233264500</v>
      </c>
      <c r="P1148" s="2">
        <v>75342000000</v>
      </c>
      <c r="Q1148" s="2">
        <v>35904265800</v>
      </c>
      <c r="R1148" s="2">
        <v>42208890000</v>
      </c>
      <c r="S1148" s="2">
        <f t="shared" si="34"/>
        <v>0.11000000000000032</v>
      </c>
      <c r="T1148" s="2">
        <f t="shared" si="35"/>
        <v>55633518500</v>
      </c>
    </row>
    <row r="1149" spans="1:20" x14ac:dyDescent="0.3">
      <c r="A1149" s="1">
        <v>45257</v>
      </c>
      <c r="B1149" t="s">
        <v>896</v>
      </c>
      <c r="C1149" t="s">
        <v>18</v>
      </c>
      <c r="D1149" t="s">
        <v>21</v>
      </c>
      <c r="E1149">
        <v>4.83</v>
      </c>
      <c r="F1149">
        <v>4.8869999999999996</v>
      </c>
      <c r="G1149">
        <v>4.7880000000000003</v>
      </c>
      <c r="H1149">
        <v>2.54</v>
      </c>
      <c r="I1149" s="2">
        <v>621994500</v>
      </c>
      <c r="J1149" s="2">
        <v>136241380000</v>
      </c>
      <c r="K1149" s="2">
        <v>53293742500</v>
      </c>
      <c r="L1149" s="2">
        <v>706295900</v>
      </c>
      <c r="M1149" s="2">
        <v>12714000000</v>
      </c>
      <c r="N1149" s="2">
        <v>19564000000</v>
      </c>
      <c r="O1149" s="2">
        <v>9998362500</v>
      </c>
      <c r="P1149" s="2">
        <v>72822000000</v>
      </c>
      <c r="Q1149" s="2">
        <v>30581380000</v>
      </c>
      <c r="R1149" s="2">
        <v>43855380000</v>
      </c>
      <c r="S1149" s="2">
        <f t="shared" si="34"/>
        <v>9.8999999999999311E-2</v>
      </c>
      <c r="T1149" s="2">
        <f t="shared" si="35"/>
        <v>54622032900</v>
      </c>
    </row>
    <row r="1150" spans="1:20" x14ac:dyDescent="0.3">
      <c r="A1150" s="1">
        <v>45258</v>
      </c>
      <c r="B1150" t="s">
        <v>898</v>
      </c>
      <c r="C1150" t="s">
        <v>18</v>
      </c>
      <c r="D1150" t="s">
        <v>68</v>
      </c>
      <c r="E1150">
        <v>4.319</v>
      </c>
      <c r="F1150">
        <v>4.399</v>
      </c>
      <c r="G1150">
        <v>4.26</v>
      </c>
      <c r="H1150">
        <v>2.44</v>
      </c>
      <c r="I1150" s="2">
        <v>449218100</v>
      </c>
      <c r="J1150" s="2">
        <v>94903850000</v>
      </c>
      <c r="K1150" s="2">
        <v>38648325000</v>
      </c>
      <c r="L1150" s="2">
        <v>351689600</v>
      </c>
      <c r="M1150" s="2">
        <v>6125300000</v>
      </c>
      <c r="N1150" s="2">
        <v>11200300000</v>
      </c>
      <c r="O1150" s="2">
        <v>7842475000</v>
      </c>
      <c r="P1150" s="2">
        <v>55665000000</v>
      </c>
      <c r="Q1150" s="2">
        <v>24680550000</v>
      </c>
      <c r="R1150" s="2">
        <v>28038550000</v>
      </c>
      <c r="S1150" s="2">
        <f t="shared" si="34"/>
        <v>0.13900000000000023</v>
      </c>
      <c r="T1150" s="2">
        <f t="shared" si="35"/>
        <v>39449232700</v>
      </c>
    </row>
    <row r="1151" spans="1:20" x14ac:dyDescent="0.3">
      <c r="A1151" s="1">
        <v>45271</v>
      </c>
      <c r="B1151" t="s">
        <v>893</v>
      </c>
      <c r="C1151" t="s">
        <v>18</v>
      </c>
      <c r="D1151" t="s">
        <v>29</v>
      </c>
      <c r="E1151">
        <v>4.2240000000000002</v>
      </c>
      <c r="F1151">
        <v>4.2960000000000003</v>
      </c>
      <c r="G1151">
        <v>4.1500000000000004</v>
      </c>
      <c r="H1151">
        <v>2.5299999999999998</v>
      </c>
      <c r="I1151" s="2">
        <v>0</v>
      </c>
      <c r="J1151" s="2">
        <v>93488258000</v>
      </c>
      <c r="K1151" s="2">
        <v>36888008000</v>
      </c>
      <c r="L1151" s="2">
        <v>112015400</v>
      </c>
      <c r="M1151" s="2">
        <v>6961000000</v>
      </c>
      <c r="N1151" s="2">
        <v>11836000000</v>
      </c>
      <c r="O1151" s="2">
        <v>6383000000</v>
      </c>
      <c r="P1151" s="2">
        <v>54635000000</v>
      </c>
      <c r="Q1151" s="2">
        <v>23544008000</v>
      </c>
      <c r="R1151" s="2">
        <v>27017258000</v>
      </c>
      <c r="S1151" s="2">
        <f t="shared" si="34"/>
        <v>0.14599999999999991</v>
      </c>
      <c r="T1151" s="2">
        <f t="shared" si="35"/>
        <v>37000023400</v>
      </c>
    </row>
    <row r="1152" spans="1:20" x14ac:dyDescent="0.3">
      <c r="A1152" s="1">
        <v>45271</v>
      </c>
      <c r="B1152" t="s">
        <v>900</v>
      </c>
      <c r="C1152" t="s">
        <v>18</v>
      </c>
      <c r="D1152" t="s">
        <v>52</v>
      </c>
      <c r="E1152">
        <v>4.43</v>
      </c>
      <c r="F1152">
        <v>4.49</v>
      </c>
      <c r="G1152">
        <v>4.3600000000000003</v>
      </c>
      <c r="H1152">
        <v>2.42</v>
      </c>
      <c r="I1152" s="2">
        <v>0</v>
      </c>
      <c r="J1152" s="2">
        <v>120351910000</v>
      </c>
      <c r="K1152" s="2">
        <v>49555200000</v>
      </c>
      <c r="L1152" s="2">
        <v>244868500</v>
      </c>
      <c r="M1152" s="2">
        <v>10747000000</v>
      </c>
      <c r="N1152" s="2">
        <v>17222000000</v>
      </c>
      <c r="O1152" s="2">
        <v>13002290000</v>
      </c>
      <c r="P1152" s="2">
        <v>69508000000</v>
      </c>
      <c r="Q1152" s="2">
        <v>25805910000</v>
      </c>
      <c r="R1152" s="2">
        <v>33621910000</v>
      </c>
      <c r="S1152" s="2">
        <f t="shared" si="34"/>
        <v>0.12999999999999989</v>
      </c>
      <c r="T1152" s="2">
        <f t="shared" si="35"/>
        <v>49800068500</v>
      </c>
    </row>
    <row r="1153" spans="1:20" x14ac:dyDescent="0.3">
      <c r="A1153" s="1">
        <v>45272</v>
      </c>
      <c r="B1153" t="s">
        <v>894</v>
      </c>
      <c r="C1153" t="s">
        <v>23</v>
      </c>
      <c r="D1153" t="s">
        <v>72</v>
      </c>
      <c r="E1153">
        <v>4.28</v>
      </c>
      <c r="F1153">
        <v>4.3440000000000003</v>
      </c>
      <c r="G1153">
        <v>4.2300000000000004</v>
      </c>
      <c r="H1153">
        <v>2.4300000000000002</v>
      </c>
      <c r="I1153" s="2">
        <v>0</v>
      </c>
      <c r="J1153" s="2">
        <v>50944732000</v>
      </c>
      <c r="K1153" s="2">
        <v>20933494500</v>
      </c>
      <c r="L1153" s="2">
        <v>66507500</v>
      </c>
      <c r="M1153" s="2">
        <v>3621800000</v>
      </c>
      <c r="N1153" s="2">
        <v>6565300000</v>
      </c>
      <c r="O1153" s="2">
        <v>2978000000</v>
      </c>
      <c r="P1153" s="2">
        <v>27871000000</v>
      </c>
      <c r="Q1153" s="2">
        <v>14333694500</v>
      </c>
      <c r="R1153" s="2">
        <v>16508432000</v>
      </c>
      <c r="S1153" s="2">
        <f t="shared" si="34"/>
        <v>0.11399999999999988</v>
      </c>
      <c r="T1153" s="2">
        <f t="shared" si="35"/>
        <v>21000002000</v>
      </c>
    </row>
    <row r="1154" spans="1:20" x14ac:dyDescent="0.3">
      <c r="A1154" s="1">
        <v>45280</v>
      </c>
      <c r="B1154" t="s">
        <v>897</v>
      </c>
      <c r="C1154" t="s">
        <v>23</v>
      </c>
      <c r="D1154" t="s">
        <v>693</v>
      </c>
      <c r="E1154">
        <v>4.1470000000000002</v>
      </c>
      <c r="F1154">
        <v>4.2130000000000001</v>
      </c>
      <c r="G1154">
        <v>4.09</v>
      </c>
      <c r="H1154">
        <v>2.5499999999999998</v>
      </c>
      <c r="I1154" s="2">
        <v>0</v>
      </c>
      <c r="J1154" s="2">
        <v>33021302000</v>
      </c>
      <c r="K1154" s="2">
        <v>12908193900</v>
      </c>
      <c r="L1154" s="2">
        <v>91839100</v>
      </c>
      <c r="M1154" s="2">
        <v>2673000000</v>
      </c>
      <c r="N1154" s="2">
        <v>4295000000</v>
      </c>
      <c r="O1154" s="2">
        <v>1663508000</v>
      </c>
      <c r="P1154" s="2">
        <v>17976500000</v>
      </c>
      <c r="Q1154" s="2">
        <v>8571685900</v>
      </c>
      <c r="R1154" s="2">
        <v>10749802000</v>
      </c>
      <c r="S1154" s="2">
        <f t="shared" ref="S1154:S1217" si="36">SUM($F1154,-$G1154)</f>
        <v>0.12300000000000022</v>
      </c>
      <c r="T1154" s="2">
        <f t="shared" ref="T1154:T1217" si="37">SUM(I1154,K1154,L1154)</f>
        <v>13000033000</v>
      </c>
    </row>
    <row r="1155" spans="1:20" x14ac:dyDescent="0.3">
      <c r="A1155" s="1">
        <v>45286</v>
      </c>
      <c r="B1155" t="s">
        <v>903</v>
      </c>
      <c r="C1155" t="s">
        <v>18</v>
      </c>
      <c r="D1155" t="s">
        <v>21</v>
      </c>
      <c r="E1155">
        <v>4.2699999999999996</v>
      </c>
      <c r="F1155">
        <v>4.3140000000000001</v>
      </c>
      <c r="G1155">
        <v>4.2</v>
      </c>
      <c r="H1155">
        <v>2.68</v>
      </c>
      <c r="I1155" s="2">
        <v>0</v>
      </c>
      <c r="J1155" s="2">
        <v>151955740000</v>
      </c>
      <c r="K1155" s="2">
        <v>56279769100</v>
      </c>
      <c r="L1155" s="2">
        <v>570289000</v>
      </c>
      <c r="M1155" s="2">
        <v>10981029100</v>
      </c>
      <c r="N1155" s="2">
        <v>19329000000</v>
      </c>
      <c r="O1155" s="2">
        <v>10487000000</v>
      </c>
      <c r="P1155" s="2">
        <v>79028000000</v>
      </c>
      <c r="Q1155" s="2">
        <v>34811740000</v>
      </c>
      <c r="R1155" s="2">
        <v>53598740000</v>
      </c>
      <c r="S1155" s="2">
        <f t="shared" si="36"/>
        <v>0.11399999999999988</v>
      </c>
      <c r="T1155" s="2">
        <f t="shared" si="37"/>
        <v>56850058100</v>
      </c>
    </row>
    <row r="1156" spans="1:20" x14ac:dyDescent="0.3">
      <c r="A1156" s="1">
        <v>45287</v>
      </c>
      <c r="B1156" t="s">
        <v>902</v>
      </c>
      <c r="C1156" t="s">
        <v>18</v>
      </c>
      <c r="D1156" t="s">
        <v>19</v>
      </c>
      <c r="E1156">
        <v>3.75</v>
      </c>
      <c r="F1156">
        <v>3.8010000000000002</v>
      </c>
      <c r="G1156">
        <v>3.415</v>
      </c>
      <c r="H1156">
        <v>2.5</v>
      </c>
      <c r="I1156" s="2">
        <v>0</v>
      </c>
      <c r="J1156" s="2">
        <v>144857438600</v>
      </c>
      <c r="K1156" s="2">
        <v>57821997000</v>
      </c>
      <c r="L1156" s="2">
        <v>178024100</v>
      </c>
      <c r="M1156" s="2">
        <v>8880942000</v>
      </c>
      <c r="N1156" s="2">
        <v>18089000000</v>
      </c>
      <c r="O1156" s="2">
        <v>8121000000</v>
      </c>
      <c r="P1156" s="2">
        <v>76641000000</v>
      </c>
      <c r="Q1156" s="2">
        <v>40820055000</v>
      </c>
      <c r="R1156" s="2">
        <v>50127438600</v>
      </c>
      <c r="S1156" s="2">
        <f t="shared" si="36"/>
        <v>0.38600000000000012</v>
      </c>
      <c r="T1156" s="2">
        <f t="shared" si="37"/>
        <v>58000021100</v>
      </c>
    </row>
    <row r="1157" spans="1:20" x14ac:dyDescent="0.3">
      <c r="A1157" s="1">
        <v>45288</v>
      </c>
      <c r="B1157" t="s">
        <v>901</v>
      </c>
      <c r="C1157" t="s">
        <v>18</v>
      </c>
      <c r="D1157" t="s">
        <v>68</v>
      </c>
      <c r="E1157">
        <v>3.7829999999999999</v>
      </c>
      <c r="F1157">
        <v>3.859</v>
      </c>
      <c r="G1157">
        <v>3.5</v>
      </c>
      <c r="H1157">
        <v>2.5</v>
      </c>
      <c r="I1157" s="2">
        <v>0</v>
      </c>
      <c r="J1157" s="2">
        <v>99659275000</v>
      </c>
      <c r="K1157" s="2">
        <v>39744046800</v>
      </c>
      <c r="L1157" s="2">
        <v>255973200</v>
      </c>
      <c r="M1157" s="2">
        <v>7700236800</v>
      </c>
      <c r="N1157" s="2">
        <v>12608000000</v>
      </c>
      <c r="O1157" s="2">
        <v>6723212500</v>
      </c>
      <c r="P1157" s="2">
        <v>57519000000</v>
      </c>
      <c r="Q1157" s="2">
        <v>25320597500</v>
      </c>
      <c r="R1157" s="2">
        <v>29532275000</v>
      </c>
      <c r="S1157" s="2">
        <f t="shared" si="36"/>
        <v>0.35899999999999999</v>
      </c>
      <c r="T1157" s="2">
        <f t="shared" si="37"/>
        <v>40000020000</v>
      </c>
    </row>
    <row r="1158" spans="1:20" x14ac:dyDescent="0.3">
      <c r="A1158" s="1">
        <v>45300</v>
      </c>
      <c r="B1158" t="s">
        <v>904</v>
      </c>
      <c r="C1158" t="s">
        <v>18</v>
      </c>
      <c r="D1158" t="s">
        <v>52</v>
      </c>
      <c r="E1158">
        <v>4.0650000000000004</v>
      </c>
      <c r="F1158">
        <v>4.1050000000000004</v>
      </c>
      <c r="G1158">
        <v>3.95</v>
      </c>
      <c r="H1158">
        <v>2.67</v>
      </c>
      <c r="I1158" s="2">
        <v>0</v>
      </c>
      <c r="J1158" s="2">
        <v>138580060000</v>
      </c>
      <c r="K1158" s="2">
        <v>51612844900</v>
      </c>
      <c r="L1158" s="2">
        <v>267211900</v>
      </c>
      <c r="M1158" s="2">
        <v>8692800200</v>
      </c>
      <c r="N1158" s="2">
        <v>17807000000</v>
      </c>
      <c r="O1158" s="2">
        <v>9212502500</v>
      </c>
      <c r="P1158" s="2">
        <v>77457000000</v>
      </c>
      <c r="Q1158" s="2">
        <v>33707542200</v>
      </c>
      <c r="R1158" s="2">
        <v>43316060000</v>
      </c>
      <c r="S1158" s="2">
        <f t="shared" si="36"/>
        <v>0.15500000000000025</v>
      </c>
      <c r="T1158" s="2">
        <f t="shared" si="37"/>
        <v>51880056800</v>
      </c>
    </row>
    <row r="1159" spans="1:20" x14ac:dyDescent="0.3">
      <c r="A1159" s="1">
        <v>45301</v>
      </c>
      <c r="B1159" t="s">
        <v>893</v>
      </c>
      <c r="C1159" t="s">
        <v>18</v>
      </c>
      <c r="D1159" t="s">
        <v>59</v>
      </c>
      <c r="E1159">
        <v>3.9569999999999999</v>
      </c>
      <c r="F1159">
        <v>4.024</v>
      </c>
      <c r="G1159">
        <v>3.9</v>
      </c>
      <c r="H1159">
        <v>2.56</v>
      </c>
      <c r="I1159" s="2">
        <v>0</v>
      </c>
      <c r="J1159" s="2">
        <v>94794058000</v>
      </c>
      <c r="K1159" s="2">
        <v>36919215500</v>
      </c>
      <c r="L1159" s="2">
        <v>80795700</v>
      </c>
      <c r="M1159" s="2">
        <v>6918000000</v>
      </c>
      <c r="N1159" s="2">
        <v>11793000000</v>
      </c>
      <c r="O1159" s="2">
        <v>5593157500</v>
      </c>
      <c r="P1159" s="2">
        <v>54686000000</v>
      </c>
      <c r="Q1159" s="2">
        <v>24408058000</v>
      </c>
      <c r="R1159" s="2">
        <v>28315058000</v>
      </c>
      <c r="S1159" s="2">
        <f t="shared" si="36"/>
        <v>0.12400000000000011</v>
      </c>
      <c r="T1159" s="2">
        <f t="shared" si="37"/>
        <v>37000011200</v>
      </c>
    </row>
    <row r="1160" spans="1:20" x14ac:dyDescent="0.3">
      <c r="A1160" s="1">
        <v>45302</v>
      </c>
      <c r="B1160" t="s">
        <v>894</v>
      </c>
      <c r="C1160" t="s">
        <v>23</v>
      </c>
      <c r="D1160" t="s">
        <v>91</v>
      </c>
      <c r="E1160">
        <v>4.16</v>
      </c>
      <c r="F1160">
        <v>4.2290000000000001</v>
      </c>
      <c r="G1160">
        <v>3.88</v>
      </c>
      <c r="H1160">
        <v>2.37</v>
      </c>
      <c r="I1160" s="2">
        <v>0</v>
      </c>
      <c r="J1160" s="2">
        <v>49682325000</v>
      </c>
      <c r="K1160" s="2">
        <v>20966180200</v>
      </c>
      <c r="L1160" s="2">
        <v>33826100</v>
      </c>
      <c r="M1160" s="2">
        <v>3712937200</v>
      </c>
      <c r="N1160" s="2">
        <v>6777200000</v>
      </c>
      <c r="O1160" s="2">
        <v>3044118000</v>
      </c>
      <c r="P1160" s="2">
        <v>26898000000</v>
      </c>
      <c r="Q1160" s="2">
        <v>14209125000</v>
      </c>
      <c r="R1160" s="2">
        <v>16007125000</v>
      </c>
      <c r="S1160" s="2">
        <f t="shared" si="36"/>
        <v>0.3490000000000002</v>
      </c>
      <c r="T1160" s="2">
        <f t="shared" si="37"/>
        <v>21000006300</v>
      </c>
    </row>
    <row r="1161" spans="1:20" x14ac:dyDescent="0.3">
      <c r="A1161" s="1">
        <v>45308</v>
      </c>
      <c r="B1161" t="s">
        <v>897</v>
      </c>
      <c r="C1161" t="s">
        <v>23</v>
      </c>
      <c r="D1161" t="s">
        <v>698</v>
      </c>
      <c r="E1161">
        <v>4.3600000000000003</v>
      </c>
      <c r="F1161">
        <v>4.423</v>
      </c>
      <c r="G1161">
        <v>4.3</v>
      </c>
      <c r="H1161">
        <v>2.5299999999999998</v>
      </c>
      <c r="I1161" s="2">
        <v>0</v>
      </c>
      <c r="J1161" s="2">
        <v>32837821000</v>
      </c>
      <c r="K1161" s="2">
        <v>12936321300</v>
      </c>
      <c r="L1161" s="2">
        <v>63689400</v>
      </c>
      <c r="M1161" s="2">
        <v>2653000000</v>
      </c>
      <c r="N1161" s="2">
        <v>4563000000</v>
      </c>
      <c r="O1161" s="2">
        <v>2242000300</v>
      </c>
      <c r="P1161" s="2">
        <v>18347000000</v>
      </c>
      <c r="Q1161" s="2">
        <v>8041321000</v>
      </c>
      <c r="R1161" s="2">
        <v>9927821000</v>
      </c>
      <c r="S1161" s="2">
        <f t="shared" si="36"/>
        <v>0.12300000000000022</v>
      </c>
      <c r="T1161" s="2">
        <f t="shared" si="37"/>
        <v>13000010700</v>
      </c>
    </row>
    <row r="1162" spans="1:20" x14ac:dyDescent="0.3">
      <c r="A1162" s="1">
        <v>45314</v>
      </c>
      <c r="B1162" t="s">
        <v>907</v>
      </c>
      <c r="C1162" t="s">
        <v>18</v>
      </c>
      <c r="D1162" t="s">
        <v>21</v>
      </c>
      <c r="E1162">
        <v>4.3099999999999996</v>
      </c>
      <c r="F1162">
        <v>4.3650000000000002</v>
      </c>
      <c r="G1162">
        <v>4.25</v>
      </c>
      <c r="H1162">
        <v>2.57</v>
      </c>
      <c r="I1162" s="2">
        <v>0</v>
      </c>
      <c r="J1162" s="2">
        <v>153693045000</v>
      </c>
      <c r="K1162" s="2">
        <v>59460369400</v>
      </c>
      <c r="L1162" s="2">
        <v>539693200</v>
      </c>
      <c r="M1162" s="2">
        <v>11815074400</v>
      </c>
      <c r="N1162" s="2">
        <v>20199000000</v>
      </c>
      <c r="O1162" s="2">
        <v>8817250000</v>
      </c>
      <c r="P1162" s="2">
        <v>80714000000</v>
      </c>
      <c r="Q1162" s="2">
        <v>38828045000</v>
      </c>
      <c r="R1162" s="2">
        <v>52780045000</v>
      </c>
      <c r="S1162" s="2">
        <f t="shared" si="36"/>
        <v>0.11500000000000021</v>
      </c>
      <c r="T1162" s="2">
        <f t="shared" si="37"/>
        <v>60000062600</v>
      </c>
    </row>
    <row r="1163" spans="1:20" x14ac:dyDescent="0.3">
      <c r="A1163" s="1">
        <v>45315</v>
      </c>
      <c r="B1163" t="s">
        <v>906</v>
      </c>
      <c r="C1163" t="s">
        <v>18</v>
      </c>
      <c r="D1163" t="s">
        <v>19</v>
      </c>
      <c r="E1163">
        <v>3.9790000000000001</v>
      </c>
      <c r="F1163">
        <v>4.0549999999999997</v>
      </c>
      <c r="G1163">
        <v>3.9</v>
      </c>
      <c r="H1163">
        <v>2.31</v>
      </c>
      <c r="I1163" s="2">
        <v>0</v>
      </c>
      <c r="J1163" s="2">
        <v>141001090000</v>
      </c>
      <c r="K1163" s="2">
        <v>60832652500</v>
      </c>
      <c r="L1163" s="2">
        <v>167411100</v>
      </c>
      <c r="M1163" s="2">
        <v>11368500000</v>
      </c>
      <c r="N1163" s="2">
        <v>18519000000</v>
      </c>
      <c r="O1163" s="2">
        <v>12394062500</v>
      </c>
      <c r="P1163" s="2">
        <v>80166000000</v>
      </c>
      <c r="Q1163" s="2">
        <v>37070090000</v>
      </c>
      <c r="R1163" s="2">
        <v>42316090000</v>
      </c>
      <c r="S1163" s="2">
        <f t="shared" si="36"/>
        <v>0.1549999999999998</v>
      </c>
      <c r="T1163" s="2">
        <f t="shared" si="37"/>
        <v>61000063600</v>
      </c>
    </row>
    <row r="1164" spans="1:20" x14ac:dyDescent="0.3">
      <c r="A1164" s="1">
        <v>45316</v>
      </c>
      <c r="B1164" t="s">
        <v>905</v>
      </c>
      <c r="C1164" t="s">
        <v>18</v>
      </c>
      <c r="D1164" t="s">
        <v>68</v>
      </c>
      <c r="E1164">
        <v>4.0529999999999999</v>
      </c>
      <c r="F1164">
        <v>4.109</v>
      </c>
      <c r="G1164">
        <v>3.99</v>
      </c>
      <c r="H1164">
        <v>2.57</v>
      </c>
      <c r="I1164" s="2">
        <v>0</v>
      </c>
      <c r="J1164" s="2">
        <v>105383685000</v>
      </c>
      <c r="K1164" s="2">
        <v>40839822000</v>
      </c>
      <c r="L1164" s="2">
        <v>160219100</v>
      </c>
      <c r="M1164" s="2">
        <v>6944100000</v>
      </c>
      <c r="N1164" s="2">
        <v>13380100000</v>
      </c>
      <c r="O1164" s="2">
        <v>5692350000</v>
      </c>
      <c r="P1164" s="2">
        <v>57165000000</v>
      </c>
      <c r="Q1164" s="2">
        <v>28203372000</v>
      </c>
      <c r="R1164" s="2">
        <v>34838585000</v>
      </c>
      <c r="S1164" s="2">
        <f t="shared" si="36"/>
        <v>0.11899999999999977</v>
      </c>
      <c r="T1164" s="2">
        <f t="shared" si="37"/>
        <v>41000041100</v>
      </c>
    </row>
    <row r="1165" spans="1:20" x14ac:dyDescent="0.3">
      <c r="A1165" s="1">
        <v>45328</v>
      </c>
      <c r="B1165" t="s">
        <v>910</v>
      </c>
      <c r="C1165" t="s">
        <v>18</v>
      </c>
      <c r="D1165" t="s">
        <v>52</v>
      </c>
      <c r="E1165">
        <v>4.13</v>
      </c>
      <c r="F1165">
        <v>4.1689999999999996</v>
      </c>
      <c r="G1165">
        <v>4.0880000000000001</v>
      </c>
      <c r="H1165">
        <v>2.58</v>
      </c>
      <c r="I1165" s="2">
        <v>3993698700</v>
      </c>
      <c r="J1165" s="2">
        <v>138995920000</v>
      </c>
      <c r="K1165" s="2">
        <v>53644646000</v>
      </c>
      <c r="L1165" s="2">
        <v>280376200</v>
      </c>
      <c r="M1165" s="2">
        <v>9836976000</v>
      </c>
      <c r="N1165" s="2">
        <v>18723000000</v>
      </c>
      <c r="O1165" s="2">
        <v>8428000000</v>
      </c>
      <c r="P1165" s="2">
        <v>74643000000</v>
      </c>
      <c r="Q1165" s="2">
        <v>35379670000</v>
      </c>
      <c r="R1165" s="2">
        <v>45629920000</v>
      </c>
      <c r="S1165" s="2">
        <f t="shared" si="36"/>
        <v>8.0999999999999517E-2</v>
      </c>
      <c r="T1165" s="2">
        <f t="shared" si="37"/>
        <v>57918720900</v>
      </c>
    </row>
    <row r="1166" spans="1:20" x14ac:dyDescent="0.3">
      <c r="A1166" s="1">
        <v>45329</v>
      </c>
      <c r="B1166" t="s">
        <v>909</v>
      </c>
      <c r="C1166" t="s">
        <v>18</v>
      </c>
      <c r="D1166" t="s">
        <v>26</v>
      </c>
      <c r="E1166">
        <v>4.0369999999999999</v>
      </c>
      <c r="F1166">
        <v>4.093</v>
      </c>
      <c r="G1166">
        <v>3.98</v>
      </c>
      <c r="H1166">
        <v>2.56</v>
      </c>
      <c r="I1166" s="2">
        <v>3106210100</v>
      </c>
      <c r="J1166" s="2">
        <v>107217720000</v>
      </c>
      <c r="K1166" s="2">
        <v>41818857500</v>
      </c>
      <c r="L1166" s="2">
        <v>181194400</v>
      </c>
      <c r="M1166" s="2">
        <v>6712161500</v>
      </c>
      <c r="N1166" s="2">
        <v>13103000000</v>
      </c>
      <c r="O1166" s="2">
        <v>5429656000</v>
      </c>
      <c r="P1166" s="2">
        <v>58912800000</v>
      </c>
      <c r="Q1166" s="2">
        <v>29677040000</v>
      </c>
      <c r="R1166" s="2">
        <v>35201920000</v>
      </c>
      <c r="S1166" s="2">
        <f t="shared" si="36"/>
        <v>0.11299999999999999</v>
      </c>
      <c r="T1166" s="2">
        <f t="shared" si="37"/>
        <v>45106262000</v>
      </c>
    </row>
    <row r="1167" spans="1:20" x14ac:dyDescent="0.3">
      <c r="A1167" s="1">
        <v>45330</v>
      </c>
      <c r="B1167" t="s">
        <v>908</v>
      </c>
      <c r="C1167" t="s">
        <v>23</v>
      </c>
      <c r="D1167" t="s">
        <v>65</v>
      </c>
      <c r="E1167">
        <v>4.3140000000000001</v>
      </c>
      <c r="F1167">
        <v>4.3600000000000003</v>
      </c>
      <c r="G1167">
        <v>4.25</v>
      </c>
      <c r="H1167">
        <v>2.4</v>
      </c>
      <c r="I1167" s="2">
        <v>1848934600</v>
      </c>
      <c r="J1167" s="2">
        <v>59964889000</v>
      </c>
      <c r="K1167" s="2">
        <v>24949794000</v>
      </c>
      <c r="L1167" s="2">
        <v>50220200</v>
      </c>
      <c r="M1167" s="2">
        <v>3616300000</v>
      </c>
      <c r="N1167" s="2">
        <v>7391300000</v>
      </c>
      <c r="O1167" s="2">
        <v>3695172500</v>
      </c>
      <c r="P1167" s="2">
        <v>32417200000</v>
      </c>
      <c r="Q1167" s="2">
        <v>17638321500</v>
      </c>
      <c r="R1167" s="2">
        <v>20156389000</v>
      </c>
      <c r="S1167" s="2">
        <f t="shared" si="36"/>
        <v>0.11000000000000032</v>
      </c>
      <c r="T1167" s="2">
        <f t="shared" si="37"/>
        <v>26848948800</v>
      </c>
    </row>
    <row r="1168" spans="1:20" x14ac:dyDescent="0.3">
      <c r="A1168" s="1">
        <v>45343</v>
      </c>
      <c r="B1168" t="s">
        <v>914</v>
      </c>
      <c r="C1168" t="s">
        <v>23</v>
      </c>
      <c r="D1168" t="s">
        <v>688</v>
      </c>
      <c r="E1168">
        <v>4.51</v>
      </c>
      <c r="F1168">
        <v>4.5949999999999998</v>
      </c>
      <c r="G1168">
        <v>4.4400000000000004</v>
      </c>
      <c r="H1168">
        <v>2.39</v>
      </c>
      <c r="I1168" s="2">
        <v>692217100</v>
      </c>
      <c r="J1168" s="2">
        <v>38155845000</v>
      </c>
      <c r="K1168" s="2">
        <v>15846278100</v>
      </c>
      <c r="L1168" s="2">
        <v>153759000</v>
      </c>
      <c r="M1168" s="2">
        <v>3123282500</v>
      </c>
      <c r="N1168" s="2">
        <v>5268000000</v>
      </c>
      <c r="O1168" s="2">
        <v>3360588800</v>
      </c>
      <c r="P1168" s="2">
        <v>22115200000</v>
      </c>
      <c r="Q1168" s="2">
        <v>9362406800</v>
      </c>
      <c r="R1168" s="2">
        <v>10772645000</v>
      </c>
      <c r="S1168" s="2">
        <f t="shared" si="36"/>
        <v>0.15499999999999936</v>
      </c>
      <c r="T1168" s="2">
        <f t="shared" si="37"/>
        <v>16692254200</v>
      </c>
    </row>
    <row r="1169" spans="1:20" x14ac:dyDescent="0.3">
      <c r="A1169" s="1">
        <v>45348</v>
      </c>
      <c r="B1169" t="s">
        <v>913</v>
      </c>
      <c r="C1169" t="s">
        <v>18</v>
      </c>
      <c r="D1169" t="s">
        <v>19</v>
      </c>
      <c r="E1169">
        <v>4.2480000000000002</v>
      </c>
      <c r="F1169">
        <v>4.32</v>
      </c>
      <c r="G1169">
        <v>4.16</v>
      </c>
      <c r="H1169">
        <v>2.41</v>
      </c>
      <c r="I1169" s="2">
        <v>2768868800</v>
      </c>
      <c r="J1169" s="2">
        <v>154266555000</v>
      </c>
      <c r="K1169" s="2">
        <v>63803007500</v>
      </c>
      <c r="L1169" s="2">
        <v>197040300</v>
      </c>
      <c r="M1169" s="2">
        <v>12541000000</v>
      </c>
      <c r="N1169" s="2">
        <v>21031000000</v>
      </c>
      <c r="O1169" s="2">
        <v>10729452500</v>
      </c>
      <c r="P1169" s="2">
        <v>85734000000</v>
      </c>
      <c r="Q1169" s="2">
        <v>40532555000</v>
      </c>
      <c r="R1169" s="2">
        <v>47501555000</v>
      </c>
      <c r="S1169" s="2">
        <f t="shared" si="36"/>
        <v>0.16000000000000014</v>
      </c>
      <c r="T1169" s="2">
        <f t="shared" si="37"/>
        <v>66768916600</v>
      </c>
    </row>
    <row r="1170" spans="1:20" x14ac:dyDescent="0.3">
      <c r="A1170" s="1">
        <v>45348</v>
      </c>
      <c r="B1170" t="s">
        <v>912</v>
      </c>
      <c r="C1170" t="s">
        <v>18</v>
      </c>
      <c r="D1170" t="s">
        <v>21</v>
      </c>
      <c r="E1170">
        <v>4.6399999999999997</v>
      </c>
      <c r="F1170">
        <v>4.6909999999999998</v>
      </c>
      <c r="G1170">
        <v>4.55</v>
      </c>
      <c r="H1170">
        <v>2.4900000000000002</v>
      </c>
      <c r="I1170" s="2">
        <v>2725605200</v>
      </c>
      <c r="J1170" s="2">
        <v>156343820000</v>
      </c>
      <c r="K1170" s="2">
        <v>62359886100</v>
      </c>
      <c r="L1170" s="2">
        <v>640224300</v>
      </c>
      <c r="M1170" s="2">
        <v>12538119100</v>
      </c>
      <c r="N1170" s="2">
        <v>21220000000</v>
      </c>
      <c r="O1170" s="2">
        <v>9188000000</v>
      </c>
      <c r="P1170" s="2">
        <v>81694000000</v>
      </c>
      <c r="Q1170" s="2">
        <v>40633767000</v>
      </c>
      <c r="R1170" s="2">
        <v>53429820000</v>
      </c>
      <c r="S1170" s="2">
        <f t="shared" si="36"/>
        <v>0.14100000000000001</v>
      </c>
      <c r="T1170" s="2">
        <f t="shared" si="37"/>
        <v>65725715600</v>
      </c>
    </row>
    <row r="1171" spans="1:20" x14ac:dyDescent="0.3">
      <c r="A1171" s="1">
        <v>45349</v>
      </c>
      <c r="B1171" t="s">
        <v>911</v>
      </c>
      <c r="C1171" t="s">
        <v>18</v>
      </c>
      <c r="D1171" t="s">
        <v>68</v>
      </c>
      <c r="E1171">
        <v>4.2699999999999996</v>
      </c>
      <c r="F1171">
        <v>4.327</v>
      </c>
      <c r="G1171">
        <v>4.2169999999999996</v>
      </c>
      <c r="H1171">
        <v>2.58</v>
      </c>
      <c r="I1171" s="2">
        <v>1817070100</v>
      </c>
      <c r="J1171" s="2">
        <v>108077285000</v>
      </c>
      <c r="K1171" s="2">
        <v>41845698900</v>
      </c>
      <c r="L1171" s="2">
        <v>154341700</v>
      </c>
      <c r="M1171" s="2">
        <v>6206400000</v>
      </c>
      <c r="N1171" s="2">
        <v>13306400000</v>
      </c>
      <c r="O1171" s="2">
        <v>6527210000</v>
      </c>
      <c r="P1171" s="2">
        <v>60136400000</v>
      </c>
      <c r="Q1171" s="2">
        <v>29112088900</v>
      </c>
      <c r="R1171" s="2">
        <v>34634485000</v>
      </c>
      <c r="S1171" s="2">
        <f t="shared" si="36"/>
        <v>0.11000000000000032</v>
      </c>
      <c r="T1171" s="2">
        <f t="shared" si="37"/>
        <v>43817110700</v>
      </c>
    </row>
    <row r="1172" spans="1:20" x14ac:dyDescent="0.3">
      <c r="A1172" s="1">
        <v>45362</v>
      </c>
      <c r="B1172" t="s">
        <v>915</v>
      </c>
      <c r="C1172" t="s">
        <v>18</v>
      </c>
      <c r="D1172" t="s">
        <v>52</v>
      </c>
      <c r="E1172">
        <v>4.2069999999999999</v>
      </c>
      <c r="F1172">
        <v>4.2560000000000002</v>
      </c>
      <c r="G1172">
        <v>4.1500000000000004</v>
      </c>
      <c r="H1172">
        <v>2.6</v>
      </c>
      <c r="I1172" s="2">
        <v>0</v>
      </c>
      <c r="J1172" s="2">
        <v>145601615000</v>
      </c>
      <c r="K1172" s="2">
        <v>55785211300</v>
      </c>
      <c r="L1172" s="2">
        <v>214807300</v>
      </c>
      <c r="M1172" s="2">
        <v>8677596300</v>
      </c>
      <c r="N1172" s="2">
        <v>19842000000</v>
      </c>
      <c r="O1172" s="2">
        <v>8032000000</v>
      </c>
      <c r="P1172" s="2">
        <v>76767000000</v>
      </c>
      <c r="Q1172" s="2">
        <v>39075615000</v>
      </c>
      <c r="R1172" s="2">
        <v>48992615000</v>
      </c>
      <c r="S1172" s="2">
        <f t="shared" si="36"/>
        <v>0.10599999999999987</v>
      </c>
      <c r="T1172" s="2">
        <f t="shared" si="37"/>
        <v>56000018600</v>
      </c>
    </row>
    <row r="1173" spans="1:20" x14ac:dyDescent="0.3">
      <c r="A1173" s="1">
        <v>45363</v>
      </c>
      <c r="B1173" t="s">
        <v>909</v>
      </c>
      <c r="C1173" t="s">
        <v>18</v>
      </c>
      <c r="D1173" t="s">
        <v>29</v>
      </c>
      <c r="E1173">
        <v>4.0999999999999996</v>
      </c>
      <c r="F1173">
        <v>4.1660000000000004</v>
      </c>
      <c r="G1173">
        <v>4.03</v>
      </c>
      <c r="H1173">
        <v>2.5099999999999998</v>
      </c>
      <c r="I1173" s="2">
        <v>0</v>
      </c>
      <c r="J1173" s="2">
        <v>97898385000</v>
      </c>
      <c r="K1173" s="2">
        <v>38924270200</v>
      </c>
      <c r="L1173" s="2">
        <v>75734200</v>
      </c>
      <c r="M1173" s="2">
        <v>7258000000</v>
      </c>
      <c r="N1173" s="2">
        <v>12663000000</v>
      </c>
      <c r="O1173" s="2">
        <v>6641885200</v>
      </c>
      <c r="P1173" s="2">
        <v>56195000000</v>
      </c>
      <c r="Q1173" s="2">
        <v>25024385000</v>
      </c>
      <c r="R1173" s="2">
        <v>29040385000</v>
      </c>
      <c r="S1173" s="2">
        <f t="shared" si="36"/>
        <v>0.13600000000000012</v>
      </c>
      <c r="T1173" s="2">
        <f t="shared" si="37"/>
        <v>39000004400</v>
      </c>
    </row>
    <row r="1174" spans="1:20" x14ac:dyDescent="0.3">
      <c r="A1174" s="1">
        <v>45364</v>
      </c>
      <c r="B1174" t="s">
        <v>908</v>
      </c>
      <c r="C1174" t="s">
        <v>23</v>
      </c>
      <c r="D1174" t="s">
        <v>72</v>
      </c>
      <c r="E1174">
        <v>4.2830000000000004</v>
      </c>
      <c r="F1174">
        <v>4.3310000000000004</v>
      </c>
      <c r="G1174">
        <v>4.2300000000000004</v>
      </c>
      <c r="H1174">
        <v>2.4700000000000002</v>
      </c>
      <c r="I1174" s="2">
        <v>0</v>
      </c>
      <c r="J1174" s="2">
        <v>54359520000</v>
      </c>
      <c r="K1174" s="2">
        <v>21970196800</v>
      </c>
      <c r="L1174" s="2">
        <v>29833700</v>
      </c>
      <c r="M1174" s="2">
        <v>3685400000</v>
      </c>
      <c r="N1174" s="2">
        <v>7251400000</v>
      </c>
      <c r="O1174" s="2">
        <v>3061000000</v>
      </c>
      <c r="P1174" s="2">
        <v>28687000000</v>
      </c>
      <c r="Q1174" s="2">
        <v>15223796800</v>
      </c>
      <c r="R1174" s="2">
        <v>18421120000</v>
      </c>
      <c r="S1174" s="2">
        <f t="shared" si="36"/>
        <v>0.10099999999999998</v>
      </c>
      <c r="T1174" s="2">
        <f t="shared" si="37"/>
        <v>22000030500</v>
      </c>
    </row>
    <row r="1175" spans="1:20" x14ac:dyDescent="0.3">
      <c r="A1175" s="1">
        <v>45370</v>
      </c>
      <c r="B1175" t="s">
        <v>914</v>
      </c>
      <c r="C1175" t="s">
        <v>23</v>
      </c>
      <c r="D1175" t="s">
        <v>693</v>
      </c>
      <c r="E1175">
        <v>4.4989999999999997</v>
      </c>
      <c r="F1175">
        <v>4.5419999999999998</v>
      </c>
      <c r="G1175">
        <v>3.88</v>
      </c>
      <c r="H1175">
        <v>2.79</v>
      </c>
      <c r="I1175" s="2">
        <v>0</v>
      </c>
      <c r="J1175" s="2">
        <v>36124445000</v>
      </c>
      <c r="K1175" s="2">
        <v>12917060000</v>
      </c>
      <c r="L1175" s="2">
        <v>82964800</v>
      </c>
      <c r="M1175" s="2">
        <v>2216658000</v>
      </c>
      <c r="N1175" s="2">
        <v>4749000000</v>
      </c>
      <c r="O1175" s="2">
        <v>1207300000</v>
      </c>
      <c r="P1175" s="2">
        <v>17989300000</v>
      </c>
      <c r="Q1175" s="2">
        <v>9493102000</v>
      </c>
      <c r="R1175" s="2">
        <v>13386145000</v>
      </c>
      <c r="S1175" s="2">
        <f t="shared" si="36"/>
        <v>0.66199999999999992</v>
      </c>
      <c r="T1175" s="2">
        <f t="shared" si="37"/>
        <v>13000024800</v>
      </c>
    </row>
    <row r="1176" spans="1:20" x14ac:dyDescent="0.3">
      <c r="A1176" s="1">
        <v>45376</v>
      </c>
      <c r="B1176" t="s">
        <v>918</v>
      </c>
      <c r="C1176" t="s">
        <v>18</v>
      </c>
      <c r="D1176" t="s">
        <v>21</v>
      </c>
      <c r="E1176">
        <v>4.54</v>
      </c>
      <c r="F1176">
        <v>4.5949999999999998</v>
      </c>
      <c r="G1176">
        <v>4.47</v>
      </c>
      <c r="H1176">
        <v>2.62</v>
      </c>
      <c r="I1176" s="2">
        <v>0</v>
      </c>
      <c r="J1176" s="2">
        <v>172161335000</v>
      </c>
      <c r="K1176" s="2">
        <v>65275794600</v>
      </c>
      <c r="L1176" s="2">
        <v>624234100</v>
      </c>
      <c r="M1176" s="2">
        <v>13627000000</v>
      </c>
      <c r="N1176" s="2">
        <v>22577000000</v>
      </c>
      <c r="O1176" s="2">
        <v>8721963600</v>
      </c>
      <c r="P1176" s="2">
        <v>91390000000</v>
      </c>
      <c r="Q1176" s="2">
        <v>42926831000</v>
      </c>
      <c r="R1176" s="2">
        <v>58194335000</v>
      </c>
      <c r="S1176" s="2">
        <f t="shared" si="36"/>
        <v>0.125</v>
      </c>
      <c r="T1176" s="2">
        <f t="shared" si="37"/>
        <v>65900028700</v>
      </c>
    </row>
    <row r="1177" spans="1:20" x14ac:dyDescent="0.3">
      <c r="A1177" s="1">
        <v>45377</v>
      </c>
      <c r="B1177" t="s">
        <v>917</v>
      </c>
      <c r="C1177" t="s">
        <v>18</v>
      </c>
      <c r="D1177" t="s">
        <v>19</v>
      </c>
      <c r="E1177">
        <v>4.1879999999999997</v>
      </c>
      <c r="F1177">
        <v>4.2350000000000003</v>
      </c>
      <c r="G1177">
        <v>4.1100000000000003</v>
      </c>
      <c r="H1177">
        <v>2.41</v>
      </c>
      <c r="I1177" s="2">
        <v>0</v>
      </c>
      <c r="J1177" s="2">
        <v>161351345000</v>
      </c>
      <c r="K1177" s="2">
        <v>66825255100</v>
      </c>
      <c r="L1177" s="2">
        <v>174794600</v>
      </c>
      <c r="M1177" s="2">
        <v>11236606100</v>
      </c>
      <c r="N1177" s="2">
        <v>21665000000</v>
      </c>
      <c r="O1177" s="2">
        <v>8508056000</v>
      </c>
      <c r="P1177" s="2">
        <v>84620000000</v>
      </c>
      <c r="Q1177" s="2">
        <v>47080593000</v>
      </c>
      <c r="R1177" s="2">
        <v>55066345000</v>
      </c>
      <c r="S1177" s="2">
        <f t="shared" si="36"/>
        <v>0.125</v>
      </c>
      <c r="T1177" s="2">
        <f t="shared" si="37"/>
        <v>67000049700</v>
      </c>
    </row>
    <row r="1178" spans="1:20" x14ac:dyDescent="0.3">
      <c r="A1178" s="1">
        <v>45378</v>
      </c>
      <c r="B1178" t="s">
        <v>916</v>
      </c>
      <c r="C1178" t="s">
        <v>18</v>
      </c>
      <c r="D1178" t="s">
        <v>68</v>
      </c>
      <c r="E1178">
        <v>4.1349999999999998</v>
      </c>
      <c r="F1178">
        <v>4.1849999999999996</v>
      </c>
      <c r="G1178">
        <v>4.07</v>
      </c>
      <c r="H1178">
        <v>2.61</v>
      </c>
      <c r="I1178" s="2">
        <v>0</v>
      </c>
      <c r="J1178" s="2">
        <v>112285445000</v>
      </c>
      <c r="K1178" s="2">
        <v>42879032000</v>
      </c>
      <c r="L1178" s="2">
        <v>120968600</v>
      </c>
      <c r="M1178" s="2">
        <v>7465300000</v>
      </c>
      <c r="N1178" s="2">
        <v>15290300000</v>
      </c>
      <c r="O1178" s="2">
        <v>5514197000</v>
      </c>
      <c r="P1178" s="2">
        <v>59465400000</v>
      </c>
      <c r="Q1178" s="2">
        <v>29899535000</v>
      </c>
      <c r="R1178" s="2">
        <v>37529745000</v>
      </c>
      <c r="S1178" s="2">
        <f t="shared" si="36"/>
        <v>0.11499999999999932</v>
      </c>
      <c r="T1178" s="2">
        <f t="shared" si="37"/>
        <v>43000000600</v>
      </c>
    </row>
    <row r="1179" spans="1:20" x14ac:dyDescent="0.3">
      <c r="A1179" s="1">
        <v>45391</v>
      </c>
      <c r="B1179" t="s">
        <v>919</v>
      </c>
      <c r="C1179" t="s">
        <v>18</v>
      </c>
      <c r="D1179" t="s">
        <v>52</v>
      </c>
      <c r="E1179">
        <v>4.4889999999999999</v>
      </c>
      <c r="F1179">
        <v>4.548</v>
      </c>
      <c r="G1179">
        <v>4.43</v>
      </c>
      <c r="H1179">
        <v>2.5</v>
      </c>
      <c r="I1179" s="2">
        <v>956525500</v>
      </c>
      <c r="J1179" s="2">
        <v>144583805000</v>
      </c>
      <c r="K1179" s="2">
        <v>57734532500</v>
      </c>
      <c r="L1179" s="2">
        <v>260480700</v>
      </c>
      <c r="M1179" s="2">
        <v>11793000000</v>
      </c>
      <c r="N1179" s="2">
        <v>19793000000</v>
      </c>
      <c r="O1179" s="2">
        <v>11148727500</v>
      </c>
      <c r="P1179" s="2">
        <v>82258000000</v>
      </c>
      <c r="Q1179" s="2">
        <v>34792805000</v>
      </c>
      <c r="R1179" s="2">
        <v>42532805000</v>
      </c>
      <c r="S1179" s="2">
        <f t="shared" si="36"/>
        <v>0.11800000000000033</v>
      </c>
      <c r="T1179" s="2">
        <f t="shared" si="37"/>
        <v>58951538700</v>
      </c>
    </row>
    <row r="1180" spans="1:20" x14ac:dyDescent="0.3">
      <c r="A1180" s="1">
        <v>45392</v>
      </c>
      <c r="B1180" t="s">
        <v>909</v>
      </c>
      <c r="C1180" t="s">
        <v>18</v>
      </c>
      <c r="D1180" t="s">
        <v>59</v>
      </c>
      <c r="E1180">
        <v>4.4649999999999999</v>
      </c>
      <c r="F1180">
        <v>4.5599999999999996</v>
      </c>
      <c r="G1180">
        <v>4.4000000000000004</v>
      </c>
      <c r="H1180">
        <v>2.34</v>
      </c>
      <c r="I1180" s="2">
        <v>643180900</v>
      </c>
      <c r="J1180" s="2">
        <v>91022068000</v>
      </c>
      <c r="K1180" s="2">
        <v>38916968000</v>
      </c>
      <c r="L1180" s="2">
        <v>83129500</v>
      </c>
      <c r="M1180" s="2">
        <v>5540000000</v>
      </c>
      <c r="N1180" s="2">
        <v>11290000000</v>
      </c>
      <c r="O1180" s="2">
        <v>9322650000</v>
      </c>
      <c r="P1180" s="2">
        <v>52929400000</v>
      </c>
      <c r="Q1180" s="2">
        <v>24054318000</v>
      </c>
      <c r="R1180" s="2">
        <v>26802668000</v>
      </c>
      <c r="S1180" s="2">
        <f t="shared" si="36"/>
        <v>0.15999999999999925</v>
      </c>
      <c r="T1180" s="2">
        <f t="shared" si="37"/>
        <v>39643278400</v>
      </c>
    </row>
    <row r="1181" spans="1:20" x14ac:dyDescent="0.3">
      <c r="A1181" s="1">
        <v>45393</v>
      </c>
      <c r="B1181" t="s">
        <v>908</v>
      </c>
      <c r="C1181" t="s">
        <v>23</v>
      </c>
      <c r="D1181" t="s">
        <v>91</v>
      </c>
      <c r="E1181">
        <v>4.6079999999999997</v>
      </c>
      <c r="F1181">
        <v>4.6710000000000003</v>
      </c>
      <c r="G1181">
        <v>4.5599999999999996</v>
      </c>
      <c r="H1181">
        <v>2.37</v>
      </c>
      <c r="I1181" s="2">
        <v>362819900</v>
      </c>
      <c r="J1181" s="2">
        <v>52049250000</v>
      </c>
      <c r="K1181" s="2">
        <v>21977492400</v>
      </c>
      <c r="L1181" s="2">
        <v>22514600</v>
      </c>
      <c r="M1181" s="2">
        <v>4016900000</v>
      </c>
      <c r="N1181" s="2">
        <v>7106900000</v>
      </c>
      <c r="O1181" s="2">
        <v>3810907900</v>
      </c>
      <c r="P1181" s="2">
        <v>28632400000</v>
      </c>
      <c r="Q1181" s="2">
        <v>14149684500</v>
      </c>
      <c r="R1181" s="2">
        <v>16309950000</v>
      </c>
      <c r="S1181" s="2">
        <f t="shared" si="36"/>
        <v>0.11100000000000065</v>
      </c>
      <c r="T1181" s="2">
        <f t="shared" si="37"/>
        <v>22362826900</v>
      </c>
    </row>
    <row r="1182" spans="1:20" x14ac:dyDescent="0.3">
      <c r="A1182" s="1">
        <v>45399</v>
      </c>
      <c r="B1182" t="s">
        <v>914</v>
      </c>
      <c r="C1182" t="s">
        <v>23</v>
      </c>
      <c r="D1182" t="s">
        <v>698</v>
      </c>
      <c r="E1182">
        <v>4.7699999999999996</v>
      </c>
      <c r="F1182">
        <v>4.8179999999999996</v>
      </c>
      <c r="G1182">
        <v>4.7300000000000004</v>
      </c>
      <c r="H1182">
        <v>2.82</v>
      </c>
      <c r="I1182" s="2">
        <v>61959200</v>
      </c>
      <c r="J1182" s="2">
        <v>36575960000</v>
      </c>
      <c r="K1182" s="2">
        <v>12921538600</v>
      </c>
      <c r="L1182" s="2">
        <v>78479200</v>
      </c>
      <c r="M1182" s="2">
        <v>2094344100</v>
      </c>
      <c r="N1182" s="2">
        <v>5042000000</v>
      </c>
      <c r="O1182" s="2">
        <v>1173948000</v>
      </c>
      <c r="P1182" s="2">
        <v>17918500000</v>
      </c>
      <c r="Q1182" s="2">
        <v>9653246500</v>
      </c>
      <c r="R1182" s="2">
        <v>13615460000</v>
      </c>
      <c r="S1182" s="2">
        <f t="shared" si="36"/>
        <v>8.799999999999919E-2</v>
      </c>
      <c r="T1182" s="2">
        <f t="shared" si="37"/>
        <v>13061977000</v>
      </c>
    </row>
    <row r="1183" spans="1:20" x14ac:dyDescent="0.3">
      <c r="A1183" s="1">
        <v>45405</v>
      </c>
      <c r="B1183" t="s">
        <v>920</v>
      </c>
      <c r="C1183" t="s">
        <v>18</v>
      </c>
      <c r="D1183" t="s">
        <v>21</v>
      </c>
      <c r="E1183">
        <v>4.8499999999999996</v>
      </c>
      <c r="F1183">
        <v>4.8979999999999997</v>
      </c>
      <c r="G1183">
        <v>4.8</v>
      </c>
      <c r="H1183">
        <v>2.66</v>
      </c>
      <c r="I1183" s="2">
        <v>328860900</v>
      </c>
      <c r="J1183" s="2">
        <v>182416791000</v>
      </c>
      <c r="K1183" s="2">
        <v>67967911000</v>
      </c>
      <c r="L1183" s="2">
        <v>1032098300</v>
      </c>
      <c r="M1183" s="2">
        <v>12709500000</v>
      </c>
      <c r="N1183" s="2">
        <v>22906000000</v>
      </c>
      <c r="O1183" s="2">
        <v>10252620000</v>
      </c>
      <c r="P1183" s="2">
        <v>94527000000</v>
      </c>
      <c r="Q1183" s="2">
        <v>45005791000</v>
      </c>
      <c r="R1183" s="2">
        <v>64983791000</v>
      </c>
      <c r="S1183" s="2">
        <f t="shared" si="36"/>
        <v>9.7999999999999865E-2</v>
      </c>
      <c r="T1183" s="2">
        <f t="shared" si="37"/>
        <v>69328870200</v>
      </c>
    </row>
    <row r="1184" spans="1:20" x14ac:dyDescent="0.3">
      <c r="A1184" s="1">
        <v>45406</v>
      </c>
      <c r="B1184" t="s">
        <v>922</v>
      </c>
      <c r="C1184" t="s">
        <v>18</v>
      </c>
      <c r="D1184" t="s">
        <v>19</v>
      </c>
      <c r="E1184">
        <v>4.5910000000000002</v>
      </c>
      <c r="F1184">
        <v>4.6589999999999998</v>
      </c>
      <c r="G1184">
        <v>4.55</v>
      </c>
      <c r="H1184">
        <v>2.39</v>
      </c>
      <c r="I1184" s="2">
        <v>333627000</v>
      </c>
      <c r="J1184" s="2">
        <v>166830270000</v>
      </c>
      <c r="K1184" s="2">
        <v>69773519500</v>
      </c>
      <c r="L1184" s="2">
        <v>223501200</v>
      </c>
      <c r="M1184" s="2">
        <v>13426000000</v>
      </c>
      <c r="N1184" s="2">
        <v>22876000000</v>
      </c>
      <c r="O1184" s="2">
        <v>10476530000</v>
      </c>
      <c r="P1184" s="2">
        <v>89819600000</v>
      </c>
      <c r="Q1184" s="2">
        <v>45870989500</v>
      </c>
      <c r="R1184" s="2">
        <v>54134670000</v>
      </c>
      <c r="S1184" s="2">
        <f t="shared" si="36"/>
        <v>0.10899999999999999</v>
      </c>
      <c r="T1184" s="2">
        <f t="shared" si="37"/>
        <v>70330647700</v>
      </c>
    </row>
    <row r="1185" spans="1:20" x14ac:dyDescent="0.3">
      <c r="A1185" s="1">
        <v>45407</v>
      </c>
      <c r="B1185" t="s">
        <v>921</v>
      </c>
      <c r="C1185" t="s">
        <v>18</v>
      </c>
      <c r="D1185" t="s">
        <v>68</v>
      </c>
      <c r="E1185">
        <v>4.6609999999999996</v>
      </c>
      <c r="F1185">
        <v>4.7160000000000002</v>
      </c>
      <c r="G1185">
        <v>4.6100000000000003</v>
      </c>
      <c r="H1185">
        <v>2.48</v>
      </c>
      <c r="I1185" s="2">
        <v>209708300</v>
      </c>
      <c r="J1185" s="2">
        <v>109052308000</v>
      </c>
      <c r="K1185" s="2">
        <v>43893603000</v>
      </c>
      <c r="L1185" s="2">
        <v>106404200</v>
      </c>
      <c r="M1185" s="2">
        <v>9212500000</v>
      </c>
      <c r="N1185" s="2">
        <v>15688500000</v>
      </c>
      <c r="O1185" s="2">
        <v>6102095000</v>
      </c>
      <c r="P1185" s="2">
        <v>59108800000</v>
      </c>
      <c r="Q1185" s="2">
        <v>28579008000</v>
      </c>
      <c r="R1185" s="2">
        <v>34255008000</v>
      </c>
      <c r="S1185" s="2">
        <f t="shared" si="36"/>
        <v>0.10599999999999987</v>
      </c>
      <c r="T1185" s="2">
        <f t="shared" si="37"/>
        <v>44209715500</v>
      </c>
    </row>
    <row r="1186" spans="1:20" x14ac:dyDescent="0.3">
      <c r="A1186" s="1">
        <v>45419</v>
      </c>
      <c r="B1186" t="s">
        <v>925</v>
      </c>
      <c r="C1186" t="s">
        <v>18</v>
      </c>
      <c r="D1186" t="s">
        <v>52</v>
      </c>
      <c r="E1186">
        <v>4.55</v>
      </c>
      <c r="F1186">
        <v>4.6050000000000004</v>
      </c>
      <c r="G1186">
        <v>4.5</v>
      </c>
      <c r="H1186">
        <v>2.63</v>
      </c>
      <c r="I1186" s="2">
        <v>7290018100</v>
      </c>
      <c r="J1186" s="2">
        <v>152336134000</v>
      </c>
      <c r="K1186" s="2">
        <v>57695955800</v>
      </c>
      <c r="L1186" s="2">
        <v>299235900</v>
      </c>
      <c r="M1186" s="2">
        <v>11311061800</v>
      </c>
      <c r="N1186" s="2">
        <v>19893000000</v>
      </c>
      <c r="O1186" s="2">
        <v>8580670000</v>
      </c>
      <c r="P1186" s="2">
        <v>83977000000</v>
      </c>
      <c r="Q1186" s="2">
        <v>37804224000</v>
      </c>
      <c r="R1186" s="2">
        <v>48466134000</v>
      </c>
      <c r="S1186" s="2">
        <f t="shared" si="36"/>
        <v>0.10500000000000043</v>
      </c>
      <c r="T1186" s="2">
        <f t="shared" si="37"/>
        <v>65285209800</v>
      </c>
    </row>
    <row r="1187" spans="1:20" x14ac:dyDescent="0.3">
      <c r="A1187" s="1">
        <v>45420</v>
      </c>
      <c r="B1187" t="s">
        <v>924</v>
      </c>
      <c r="C1187" t="s">
        <v>18</v>
      </c>
      <c r="D1187" t="s">
        <v>26</v>
      </c>
      <c r="E1187">
        <v>4.4219999999999997</v>
      </c>
      <c r="F1187">
        <v>4.4829999999999997</v>
      </c>
      <c r="G1187">
        <v>4.37</v>
      </c>
      <c r="H1187">
        <v>2.4900000000000002</v>
      </c>
      <c r="I1187" s="2">
        <v>5278978600</v>
      </c>
      <c r="J1187" s="2">
        <v>104234180000</v>
      </c>
      <c r="K1187" s="2">
        <v>41835384000</v>
      </c>
      <c r="L1187" s="2">
        <v>164622200</v>
      </c>
      <c r="M1187" s="2">
        <v>7842000000</v>
      </c>
      <c r="N1187" s="2">
        <v>13677000000</v>
      </c>
      <c r="O1187" s="2">
        <v>6581536000</v>
      </c>
      <c r="P1187" s="2">
        <v>59860000000</v>
      </c>
      <c r="Q1187" s="2">
        <v>27411848000</v>
      </c>
      <c r="R1187" s="2">
        <v>30697180000</v>
      </c>
      <c r="S1187" s="2">
        <f t="shared" si="36"/>
        <v>0.11299999999999955</v>
      </c>
      <c r="T1187" s="2">
        <f t="shared" si="37"/>
        <v>47278984800</v>
      </c>
    </row>
    <row r="1188" spans="1:20" x14ac:dyDescent="0.3">
      <c r="A1188" s="1">
        <v>45421</v>
      </c>
      <c r="B1188" t="s">
        <v>923</v>
      </c>
      <c r="C1188" t="s">
        <v>23</v>
      </c>
      <c r="D1188" t="s">
        <v>65</v>
      </c>
      <c r="E1188">
        <v>4.585</v>
      </c>
      <c r="F1188">
        <v>4.6349999999999998</v>
      </c>
      <c r="G1188">
        <v>4.54</v>
      </c>
      <c r="H1188">
        <v>2.41</v>
      </c>
      <c r="I1188" s="2">
        <v>3142249100</v>
      </c>
      <c r="J1188" s="2">
        <v>60188346100</v>
      </c>
      <c r="K1188" s="2">
        <v>24970545000</v>
      </c>
      <c r="L1188" s="2">
        <v>29455800</v>
      </c>
      <c r="M1188" s="2">
        <v>4939600000</v>
      </c>
      <c r="N1188" s="2">
        <v>8677600000</v>
      </c>
      <c r="O1188" s="2">
        <v>3834450000</v>
      </c>
      <c r="P1188" s="2">
        <v>31521400000</v>
      </c>
      <c r="Q1188" s="2">
        <v>16196495000</v>
      </c>
      <c r="R1188" s="2">
        <v>19989346100</v>
      </c>
      <c r="S1188" s="2">
        <f t="shared" si="36"/>
        <v>9.4999999999999751E-2</v>
      </c>
      <c r="T1188" s="2">
        <f t="shared" si="37"/>
        <v>28142249900</v>
      </c>
    </row>
    <row r="1189" spans="1:20" x14ac:dyDescent="0.3">
      <c r="A1189" s="1">
        <v>45434</v>
      </c>
      <c r="B1189" t="s">
        <v>929</v>
      </c>
      <c r="C1189" t="s">
        <v>23</v>
      </c>
      <c r="D1189" t="s">
        <v>688</v>
      </c>
      <c r="E1189">
        <v>4.58</v>
      </c>
      <c r="F1189">
        <v>4.6349999999999998</v>
      </c>
      <c r="G1189">
        <v>4.54</v>
      </c>
      <c r="H1189">
        <v>2.5099999999999998</v>
      </c>
      <c r="I1189" s="2">
        <v>949882800</v>
      </c>
      <c r="J1189" s="2">
        <v>40134310000</v>
      </c>
      <c r="K1189" s="2">
        <v>15916122000</v>
      </c>
      <c r="L1189" s="2">
        <v>83899600</v>
      </c>
      <c r="M1189" s="2">
        <v>3052000000</v>
      </c>
      <c r="N1189" s="2">
        <v>5632000000</v>
      </c>
      <c r="O1189" s="2">
        <v>1601790000</v>
      </c>
      <c r="P1189" s="2">
        <v>21223700000</v>
      </c>
      <c r="Q1189" s="2">
        <v>11262332000</v>
      </c>
      <c r="R1189" s="2">
        <v>13278610000</v>
      </c>
      <c r="S1189" s="2">
        <f t="shared" si="36"/>
        <v>9.4999999999999751E-2</v>
      </c>
      <c r="T1189" s="2">
        <f t="shared" si="37"/>
        <v>16949904400</v>
      </c>
    </row>
    <row r="1190" spans="1:20" x14ac:dyDescent="0.3">
      <c r="A1190" s="1">
        <v>45440</v>
      </c>
      <c r="B1190" t="s">
        <v>928</v>
      </c>
      <c r="C1190" t="s">
        <v>18</v>
      </c>
      <c r="D1190" t="s">
        <v>19</v>
      </c>
      <c r="E1190">
        <v>4.4800000000000004</v>
      </c>
      <c r="F1190">
        <v>4.5529999999999999</v>
      </c>
      <c r="G1190">
        <v>4.38</v>
      </c>
      <c r="H1190">
        <v>2.2999999999999998</v>
      </c>
      <c r="I1190" s="2">
        <v>4155737600</v>
      </c>
      <c r="J1190" s="2">
        <v>160504455000</v>
      </c>
      <c r="K1190" s="2">
        <v>69825542200</v>
      </c>
      <c r="L1190" s="2">
        <v>174484200</v>
      </c>
      <c r="M1190" s="2">
        <v>10783000000</v>
      </c>
      <c r="N1190" s="2">
        <v>20233000000</v>
      </c>
      <c r="O1190" s="2">
        <v>13630580000</v>
      </c>
      <c r="P1190" s="2">
        <v>89858200000</v>
      </c>
      <c r="Q1190" s="2">
        <v>45411962200</v>
      </c>
      <c r="R1190" s="2">
        <v>50413255000</v>
      </c>
      <c r="S1190" s="2">
        <f t="shared" si="36"/>
        <v>0.17300000000000004</v>
      </c>
      <c r="T1190" s="2">
        <f t="shared" si="37"/>
        <v>74155764000</v>
      </c>
    </row>
    <row r="1191" spans="1:20" x14ac:dyDescent="0.3">
      <c r="A1191" s="1">
        <v>45440</v>
      </c>
      <c r="B1191" t="s">
        <v>927</v>
      </c>
      <c r="C1191" t="s">
        <v>18</v>
      </c>
      <c r="D1191" t="s">
        <v>21</v>
      </c>
      <c r="E1191">
        <v>4.8499999999999996</v>
      </c>
      <c r="F1191">
        <v>4.9169999999999998</v>
      </c>
      <c r="G1191">
        <v>4.74</v>
      </c>
      <c r="H1191">
        <v>2.41</v>
      </c>
      <c r="I1191" s="2">
        <v>4096369900</v>
      </c>
      <c r="J1191" s="2">
        <v>165295145000</v>
      </c>
      <c r="K1191" s="2">
        <v>68286045000</v>
      </c>
      <c r="L1191" s="2">
        <v>710972800</v>
      </c>
      <c r="M1191" s="2">
        <v>17426000000</v>
      </c>
      <c r="N1191" s="2">
        <v>26651000000</v>
      </c>
      <c r="O1191" s="2">
        <v>11317900000</v>
      </c>
      <c r="P1191" s="2">
        <v>88198000000</v>
      </c>
      <c r="Q1191" s="2">
        <v>39542145000</v>
      </c>
      <c r="R1191" s="2">
        <v>50446145000</v>
      </c>
      <c r="S1191" s="2">
        <f t="shared" si="36"/>
        <v>0.1769999999999996</v>
      </c>
      <c r="T1191" s="2">
        <f t="shared" si="37"/>
        <v>73093387700</v>
      </c>
    </row>
    <row r="1192" spans="1:20" x14ac:dyDescent="0.3">
      <c r="A1192" s="1">
        <v>45441</v>
      </c>
      <c r="B1192" t="s">
        <v>926</v>
      </c>
      <c r="C1192" t="s">
        <v>18</v>
      </c>
      <c r="D1192" t="s">
        <v>68</v>
      </c>
      <c r="E1192">
        <v>4.59</v>
      </c>
      <c r="F1192">
        <v>4.6500000000000004</v>
      </c>
      <c r="G1192">
        <v>4.5199999999999996</v>
      </c>
      <c r="H1192">
        <v>2.4300000000000002</v>
      </c>
      <c r="I1192" s="2">
        <v>2612177800</v>
      </c>
      <c r="J1192" s="2">
        <v>106686840000</v>
      </c>
      <c r="K1192" s="2">
        <v>43882727000</v>
      </c>
      <c r="L1192" s="2">
        <v>117335600</v>
      </c>
      <c r="M1192" s="2">
        <v>7077000000</v>
      </c>
      <c r="N1192" s="2">
        <v>13527000000</v>
      </c>
      <c r="O1192" s="2">
        <v>7458975000</v>
      </c>
      <c r="P1192" s="2">
        <v>58899000000</v>
      </c>
      <c r="Q1192" s="2">
        <v>29346752000</v>
      </c>
      <c r="R1192" s="2">
        <v>34260840000</v>
      </c>
      <c r="S1192" s="2">
        <f t="shared" si="36"/>
        <v>0.13000000000000078</v>
      </c>
      <c r="T1192" s="2">
        <f t="shared" si="37"/>
        <v>46612240400</v>
      </c>
    </row>
    <row r="1193" spans="1:20" x14ac:dyDescent="0.3">
      <c r="A1193" s="1">
        <v>45453</v>
      </c>
      <c r="B1193" t="s">
        <v>930</v>
      </c>
      <c r="C1193" t="s">
        <v>18</v>
      </c>
      <c r="D1193" t="s">
        <v>52</v>
      </c>
      <c r="E1193">
        <v>4.59</v>
      </c>
      <c r="F1193">
        <v>4.6589999999999998</v>
      </c>
      <c r="G1193">
        <v>4.5</v>
      </c>
      <c r="H1193">
        <v>2.4300000000000002</v>
      </c>
      <c r="I1193" s="2">
        <v>1876038700</v>
      </c>
      <c r="J1193" s="2">
        <v>140762030000</v>
      </c>
      <c r="K1193" s="2">
        <v>57646532000</v>
      </c>
      <c r="L1193" s="2">
        <v>203488400</v>
      </c>
      <c r="M1193" s="2">
        <v>9166000000</v>
      </c>
      <c r="N1193" s="2">
        <v>17291000000</v>
      </c>
      <c r="O1193" s="2">
        <v>11506705000</v>
      </c>
      <c r="P1193" s="2">
        <v>77870000000</v>
      </c>
      <c r="Q1193" s="2">
        <v>36973827000</v>
      </c>
      <c r="R1193" s="2">
        <v>45601030000</v>
      </c>
      <c r="S1193" s="2">
        <f t="shared" si="36"/>
        <v>0.15899999999999981</v>
      </c>
      <c r="T1193" s="2">
        <f t="shared" si="37"/>
        <v>59726059100</v>
      </c>
    </row>
    <row r="1194" spans="1:20" x14ac:dyDescent="0.3">
      <c r="A1194" s="1">
        <v>45454</v>
      </c>
      <c r="B1194" t="s">
        <v>924</v>
      </c>
      <c r="C1194" t="s">
        <v>18</v>
      </c>
      <c r="D1194" t="s">
        <v>29</v>
      </c>
      <c r="E1194">
        <v>4.3739999999999997</v>
      </c>
      <c r="F1194">
        <v>4.4379999999999997</v>
      </c>
      <c r="G1194">
        <v>4.3410000000000002</v>
      </c>
      <c r="H1194">
        <v>2.67</v>
      </c>
      <c r="I1194" s="2">
        <v>1261474200</v>
      </c>
      <c r="J1194" s="2">
        <v>104030125000</v>
      </c>
      <c r="K1194" s="2">
        <v>38918545500</v>
      </c>
      <c r="L1194" s="2">
        <v>81580800</v>
      </c>
      <c r="M1194" s="2">
        <v>5375000000</v>
      </c>
      <c r="N1194" s="2">
        <v>11748900000</v>
      </c>
      <c r="O1194" s="2">
        <v>4509473000</v>
      </c>
      <c r="P1194" s="2">
        <v>54099200000</v>
      </c>
      <c r="Q1194" s="2">
        <v>29034072500</v>
      </c>
      <c r="R1194" s="2">
        <v>38182025000</v>
      </c>
      <c r="S1194" s="2">
        <f t="shared" si="36"/>
        <v>9.6999999999999531E-2</v>
      </c>
      <c r="T1194" s="2">
        <f t="shared" si="37"/>
        <v>40261600500</v>
      </c>
    </row>
    <row r="1195" spans="1:20" x14ac:dyDescent="0.3">
      <c r="A1195" s="1">
        <v>45456</v>
      </c>
      <c r="B1195" t="s">
        <v>923</v>
      </c>
      <c r="C1195" t="s">
        <v>23</v>
      </c>
      <c r="D1195" t="s">
        <v>72</v>
      </c>
      <c r="E1195">
        <v>4.3499999999999996</v>
      </c>
      <c r="F1195">
        <v>4.4029999999999996</v>
      </c>
      <c r="G1195">
        <v>3.88</v>
      </c>
      <c r="H1195">
        <v>2.4900000000000002</v>
      </c>
      <c r="I1195" s="2">
        <v>711600800</v>
      </c>
      <c r="J1195" s="2">
        <v>54649807200</v>
      </c>
      <c r="K1195" s="2">
        <v>21967151800</v>
      </c>
      <c r="L1195" s="2">
        <v>32854000</v>
      </c>
      <c r="M1195" s="2">
        <v>3910900000</v>
      </c>
      <c r="N1195" s="2">
        <v>7491900000</v>
      </c>
      <c r="O1195" s="2">
        <v>3009118500</v>
      </c>
      <c r="P1195" s="2">
        <v>28535600000</v>
      </c>
      <c r="Q1195" s="2">
        <v>15047133300</v>
      </c>
      <c r="R1195" s="2">
        <v>18622307200</v>
      </c>
      <c r="S1195" s="2">
        <f t="shared" si="36"/>
        <v>0.52299999999999969</v>
      </c>
      <c r="T1195" s="2">
        <f t="shared" si="37"/>
        <v>22711606600</v>
      </c>
    </row>
    <row r="1196" spans="1:20" x14ac:dyDescent="0.3">
      <c r="A1196" s="1">
        <v>45461</v>
      </c>
      <c r="B1196" t="s">
        <v>929</v>
      </c>
      <c r="C1196" t="s">
        <v>23</v>
      </c>
      <c r="D1196" t="s">
        <v>693</v>
      </c>
      <c r="E1196">
        <v>4.3949999999999996</v>
      </c>
      <c r="F1196">
        <v>4.452</v>
      </c>
      <c r="G1196">
        <v>3.88</v>
      </c>
      <c r="H1196">
        <v>2.74</v>
      </c>
      <c r="I1196" s="2">
        <v>452682200</v>
      </c>
      <c r="J1196" s="2">
        <v>35516080000</v>
      </c>
      <c r="K1196" s="2">
        <v>12955002200</v>
      </c>
      <c r="L1196" s="2">
        <v>45003000</v>
      </c>
      <c r="M1196" s="2">
        <v>2117500000</v>
      </c>
      <c r="N1196" s="2">
        <v>5019000000</v>
      </c>
      <c r="O1196" s="2">
        <v>747000000</v>
      </c>
      <c r="P1196" s="2">
        <v>17870000000</v>
      </c>
      <c r="Q1196" s="2">
        <v>10090502200</v>
      </c>
      <c r="R1196" s="2">
        <v>12627080000</v>
      </c>
      <c r="S1196" s="2">
        <f t="shared" si="36"/>
        <v>0.57200000000000006</v>
      </c>
      <c r="T1196" s="2">
        <f t="shared" si="37"/>
        <v>13452687400</v>
      </c>
    </row>
    <row r="1197" spans="1:20" x14ac:dyDescent="0.3">
      <c r="A1197" s="1">
        <v>45468</v>
      </c>
      <c r="B1197" t="s">
        <v>931</v>
      </c>
      <c r="C1197" t="s">
        <v>18</v>
      </c>
      <c r="D1197" t="s">
        <v>21</v>
      </c>
      <c r="E1197">
        <v>4.6580000000000004</v>
      </c>
      <c r="F1197">
        <v>4.7060000000000004</v>
      </c>
      <c r="G1197">
        <v>4.5</v>
      </c>
      <c r="H1197">
        <v>2.75</v>
      </c>
      <c r="I1197" s="2">
        <v>2402698100</v>
      </c>
      <c r="J1197" s="2">
        <v>188859460000</v>
      </c>
      <c r="K1197" s="2">
        <v>68070367100</v>
      </c>
      <c r="L1197" s="2">
        <v>629647400</v>
      </c>
      <c r="M1197" s="2">
        <v>14250437100</v>
      </c>
      <c r="N1197" s="2">
        <v>24232000000</v>
      </c>
      <c r="O1197" s="2">
        <v>9178970000</v>
      </c>
      <c r="P1197" s="2">
        <v>101212000000</v>
      </c>
      <c r="Q1197" s="2">
        <v>44640960000</v>
      </c>
      <c r="R1197" s="2">
        <v>63415460000</v>
      </c>
      <c r="S1197" s="2">
        <f t="shared" si="36"/>
        <v>0.20600000000000041</v>
      </c>
      <c r="T1197" s="2">
        <f t="shared" si="37"/>
        <v>71102712600</v>
      </c>
    </row>
    <row r="1198" spans="1:20" x14ac:dyDescent="0.3">
      <c r="A1198" s="1">
        <v>45469</v>
      </c>
      <c r="B1198" t="s">
        <v>933</v>
      </c>
      <c r="C1198" t="s">
        <v>18</v>
      </c>
      <c r="D1198" t="s">
        <v>19</v>
      </c>
      <c r="E1198">
        <v>4.2709999999999999</v>
      </c>
      <c r="F1198">
        <v>4.3310000000000004</v>
      </c>
      <c r="G1198">
        <v>4.2</v>
      </c>
      <c r="H1198">
        <v>2.35</v>
      </c>
      <c r="I1198" s="2">
        <v>2437519700</v>
      </c>
      <c r="J1198" s="2">
        <v>164565275000</v>
      </c>
      <c r="K1198" s="2">
        <v>69735289700</v>
      </c>
      <c r="L1198" s="2">
        <v>164722000</v>
      </c>
      <c r="M1198" s="2">
        <v>12343250000</v>
      </c>
      <c r="N1198" s="2">
        <v>19769000000</v>
      </c>
      <c r="O1198" s="2">
        <v>9333000000</v>
      </c>
      <c r="P1198" s="2">
        <v>89303000000</v>
      </c>
      <c r="Q1198" s="2">
        <v>48059039700</v>
      </c>
      <c r="R1198" s="2">
        <v>55493275000</v>
      </c>
      <c r="S1198" s="2">
        <f t="shared" si="36"/>
        <v>0.13100000000000023</v>
      </c>
      <c r="T1198" s="2">
        <f t="shared" si="37"/>
        <v>72337531400</v>
      </c>
    </row>
    <row r="1199" spans="1:20" x14ac:dyDescent="0.3">
      <c r="A1199" s="1">
        <v>45470</v>
      </c>
      <c r="B1199" t="s">
        <v>932</v>
      </c>
      <c r="C1199" t="s">
        <v>18</v>
      </c>
      <c r="D1199" t="s">
        <v>68</v>
      </c>
      <c r="E1199">
        <v>4.2190000000000003</v>
      </c>
      <c r="F1199">
        <v>4.2759999999999998</v>
      </c>
      <c r="G1199">
        <v>4.0999999999999996</v>
      </c>
      <c r="H1199">
        <v>2.58</v>
      </c>
      <c r="I1199" s="2">
        <v>1532155200</v>
      </c>
      <c r="J1199" s="2">
        <v>113502710000</v>
      </c>
      <c r="K1199" s="2">
        <v>43926227600</v>
      </c>
      <c r="L1199" s="2">
        <v>73807400</v>
      </c>
      <c r="M1199" s="2">
        <v>8115517600</v>
      </c>
      <c r="N1199" s="2">
        <v>15409000000</v>
      </c>
      <c r="O1199" s="2">
        <v>5215000000</v>
      </c>
      <c r="P1199" s="2">
        <v>60802000000</v>
      </c>
      <c r="Q1199" s="2">
        <v>30595710000</v>
      </c>
      <c r="R1199" s="2">
        <v>37291710000</v>
      </c>
      <c r="S1199" s="2">
        <f t="shared" si="36"/>
        <v>0.17600000000000016</v>
      </c>
      <c r="T1199" s="2">
        <f t="shared" si="37"/>
        <v>45532190200</v>
      </c>
    </row>
    <row r="1200" spans="1:20" x14ac:dyDescent="0.3">
      <c r="A1200" s="1">
        <v>45482</v>
      </c>
      <c r="B1200" t="s">
        <v>934</v>
      </c>
      <c r="C1200" t="s">
        <v>18</v>
      </c>
      <c r="D1200" t="s">
        <v>52</v>
      </c>
      <c r="E1200">
        <v>4.3499999999999996</v>
      </c>
      <c r="F1200">
        <v>4.399</v>
      </c>
      <c r="G1200">
        <v>4.3</v>
      </c>
      <c r="H1200">
        <v>2.67</v>
      </c>
      <c r="I1200" s="2">
        <v>9423495200</v>
      </c>
      <c r="J1200" s="2">
        <v>154185380000</v>
      </c>
      <c r="K1200" s="2">
        <v>57489880000</v>
      </c>
      <c r="L1200" s="2">
        <v>260128600</v>
      </c>
      <c r="M1200" s="2">
        <v>12220717000</v>
      </c>
      <c r="N1200" s="2">
        <v>22148000000</v>
      </c>
      <c r="O1200" s="2">
        <v>8495000000</v>
      </c>
      <c r="P1200" s="2">
        <v>82789000000</v>
      </c>
      <c r="Q1200" s="2">
        <v>36774163000</v>
      </c>
      <c r="R1200" s="2">
        <v>49248380000</v>
      </c>
      <c r="S1200" s="2">
        <f t="shared" si="36"/>
        <v>9.9000000000000199E-2</v>
      </c>
      <c r="T1200" s="2">
        <f t="shared" si="37"/>
        <v>67173503800</v>
      </c>
    </row>
    <row r="1201" spans="1:20" x14ac:dyDescent="0.3">
      <c r="A1201" s="1">
        <v>45483</v>
      </c>
      <c r="B1201" t="s">
        <v>924</v>
      </c>
      <c r="C1201" t="s">
        <v>18</v>
      </c>
      <c r="D1201" t="s">
        <v>59</v>
      </c>
      <c r="E1201">
        <v>4.218</v>
      </c>
      <c r="F1201">
        <v>4.2759999999999998</v>
      </c>
      <c r="G1201">
        <v>4.1769999999999996</v>
      </c>
      <c r="H1201">
        <v>2.58</v>
      </c>
      <c r="I1201" s="2">
        <v>6336488000</v>
      </c>
      <c r="J1201" s="2">
        <v>100357965000</v>
      </c>
      <c r="K1201" s="2">
        <v>38932816800</v>
      </c>
      <c r="L1201" s="2">
        <v>67262400</v>
      </c>
      <c r="M1201" s="2">
        <v>8122643400</v>
      </c>
      <c r="N1201" s="2">
        <v>14595000000</v>
      </c>
      <c r="O1201" s="2">
        <v>4489600000</v>
      </c>
      <c r="P1201" s="2">
        <v>53149600000</v>
      </c>
      <c r="Q1201" s="2">
        <v>26320573400</v>
      </c>
      <c r="R1201" s="2">
        <v>32613365000</v>
      </c>
      <c r="S1201" s="2">
        <f t="shared" si="36"/>
        <v>9.9000000000000199E-2</v>
      </c>
      <c r="T1201" s="2">
        <f t="shared" si="37"/>
        <v>45336567200</v>
      </c>
    </row>
    <row r="1202" spans="1:20" x14ac:dyDescent="0.3">
      <c r="A1202" s="1">
        <v>45484</v>
      </c>
      <c r="B1202" t="s">
        <v>923</v>
      </c>
      <c r="C1202" t="s">
        <v>23</v>
      </c>
      <c r="D1202" t="s">
        <v>91</v>
      </c>
      <c r="E1202">
        <v>4.327</v>
      </c>
      <c r="F1202">
        <v>4.4050000000000002</v>
      </c>
      <c r="G1202">
        <v>4.25</v>
      </c>
      <c r="H1202">
        <v>2.2999999999999998</v>
      </c>
      <c r="I1202" s="2">
        <v>3574429100</v>
      </c>
      <c r="J1202" s="2">
        <v>50550710000</v>
      </c>
      <c r="K1202" s="2">
        <v>21966950000</v>
      </c>
      <c r="L1202" s="2">
        <v>33053700</v>
      </c>
      <c r="M1202" s="2">
        <v>5132500000</v>
      </c>
      <c r="N1202" s="2">
        <v>8402500000</v>
      </c>
      <c r="O1202" s="2">
        <v>3487264000</v>
      </c>
      <c r="P1202" s="2">
        <v>27524000000</v>
      </c>
      <c r="Q1202" s="2">
        <v>13347186000</v>
      </c>
      <c r="R1202" s="2">
        <v>14624210000</v>
      </c>
      <c r="S1202" s="2">
        <f t="shared" si="36"/>
        <v>0.15500000000000025</v>
      </c>
      <c r="T1202" s="2">
        <f t="shared" si="37"/>
        <v>25574432800</v>
      </c>
    </row>
    <row r="1203" spans="1:20" x14ac:dyDescent="0.3">
      <c r="A1203" s="1">
        <v>45490</v>
      </c>
      <c r="B1203" t="s">
        <v>929</v>
      </c>
      <c r="C1203" t="s">
        <v>23</v>
      </c>
      <c r="D1203" t="s">
        <v>698</v>
      </c>
      <c r="E1203">
        <v>4.4059999999999997</v>
      </c>
      <c r="F1203">
        <v>4.4660000000000002</v>
      </c>
      <c r="G1203">
        <v>3.88</v>
      </c>
      <c r="H1203">
        <v>2.68</v>
      </c>
      <c r="I1203" s="2">
        <v>716779200</v>
      </c>
      <c r="J1203" s="2">
        <v>34850660000</v>
      </c>
      <c r="K1203" s="2">
        <v>12951445600</v>
      </c>
      <c r="L1203" s="2">
        <v>48564300</v>
      </c>
      <c r="M1203" s="2">
        <v>1855000000</v>
      </c>
      <c r="N1203" s="2">
        <v>3880000000</v>
      </c>
      <c r="O1203" s="2">
        <v>1097560000</v>
      </c>
      <c r="P1203" s="2">
        <v>18610000000</v>
      </c>
      <c r="Q1203" s="2">
        <v>9998885600</v>
      </c>
      <c r="R1203" s="2">
        <v>12360660000</v>
      </c>
      <c r="S1203" s="2">
        <f t="shared" si="36"/>
        <v>0.5860000000000003</v>
      </c>
      <c r="T1203" s="2">
        <f t="shared" si="37"/>
        <v>13716789100</v>
      </c>
    </row>
    <row r="1204" spans="1:20" x14ac:dyDescent="0.3">
      <c r="A1204" s="1">
        <v>45496</v>
      </c>
      <c r="B1204" t="s">
        <v>937</v>
      </c>
      <c r="C1204" t="s">
        <v>18</v>
      </c>
      <c r="D1204" t="s">
        <v>21</v>
      </c>
      <c r="E1204">
        <v>4.3929999999999998</v>
      </c>
      <c r="F1204">
        <v>4.4340000000000002</v>
      </c>
      <c r="G1204">
        <v>4</v>
      </c>
      <c r="H1204">
        <v>2.81</v>
      </c>
      <c r="I1204" s="2">
        <v>3804443800</v>
      </c>
      <c r="J1204" s="2">
        <v>193383375000</v>
      </c>
      <c r="K1204" s="2">
        <v>68226981000</v>
      </c>
      <c r="L1204" s="2">
        <v>673101300</v>
      </c>
      <c r="M1204" s="2">
        <v>9838656000</v>
      </c>
      <c r="N1204" s="2">
        <v>23356000000</v>
      </c>
      <c r="O1204" s="2">
        <v>6149000000</v>
      </c>
      <c r="P1204" s="2">
        <v>95025000000</v>
      </c>
      <c r="Q1204" s="2">
        <v>52239325000</v>
      </c>
      <c r="R1204" s="2">
        <v>75002375000</v>
      </c>
      <c r="S1204" s="2">
        <f t="shared" si="36"/>
        <v>0.43400000000000016</v>
      </c>
      <c r="T1204" s="2">
        <f t="shared" si="37"/>
        <v>72704526100</v>
      </c>
    </row>
    <row r="1205" spans="1:20" x14ac:dyDescent="0.3">
      <c r="A1205" s="1">
        <v>45497</v>
      </c>
      <c r="B1205" t="s">
        <v>935</v>
      </c>
      <c r="C1205" t="s">
        <v>18</v>
      </c>
      <c r="D1205" t="s">
        <v>19</v>
      </c>
      <c r="E1205">
        <v>4.05</v>
      </c>
      <c r="F1205">
        <v>4.1210000000000004</v>
      </c>
      <c r="G1205">
        <v>3.98</v>
      </c>
      <c r="H1205">
        <v>2.4</v>
      </c>
      <c r="I1205" s="2">
        <v>3859580700</v>
      </c>
      <c r="J1205" s="2">
        <v>167766191000</v>
      </c>
      <c r="K1205" s="2">
        <v>69796241000</v>
      </c>
      <c r="L1205" s="2">
        <v>199781000</v>
      </c>
      <c r="M1205" s="2">
        <v>13108280000</v>
      </c>
      <c r="N1205" s="2">
        <v>22667000000</v>
      </c>
      <c r="O1205" s="2">
        <v>9750770000</v>
      </c>
      <c r="P1205" s="2">
        <v>89151000000</v>
      </c>
      <c r="Q1205" s="2">
        <v>46937191000</v>
      </c>
      <c r="R1205" s="2">
        <v>55948191000</v>
      </c>
      <c r="S1205" s="2">
        <f t="shared" si="36"/>
        <v>0.14100000000000046</v>
      </c>
      <c r="T1205" s="2">
        <f t="shared" si="37"/>
        <v>73855602700</v>
      </c>
    </row>
    <row r="1206" spans="1:20" x14ac:dyDescent="0.3">
      <c r="A1206" s="1">
        <v>45498</v>
      </c>
      <c r="B1206" t="s">
        <v>936</v>
      </c>
      <c r="C1206" t="s">
        <v>18</v>
      </c>
      <c r="D1206" t="s">
        <v>68</v>
      </c>
      <c r="E1206">
        <v>4.1109999999999998</v>
      </c>
      <c r="F1206">
        <v>4.1619999999999999</v>
      </c>
      <c r="G1206">
        <v>4.04</v>
      </c>
      <c r="H1206">
        <v>2.64</v>
      </c>
      <c r="I1206" s="2">
        <v>2426022000</v>
      </c>
      <c r="J1206" s="2">
        <v>115963095000</v>
      </c>
      <c r="K1206" s="2">
        <v>43919495000</v>
      </c>
      <c r="L1206" s="2">
        <v>80597700</v>
      </c>
      <c r="M1206" s="2">
        <v>7359000000</v>
      </c>
      <c r="N1206" s="2">
        <v>15467500000</v>
      </c>
      <c r="O1206" s="2">
        <v>3895000000</v>
      </c>
      <c r="P1206" s="2">
        <v>59824000000</v>
      </c>
      <c r="Q1206" s="2">
        <v>32665495000</v>
      </c>
      <c r="R1206" s="2">
        <v>40671595000</v>
      </c>
      <c r="S1206" s="2">
        <f t="shared" si="36"/>
        <v>0.12199999999999989</v>
      </c>
      <c r="T1206" s="2">
        <f t="shared" si="37"/>
        <v>46426114700</v>
      </c>
    </row>
    <row r="1207" spans="1:20" x14ac:dyDescent="0.3">
      <c r="A1207" s="1">
        <v>45510</v>
      </c>
      <c r="B1207" t="s">
        <v>939</v>
      </c>
      <c r="C1207" t="s">
        <v>18</v>
      </c>
      <c r="D1207" t="s">
        <v>52</v>
      </c>
      <c r="E1207">
        <v>3.75</v>
      </c>
      <c r="F1207">
        <v>3.81</v>
      </c>
      <c r="G1207">
        <v>2.88</v>
      </c>
      <c r="H1207">
        <v>2.5499999999999998</v>
      </c>
      <c r="I1207" s="2">
        <v>11030168500</v>
      </c>
      <c r="J1207" s="2">
        <v>147718145000</v>
      </c>
      <c r="K1207" s="2">
        <v>57745565000</v>
      </c>
      <c r="L1207" s="2">
        <v>254449200</v>
      </c>
      <c r="M1207" s="2">
        <v>11696120000</v>
      </c>
      <c r="N1207" s="2">
        <v>20279000000</v>
      </c>
      <c r="O1207" s="2">
        <v>8866300000</v>
      </c>
      <c r="P1207" s="2">
        <v>82526000000</v>
      </c>
      <c r="Q1207" s="2">
        <v>37183145000</v>
      </c>
      <c r="R1207" s="2">
        <v>44913145000</v>
      </c>
      <c r="S1207" s="2">
        <f t="shared" si="36"/>
        <v>0.93000000000000016</v>
      </c>
      <c r="T1207" s="2">
        <f t="shared" si="37"/>
        <v>69030182700</v>
      </c>
    </row>
    <row r="1208" spans="1:20" x14ac:dyDescent="0.3">
      <c r="A1208" s="1">
        <v>45511</v>
      </c>
      <c r="B1208" t="s">
        <v>940</v>
      </c>
      <c r="C1208" t="s">
        <v>18</v>
      </c>
      <c r="D1208" t="s">
        <v>26</v>
      </c>
      <c r="E1208">
        <v>3.8879999999999999</v>
      </c>
      <c r="F1208">
        <v>3.96</v>
      </c>
      <c r="G1208">
        <v>3.6</v>
      </c>
      <c r="H1208">
        <v>2.3199999999999998</v>
      </c>
      <c r="I1208" s="2">
        <v>7987363300</v>
      </c>
      <c r="J1208" s="2">
        <v>97178090000</v>
      </c>
      <c r="K1208" s="2">
        <v>41874806900</v>
      </c>
      <c r="L1208" s="2">
        <v>125246000</v>
      </c>
      <c r="M1208" s="2">
        <v>6680000000</v>
      </c>
      <c r="N1208" s="2">
        <v>12305000000</v>
      </c>
      <c r="O1208" s="2">
        <v>7486140000</v>
      </c>
      <c r="P1208" s="2">
        <v>54904700000</v>
      </c>
      <c r="Q1208" s="2">
        <v>27708666900</v>
      </c>
      <c r="R1208" s="2">
        <v>29968390000</v>
      </c>
      <c r="S1208" s="2">
        <f t="shared" si="36"/>
        <v>0.35999999999999988</v>
      </c>
      <c r="T1208" s="2">
        <f t="shared" si="37"/>
        <v>49987416200</v>
      </c>
    </row>
    <row r="1209" spans="1:20" x14ac:dyDescent="0.3">
      <c r="A1209" s="1">
        <v>45512</v>
      </c>
      <c r="B1209" t="s">
        <v>938</v>
      </c>
      <c r="C1209" t="s">
        <v>23</v>
      </c>
      <c r="D1209" t="s">
        <v>65</v>
      </c>
      <c r="E1209">
        <v>4.2249999999999996</v>
      </c>
      <c r="F1209">
        <v>4.3140000000000001</v>
      </c>
      <c r="G1209">
        <v>3.88</v>
      </c>
      <c r="H1209">
        <v>2.31</v>
      </c>
      <c r="I1209" s="2">
        <v>4754382900</v>
      </c>
      <c r="J1209" s="2">
        <v>57566824000</v>
      </c>
      <c r="K1209" s="2">
        <v>24941455500</v>
      </c>
      <c r="L1209" s="2">
        <v>58574600</v>
      </c>
      <c r="M1209" s="2">
        <v>3865900000</v>
      </c>
      <c r="N1209" s="2">
        <v>7495900000</v>
      </c>
      <c r="O1209" s="2">
        <v>4784470000</v>
      </c>
      <c r="P1209" s="2">
        <v>32199000000</v>
      </c>
      <c r="Q1209" s="2">
        <v>16291085500</v>
      </c>
      <c r="R1209" s="2">
        <v>17871924000</v>
      </c>
      <c r="S1209" s="2">
        <f t="shared" si="36"/>
        <v>0.43400000000000016</v>
      </c>
      <c r="T1209" s="2">
        <f t="shared" si="37"/>
        <v>29754413000</v>
      </c>
    </row>
    <row r="1210" spans="1:20" x14ac:dyDescent="0.3">
      <c r="A1210" s="1">
        <v>45525</v>
      </c>
      <c r="B1210" t="s">
        <v>944</v>
      </c>
      <c r="C1210" t="s">
        <v>23</v>
      </c>
      <c r="D1210" t="s">
        <v>688</v>
      </c>
      <c r="E1210">
        <v>4.0949999999999998</v>
      </c>
      <c r="F1210">
        <v>4.16</v>
      </c>
      <c r="G1210">
        <v>2.8879999999999999</v>
      </c>
      <c r="H1210">
        <v>2.54</v>
      </c>
      <c r="I1210" s="2">
        <v>1272233600</v>
      </c>
      <c r="J1210" s="2">
        <v>40599792000</v>
      </c>
      <c r="K1210" s="2">
        <v>15914882500</v>
      </c>
      <c r="L1210" s="2">
        <v>85124900</v>
      </c>
      <c r="M1210" s="2">
        <v>3067000000</v>
      </c>
      <c r="N1210" s="2">
        <v>5597000000</v>
      </c>
      <c r="O1210" s="2">
        <v>1547625300</v>
      </c>
      <c r="P1210" s="2">
        <v>21614000000</v>
      </c>
      <c r="Q1210" s="2">
        <v>11300257200</v>
      </c>
      <c r="R1210" s="2">
        <v>13388792000</v>
      </c>
      <c r="S1210" s="2">
        <f t="shared" si="36"/>
        <v>1.2720000000000002</v>
      </c>
      <c r="T1210" s="2">
        <f t="shared" si="37"/>
        <v>17272241000</v>
      </c>
    </row>
    <row r="1211" spans="1:20" x14ac:dyDescent="0.3">
      <c r="A1211" s="1">
        <v>45531</v>
      </c>
      <c r="B1211" t="s">
        <v>943</v>
      </c>
      <c r="C1211" t="s">
        <v>18</v>
      </c>
      <c r="D1211" t="s">
        <v>21</v>
      </c>
      <c r="E1211">
        <v>3.83</v>
      </c>
      <c r="F1211">
        <v>3.8740000000000001</v>
      </c>
      <c r="G1211">
        <v>3.5</v>
      </c>
      <c r="H1211">
        <v>2.68</v>
      </c>
      <c r="I1211" s="2">
        <v>5486507400</v>
      </c>
      <c r="J1211" s="2">
        <v>183910782000</v>
      </c>
      <c r="K1211" s="2">
        <v>68120579300</v>
      </c>
      <c r="L1211" s="2">
        <v>624429400</v>
      </c>
      <c r="M1211" s="2">
        <v>13016500000</v>
      </c>
      <c r="N1211" s="2">
        <v>23263000000</v>
      </c>
      <c r="O1211" s="2">
        <v>8129000000</v>
      </c>
      <c r="P1211" s="2">
        <v>94522000000</v>
      </c>
      <c r="Q1211" s="2">
        <v>46975079300</v>
      </c>
      <c r="R1211" s="2">
        <v>66125782000</v>
      </c>
      <c r="S1211" s="2">
        <f t="shared" si="36"/>
        <v>0.37400000000000011</v>
      </c>
      <c r="T1211" s="2">
        <f t="shared" si="37"/>
        <v>74231516100</v>
      </c>
    </row>
    <row r="1212" spans="1:20" x14ac:dyDescent="0.3">
      <c r="A1212" s="1">
        <v>45532</v>
      </c>
      <c r="B1212" t="s">
        <v>942</v>
      </c>
      <c r="C1212" t="s">
        <v>18</v>
      </c>
      <c r="D1212" t="s">
        <v>19</v>
      </c>
      <c r="E1212">
        <v>3.59</v>
      </c>
      <c r="F1212">
        <v>3.645</v>
      </c>
      <c r="G1212">
        <v>2.6179999999999999</v>
      </c>
      <c r="H1212">
        <v>2.41</v>
      </c>
      <c r="I1212" s="2">
        <v>5566022000</v>
      </c>
      <c r="J1212" s="2">
        <v>168501125000</v>
      </c>
      <c r="K1212" s="2">
        <v>69728450200</v>
      </c>
      <c r="L1212" s="2">
        <v>166608400</v>
      </c>
      <c r="M1212" s="2">
        <v>11356213700</v>
      </c>
      <c r="N1212" s="2">
        <v>21145000000</v>
      </c>
      <c r="O1212" s="2">
        <v>9184900000</v>
      </c>
      <c r="P1212" s="2">
        <v>89672000000</v>
      </c>
      <c r="Q1212" s="2">
        <v>49187336500</v>
      </c>
      <c r="R1212" s="2">
        <v>57684125000</v>
      </c>
      <c r="S1212" s="2">
        <f t="shared" si="36"/>
        <v>1.0270000000000001</v>
      </c>
      <c r="T1212" s="2">
        <f t="shared" si="37"/>
        <v>75461080600</v>
      </c>
    </row>
    <row r="1213" spans="1:20" x14ac:dyDescent="0.3">
      <c r="A1213" s="1">
        <v>45533</v>
      </c>
      <c r="B1213" t="s">
        <v>941</v>
      </c>
      <c r="C1213" t="s">
        <v>18</v>
      </c>
      <c r="D1213" t="s">
        <v>68</v>
      </c>
      <c r="E1213">
        <v>3.71</v>
      </c>
      <c r="F1213">
        <v>3.77</v>
      </c>
      <c r="G1213">
        <v>3.65</v>
      </c>
      <c r="H1213">
        <v>2.5</v>
      </c>
      <c r="I1213" s="2">
        <v>3498642400</v>
      </c>
      <c r="J1213" s="2">
        <v>109823735000</v>
      </c>
      <c r="K1213" s="2">
        <v>43819369000</v>
      </c>
      <c r="L1213" s="2">
        <v>80666300</v>
      </c>
      <c r="M1213" s="2">
        <v>4903085000</v>
      </c>
      <c r="N1213" s="2">
        <v>11000400000</v>
      </c>
      <c r="O1213" s="2">
        <v>6012587500</v>
      </c>
      <c r="P1213" s="2">
        <v>59563000000</v>
      </c>
      <c r="Q1213" s="2">
        <v>32903696500</v>
      </c>
      <c r="R1213" s="2">
        <v>39260335000</v>
      </c>
      <c r="S1213" s="2">
        <f t="shared" si="36"/>
        <v>0.12000000000000011</v>
      </c>
      <c r="T1213" s="2">
        <f t="shared" si="37"/>
        <v>47398677700</v>
      </c>
    </row>
    <row r="1214" spans="1:20" x14ac:dyDescent="0.3">
      <c r="A1214" s="1">
        <v>45545</v>
      </c>
      <c r="B1214" t="s">
        <v>945</v>
      </c>
      <c r="C1214" t="s">
        <v>18</v>
      </c>
      <c r="D1214" t="s">
        <v>52</v>
      </c>
      <c r="E1214">
        <v>3.403</v>
      </c>
      <c r="F1214">
        <v>3.44</v>
      </c>
      <c r="G1214">
        <v>2.88</v>
      </c>
      <c r="H1214">
        <v>2.66</v>
      </c>
      <c r="I1214" s="2">
        <v>554238500</v>
      </c>
      <c r="J1214" s="2">
        <v>154123830000</v>
      </c>
      <c r="K1214" s="2">
        <v>57711214500</v>
      </c>
      <c r="L1214" s="2">
        <v>188964200</v>
      </c>
      <c r="M1214" s="2">
        <v>6524000000</v>
      </c>
      <c r="N1214" s="2">
        <v>16953000000</v>
      </c>
      <c r="O1214" s="2">
        <v>6031675000</v>
      </c>
      <c r="P1214" s="2">
        <v>78635500000</v>
      </c>
      <c r="Q1214" s="2">
        <v>45155539500</v>
      </c>
      <c r="R1214" s="2">
        <v>58535330000</v>
      </c>
      <c r="S1214" s="2">
        <f t="shared" si="36"/>
        <v>0.56000000000000005</v>
      </c>
      <c r="T1214" s="2">
        <f t="shared" si="37"/>
        <v>58454417200</v>
      </c>
    </row>
    <row r="1215" spans="1:20" x14ac:dyDescent="0.3">
      <c r="A1215" s="1">
        <v>45546</v>
      </c>
      <c r="B1215" t="s">
        <v>940</v>
      </c>
      <c r="C1215" t="s">
        <v>18</v>
      </c>
      <c r="D1215" t="s">
        <v>29</v>
      </c>
      <c r="E1215">
        <v>3.605</v>
      </c>
      <c r="F1215">
        <v>3.6480000000000001</v>
      </c>
      <c r="G1215">
        <v>3.45</v>
      </c>
      <c r="H1215">
        <v>2.64</v>
      </c>
      <c r="I1215" s="2">
        <v>372677600</v>
      </c>
      <c r="J1215" s="2">
        <v>102759315000</v>
      </c>
      <c r="K1215" s="2">
        <v>38933491900</v>
      </c>
      <c r="L1215" s="2">
        <v>66510000</v>
      </c>
      <c r="M1215" s="2">
        <v>5337000000</v>
      </c>
      <c r="N1215" s="2">
        <v>12045000000</v>
      </c>
      <c r="O1215" s="2">
        <v>3988772000</v>
      </c>
      <c r="P1215" s="2">
        <v>54784000000</v>
      </c>
      <c r="Q1215" s="2">
        <v>29607719900</v>
      </c>
      <c r="R1215" s="2">
        <v>35930315000</v>
      </c>
      <c r="S1215" s="2">
        <f t="shared" si="36"/>
        <v>0.19799999999999995</v>
      </c>
      <c r="T1215" s="2">
        <f t="shared" si="37"/>
        <v>39372679500</v>
      </c>
    </row>
    <row r="1216" spans="1:20" x14ac:dyDescent="0.3">
      <c r="A1216" s="1">
        <v>45547</v>
      </c>
      <c r="B1216" t="s">
        <v>938</v>
      </c>
      <c r="C1216" t="s">
        <v>23</v>
      </c>
      <c r="D1216" t="s">
        <v>72</v>
      </c>
      <c r="E1216">
        <v>3.95</v>
      </c>
      <c r="F1216">
        <v>4.0149999999999997</v>
      </c>
      <c r="G1216">
        <v>3.88</v>
      </c>
      <c r="H1216">
        <v>2.38</v>
      </c>
      <c r="I1216" s="2">
        <v>210228400</v>
      </c>
      <c r="J1216" s="2">
        <v>52236765000</v>
      </c>
      <c r="K1216" s="2">
        <v>21968992200</v>
      </c>
      <c r="L1216" s="2">
        <v>31017300</v>
      </c>
      <c r="M1216" s="2">
        <v>3439700000</v>
      </c>
      <c r="N1216" s="2">
        <v>6654700000</v>
      </c>
      <c r="O1216" s="2">
        <v>3440060800</v>
      </c>
      <c r="P1216" s="2">
        <v>28880600000</v>
      </c>
      <c r="Q1216" s="2">
        <v>15089231400</v>
      </c>
      <c r="R1216" s="2">
        <v>16701465000</v>
      </c>
      <c r="S1216" s="2">
        <f t="shared" si="36"/>
        <v>0.13499999999999979</v>
      </c>
      <c r="T1216" s="2">
        <f t="shared" si="37"/>
        <v>22210237900</v>
      </c>
    </row>
    <row r="1217" spans="1:20" x14ac:dyDescent="0.3">
      <c r="A1217" s="1">
        <v>45552</v>
      </c>
      <c r="B1217" t="s">
        <v>944</v>
      </c>
      <c r="C1217" t="s">
        <v>23</v>
      </c>
      <c r="D1217" t="s">
        <v>693</v>
      </c>
      <c r="E1217">
        <v>3.97</v>
      </c>
      <c r="F1217">
        <v>4.0389999999999997</v>
      </c>
      <c r="G1217">
        <v>2.88</v>
      </c>
      <c r="H1217">
        <v>2.5099999999999998</v>
      </c>
      <c r="I1217" s="2">
        <v>268365300</v>
      </c>
      <c r="J1217" s="2">
        <v>32620914000</v>
      </c>
      <c r="K1217" s="2">
        <v>12953251800</v>
      </c>
      <c r="L1217" s="2">
        <v>46777100</v>
      </c>
      <c r="M1217" s="2">
        <v>2109000000</v>
      </c>
      <c r="N1217" s="2">
        <v>4059000000</v>
      </c>
      <c r="O1217" s="2">
        <v>2412422800</v>
      </c>
      <c r="P1217" s="2">
        <v>18327000000</v>
      </c>
      <c r="Q1217" s="2">
        <v>8431829000</v>
      </c>
      <c r="R1217" s="2">
        <v>10234914000</v>
      </c>
      <c r="S1217" s="2">
        <f t="shared" si="36"/>
        <v>1.1589999999999998</v>
      </c>
      <c r="T1217" s="2">
        <f t="shared" si="37"/>
        <v>13268394200</v>
      </c>
    </row>
    <row r="1218" spans="1:20" x14ac:dyDescent="0.3">
      <c r="A1218" s="1">
        <v>45559</v>
      </c>
      <c r="B1218" t="s">
        <v>948</v>
      </c>
      <c r="C1218" t="s">
        <v>18</v>
      </c>
      <c r="D1218" t="s">
        <v>21</v>
      </c>
      <c r="E1218">
        <v>3.47</v>
      </c>
      <c r="F1218">
        <v>3.52</v>
      </c>
      <c r="G1218">
        <v>3.4</v>
      </c>
      <c r="H1218">
        <v>2.59</v>
      </c>
      <c r="I1218" s="2">
        <v>1424401000</v>
      </c>
      <c r="J1218" s="2">
        <v>177843970000</v>
      </c>
      <c r="K1218" s="2">
        <v>68280226100</v>
      </c>
      <c r="L1218" s="2">
        <v>365020200</v>
      </c>
      <c r="M1218" s="2">
        <v>13393939700</v>
      </c>
      <c r="N1218" s="2">
        <v>22711000000</v>
      </c>
      <c r="O1218" s="2">
        <v>8735885000</v>
      </c>
      <c r="P1218" s="2">
        <v>91130000000</v>
      </c>
      <c r="Q1218" s="2">
        <v>46150401400</v>
      </c>
      <c r="R1218" s="2">
        <v>64002970000</v>
      </c>
      <c r="S1218" s="2">
        <f t="shared" ref="S1218:S1281" si="38">SUM($F1218,-$G1218)</f>
        <v>0.12000000000000011</v>
      </c>
      <c r="T1218" s="2">
        <f t="shared" ref="T1218:T1281" si="39">SUM(I1218,K1218,L1218)</f>
        <v>70069647300</v>
      </c>
    </row>
    <row r="1219" spans="1:20" x14ac:dyDescent="0.3">
      <c r="A1219" s="1">
        <v>45560</v>
      </c>
      <c r="B1219" t="s">
        <v>947</v>
      </c>
      <c r="C1219" t="s">
        <v>18</v>
      </c>
      <c r="D1219" t="s">
        <v>19</v>
      </c>
      <c r="E1219">
        <v>3.4630000000000001</v>
      </c>
      <c r="F1219">
        <v>3.5190000000000001</v>
      </c>
      <c r="G1219">
        <v>3.4079999999999999</v>
      </c>
      <c r="H1219">
        <v>2.38</v>
      </c>
      <c r="I1219" s="2">
        <v>1445044500</v>
      </c>
      <c r="J1219" s="2">
        <v>166733140000</v>
      </c>
      <c r="K1219" s="2">
        <v>69794407700</v>
      </c>
      <c r="L1219" s="2">
        <v>100702100</v>
      </c>
      <c r="M1219" s="2">
        <v>12723837700</v>
      </c>
      <c r="N1219" s="2">
        <v>22716000000</v>
      </c>
      <c r="O1219" s="2">
        <v>7997870000</v>
      </c>
      <c r="P1219" s="2">
        <v>88030000000</v>
      </c>
      <c r="Q1219" s="2">
        <v>49072700000</v>
      </c>
      <c r="R1219" s="2">
        <v>55987140000</v>
      </c>
      <c r="S1219" s="2">
        <f t="shared" si="38"/>
        <v>0.11100000000000021</v>
      </c>
      <c r="T1219" s="2">
        <f t="shared" si="39"/>
        <v>71340154300</v>
      </c>
    </row>
    <row r="1220" spans="1:20" x14ac:dyDescent="0.3">
      <c r="A1220" s="1">
        <v>45561</v>
      </c>
      <c r="B1220" t="s">
        <v>946</v>
      </c>
      <c r="C1220" t="s">
        <v>18</v>
      </c>
      <c r="D1220" t="s">
        <v>68</v>
      </c>
      <c r="E1220">
        <v>3.6080000000000001</v>
      </c>
      <c r="F1220">
        <v>3.6680000000000001</v>
      </c>
      <c r="G1220">
        <v>3.5</v>
      </c>
      <c r="H1220">
        <v>2.63</v>
      </c>
      <c r="I1220" s="2">
        <v>908313700</v>
      </c>
      <c r="J1220" s="2">
        <v>115491565000</v>
      </c>
      <c r="K1220" s="2">
        <v>43841525000</v>
      </c>
      <c r="L1220" s="2">
        <v>58475300</v>
      </c>
      <c r="M1220" s="2">
        <v>8880300000</v>
      </c>
      <c r="N1220" s="2">
        <v>16247300000</v>
      </c>
      <c r="O1220" s="2">
        <v>3921320000</v>
      </c>
      <c r="P1220" s="2">
        <v>59656000000</v>
      </c>
      <c r="Q1220" s="2">
        <v>31039905000</v>
      </c>
      <c r="R1220" s="2">
        <v>39588265000</v>
      </c>
      <c r="S1220" s="2">
        <f t="shared" si="38"/>
        <v>0.16800000000000015</v>
      </c>
      <c r="T1220" s="2">
        <f t="shared" si="39"/>
        <v>44808314000</v>
      </c>
    </row>
    <row r="1221" spans="1:20" x14ac:dyDescent="0.3">
      <c r="A1221" s="1">
        <v>45573</v>
      </c>
      <c r="B1221" t="s">
        <v>949</v>
      </c>
      <c r="C1221" t="s">
        <v>18</v>
      </c>
      <c r="D1221" t="s">
        <v>52</v>
      </c>
      <c r="E1221">
        <v>3.82</v>
      </c>
      <c r="F1221">
        <v>3.8780000000000001</v>
      </c>
      <c r="G1221">
        <v>3.7</v>
      </c>
      <c r="H1221">
        <v>2.4500000000000002</v>
      </c>
      <c r="I1221" s="2">
        <v>796035000</v>
      </c>
      <c r="J1221" s="2">
        <v>142028100000</v>
      </c>
      <c r="K1221" s="2">
        <v>57802343200</v>
      </c>
      <c r="L1221" s="2">
        <v>192713200</v>
      </c>
      <c r="M1221" s="2">
        <v>13852695000</v>
      </c>
      <c r="N1221" s="2">
        <v>21959000000</v>
      </c>
      <c r="O1221" s="2">
        <v>11080102500</v>
      </c>
      <c r="P1221" s="2">
        <v>79495000000</v>
      </c>
      <c r="Q1221" s="2">
        <v>32869545700</v>
      </c>
      <c r="R1221" s="2">
        <v>40574100000</v>
      </c>
      <c r="S1221" s="2">
        <f t="shared" si="38"/>
        <v>0.17799999999999994</v>
      </c>
      <c r="T1221" s="2">
        <f t="shared" si="39"/>
        <v>58791091400</v>
      </c>
    </row>
    <row r="1222" spans="1:20" x14ac:dyDescent="0.3">
      <c r="A1222" s="1">
        <v>45574</v>
      </c>
      <c r="B1222" t="s">
        <v>940</v>
      </c>
      <c r="C1222" t="s">
        <v>18</v>
      </c>
      <c r="D1222" t="s">
        <v>59</v>
      </c>
      <c r="E1222">
        <v>4.008</v>
      </c>
      <c r="F1222">
        <v>4.0659999999999998</v>
      </c>
      <c r="G1222">
        <v>2.88</v>
      </c>
      <c r="H1222">
        <v>2.48</v>
      </c>
      <c r="I1222" s="2">
        <v>535264800</v>
      </c>
      <c r="J1222" s="2">
        <v>96702265000</v>
      </c>
      <c r="K1222" s="2">
        <v>38928454500</v>
      </c>
      <c r="L1222" s="2">
        <v>71548000</v>
      </c>
      <c r="M1222" s="2">
        <v>3285500000</v>
      </c>
      <c r="N1222" s="2">
        <v>9197000000</v>
      </c>
      <c r="O1222" s="2">
        <v>5421000000</v>
      </c>
      <c r="P1222" s="2">
        <v>52929000000</v>
      </c>
      <c r="Q1222" s="2">
        <v>30221954500</v>
      </c>
      <c r="R1222" s="2">
        <v>34576265000</v>
      </c>
      <c r="S1222" s="2">
        <f t="shared" si="38"/>
        <v>1.1859999999999999</v>
      </c>
      <c r="T1222" s="2">
        <f t="shared" si="39"/>
        <v>39535267300</v>
      </c>
    </row>
    <row r="1223" spans="1:20" x14ac:dyDescent="0.3">
      <c r="A1223" s="1">
        <v>45575</v>
      </c>
      <c r="B1223" t="s">
        <v>938</v>
      </c>
      <c r="C1223" t="s">
        <v>23</v>
      </c>
      <c r="D1223" t="s">
        <v>91</v>
      </c>
      <c r="E1223">
        <v>4.32</v>
      </c>
      <c r="F1223">
        <v>4.3890000000000002</v>
      </c>
      <c r="G1223">
        <v>2.88</v>
      </c>
      <c r="H1223">
        <v>2.5</v>
      </c>
      <c r="I1223" s="2">
        <v>301944200</v>
      </c>
      <c r="J1223" s="2">
        <v>54873730000</v>
      </c>
      <c r="K1223" s="2">
        <v>21973803500</v>
      </c>
      <c r="L1223" s="2">
        <v>26200500</v>
      </c>
      <c r="M1223" s="2">
        <v>1619100000</v>
      </c>
      <c r="N1223" s="2">
        <v>5780100000</v>
      </c>
      <c r="O1223" s="2">
        <v>2671673500</v>
      </c>
      <c r="P1223" s="2">
        <v>28021000000</v>
      </c>
      <c r="Q1223" s="2">
        <v>17683030000</v>
      </c>
      <c r="R1223" s="2">
        <v>21072630000</v>
      </c>
      <c r="S1223" s="2">
        <f t="shared" si="38"/>
        <v>1.5090000000000003</v>
      </c>
      <c r="T1223" s="2">
        <f t="shared" si="39"/>
        <v>22301948200</v>
      </c>
    </row>
    <row r="1224" spans="1:20" x14ac:dyDescent="0.3">
      <c r="A1224" s="1">
        <v>45588</v>
      </c>
      <c r="B1224" t="s">
        <v>944</v>
      </c>
      <c r="C1224" t="s">
        <v>23</v>
      </c>
      <c r="D1224" t="s">
        <v>698</v>
      </c>
      <c r="E1224">
        <v>4.53</v>
      </c>
      <c r="F1224">
        <v>4.59</v>
      </c>
      <c r="G1224">
        <v>3.88</v>
      </c>
      <c r="H1224">
        <v>2.59</v>
      </c>
      <c r="I1224" s="2">
        <v>219291900</v>
      </c>
      <c r="J1224" s="2">
        <v>33618815000</v>
      </c>
      <c r="K1224" s="2">
        <v>12934391000</v>
      </c>
      <c r="L1224" s="2">
        <v>65617100</v>
      </c>
      <c r="M1224" s="2">
        <v>2282000000</v>
      </c>
      <c r="N1224" s="2">
        <v>4632000000</v>
      </c>
      <c r="O1224" s="2">
        <v>1873296000</v>
      </c>
      <c r="P1224" s="2">
        <v>17585000000</v>
      </c>
      <c r="Q1224" s="2">
        <v>8779095000</v>
      </c>
      <c r="R1224" s="2">
        <v>11401815000</v>
      </c>
      <c r="S1224" s="2">
        <f t="shared" si="38"/>
        <v>0.71</v>
      </c>
      <c r="T1224" s="2">
        <f t="shared" si="39"/>
        <v>13219300000</v>
      </c>
    </row>
    <row r="1225" spans="1:20" x14ac:dyDescent="0.3">
      <c r="A1225" s="1">
        <v>45593</v>
      </c>
      <c r="B1225" t="s">
        <v>950</v>
      </c>
      <c r="C1225" t="s">
        <v>18</v>
      </c>
      <c r="D1225" t="s">
        <v>19</v>
      </c>
      <c r="E1225">
        <v>4.07</v>
      </c>
      <c r="F1225">
        <v>4.1379999999999999</v>
      </c>
      <c r="G1225">
        <v>4</v>
      </c>
      <c r="H1225">
        <v>2.39</v>
      </c>
      <c r="I1225" s="2">
        <v>1180802700</v>
      </c>
      <c r="J1225" s="2">
        <v>167190444000</v>
      </c>
      <c r="K1225" s="2">
        <v>69849599000</v>
      </c>
      <c r="L1225" s="2">
        <v>150409800</v>
      </c>
      <c r="M1225" s="2">
        <v>6617000000</v>
      </c>
      <c r="N1225" s="2">
        <v>16397000000</v>
      </c>
      <c r="O1225" s="2">
        <v>9899215000</v>
      </c>
      <c r="P1225" s="2">
        <v>88615000000</v>
      </c>
      <c r="Q1225" s="2">
        <v>53333384000</v>
      </c>
      <c r="R1225" s="2">
        <v>62178444000</v>
      </c>
      <c r="S1225" s="2">
        <f t="shared" si="38"/>
        <v>0.1379999999999999</v>
      </c>
      <c r="T1225" s="2">
        <f t="shared" si="39"/>
        <v>71180811500</v>
      </c>
    </row>
    <row r="1226" spans="1:20" x14ac:dyDescent="0.3">
      <c r="A1226" s="1">
        <v>45593</v>
      </c>
      <c r="B1226" t="s">
        <v>952</v>
      </c>
      <c r="C1226" t="s">
        <v>18</v>
      </c>
      <c r="D1226" t="s">
        <v>21</v>
      </c>
      <c r="E1226">
        <v>4.07</v>
      </c>
      <c r="F1226">
        <v>4.13</v>
      </c>
      <c r="G1226">
        <v>4</v>
      </c>
      <c r="H1226">
        <v>2.5</v>
      </c>
      <c r="I1226" s="2">
        <v>1163934100</v>
      </c>
      <c r="J1226" s="2">
        <v>172214220000</v>
      </c>
      <c r="K1226" s="2">
        <v>68468624000</v>
      </c>
      <c r="L1226" s="2">
        <v>531555300</v>
      </c>
      <c r="M1226" s="2">
        <v>16322000000</v>
      </c>
      <c r="N1226" s="2">
        <v>25382000000</v>
      </c>
      <c r="O1226" s="2">
        <v>12274385000</v>
      </c>
      <c r="P1226" s="2">
        <v>92318000000</v>
      </c>
      <c r="Q1226" s="2">
        <v>39872239000</v>
      </c>
      <c r="R1226" s="2">
        <v>54514220000</v>
      </c>
      <c r="S1226" s="2">
        <f t="shared" si="38"/>
        <v>0.12999999999999989</v>
      </c>
      <c r="T1226" s="2">
        <f t="shared" si="39"/>
        <v>70164113400</v>
      </c>
    </row>
    <row r="1227" spans="1:20" x14ac:dyDescent="0.3">
      <c r="A1227" s="1">
        <v>45594</v>
      </c>
      <c r="B1227" t="s">
        <v>951</v>
      </c>
      <c r="C1227" t="s">
        <v>18</v>
      </c>
      <c r="D1227" t="s">
        <v>68</v>
      </c>
      <c r="E1227">
        <v>4.17</v>
      </c>
      <c r="F1227">
        <v>4.2149999999999999</v>
      </c>
      <c r="G1227">
        <v>4.0999999999999996</v>
      </c>
      <c r="H1227">
        <v>2.74</v>
      </c>
      <c r="I1227" s="2">
        <v>742218800</v>
      </c>
      <c r="J1227" s="2">
        <v>120358515000</v>
      </c>
      <c r="K1227" s="2">
        <v>43924242300</v>
      </c>
      <c r="L1227" s="2">
        <v>75758500</v>
      </c>
      <c r="M1227" s="2">
        <v>9036867500</v>
      </c>
      <c r="N1227" s="2">
        <v>18162100000</v>
      </c>
      <c r="O1227" s="2">
        <v>3279000000</v>
      </c>
      <c r="P1227" s="2">
        <v>59725000000</v>
      </c>
      <c r="Q1227" s="2">
        <v>31608374800</v>
      </c>
      <c r="R1227" s="2">
        <v>42471415000</v>
      </c>
      <c r="S1227" s="2">
        <f t="shared" si="38"/>
        <v>0.11500000000000021</v>
      </c>
      <c r="T1227" s="2">
        <f t="shared" si="39"/>
        <v>44742219600</v>
      </c>
    </row>
    <row r="1228" spans="1:20" x14ac:dyDescent="0.3">
      <c r="A1228" s="1">
        <v>45600</v>
      </c>
      <c r="B1228" t="s">
        <v>955</v>
      </c>
      <c r="C1228" t="s">
        <v>18</v>
      </c>
      <c r="D1228" t="s">
        <v>52</v>
      </c>
      <c r="E1228">
        <v>4.09</v>
      </c>
      <c r="F1228">
        <v>4.1520000000000001</v>
      </c>
      <c r="G1228">
        <v>4</v>
      </c>
      <c r="H1228">
        <v>2.6</v>
      </c>
      <c r="I1228" s="2">
        <v>14095578800</v>
      </c>
      <c r="J1228" s="2">
        <v>150732440000</v>
      </c>
      <c r="K1228" s="2">
        <v>57778891500</v>
      </c>
      <c r="L1228" s="2">
        <v>221149800</v>
      </c>
      <c r="M1228" s="2">
        <v>5561000000</v>
      </c>
      <c r="N1228" s="2">
        <v>13931000000</v>
      </c>
      <c r="O1228" s="2">
        <v>11412250000</v>
      </c>
      <c r="P1228" s="2">
        <v>83854000000</v>
      </c>
      <c r="Q1228" s="2">
        <v>40805641500</v>
      </c>
      <c r="R1228" s="2">
        <v>52947440000</v>
      </c>
      <c r="S1228" s="2">
        <f t="shared" si="38"/>
        <v>0.15200000000000014</v>
      </c>
      <c r="T1228" s="2">
        <f t="shared" si="39"/>
        <v>72095620100</v>
      </c>
    </row>
    <row r="1229" spans="1:20" x14ac:dyDescent="0.3">
      <c r="A1229" s="1">
        <v>45601</v>
      </c>
      <c r="B1229" t="s">
        <v>954</v>
      </c>
      <c r="C1229" t="s">
        <v>18</v>
      </c>
      <c r="D1229" t="s">
        <v>26</v>
      </c>
      <c r="E1229">
        <v>4.29</v>
      </c>
      <c r="F1229">
        <v>4.3470000000000004</v>
      </c>
      <c r="G1229">
        <v>4.2</v>
      </c>
      <c r="H1229">
        <v>2.58</v>
      </c>
      <c r="I1229" s="2">
        <v>10207143200</v>
      </c>
      <c r="J1229" s="2">
        <v>108222580000</v>
      </c>
      <c r="K1229" s="2">
        <v>41821963300</v>
      </c>
      <c r="L1229" s="2">
        <v>178052500</v>
      </c>
      <c r="M1229" s="2">
        <v>9879001300</v>
      </c>
      <c r="N1229" s="2">
        <v>17088000000</v>
      </c>
      <c r="O1229" s="2">
        <v>6157382000</v>
      </c>
      <c r="P1229" s="2">
        <v>58364000000</v>
      </c>
      <c r="Q1229" s="2">
        <v>25785580000</v>
      </c>
      <c r="R1229" s="2">
        <v>32770580000</v>
      </c>
      <c r="S1229" s="2">
        <f t="shared" si="38"/>
        <v>0.14700000000000024</v>
      </c>
      <c r="T1229" s="2">
        <f t="shared" si="39"/>
        <v>52207159000</v>
      </c>
    </row>
    <row r="1230" spans="1:20" x14ac:dyDescent="0.3">
      <c r="A1230" s="1">
        <v>45602</v>
      </c>
      <c r="B1230" t="s">
        <v>953</v>
      </c>
      <c r="C1230" t="s">
        <v>23</v>
      </c>
      <c r="D1230" t="s">
        <v>65</v>
      </c>
      <c r="E1230">
        <v>4.5650000000000004</v>
      </c>
      <c r="F1230">
        <v>4.6079999999999997</v>
      </c>
      <c r="G1230">
        <v>4.5</v>
      </c>
      <c r="H1230">
        <v>2.64</v>
      </c>
      <c r="I1230" s="2">
        <v>6075680500</v>
      </c>
      <c r="J1230" s="2">
        <v>65988370000</v>
      </c>
      <c r="K1230" s="2">
        <v>24945620800</v>
      </c>
      <c r="L1230" s="2">
        <v>54443700</v>
      </c>
      <c r="M1230" s="2">
        <v>6756644800</v>
      </c>
      <c r="N1230" s="2">
        <v>13316900000</v>
      </c>
      <c r="O1230" s="2">
        <v>2540000000</v>
      </c>
      <c r="P1230" s="2">
        <v>32216000000</v>
      </c>
      <c r="Q1230" s="2">
        <v>15648976000</v>
      </c>
      <c r="R1230" s="2">
        <v>20455470000</v>
      </c>
      <c r="S1230" s="2">
        <f t="shared" si="38"/>
        <v>0.10799999999999965</v>
      </c>
      <c r="T1230" s="2">
        <f t="shared" si="39"/>
        <v>31075745000</v>
      </c>
    </row>
    <row r="1231" spans="1:20" x14ac:dyDescent="0.3">
      <c r="A1231" s="1">
        <v>45616</v>
      </c>
      <c r="B1231" t="s">
        <v>959</v>
      </c>
      <c r="C1231" t="s">
        <v>23</v>
      </c>
      <c r="D1231" t="s">
        <v>688</v>
      </c>
      <c r="E1231">
        <v>4.5999999999999996</v>
      </c>
      <c r="F1231">
        <v>4.68</v>
      </c>
      <c r="G1231">
        <v>4.5460000000000003</v>
      </c>
      <c r="H1231">
        <v>2.34</v>
      </c>
      <c r="I1231" s="2">
        <v>1088290600</v>
      </c>
      <c r="J1231" s="2">
        <v>37311114000</v>
      </c>
      <c r="K1231" s="2">
        <v>15896719500</v>
      </c>
      <c r="L1231" s="2">
        <v>103308000</v>
      </c>
      <c r="M1231" s="2">
        <v>1259057500</v>
      </c>
      <c r="N1231" s="2">
        <v>3524000000</v>
      </c>
      <c r="O1231" s="2">
        <v>3594548000</v>
      </c>
      <c r="P1231" s="2">
        <v>21580000000</v>
      </c>
      <c r="Q1231" s="2">
        <v>11043114000</v>
      </c>
      <c r="R1231" s="2">
        <v>12207114000</v>
      </c>
      <c r="S1231" s="2">
        <f t="shared" si="38"/>
        <v>0.13399999999999945</v>
      </c>
      <c r="T1231" s="2">
        <f t="shared" si="39"/>
        <v>17088318100</v>
      </c>
    </row>
    <row r="1232" spans="1:20" x14ac:dyDescent="0.3">
      <c r="A1232" s="1">
        <v>45621</v>
      </c>
      <c r="B1232" t="s">
        <v>958</v>
      </c>
      <c r="C1232" t="s">
        <v>18</v>
      </c>
      <c r="D1232" t="s">
        <v>21</v>
      </c>
      <c r="E1232">
        <v>4.2350000000000003</v>
      </c>
      <c r="F1232">
        <v>4.274</v>
      </c>
      <c r="G1232">
        <v>4.18</v>
      </c>
      <c r="H1232">
        <v>2.77</v>
      </c>
      <c r="I1232" s="2">
        <v>4693253400</v>
      </c>
      <c r="J1232" s="2">
        <v>190739377700</v>
      </c>
      <c r="K1232" s="2">
        <v>68278992700</v>
      </c>
      <c r="L1232" s="2">
        <v>616155900</v>
      </c>
      <c r="M1232" s="2">
        <v>13089750000</v>
      </c>
      <c r="N1232" s="2">
        <v>27496000000</v>
      </c>
      <c r="O1232" s="2">
        <v>6283000000</v>
      </c>
      <c r="P1232" s="2">
        <v>96084000000</v>
      </c>
      <c r="Q1232" s="2">
        <v>48906242700</v>
      </c>
      <c r="R1232" s="2">
        <v>67159377700</v>
      </c>
      <c r="S1232" s="2">
        <f t="shared" si="38"/>
        <v>9.4000000000000306E-2</v>
      </c>
      <c r="T1232" s="2">
        <f t="shared" si="39"/>
        <v>73588402000</v>
      </c>
    </row>
    <row r="1233" spans="1:20" x14ac:dyDescent="0.3">
      <c r="A1233" s="1">
        <v>45622</v>
      </c>
      <c r="B1233" t="s">
        <v>957</v>
      </c>
      <c r="C1233" t="s">
        <v>18</v>
      </c>
      <c r="D1233" t="s">
        <v>19</v>
      </c>
      <c r="E1233">
        <v>4.13</v>
      </c>
      <c r="F1233">
        <v>4.1970000000000001</v>
      </c>
      <c r="G1233">
        <v>4.04</v>
      </c>
      <c r="H1233">
        <v>2.4300000000000002</v>
      </c>
      <c r="I1233" s="2">
        <v>4761271500</v>
      </c>
      <c r="J1233" s="2">
        <v>169996375000</v>
      </c>
      <c r="K1233" s="2">
        <v>69804438500</v>
      </c>
      <c r="L1233" s="2">
        <v>190669400</v>
      </c>
      <c r="M1233" s="2">
        <v>17159250000</v>
      </c>
      <c r="N1233" s="2">
        <v>27496000000</v>
      </c>
      <c r="O1233" s="2">
        <v>7886587500</v>
      </c>
      <c r="P1233" s="2">
        <v>89166000000</v>
      </c>
      <c r="Q1233" s="2">
        <v>44758601000</v>
      </c>
      <c r="R1233" s="2">
        <v>53334375000</v>
      </c>
      <c r="S1233" s="2">
        <f t="shared" si="38"/>
        <v>0.15700000000000003</v>
      </c>
      <c r="T1233" s="2">
        <f t="shared" si="39"/>
        <v>74756379400</v>
      </c>
    </row>
    <row r="1234" spans="1:20" x14ac:dyDescent="0.3">
      <c r="A1234" s="1">
        <v>45623</v>
      </c>
      <c r="B1234" t="s">
        <v>956</v>
      </c>
      <c r="C1234" t="s">
        <v>18</v>
      </c>
      <c r="D1234" t="s">
        <v>68</v>
      </c>
      <c r="E1234">
        <v>4.1379999999999999</v>
      </c>
      <c r="F1234">
        <v>4.1829999999999998</v>
      </c>
      <c r="G1234">
        <v>3.88</v>
      </c>
      <c r="H1234">
        <v>2.71</v>
      </c>
      <c r="I1234" s="2">
        <v>2992799200</v>
      </c>
      <c r="J1234" s="2">
        <v>119084629000</v>
      </c>
      <c r="K1234" s="2">
        <v>43900455000</v>
      </c>
      <c r="L1234" s="2">
        <v>99553200</v>
      </c>
      <c r="M1234" s="2">
        <v>11386300000</v>
      </c>
      <c r="N1234" s="2">
        <v>18433400000</v>
      </c>
      <c r="O1234" s="2">
        <v>4383695000</v>
      </c>
      <c r="P1234" s="2">
        <v>63394000000</v>
      </c>
      <c r="Q1234" s="2">
        <v>28130460000</v>
      </c>
      <c r="R1234" s="2">
        <v>37257229000</v>
      </c>
      <c r="S1234" s="2">
        <f t="shared" si="38"/>
        <v>0.30299999999999994</v>
      </c>
      <c r="T1234" s="2">
        <f t="shared" si="39"/>
        <v>46992807400</v>
      </c>
    </row>
    <row r="1235" spans="1:20" x14ac:dyDescent="0.3">
      <c r="A1235" s="1">
        <v>45636</v>
      </c>
      <c r="B1235" t="s">
        <v>960</v>
      </c>
      <c r="C1235" t="s">
        <v>18</v>
      </c>
      <c r="D1235" t="s">
        <v>52</v>
      </c>
      <c r="E1235">
        <v>4.0679999999999996</v>
      </c>
      <c r="F1235">
        <v>4.117</v>
      </c>
      <c r="G1235">
        <v>4</v>
      </c>
      <c r="H1235">
        <v>2.58</v>
      </c>
      <c r="I1235" s="2">
        <v>415388500</v>
      </c>
      <c r="J1235" s="2">
        <v>149042770000</v>
      </c>
      <c r="K1235" s="2">
        <v>57552170000</v>
      </c>
      <c r="L1235" s="2">
        <v>247925300</v>
      </c>
      <c r="M1235" s="2">
        <v>11919000000</v>
      </c>
      <c r="N1235" s="2">
        <v>20849000000</v>
      </c>
      <c r="O1235" s="2">
        <v>8697800000</v>
      </c>
      <c r="P1235" s="2">
        <v>80367000000</v>
      </c>
      <c r="Q1235" s="2">
        <v>36935370000</v>
      </c>
      <c r="R1235" s="2">
        <v>47826770000</v>
      </c>
      <c r="S1235" s="2">
        <f t="shared" si="38"/>
        <v>0.11699999999999999</v>
      </c>
      <c r="T1235" s="2">
        <f t="shared" si="39"/>
        <v>58215483800</v>
      </c>
    </row>
    <row r="1236" spans="1:20" x14ac:dyDescent="0.3">
      <c r="A1236" s="1">
        <v>45637</v>
      </c>
      <c r="B1236" t="s">
        <v>954</v>
      </c>
      <c r="C1236" t="s">
        <v>18</v>
      </c>
      <c r="D1236" t="s">
        <v>29</v>
      </c>
      <c r="E1236">
        <v>4.1900000000000004</v>
      </c>
      <c r="F1236">
        <v>4.2350000000000003</v>
      </c>
      <c r="G1236">
        <v>4.08</v>
      </c>
      <c r="H1236">
        <v>2.7</v>
      </c>
      <c r="I1236" s="2">
        <v>279312900</v>
      </c>
      <c r="J1236" s="2">
        <v>105097720000</v>
      </c>
      <c r="K1236" s="2">
        <v>38928648400</v>
      </c>
      <c r="L1236" s="2">
        <v>71378700</v>
      </c>
      <c r="M1236" s="2">
        <v>7591500000</v>
      </c>
      <c r="N1236" s="2">
        <v>14707000000</v>
      </c>
      <c r="O1236" s="2">
        <v>4091907500</v>
      </c>
      <c r="P1236" s="2">
        <v>55309000000</v>
      </c>
      <c r="Q1236" s="2">
        <v>27245240900</v>
      </c>
      <c r="R1236" s="2">
        <v>35081720000</v>
      </c>
      <c r="S1236" s="2">
        <f t="shared" si="38"/>
        <v>0.15500000000000025</v>
      </c>
      <c r="T1236" s="2">
        <f t="shared" si="39"/>
        <v>39279340000</v>
      </c>
    </row>
    <row r="1237" spans="1:20" x14ac:dyDescent="0.3">
      <c r="A1237" s="1">
        <v>45638</v>
      </c>
      <c r="B1237" t="s">
        <v>953</v>
      </c>
      <c r="C1237" t="s">
        <v>23</v>
      </c>
      <c r="D1237" t="s">
        <v>72</v>
      </c>
      <c r="E1237">
        <v>4.4749999999999996</v>
      </c>
      <c r="F1237">
        <v>4.5350000000000001</v>
      </c>
      <c r="G1237">
        <v>4</v>
      </c>
      <c r="H1237">
        <v>2.39</v>
      </c>
      <c r="I1237" s="2">
        <v>157561100</v>
      </c>
      <c r="J1237" s="2">
        <v>52562950000</v>
      </c>
      <c r="K1237" s="2">
        <v>21974300000</v>
      </c>
      <c r="L1237" s="2">
        <v>25729000</v>
      </c>
      <c r="M1237" s="2">
        <v>4196900000</v>
      </c>
      <c r="N1237" s="2">
        <v>7241900000</v>
      </c>
      <c r="O1237" s="2">
        <v>3158760000</v>
      </c>
      <c r="P1237" s="2">
        <v>28358000000</v>
      </c>
      <c r="Q1237" s="2">
        <v>14618640000</v>
      </c>
      <c r="R1237" s="2">
        <v>16963050000</v>
      </c>
      <c r="S1237" s="2">
        <f t="shared" si="38"/>
        <v>0.53500000000000014</v>
      </c>
      <c r="T1237" s="2">
        <f t="shared" si="39"/>
        <v>22157590100</v>
      </c>
    </row>
    <row r="1238" spans="1:20" x14ac:dyDescent="0.3">
      <c r="A1238" s="1">
        <v>45643</v>
      </c>
      <c r="B1238" t="s">
        <v>959</v>
      </c>
      <c r="C1238" t="s">
        <v>23</v>
      </c>
      <c r="D1238" t="s">
        <v>693</v>
      </c>
      <c r="E1238">
        <v>4.6219999999999999</v>
      </c>
      <c r="F1238">
        <v>4.6859999999999999</v>
      </c>
      <c r="G1238">
        <v>2.88</v>
      </c>
      <c r="H1238">
        <v>2.5</v>
      </c>
      <c r="I1238" s="2">
        <v>127871300</v>
      </c>
      <c r="J1238" s="2">
        <v>32407770000</v>
      </c>
      <c r="K1238" s="2">
        <v>12922410000</v>
      </c>
      <c r="L1238" s="2">
        <v>77591600</v>
      </c>
      <c r="M1238" s="2">
        <v>2602000000</v>
      </c>
      <c r="N1238" s="2">
        <v>4437000000</v>
      </c>
      <c r="O1238" s="2">
        <v>2313640000</v>
      </c>
      <c r="P1238" s="2">
        <v>17745000000</v>
      </c>
      <c r="Q1238" s="2">
        <v>8006770000</v>
      </c>
      <c r="R1238" s="2">
        <v>10225770000</v>
      </c>
      <c r="S1238" s="2">
        <f t="shared" si="38"/>
        <v>1.806</v>
      </c>
      <c r="T1238" s="2">
        <f t="shared" si="39"/>
        <v>13127872900</v>
      </c>
    </row>
    <row r="1239" spans="1:20" x14ac:dyDescent="0.3">
      <c r="A1239" s="1">
        <v>45649</v>
      </c>
      <c r="B1239" t="s">
        <v>963</v>
      </c>
      <c r="C1239" t="s">
        <v>18</v>
      </c>
      <c r="D1239" t="s">
        <v>21</v>
      </c>
      <c r="E1239">
        <v>4.2850000000000001</v>
      </c>
      <c r="F1239">
        <v>4.335</v>
      </c>
      <c r="G1239">
        <v>4</v>
      </c>
      <c r="H1239">
        <v>2.73</v>
      </c>
      <c r="I1239" s="2">
        <v>678701700</v>
      </c>
      <c r="J1239" s="2">
        <v>187706830000</v>
      </c>
      <c r="K1239" s="2">
        <v>68381385400</v>
      </c>
      <c r="L1239" s="2">
        <v>613634800</v>
      </c>
      <c r="M1239" s="2">
        <v>4546317900</v>
      </c>
      <c r="N1239" s="2">
        <v>14630000000</v>
      </c>
      <c r="O1239" s="2">
        <v>7702120000</v>
      </c>
      <c r="P1239" s="2">
        <v>93767000000</v>
      </c>
      <c r="Q1239" s="2">
        <v>56132947500</v>
      </c>
      <c r="R1239" s="2">
        <v>79309830000</v>
      </c>
      <c r="S1239" s="2">
        <f t="shared" si="38"/>
        <v>0.33499999999999996</v>
      </c>
      <c r="T1239" s="2">
        <f t="shared" si="39"/>
        <v>69673721900</v>
      </c>
    </row>
    <row r="1240" spans="1:20" x14ac:dyDescent="0.3">
      <c r="A1240" s="1">
        <v>45650</v>
      </c>
      <c r="B1240" t="s">
        <v>962</v>
      </c>
      <c r="C1240" t="s">
        <v>18</v>
      </c>
      <c r="D1240" t="s">
        <v>19</v>
      </c>
      <c r="E1240">
        <v>4.4249999999999998</v>
      </c>
      <c r="F1240">
        <v>4.4779999999999998</v>
      </c>
      <c r="G1240">
        <v>4.3</v>
      </c>
      <c r="H1240">
        <v>2.4</v>
      </c>
      <c r="I1240" s="2">
        <v>688537800</v>
      </c>
      <c r="J1240" s="2">
        <v>167610170000</v>
      </c>
      <c r="K1240" s="2">
        <v>69737933500</v>
      </c>
      <c r="L1240" s="2">
        <v>182128600</v>
      </c>
      <c r="M1240" s="2">
        <v>14125500000</v>
      </c>
      <c r="N1240" s="2">
        <v>24657000000</v>
      </c>
      <c r="O1240" s="2">
        <v>8696335000</v>
      </c>
      <c r="P1240" s="2">
        <v>88626000000</v>
      </c>
      <c r="Q1240" s="2">
        <v>46916098500</v>
      </c>
      <c r="R1240" s="2">
        <v>54327170000</v>
      </c>
      <c r="S1240" s="2">
        <f t="shared" si="38"/>
        <v>0.17799999999999994</v>
      </c>
      <c r="T1240" s="2">
        <f t="shared" si="39"/>
        <v>70608599900</v>
      </c>
    </row>
    <row r="1241" spans="1:20" x14ac:dyDescent="0.3">
      <c r="A1241" s="1">
        <v>45652</v>
      </c>
      <c r="B1241" t="s">
        <v>961</v>
      </c>
      <c r="C1241" t="s">
        <v>18</v>
      </c>
      <c r="D1241" t="s">
        <v>68</v>
      </c>
      <c r="E1241">
        <v>4.49</v>
      </c>
      <c r="F1241">
        <v>4.532</v>
      </c>
      <c r="G1241">
        <v>2.8879999999999999</v>
      </c>
      <c r="H1241">
        <v>2.76</v>
      </c>
      <c r="I1241" s="2">
        <v>432795200</v>
      </c>
      <c r="J1241" s="2">
        <v>121264490000</v>
      </c>
      <c r="K1241" s="2">
        <v>43890161300</v>
      </c>
      <c r="L1241" s="2">
        <v>110055600</v>
      </c>
      <c r="M1241" s="2">
        <v>1251151800</v>
      </c>
      <c r="N1241" s="2">
        <v>11000600000</v>
      </c>
      <c r="O1241" s="2">
        <v>4069400000</v>
      </c>
      <c r="P1241" s="2">
        <v>59753000000</v>
      </c>
      <c r="Q1241" s="2">
        <v>38569609500</v>
      </c>
      <c r="R1241" s="2">
        <v>50510890000</v>
      </c>
      <c r="S1241" s="2">
        <f t="shared" si="38"/>
        <v>1.6440000000000001</v>
      </c>
      <c r="T1241" s="2">
        <f t="shared" si="39"/>
        <v>44433012100</v>
      </c>
    </row>
    <row r="1242" spans="1:20" x14ac:dyDescent="0.3">
      <c r="A1242" s="1">
        <v>45663</v>
      </c>
      <c r="B1242" t="s">
        <v>964</v>
      </c>
      <c r="C1242" t="s">
        <v>18</v>
      </c>
      <c r="D1242" t="s">
        <v>52</v>
      </c>
      <c r="E1242">
        <v>4.2859999999999996</v>
      </c>
      <c r="F1242">
        <v>4.3319999999999999</v>
      </c>
      <c r="G1242">
        <v>4.2</v>
      </c>
      <c r="H1242">
        <v>2.62</v>
      </c>
      <c r="I1242" s="2">
        <v>12744830700</v>
      </c>
      <c r="J1242" s="2">
        <v>151505260000</v>
      </c>
      <c r="K1242" s="2">
        <v>57749647500</v>
      </c>
      <c r="L1242" s="2">
        <v>250354100</v>
      </c>
      <c r="M1242" s="2">
        <v>11358000000</v>
      </c>
      <c r="N1242" s="2">
        <v>20003000000</v>
      </c>
      <c r="O1242" s="2">
        <v>11178155000</v>
      </c>
      <c r="P1242" s="2">
        <v>83383000000</v>
      </c>
      <c r="Q1242" s="2">
        <v>35213492500</v>
      </c>
      <c r="R1242" s="2">
        <v>48119260000</v>
      </c>
      <c r="S1242" s="2">
        <f t="shared" si="38"/>
        <v>0.13199999999999967</v>
      </c>
      <c r="T1242" s="2">
        <f t="shared" si="39"/>
        <v>70744832300</v>
      </c>
    </row>
    <row r="1243" spans="1:20" x14ac:dyDescent="0.3">
      <c r="A1243" s="1">
        <v>45664</v>
      </c>
      <c r="B1243" t="s">
        <v>954</v>
      </c>
      <c r="C1243" t="s">
        <v>18</v>
      </c>
      <c r="D1243" t="s">
        <v>59</v>
      </c>
      <c r="E1243">
        <v>4.625</v>
      </c>
      <c r="F1243">
        <v>4.68</v>
      </c>
      <c r="G1243">
        <v>4.5330000000000004</v>
      </c>
      <c r="H1243">
        <v>2.5299999999999998</v>
      </c>
      <c r="I1243" s="2">
        <v>8569799900</v>
      </c>
      <c r="J1243" s="2">
        <v>98521399000</v>
      </c>
      <c r="K1243" s="2">
        <v>38879694200</v>
      </c>
      <c r="L1243" s="2">
        <v>120312100</v>
      </c>
      <c r="M1243" s="2">
        <v>8931395000</v>
      </c>
      <c r="N1243" s="2">
        <v>14517000000</v>
      </c>
      <c r="O1243" s="2">
        <v>6081224800</v>
      </c>
      <c r="P1243" s="2">
        <v>54956000000</v>
      </c>
      <c r="Q1243" s="2">
        <v>23867074400</v>
      </c>
      <c r="R1243" s="2">
        <v>29048399000</v>
      </c>
      <c r="S1243" s="2">
        <f t="shared" si="38"/>
        <v>0.14699999999999935</v>
      </c>
      <c r="T1243" s="2">
        <f t="shared" si="39"/>
        <v>47569806200</v>
      </c>
    </row>
    <row r="1244" spans="1:20" x14ac:dyDescent="0.3">
      <c r="A1244" s="1">
        <v>45665</v>
      </c>
      <c r="B1244" t="s">
        <v>953</v>
      </c>
      <c r="C1244" t="s">
        <v>23</v>
      </c>
      <c r="D1244" t="s">
        <v>91</v>
      </c>
      <c r="E1244">
        <v>4.87</v>
      </c>
      <c r="F1244">
        <v>4.9130000000000003</v>
      </c>
      <c r="G1244">
        <v>4.8</v>
      </c>
      <c r="H1244">
        <v>2.52</v>
      </c>
      <c r="I1244" s="2">
        <v>4834246100</v>
      </c>
      <c r="J1244" s="2">
        <v>55380776000</v>
      </c>
      <c r="K1244" s="2">
        <v>21966493600</v>
      </c>
      <c r="L1244" s="2">
        <v>33508300</v>
      </c>
      <c r="M1244" s="2">
        <v>4549750000</v>
      </c>
      <c r="N1244" s="2">
        <v>8408000000</v>
      </c>
      <c r="O1244" s="2">
        <v>2780512000</v>
      </c>
      <c r="P1244" s="2">
        <v>29376000000</v>
      </c>
      <c r="Q1244" s="2">
        <v>14636231600</v>
      </c>
      <c r="R1244" s="2">
        <v>17596776000</v>
      </c>
      <c r="S1244" s="2">
        <f t="shared" si="38"/>
        <v>0.11300000000000043</v>
      </c>
      <c r="T1244" s="2">
        <f t="shared" si="39"/>
        <v>26834248000</v>
      </c>
    </row>
    <row r="1245" spans="1:20" x14ac:dyDescent="0.3">
      <c r="A1245" s="1">
        <v>45679</v>
      </c>
      <c r="B1245" t="s">
        <v>959</v>
      </c>
      <c r="C1245" t="s">
        <v>23</v>
      </c>
      <c r="D1245" t="s">
        <v>698</v>
      </c>
      <c r="E1245">
        <v>4.8600000000000003</v>
      </c>
      <c r="F1245">
        <v>4.9000000000000004</v>
      </c>
      <c r="G1245">
        <v>3.88</v>
      </c>
      <c r="H1245">
        <v>2.75</v>
      </c>
      <c r="I1245" s="2">
        <v>721881100</v>
      </c>
      <c r="J1245" s="2">
        <v>35659870000</v>
      </c>
      <c r="K1245" s="2">
        <v>12894508000</v>
      </c>
      <c r="L1245" s="2">
        <v>105526500</v>
      </c>
      <c r="M1245" s="2">
        <v>2589724000</v>
      </c>
      <c r="N1245" s="2">
        <v>4859000000</v>
      </c>
      <c r="O1245" s="2">
        <v>1340740000</v>
      </c>
      <c r="P1245" s="2">
        <v>18281000000</v>
      </c>
      <c r="Q1245" s="2">
        <v>8964044000</v>
      </c>
      <c r="R1245" s="2">
        <v>12519870000</v>
      </c>
      <c r="S1245" s="2">
        <f t="shared" si="38"/>
        <v>1.0200000000000005</v>
      </c>
      <c r="T1245" s="2">
        <f t="shared" si="39"/>
        <v>13721915600</v>
      </c>
    </row>
    <row r="1246" spans="1:20" x14ac:dyDescent="0.3">
      <c r="A1246" s="1">
        <v>45684</v>
      </c>
      <c r="B1246" t="s">
        <v>965</v>
      </c>
      <c r="C1246" t="s">
        <v>18</v>
      </c>
      <c r="D1246" t="s">
        <v>19</v>
      </c>
      <c r="E1246">
        <v>4.2850000000000001</v>
      </c>
      <c r="F1246">
        <v>4.33</v>
      </c>
      <c r="G1246">
        <v>4.24</v>
      </c>
      <c r="H1246">
        <v>2.4</v>
      </c>
      <c r="I1246" s="2">
        <v>3887052100</v>
      </c>
      <c r="J1246" s="2">
        <v>167346569000</v>
      </c>
      <c r="K1246" s="2">
        <v>69613545200</v>
      </c>
      <c r="L1246" s="2">
        <v>306461000</v>
      </c>
      <c r="M1246" s="2">
        <v>18161665000</v>
      </c>
      <c r="N1246" s="2">
        <v>26987000000</v>
      </c>
      <c r="O1246" s="2">
        <v>7738856500</v>
      </c>
      <c r="P1246" s="2">
        <v>87902000000</v>
      </c>
      <c r="Q1246" s="2">
        <v>43713023700</v>
      </c>
      <c r="R1246" s="2">
        <v>52457569000</v>
      </c>
      <c r="S1246" s="2">
        <f t="shared" si="38"/>
        <v>8.9999999999999858E-2</v>
      </c>
      <c r="T1246" s="2">
        <f t="shared" si="39"/>
        <v>73807058300</v>
      </c>
    </row>
    <row r="1247" spans="1:20" x14ac:dyDescent="0.3">
      <c r="A1247" s="1">
        <v>45684</v>
      </c>
      <c r="B1247" t="s">
        <v>967</v>
      </c>
      <c r="C1247" t="s">
        <v>18</v>
      </c>
      <c r="D1247" t="s">
        <v>21</v>
      </c>
      <c r="E1247">
        <v>4.1680000000000001</v>
      </c>
      <c r="F1247">
        <v>4.2110000000000003</v>
      </c>
      <c r="G1247">
        <v>4.09</v>
      </c>
      <c r="H1247">
        <v>2.66</v>
      </c>
      <c r="I1247" s="2">
        <v>3831522900</v>
      </c>
      <c r="J1247" s="2">
        <v>182290660000</v>
      </c>
      <c r="K1247" s="2">
        <v>68094660000</v>
      </c>
      <c r="L1247" s="2">
        <v>750404400</v>
      </c>
      <c r="M1247" s="2">
        <v>14483500000</v>
      </c>
      <c r="N1247" s="2">
        <v>25638000000</v>
      </c>
      <c r="O1247" s="2">
        <v>9333500000</v>
      </c>
      <c r="P1247" s="2">
        <v>98645000000</v>
      </c>
      <c r="Q1247" s="2">
        <v>44277660000</v>
      </c>
      <c r="R1247" s="2">
        <v>58007660000</v>
      </c>
      <c r="S1247" s="2">
        <f t="shared" si="38"/>
        <v>0.12100000000000044</v>
      </c>
      <c r="T1247" s="2">
        <f t="shared" si="39"/>
        <v>72676587300</v>
      </c>
    </row>
    <row r="1248" spans="1:20" x14ac:dyDescent="0.3">
      <c r="A1248" s="1">
        <v>45685</v>
      </c>
      <c r="B1248" t="s">
        <v>966</v>
      </c>
      <c r="C1248" t="s">
        <v>18</v>
      </c>
      <c r="D1248" t="s">
        <v>68</v>
      </c>
      <c r="E1248">
        <v>4.41</v>
      </c>
      <c r="F1248">
        <v>4.4569999999999999</v>
      </c>
      <c r="G1248">
        <v>4.2699999999999996</v>
      </c>
      <c r="H1248">
        <v>2.64</v>
      </c>
      <c r="I1248" s="2">
        <v>2443289900</v>
      </c>
      <c r="J1248" s="2">
        <v>115798076800</v>
      </c>
      <c r="K1248" s="2">
        <v>43817575200</v>
      </c>
      <c r="L1248" s="2">
        <v>182440200</v>
      </c>
      <c r="M1248" s="2">
        <v>10105700000</v>
      </c>
      <c r="N1248" s="2">
        <v>18060700000</v>
      </c>
      <c r="O1248" s="2">
        <v>4319098400</v>
      </c>
      <c r="P1248" s="2">
        <v>60268000000</v>
      </c>
      <c r="Q1248" s="2">
        <v>29392776800</v>
      </c>
      <c r="R1248" s="2">
        <v>37469376800</v>
      </c>
      <c r="S1248" s="2">
        <f t="shared" si="38"/>
        <v>0.18700000000000028</v>
      </c>
      <c r="T1248" s="2">
        <f t="shared" si="39"/>
        <v>46443305300</v>
      </c>
    </row>
    <row r="1249" spans="1:20" x14ac:dyDescent="0.3">
      <c r="A1249" s="1">
        <v>45699</v>
      </c>
      <c r="B1249" t="s">
        <v>969</v>
      </c>
      <c r="C1249" t="s">
        <v>18</v>
      </c>
      <c r="D1249" t="s">
        <v>52</v>
      </c>
      <c r="E1249">
        <v>4.26</v>
      </c>
      <c r="F1249">
        <v>4.3</v>
      </c>
      <c r="G1249">
        <v>4.1950000000000003</v>
      </c>
      <c r="H1249">
        <v>2.79</v>
      </c>
      <c r="I1249" s="2">
        <v>15933366100</v>
      </c>
      <c r="J1249" s="2">
        <v>161075040000</v>
      </c>
      <c r="K1249" s="2">
        <v>57514536800</v>
      </c>
      <c r="L1249" s="2">
        <v>341203900</v>
      </c>
      <c r="M1249" s="2">
        <v>9097500000</v>
      </c>
      <c r="N1249" s="2">
        <v>16587000000</v>
      </c>
      <c r="O1249" s="2">
        <v>5855950000</v>
      </c>
      <c r="P1249" s="2">
        <v>89743000000</v>
      </c>
      <c r="Q1249" s="2">
        <v>42561086800</v>
      </c>
      <c r="R1249" s="2">
        <v>54745040000</v>
      </c>
      <c r="S1249" s="2">
        <f t="shared" si="38"/>
        <v>0.10499999999999954</v>
      </c>
      <c r="T1249" s="2">
        <f t="shared" si="39"/>
        <v>73789106800</v>
      </c>
    </row>
    <row r="1250" spans="1:20" x14ac:dyDescent="0.3">
      <c r="A1250" s="1">
        <v>45700</v>
      </c>
      <c r="B1250" t="s">
        <v>970</v>
      </c>
      <c r="C1250" t="s">
        <v>18</v>
      </c>
      <c r="D1250" t="s">
        <v>26</v>
      </c>
      <c r="E1250">
        <v>4.5599999999999996</v>
      </c>
      <c r="F1250">
        <v>4.6319999999999997</v>
      </c>
      <c r="G1250">
        <v>4.5170000000000003</v>
      </c>
      <c r="H1250">
        <v>2.48</v>
      </c>
      <c r="I1250" s="2">
        <v>11537954800</v>
      </c>
      <c r="J1250" s="2">
        <v>103873005000</v>
      </c>
      <c r="K1250" s="2">
        <v>41770656300</v>
      </c>
      <c r="L1250" s="2">
        <v>229349600</v>
      </c>
      <c r="M1250" s="2">
        <v>5687000000</v>
      </c>
      <c r="N1250" s="2">
        <v>9437000000</v>
      </c>
      <c r="O1250" s="2">
        <v>6198055000</v>
      </c>
      <c r="P1250" s="2">
        <v>59854000000</v>
      </c>
      <c r="Q1250" s="2">
        <v>29885601300</v>
      </c>
      <c r="R1250" s="2">
        <v>34582005000</v>
      </c>
      <c r="S1250" s="2">
        <f t="shared" si="38"/>
        <v>0.11499999999999932</v>
      </c>
      <c r="T1250" s="2">
        <f t="shared" si="39"/>
        <v>53537960700</v>
      </c>
    </row>
    <row r="1251" spans="1:20" x14ac:dyDescent="0.3">
      <c r="A1251" s="1">
        <v>45701</v>
      </c>
      <c r="B1251" t="s">
        <v>968</v>
      </c>
      <c r="C1251" t="s">
        <v>23</v>
      </c>
      <c r="D1251" t="s">
        <v>65</v>
      </c>
      <c r="E1251">
        <v>4.68</v>
      </c>
      <c r="F1251">
        <v>4.7480000000000002</v>
      </c>
      <c r="G1251">
        <v>4.63</v>
      </c>
      <c r="H1251">
        <v>2.33</v>
      </c>
      <c r="I1251" s="2">
        <v>6867830200</v>
      </c>
      <c r="J1251" s="2">
        <v>58167337000</v>
      </c>
      <c r="K1251" s="2">
        <v>24956496300</v>
      </c>
      <c r="L1251" s="2">
        <v>43524100</v>
      </c>
      <c r="M1251" s="2">
        <v>4636400000</v>
      </c>
      <c r="N1251" s="2">
        <v>6886400000</v>
      </c>
      <c r="O1251" s="2">
        <v>4078779300</v>
      </c>
      <c r="P1251" s="2">
        <v>32898000000</v>
      </c>
      <c r="Q1251" s="2">
        <v>16241317000</v>
      </c>
      <c r="R1251" s="2">
        <v>18382937000</v>
      </c>
      <c r="S1251" s="2">
        <f t="shared" si="38"/>
        <v>0.11800000000000033</v>
      </c>
      <c r="T1251" s="2">
        <f t="shared" si="39"/>
        <v>31867850600</v>
      </c>
    </row>
    <row r="1252" spans="1:20" x14ac:dyDescent="0.3">
      <c r="A1252" s="1">
        <v>45707</v>
      </c>
      <c r="B1252" t="s">
        <v>973</v>
      </c>
      <c r="C1252" t="s">
        <v>23</v>
      </c>
      <c r="D1252" t="s">
        <v>688</v>
      </c>
      <c r="E1252">
        <v>4.7690000000000001</v>
      </c>
      <c r="F1252">
        <v>4.83</v>
      </c>
      <c r="G1252">
        <v>4.7</v>
      </c>
      <c r="H1252">
        <v>2.4300000000000002</v>
      </c>
      <c r="I1252" s="2">
        <v>1612645300</v>
      </c>
      <c r="J1252" s="2">
        <v>38707828000</v>
      </c>
      <c r="K1252" s="2">
        <v>15892978000</v>
      </c>
      <c r="L1252" s="2">
        <v>107066800</v>
      </c>
      <c r="M1252" s="2">
        <v>3100000000</v>
      </c>
      <c r="N1252" s="2">
        <v>4500000000</v>
      </c>
      <c r="O1252" s="2">
        <v>2782530000</v>
      </c>
      <c r="P1252" s="2">
        <v>21276000000</v>
      </c>
      <c r="Q1252" s="2">
        <v>10010448000</v>
      </c>
      <c r="R1252" s="2">
        <v>12931828000</v>
      </c>
      <c r="S1252" s="2">
        <f t="shared" si="38"/>
        <v>0.12999999999999989</v>
      </c>
      <c r="T1252" s="2">
        <f t="shared" si="39"/>
        <v>17612690100</v>
      </c>
    </row>
    <row r="1253" spans="1:20" x14ac:dyDescent="0.3">
      <c r="A1253" s="1">
        <v>45712</v>
      </c>
      <c r="B1253" t="s">
        <v>972</v>
      </c>
      <c r="C1253" t="s">
        <v>18</v>
      </c>
      <c r="D1253" t="s">
        <v>21</v>
      </c>
      <c r="E1253">
        <v>4.13</v>
      </c>
      <c r="F1253">
        <v>4.1689999999999996</v>
      </c>
      <c r="G1253">
        <v>4.07</v>
      </c>
      <c r="H1253">
        <v>2.56</v>
      </c>
      <c r="I1253" s="2">
        <v>6954533300</v>
      </c>
      <c r="J1253" s="2">
        <v>175983800000</v>
      </c>
      <c r="K1253" s="2">
        <v>68439422200</v>
      </c>
      <c r="L1253" s="2">
        <v>560737200</v>
      </c>
      <c r="M1253" s="2">
        <v>5229432200</v>
      </c>
      <c r="N1253" s="2">
        <v>13472000000</v>
      </c>
      <c r="O1253" s="2">
        <v>4700825000</v>
      </c>
      <c r="P1253" s="2">
        <v>90584000000</v>
      </c>
      <c r="Q1253" s="2">
        <v>58509165000</v>
      </c>
      <c r="R1253" s="2">
        <v>71927800000</v>
      </c>
      <c r="S1253" s="2">
        <f t="shared" si="38"/>
        <v>9.8999999999999311E-2</v>
      </c>
      <c r="T1253" s="2">
        <f t="shared" si="39"/>
        <v>75954692700</v>
      </c>
    </row>
    <row r="1254" spans="1:20" x14ac:dyDescent="0.3">
      <c r="A1254" s="1">
        <v>45713</v>
      </c>
      <c r="B1254" t="s">
        <v>853</v>
      </c>
      <c r="C1254" t="s">
        <v>18</v>
      </c>
      <c r="D1254" t="s">
        <v>19</v>
      </c>
      <c r="E1254">
        <v>4.07</v>
      </c>
      <c r="F1254">
        <v>4.1230000000000002</v>
      </c>
      <c r="G1254">
        <v>4.0199999999999996</v>
      </c>
      <c r="H1254">
        <v>2.42</v>
      </c>
      <c r="I1254" s="2">
        <v>7055323500</v>
      </c>
      <c r="J1254" s="2">
        <v>169481713000</v>
      </c>
      <c r="K1254" s="2">
        <v>69797603000</v>
      </c>
      <c r="L1254" s="2">
        <v>197428100</v>
      </c>
      <c r="M1254" s="2">
        <v>10151800000</v>
      </c>
      <c r="N1254" s="2">
        <v>18498000000</v>
      </c>
      <c r="O1254" s="2">
        <v>7390090000</v>
      </c>
      <c r="P1254" s="2">
        <v>89670000000</v>
      </c>
      <c r="Q1254" s="2">
        <v>52255713000</v>
      </c>
      <c r="R1254" s="2">
        <v>61313713000</v>
      </c>
      <c r="S1254" s="2">
        <f t="shared" si="38"/>
        <v>0.10300000000000065</v>
      </c>
      <c r="T1254" s="2">
        <f t="shared" si="39"/>
        <v>77050354600</v>
      </c>
    </row>
    <row r="1255" spans="1:20" x14ac:dyDescent="0.3">
      <c r="A1255" s="1">
        <v>45714</v>
      </c>
      <c r="B1255" t="s">
        <v>971</v>
      </c>
      <c r="C1255" t="s">
        <v>18</v>
      </c>
      <c r="D1255" t="s">
        <v>68</v>
      </c>
      <c r="E1255">
        <v>4.1479999999999997</v>
      </c>
      <c r="F1255">
        <v>4.194</v>
      </c>
      <c r="G1255">
        <v>4</v>
      </c>
      <c r="H1255">
        <v>2.64</v>
      </c>
      <c r="I1255" s="2">
        <v>4434774800</v>
      </c>
      <c r="J1255" s="2">
        <v>115987587000</v>
      </c>
      <c r="K1255" s="2">
        <v>43915416500</v>
      </c>
      <c r="L1255" s="2">
        <v>84584700</v>
      </c>
      <c r="M1255" s="2">
        <v>11049500000</v>
      </c>
      <c r="N1255" s="2">
        <v>16439000000</v>
      </c>
      <c r="O1255" s="2">
        <v>3856458000</v>
      </c>
      <c r="P1255" s="2">
        <v>63340000000</v>
      </c>
      <c r="Q1255" s="2">
        <v>29009458500</v>
      </c>
      <c r="R1255" s="2">
        <v>36208587000</v>
      </c>
      <c r="S1255" s="2">
        <f t="shared" si="38"/>
        <v>0.19399999999999995</v>
      </c>
      <c r="T1255" s="2">
        <f t="shared" si="39"/>
        <v>48434776000</v>
      </c>
    </row>
    <row r="1256" spans="1:20" x14ac:dyDescent="0.3">
      <c r="A1256" s="1">
        <v>45727</v>
      </c>
      <c r="B1256" t="s">
        <v>974</v>
      </c>
      <c r="C1256" t="s">
        <v>18</v>
      </c>
      <c r="D1256" t="s">
        <v>52</v>
      </c>
      <c r="E1256">
        <v>3.85</v>
      </c>
      <c r="F1256">
        <v>3.9079999999999999</v>
      </c>
      <c r="G1256">
        <v>3.67</v>
      </c>
      <c r="H1256">
        <v>2.7</v>
      </c>
      <c r="I1256" s="2">
        <v>983095500</v>
      </c>
      <c r="J1256" s="2">
        <v>156256773500</v>
      </c>
      <c r="K1256" s="2">
        <v>57828163100</v>
      </c>
      <c r="L1256" s="2">
        <v>166862700</v>
      </c>
      <c r="M1256" s="2">
        <v>15036243100</v>
      </c>
      <c r="N1256" s="2">
        <v>20176000000</v>
      </c>
      <c r="O1256" s="2">
        <v>6630799500</v>
      </c>
      <c r="P1256" s="2">
        <v>85506000000</v>
      </c>
      <c r="Q1256" s="2">
        <v>36161120500</v>
      </c>
      <c r="R1256" s="2">
        <v>50574773500</v>
      </c>
      <c r="S1256" s="2">
        <f t="shared" si="38"/>
        <v>0.23799999999999999</v>
      </c>
      <c r="T1256" s="2">
        <f t="shared" si="39"/>
        <v>58978121300</v>
      </c>
    </row>
    <row r="1257" spans="1:20" x14ac:dyDescent="0.3">
      <c r="A1257" s="1">
        <v>45728</v>
      </c>
      <c r="B1257" t="s">
        <v>970</v>
      </c>
      <c r="C1257" t="s">
        <v>18</v>
      </c>
      <c r="D1257" t="s">
        <v>29</v>
      </c>
      <c r="E1257">
        <v>4.2649999999999997</v>
      </c>
      <c r="F1257">
        <v>4.3099999999999996</v>
      </c>
      <c r="G1257">
        <v>4.2</v>
      </c>
      <c r="H1257">
        <v>2.59</v>
      </c>
      <c r="I1257" s="2">
        <v>661046900</v>
      </c>
      <c r="J1257" s="2">
        <v>100860107000</v>
      </c>
      <c r="K1257" s="2">
        <v>38912640600</v>
      </c>
      <c r="L1257" s="2">
        <v>87474200</v>
      </c>
      <c r="M1257" s="2">
        <v>7590682000</v>
      </c>
      <c r="N1257" s="2">
        <v>11590000000</v>
      </c>
      <c r="O1257" s="2">
        <v>5089809000</v>
      </c>
      <c r="P1257" s="2">
        <v>56679500000</v>
      </c>
      <c r="Q1257" s="2">
        <v>26232149600</v>
      </c>
      <c r="R1257" s="2">
        <v>32590607000</v>
      </c>
      <c r="S1257" s="2">
        <f t="shared" si="38"/>
        <v>0.10999999999999943</v>
      </c>
      <c r="T1257" s="2">
        <f t="shared" si="39"/>
        <v>39661161700</v>
      </c>
    </row>
    <row r="1258" spans="1:20" x14ac:dyDescent="0.3">
      <c r="A1258" s="1">
        <v>45729</v>
      </c>
      <c r="B1258" t="s">
        <v>968</v>
      </c>
      <c r="C1258" t="s">
        <v>23</v>
      </c>
      <c r="D1258" t="s">
        <v>72</v>
      </c>
      <c r="E1258">
        <v>4.5599999999999996</v>
      </c>
      <c r="F1258">
        <v>4.6230000000000002</v>
      </c>
      <c r="G1258">
        <v>4.51</v>
      </c>
      <c r="H1258">
        <v>2.37</v>
      </c>
      <c r="I1258" s="2">
        <v>372898200</v>
      </c>
      <c r="J1258" s="2">
        <v>52022431000</v>
      </c>
      <c r="K1258" s="2">
        <v>21959626000</v>
      </c>
      <c r="L1258" s="2">
        <v>40399800</v>
      </c>
      <c r="M1258" s="2">
        <v>4974800000</v>
      </c>
      <c r="N1258" s="2">
        <v>7034800000</v>
      </c>
      <c r="O1258" s="2">
        <v>3709140000</v>
      </c>
      <c r="P1258" s="2">
        <v>29381000000</v>
      </c>
      <c r="Q1258" s="2">
        <v>13275686000</v>
      </c>
      <c r="R1258" s="2">
        <v>15606631000</v>
      </c>
      <c r="S1258" s="2">
        <f t="shared" si="38"/>
        <v>0.11300000000000043</v>
      </c>
      <c r="T1258" s="2">
        <f t="shared" si="39"/>
        <v>22372924000</v>
      </c>
    </row>
    <row r="1259" spans="1:20" x14ac:dyDescent="0.3">
      <c r="A1259" s="1">
        <v>45734</v>
      </c>
      <c r="B1259" t="s">
        <v>973</v>
      </c>
      <c r="C1259" t="s">
        <v>23</v>
      </c>
      <c r="D1259" t="s">
        <v>693</v>
      </c>
      <c r="E1259">
        <v>4.5979999999999999</v>
      </c>
      <c r="F1259">
        <v>4.6319999999999997</v>
      </c>
      <c r="G1259">
        <v>3.88</v>
      </c>
      <c r="H1259">
        <v>2.78</v>
      </c>
      <c r="I1259" s="2">
        <v>383969600</v>
      </c>
      <c r="J1259" s="2">
        <v>36086618000</v>
      </c>
      <c r="K1259" s="2">
        <v>12921252300</v>
      </c>
      <c r="L1259" s="2">
        <v>78757000</v>
      </c>
      <c r="M1259" s="2">
        <v>2888464300</v>
      </c>
      <c r="N1259" s="2">
        <v>4422000000</v>
      </c>
      <c r="O1259" s="2">
        <v>1138000000</v>
      </c>
      <c r="P1259" s="2">
        <v>19493000000</v>
      </c>
      <c r="Q1259" s="2">
        <v>8894788000</v>
      </c>
      <c r="R1259" s="2">
        <v>12171618000</v>
      </c>
      <c r="S1259" s="2">
        <f t="shared" si="38"/>
        <v>0.75199999999999978</v>
      </c>
      <c r="T1259" s="2">
        <f t="shared" si="39"/>
        <v>13383978900</v>
      </c>
    </row>
    <row r="1260" spans="1:20" x14ac:dyDescent="0.3">
      <c r="A1260" s="1">
        <v>45741</v>
      </c>
      <c r="B1260" t="s">
        <v>976</v>
      </c>
      <c r="C1260" t="s">
        <v>18</v>
      </c>
      <c r="D1260" t="s">
        <v>21</v>
      </c>
      <c r="E1260">
        <v>3.9359999999999999</v>
      </c>
      <c r="F1260">
        <v>3.984</v>
      </c>
      <c r="G1260">
        <v>3.88</v>
      </c>
      <c r="H1260">
        <v>2.66</v>
      </c>
      <c r="I1260" s="2">
        <v>2037992800</v>
      </c>
      <c r="J1260" s="2">
        <v>182770750000</v>
      </c>
      <c r="K1260" s="2">
        <v>68484645300</v>
      </c>
      <c r="L1260" s="2">
        <v>415389200</v>
      </c>
      <c r="M1260" s="2">
        <v>9301395300</v>
      </c>
      <c r="N1260" s="2">
        <v>17323000000</v>
      </c>
      <c r="O1260" s="2">
        <v>7293000000</v>
      </c>
      <c r="P1260" s="2">
        <v>99957500000</v>
      </c>
      <c r="Q1260" s="2">
        <v>51890250000</v>
      </c>
      <c r="R1260" s="2">
        <v>65490250000</v>
      </c>
      <c r="S1260" s="2">
        <f t="shared" si="38"/>
        <v>0.10400000000000009</v>
      </c>
      <c r="T1260" s="2">
        <f t="shared" si="39"/>
        <v>70938027300</v>
      </c>
    </row>
    <row r="1261" spans="1:20" x14ac:dyDescent="0.3">
      <c r="A1261" s="1">
        <v>45742</v>
      </c>
      <c r="B1261" t="s">
        <v>975</v>
      </c>
      <c r="C1261" t="s">
        <v>18</v>
      </c>
      <c r="D1261" t="s">
        <v>19</v>
      </c>
      <c r="E1261">
        <v>4.04</v>
      </c>
      <c r="F1261">
        <v>4.0999999999999996</v>
      </c>
      <c r="G1261">
        <v>3.98</v>
      </c>
      <c r="H1261">
        <v>2.33</v>
      </c>
      <c r="I1261" s="2">
        <v>2067528900</v>
      </c>
      <c r="J1261" s="2">
        <v>162540829000</v>
      </c>
      <c r="K1261" s="2">
        <v>69765065500</v>
      </c>
      <c r="L1261" s="2">
        <v>134936500</v>
      </c>
      <c r="M1261" s="2">
        <v>7652000000</v>
      </c>
      <c r="N1261" s="2">
        <v>13402000000</v>
      </c>
      <c r="O1261" s="2">
        <v>9204516500</v>
      </c>
      <c r="P1261" s="2">
        <v>88503000000</v>
      </c>
      <c r="Q1261" s="2">
        <v>52908549000</v>
      </c>
      <c r="R1261" s="2">
        <v>60635829000</v>
      </c>
      <c r="S1261" s="2">
        <f t="shared" si="38"/>
        <v>0.11999999999999966</v>
      </c>
      <c r="T1261" s="2">
        <f t="shared" si="39"/>
        <v>71967530900</v>
      </c>
    </row>
    <row r="1262" spans="1:20" x14ac:dyDescent="0.3">
      <c r="A1262" s="1">
        <v>45743</v>
      </c>
      <c r="B1262" t="s">
        <v>977</v>
      </c>
      <c r="C1262" t="s">
        <v>18</v>
      </c>
      <c r="D1262" t="s">
        <v>68</v>
      </c>
      <c r="E1262">
        <v>4.1769999999999996</v>
      </c>
      <c r="F1262">
        <v>4.2329999999999997</v>
      </c>
      <c r="G1262">
        <v>4.0999999999999996</v>
      </c>
      <c r="H1262">
        <v>2.5299999999999998</v>
      </c>
      <c r="I1262" s="2">
        <v>1299589600</v>
      </c>
      <c r="J1262" s="2">
        <v>111418998000</v>
      </c>
      <c r="K1262" s="2">
        <v>43917667200</v>
      </c>
      <c r="L1262" s="2">
        <v>82344900</v>
      </c>
      <c r="M1262" s="2">
        <v>11476200000</v>
      </c>
      <c r="N1262" s="2">
        <v>15916700000</v>
      </c>
      <c r="O1262" s="2">
        <v>5564015000</v>
      </c>
      <c r="P1262" s="2">
        <v>61585000000</v>
      </c>
      <c r="Q1262" s="2">
        <v>26877452200</v>
      </c>
      <c r="R1262" s="2">
        <v>33917298000</v>
      </c>
      <c r="S1262" s="2">
        <f t="shared" si="38"/>
        <v>0.13300000000000001</v>
      </c>
      <c r="T1262" s="2">
        <f t="shared" si="39"/>
        <v>45299601700</v>
      </c>
    </row>
    <row r="1263" spans="1:20" x14ac:dyDescent="0.3">
      <c r="A1263" s="1">
        <v>45755</v>
      </c>
      <c r="B1263" t="s">
        <v>978</v>
      </c>
      <c r="C1263" t="s">
        <v>18</v>
      </c>
      <c r="D1263" t="s">
        <v>52</v>
      </c>
      <c r="E1263">
        <v>3.7</v>
      </c>
      <c r="F1263">
        <v>3.7839999999999998</v>
      </c>
      <c r="G1263">
        <v>3.64</v>
      </c>
      <c r="H1263">
        <v>2.4700000000000002</v>
      </c>
      <c r="I1263" s="2">
        <v>9680781300</v>
      </c>
      <c r="J1263" s="2">
        <v>143017540000</v>
      </c>
      <c r="K1263" s="2">
        <v>57790487000</v>
      </c>
      <c r="L1263" s="2">
        <v>104526900</v>
      </c>
      <c r="M1263" s="2">
        <v>3606100000</v>
      </c>
      <c r="N1263" s="2">
        <v>11461600000</v>
      </c>
      <c r="O1263" s="2">
        <v>11979447000</v>
      </c>
      <c r="P1263" s="2">
        <v>80179000000</v>
      </c>
      <c r="Q1263" s="2">
        <v>42204940000</v>
      </c>
      <c r="R1263" s="2">
        <v>51376940000</v>
      </c>
      <c r="S1263" s="2">
        <f t="shared" si="38"/>
        <v>0.14399999999999968</v>
      </c>
      <c r="T1263" s="2">
        <f t="shared" si="39"/>
        <v>67575795200</v>
      </c>
    </row>
    <row r="1264" spans="1:20" x14ac:dyDescent="0.3">
      <c r="A1264" s="1">
        <v>45756</v>
      </c>
      <c r="B1264" t="s">
        <v>970</v>
      </c>
      <c r="C1264" t="s">
        <v>18</v>
      </c>
      <c r="D1264" t="s">
        <v>59</v>
      </c>
      <c r="E1264">
        <v>4.34</v>
      </c>
      <c r="F1264">
        <v>4.4349999999999996</v>
      </c>
      <c r="G1264">
        <v>2.88</v>
      </c>
      <c r="H1264">
        <v>2.67</v>
      </c>
      <c r="I1264" s="2">
        <v>6509490900</v>
      </c>
      <c r="J1264" s="2">
        <v>103847415000</v>
      </c>
      <c r="K1264" s="2">
        <v>38903827000</v>
      </c>
      <c r="L1264" s="2">
        <v>96191800</v>
      </c>
      <c r="M1264" s="2">
        <v>546000000</v>
      </c>
      <c r="N1264" s="2">
        <v>7792000000</v>
      </c>
      <c r="O1264" s="2">
        <v>4162929500</v>
      </c>
      <c r="P1264" s="2">
        <v>52984000000</v>
      </c>
      <c r="Q1264" s="2">
        <v>34194897500</v>
      </c>
      <c r="R1264" s="2">
        <v>43071415000</v>
      </c>
      <c r="S1264" s="2">
        <f t="shared" si="38"/>
        <v>1.5549999999999997</v>
      </c>
      <c r="T1264" s="2">
        <f t="shared" si="39"/>
        <v>45509509700</v>
      </c>
    </row>
    <row r="1265" spans="1:20" x14ac:dyDescent="0.3">
      <c r="A1265" s="1">
        <v>45757</v>
      </c>
      <c r="B1265" t="s">
        <v>968</v>
      </c>
      <c r="C1265" t="s">
        <v>23</v>
      </c>
      <c r="D1265" t="s">
        <v>91</v>
      </c>
      <c r="E1265">
        <v>4.7300000000000004</v>
      </c>
      <c r="F1265">
        <v>4.8129999999999997</v>
      </c>
      <c r="G1265">
        <v>3.88</v>
      </c>
      <c r="H1265">
        <v>2.4300000000000002</v>
      </c>
      <c r="I1265" s="2">
        <v>3672020400</v>
      </c>
      <c r="J1265" s="2">
        <v>53530031500</v>
      </c>
      <c r="K1265" s="2">
        <v>21962662700</v>
      </c>
      <c r="L1265" s="2">
        <v>37353300</v>
      </c>
      <c r="M1265" s="2">
        <v>5671321700</v>
      </c>
      <c r="N1265" s="2">
        <v>9132200000</v>
      </c>
      <c r="O1265" s="2">
        <v>2700788000</v>
      </c>
      <c r="P1265" s="2">
        <v>27925000000</v>
      </c>
      <c r="Q1265" s="2">
        <v>13590553000</v>
      </c>
      <c r="R1265" s="2">
        <v>16472831500</v>
      </c>
      <c r="S1265" s="2">
        <f t="shared" si="38"/>
        <v>0.93299999999999983</v>
      </c>
      <c r="T1265" s="2">
        <f t="shared" si="39"/>
        <v>25672036400</v>
      </c>
    </row>
    <row r="1266" spans="1:20" x14ac:dyDescent="0.3">
      <c r="A1266" s="1">
        <v>45763</v>
      </c>
      <c r="B1266" t="s">
        <v>973</v>
      </c>
      <c r="C1266" t="s">
        <v>23</v>
      </c>
      <c r="D1266" t="s">
        <v>698</v>
      </c>
      <c r="E1266">
        <v>4.75</v>
      </c>
      <c r="F1266">
        <v>4.8099999999999996</v>
      </c>
      <c r="G1266">
        <v>3.88</v>
      </c>
      <c r="H1266">
        <v>2.63</v>
      </c>
      <c r="I1266" s="2">
        <v>890228100</v>
      </c>
      <c r="J1266" s="2">
        <v>34070634000</v>
      </c>
      <c r="K1266" s="2">
        <v>12883615500</v>
      </c>
      <c r="L1266" s="2">
        <v>116395300</v>
      </c>
      <c r="M1266" s="2">
        <v>1587646500</v>
      </c>
      <c r="N1266" s="2">
        <v>3074000000</v>
      </c>
      <c r="O1266" s="2">
        <v>2189235000</v>
      </c>
      <c r="P1266" s="2">
        <v>18631000000</v>
      </c>
      <c r="Q1266" s="2">
        <v>9106734000</v>
      </c>
      <c r="R1266" s="2">
        <v>12365634000</v>
      </c>
      <c r="S1266" s="2">
        <f t="shared" si="38"/>
        <v>0.92999999999999972</v>
      </c>
      <c r="T1266" s="2">
        <f t="shared" si="39"/>
        <v>13890238900</v>
      </c>
    </row>
    <row r="1267" spans="1:20" x14ac:dyDescent="0.3">
      <c r="A1267" s="1">
        <v>45769</v>
      </c>
      <c r="B1267" t="s">
        <v>980</v>
      </c>
      <c r="C1267" t="s">
        <v>18</v>
      </c>
      <c r="D1267" t="s">
        <v>21</v>
      </c>
      <c r="E1267">
        <v>3.74</v>
      </c>
      <c r="F1267">
        <v>3.7949999999999999</v>
      </c>
      <c r="G1267">
        <v>2.88</v>
      </c>
      <c r="H1267">
        <v>2.52</v>
      </c>
      <c r="I1267" s="2">
        <v>4725057000</v>
      </c>
      <c r="J1267" s="2">
        <v>173174710000</v>
      </c>
      <c r="K1267" s="2">
        <v>68639526300</v>
      </c>
      <c r="L1267" s="2">
        <v>260484000</v>
      </c>
      <c r="M1267" s="2">
        <v>20646000000</v>
      </c>
      <c r="N1267" s="2">
        <v>26496000000</v>
      </c>
      <c r="O1267" s="2">
        <v>9431826300</v>
      </c>
      <c r="P1267" s="2">
        <v>94566000000</v>
      </c>
      <c r="Q1267" s="2">
        <v>38561700000</v>
      </c>
      <c r="R1267" s="2">
        <v>52112710000</v>
      </c>
      <c r="S1267" s="2">
        <f t="shared" si="38"/>
        <v>0.91500000000000004</v>
      </c>
      <c r="T1267" s="2">
        <f t="shared" si="39"/>
        <v>73625067300</v>
      </c>
    </row>
    <row r="1268" spans="1:20" x14ac:dyDescent="0.3">
      <c r="A1268" s="1">
        <v>45770</v>
      </c>
      <c r="B1268" t="s">
        <v>979</v>
      </c>
      <c r="C1268" t="s">
        <v>18</v>
      </c>
      <c r="D1268" t="s">
        <v>19</v>
      </c>
      <c r="E1268">
        <v>3.9279999999999999</v>
      </c>
      <c r="F1268">
        <v>3.9950000000000001</v>
      </c>
      <c r="G1268">
        <v>3.8</v>
      </c>
      <c r="H1268">
        <v>2.41</v>
      </c>
      <c r="I1268" s="2">
        <v>4793536100</v>
      </c>
      <c r="J1268" s="2">
        <v>168300632000</v>
      </c>
      <c r="K1268" s="2">
        <v>69884341800</v>
      </c>
      <c r="L1268" s="2">
        <v>110745200</v>
      </c>
      <c r="M1268" s="2">
        <v>17362633800</v>
      </c>
      <c r="N1268" s="2">
        <v>25521000000</v>
      </c>
      <c r="O1268" s="2">
        <v>7768076000</v>
      </c>
      <c r="P1268" s="2">
        <v>89020000000</v>
      </c>
      <c r="Q1268" s="2">
        <v>44753632000</v>
      </c>
      <c r="R1268" s="2">
        <v>53759632000</v>
      </c>
      <c r="S1268" s="2">
        <f t="shared" si="38"/>
        <v>0.19500000000000028</v>
      </c>
      <c r="T1268" s="2">
        <f t="shared" si="39"/>
        <v>74788623100</v>
      </c>
    </row>
    <row r="1269" spans="1:20" x14ac:dyDescent="0.3">
      <c r="A1269" s="1">
        <v>45771</v>
      </c>
      <c r="B1269" t="s">
        <v>981</v>
      </c>
      <c r="C1269" t="s">
        <v>18</v>
      </c>
      <c r="D1269" t="s">
        <v>68</v>
      </c>
      <c r="E1269">
        <v>4.0650000000000004</v>
      </c>
      <c r="F1269">
        <v>4.1230000000000002</v>
      </c>
      <c r="G1269">
        <v>3.88</v>
      </c>
      <c r="H1269">
        <v>2.5499999999999998</v>
      </c>
      <c r="I1269" s="2">
        <v>3013079700</v>
      </c>
      <c r="J1269" s="2">
        <v>112301837000</v>
      </c>
      <c r="K1269" s="2">
        <v>43929113000</v>
      </c>
      <c r="L1269" s="2">
        <v>70905900</v>
      </c>
      <c r="M1269" s="2">
        <v>11173500000</v>
      </c>
      <c r="N1269" s="2">
        <v>19467900000</v>
      </c>
      <c r="O1269" s="2">
        <v>6706000000</v>
      </c>
      <c r="P1269" s="2">
        <v>60868000000</v>
      </c>
      <c r="Q1269" s="2">
        <v>26049613000</v>
      </c>
      <c r="R1269" s="2">
        <v>31965937000</v>
      </c>
      <c r="S1269" s="2">
        <f t="shared" si="38"/>
        <v>0.24300000000000033</v>
      </c>
      <c r="T1269" s="2">
        <f t="shared" si="39"/>
        <v>47013098600</v>
      </c>
    </row>
    <row r="1270" spans="1:20" x14ac:dyDescent="0.3">
      <c r="A1270" s="1">
        <v>45782</v>
      </c>
      <c r="B1270" t="s">
        <v>983</v>
      </c>
      <c r="C1270" t="s">
        <v>18</v>
      </c>
      <c r="D1270" t="s">
        <v>52</v>
      </c>
      <c r="E1270">
        <v>3.7690000000000001</v>
      </c>
      <c r="F1270">
        <v>3.8239999999999998</v>
      </c>
      <c r="G1270">
        <v>3.69</v>
      </c>
      <c r="H1270">
        <v>2.56</v>
      </c>
      <c r="I1270" s="2">
        <v>20473592400</v>
      </c>
      <c r="J1270" s="2">
        <v>147993840000</v>
      </c>
      <c r="K1270" s="2">
        <v>57734288000</v>
      </c>
      <c r="L1270" s="2">
        <v>110731100</v>
      </c>
      <c r="M1270" s="2">
        <v>13688000000</v>
      </c>
      <c r="N1270" s="2">
        <v>19388000000</v>
      </c>
      <c r="O1270" s="2">
        <v>8037448000</v>
      </c>
      <c r="P1270" s="2">
        <v>81916000000</v>
      </c>
      <c r="Q1270" s="2">
        <v>36008840000</v>
      </c>
      <c r="R1270" s="2">
        <v>46689840000</v>
      </c>
      <c r="S1270" s="2">
        <f t="shared" si="38"/>
        <v>0.1339999999999999</v>
      </c>
      <c r="T1270" s="2">
        <f t="shared" si="39"/>
        <v>78318611500</v>
      </c>
    </row>
    <row r="1271" spans="1:20" x14ac:dyDescent="0.3">
      <c r="A1271" s="1">
        <v>45783</v>
      </c>
      <c r="B1271" t="s">
        <v>984</v>
      </c>
      <c r="C1271" t="s">
        <v>18</v>
      </c>
      <c r="D1271" t="s">
        <v>26</v>
      </c>
      <c r="E1271">
        <v>4.2809999999999997</v>
      </c>
      <c r="F1271">
        <v>4.3419999999999996</v>
      </c>
      <c r="G1271">
        <v>4.2</v>
      </c>
      <c r="H1271">
        <v>2.6</v>
      </c>
      <c r="I1271" s="2">
        <v>14825704800</v>
      </c>
      <c r="J1271" s="2">
        <v>109230765000</v>
      </c>
      <c r="K1271" s="2">
        <v>41852615000</v>
      </c>
      <c r="L1271" s="2">
        <v>147392100</v>
      </c>
      <c r="M1271" s="2">
        <v>8321500000</v>
      </c>
      <c r="N1271" s="2">
        <v>13760000000</v>
      </c>
      <c r="O1271" s="2">
        <v>3736150000</v>
      </c>
      <c r="P1271" s="2">
        <v>58676000000</v>
      </c>
      <c r="Q1271" s="2">
        <v>29794965000</v>
      </c>
      <c r="R1271" s="2">
        <v>36794765000</v>
      </c>
      <c r="S1271" s="2">
        <f t="shared" si="38"/>
        <v>0.14199999999999946</v>
      </c>
      <c r="T1271" s="2">
        <f t="shared" si="39"/>
        <v>56825711900</v>
      </c>
    </row>
    <row r="1272" spans="1:20" x14ac:dyDescent="0.3">
      <c r="A1272" s="1">
        <v>45785</v>
      </c>
      <c r="B1272" t="s">
        <v>982</v>
      </c>
      <c r="C1272" t="s">
        <v>23</v>
      </c>
      <c r="D1272" t="s">
        <v>65</v>
      </c>
      <c r="E1272">
        <v>4.7489999999999997</v>
      </c>
      <c r="F1272">
        <v>4.819</v>
      </c>
      <c r="G1272">
        <v>4.6769999999999996</v>
      </c>
      <c r="H1272">
        <v>2.31</v>
      </c>
      <c r="I1272" s="2">
        <v>8824824300</v>
      </c>
      <c r="J1272" s="2">
        <v>57775443000</v>
      </c>
      <c r="K1272" s="2">
        <v>24916150000</v>
      </c>
      <c r="L1272" s="2">
        <v>83873000</v>
      </c>
      <c r="M1272" s="2">
        <v>6778900000</v>
      </c>
      <c r="N1272" s="2">
        <v>9023900000</v>
      </c>
      <c r="O1272" s="2">
        <v>3467657500</v>
      </c>
      <c r="P1272" s="2">
        <v>31614000000</v>
      </c>
      <c r="Q1272" s="2">
        <v>14669592500</v>
      </c>
      <c r="R1272" s="2">
        <v>17137543000</v>
      </c>
      <c r="S1272" s="2">
        <f t="shared" si="38"/>
        <v>0.14200000000000035</v>
      </c>
      <c r="T1272" s="2">
        <f t="shared" si="39"/>
        <v>33824847300</v>
      </c>
    </row>
    <row r="1273" spans="1:20" x14ac:dyDescent="0.3">
      <c r="A1273" s="1">
        <v>45798</v>
      </c>
      <c r="B1273" t="s">
        <v>987</v>
      </c>
      <c r="C1273" t="s">
        <v>23</v>
      </c>
      <c r="D1273" t="s">
        <v>688</v>
      </c>
      <c r="E1273">
        <v>4.9740000000000002</v>
      </c>
      <c r="F1273">
        <v>5.0469999999999997</v>
      </c>
      <c r="G1273">
        <v>4.9000000000000004</v>
      </c>
      <c r="H1273">
        <v>2.46</v>
      </c>
      <c r="I1273" s="2">
        <v>2190424200</v>
      </c>
      <c r="J1273" s="2">
        <v>39172912000</v>
      </c>
      <c r="K1273" s="2">
        <v>15784555100</v>
      </c>
      <c r="L1273" s="2">
        <v>215459800</v>
      </c>
      <c r="M1273" s="2">
        <v>2221300000</v>
      </c>
      <c r="N1273" s="2">
        <v>3626300000</v>
      </c>
      <c r="O1273" s="2">
        <v>2669255000</v>
      </c>
      <c r="P1273" s="2">
        <v>22354000000</v>
      </c>
      <c r="Q1273" s="2">
        <v>10894000100</v>
      </c>
      <c r="R1273" s="2">
        <v>13192612000</v>
      </c>
      <c r="S1273" s="2">
        <f t="shared" si="38"/>
        <v>0.14699999999999935</v>
      </c>
      <c r="T1273" s="2">
        <f t="shared" si="39"/>
        <v>18190439100</v>
      </c>
    </row>
    <row r="1274" spans="1:20" x14ac:dyDescent="0.3">
      <c r="A1274" s="1">
        <v>45804</v>
      </c>
      <c r="B1274" t="s">
        <v>985</v>
      </c>
      <c r="C1274" t="s">
        <v>18</v>
      </c>
      <c r="D1274" t="s">
        <v>21</v>
      </c>
      <c r="E1274">
        <v>3.9</v>
      </c>
      <c r="F1274">
        <v>3.9550000000000001</v>
      </c>
      <c r="G1274">
        <v>3.85</v>
      </c>
      <c r="H1274">
        <v>2.57</v>
      </c>
      <c r="I1274" s="2">
        <v>9446204800</v>
      </c>
      <c r="J1274" s="2">
        <v>176843805000</v>
      </c>
      <c r="K1274" s="2">
        <v>68692183000</v>
      </c>
      <c r="L1274" s="2">
        <v>302821900</v>
      </c>
      <c r="M1274" s="2">
        <v>17986500000</v>
      </c>
      <c r="N1274" s="2">
        <v>25100050000</v>
      </c>
      <c r="O1274" s="2">
        <v>7196928000</v>
      </c>
      <c r="P1274" s="2">
        <v>93152000000</v>
      </c>
      <c r="Q1274" s="2">
        <v>43508755000</v>
      </c>
      <c r="R1274" s="2">
        <v>58591755000</v>
      </c>
      <c r="S1274" s="2">
        <f t="shared" si="38"/>
        <v>0.10499999999999998</v>
      </c>
      <c r="T1274" s="2">
        <f t="shared" si="39"/>
        <v>78441209700</v>
      </c>
    </row>
    <row r="1275" spans="1:20" x14ac:dyDescent="0.3">
      <c r="A1275" s="1">
        <v>45805</v>
      </c>
      <c r="B1275" t="s">
        <v>988</v>
      </c>
      <c r="C1275" t="s">
        <v>18</v>
      </c>
      <c r="D1275" t="s">
        <v>19</v>
      </c>
      <c r="E1275">
        <v>4.01</v>
      </c>
      <c r="F1275">
        <v>4.0709999999999997</v>
      </c>
      <c r="G1275">
        <v>3.94</v>
      </c>
      <c r="H1275">
        <v>2.39</v>
      </c>
      <c r="I1275" s="2">
        <v>9583106300</v>
      </c>
      <c r="J1275" s="2">
        <v>167252785000</v>
      </c>
      <c r="K1275" s="2">
        <v>69880539000</v>
      </c>
      <c r="L1275" s="2">
        <v>114467200</v>
      </c>
      <c r="M1275" s="2">
        <v>8660750000</v>
      </c>
      <c r="N1275" s="2">
        <v>14995000000</v>
      </c>
      <c r="O1275" s="2">
        <v>6453820000</v>
      </c>
      <c r="P1275" s="2">
        <v>90079000000</v>
      </c>
      <c r="Q1275" s="2">
        <v>54765969000</v>
      </c>
      <c r="R1275" s="2">
        <v>62178785000</v>
      </c>
      <c r="S1275" s="2">
        <f t="shared" si="38"/>
        <v>0.13099999999999978</v>
      </c>
      <c r="T1275" s="2">
        <f t="shared" si="39"/>
        <v>79578112500</v>
      </c>
    </row>
    <row r="1276" spans="1:20" x14ac:dyDescent="0.3">
      <c r="A1276" s="1">
        <v>45806</v>
      </c>
      <c r="B1276" t="s">
        <v>986</v>
      </c>
      <c r="C1276" t="s">
        <v>18</v>
      </c>
      <c r="D1276" t="s">
        <v>68</v>
      </c>
      <c r="E1276">
        <v>4.1440000000000001</v>
      </c>
      <c r="F1276">
        <v>4.194</v>
      </c>
      <c r="G1276">
        <v>4</v>
      </c>
      <c r="H1276">
        <v>2.69</v>
      </c>
      <c r="I1276" s="2">
        <v>6023666700</v>
      </c>
      <c r="J1276" s="2">
        <v>118405868000</v>
      </c>
      <c r="K1276" s="2">
        <v>43834565500</v>
      </c>
      <c r="L1276" s="2">
        <v>82476800</v>
      </c>
      <c r="M1276" s="2">
        <v>10360571300</v>
      </c>
      <c r="N1276" s="2">
        <v>17404900000</v>
      </c>
      <c r="O1276" s="2">
        <v>2123837500</v>
      </c>
      <c r="P1276" s="2">
        <v>61782000000</v>
      </c>
      <c r="Q1276" s="2">
        <v>31350156700</v>
      </c>
      <c r="R1276" s="2">
        <v>39218968000</v>
      </c>
      <c r="S1276" s="2">
        <f t="shared" si="38"/>
        <v>0.19399999999999995</v>
      </c>
      <c r="T1276" s="2">
        <f t="shared" si="39"/>
        <v>49940709000</v>
      </c>
    </row>
    <row r="1277" spans="1:20" x14ac:dyDescent="0.3">
      <c r="A1277" s="1">
        <v>45818</v>
      </c>
      <c r="B1277" t="s">
        <v>989</v>
      </c>
      <c r="C1277" t="s">
        <v>18</v>
      </c>
      <c r="D1277" t="s">
        <v>52</v>
      </c>
      <c r="E1277">
        <v>3.919</v>
      </c>
      <c r="F1277">
        <v>3.972</v>
      </c>
      <c r="G1277">
        <v>3.87</v>
      </c>
      <c r="H1277">
        <v>2.52</v>
      </c>
      <c r="I1277" s="2">
        <v>1043064200</v>
      </c>
      <c r="J1277" s="2">
        <v>145779130000</v>
      </c>
      <c r="K1277" s="2">
        <v>57852154000</v>
      </c>
      <c r="L1277" s="2">
        <v>142849200</v>
      </c>
      <c r="M1277" s="2">
        <v>10430000000</v>
      </c>
      <c r="N1277" s="2">
        <v>15358000000</v>
      </c>
      <c r="O1277" s="2">
        <v>8786719000</v>
      </c>
      <c r="P1277" s="2">
        <v>81848000000</v>
      </c>
      <c r="Q1277" s="2">
        <v>38635435000</v>
      </c>
      <c r="R1277" s="2">
        <v>48573130000</v>
      </c>
      <c r="S1277" s="2">
        <f t="shared" si="38"/>
        <v>0.10199999999999987</v>
      </c>
      <c r="T1277" s="2">
        <f t="shared" si="39"/>
        <v>59038067400</v>
      </c>
    </row>
    <row r="1278" spans="1:20" x14ac:dyDescent="0.3">
      <c r="A1278" s="1">
        <v>45819</v>
      </c>
      <c r="B1278" t="s">
        <v>984</v>
      </c>
      <c r="C1278" t="s">
        <v>18</v>
      </c>
      <c r="D1278" t="s">
        <v>29</v>
      </c>
      <c r="E1278">
        <v>4.3780000000000001</v>
      </c>
      <c r="F1278">
        <v>4.4210000000000003</v>
      </c>
      <c r="G1278">
        <v>4.32</v>
      </c>
      <c r="H1278">
        <v>2.52</v>
      </c>
      <c r="I1278" s="2">
        <v>701370600</v>
      </c>
      <c r="J1278" s="2">
        <v>98123554000</v>
      </c>
      <c r="K1278" s="2">
        <v>38875284000</v>
      </c>
      <c r="L1278" s="2">
        <v>124721100</v>
      </c>
      <c r="M1278" s="2">
        <v>7962750000</v>
      </c>
      <c r="N1278" s="2">
        <v>12106000000</v>
      </c>
      <c r="O1278" s="2">
        <v>3483480000</v>
      </c>
      <c r="P1278" s="2">
        <v>52677000000</v>
      </c>
      <c r="Q1278" s="2">
        <v>27429054000</v>
      </c>
      <c r="R1278" s="2">
        <v>33340554000</v>
      </c>
      <c r="S1278" s="2">
        <f t="shared" si="38"/>
        <v>0.10099999999999998</v>
      </c>
      <c r="T1278" s="2">
        <f t="shared" si="39"/>
        <v>39701375700</v>
      </c>
    </row>
    <row r="1279" spans="1:20" x14ac:dyDescent="0.3">
      <c r="A1279" s="1">
        <v>45820</v>
      </c>
      <c r="B1279" t="s">
        <v>982</v>
      </c>
      <c r="C1279" t="s">
        <v>23</v>
      </c>
      <c r="D1279" t="s">
        <v>72</v>
      </c>
      <c r="E1279">
        <v>4.8</v>
      </c>
      <c r="F1279">
        <v>4.8440000000000003</v>
      </c>
      <c r="G1279">
        <v>4.7</v>
      </c>
      <c r="H1279">
        <v>2.4300000000000002</v>
      </c>
      <c r="I1279" s="2">
        <v>395645000</v>
      </c>
      <c r="J1279" s="2">
        <v>53415277000</v>
      </c>
      <c r="K1279" s="2">
        <v>21965397000</v>
      </c>
      <c r="L1279" s="2">
        <v>34615700</v>
      </c>
      <c r="M1279" s="2">
        <v>5145200000</v>
      </c>
      <c r="N1279" s="2">
        <v>7780700000</v>
      </c>
      <c r="O1279" s="2">
        <v>2507004000</v>
      </c>
      <c r="P1279" s="2">
        <v>28344000000</v>
      </c>
      <c r="Q1279" s="2">
        <v>14313193000</v>
      </c>
      <c r="R1279" s="2">
        <v>17290577000</v>
      </c>
      <c r="S1279" s="2">
        <f t="shared" si="38"/>
        <v>0.14400000000000013</v>
      </c>
      <c r="T1279" s="2">
        <f t="shared" si="39"/>
        <v>22395657700</v>
      </c>
    </row>
    <row r="1280" spans="1:20" x14ac:dyDescent="0.3">
      <c r="A1280" s="1">
        <v>45824</v>
      </c>
      <c r="B1280" t="s">
        <v>987</v>
      </c>
      <c r="C1280" t="s">
        <v>23</v>
      </c>
      <c r="D1280" t="s">
        <v>693</v>
      </c>
      <c r="E1280">
        <v>4.88</v>
      </c>
      <c r="F1280">
        <v>4.9420000000000002</v>
      </c>
      <c r="G1280">
        <v>3.88</v>
      </c>
      <c r="H1280">
        <v>2.68</v>
      </c>
      <c r="I1280" s="2">
        <v>1293674900</v>
      </c>
      <c r="J1280" s="2">
        <v>34725112000</v>
      </c>
      <c r="K1280" s="2">
        <v>12912616400</v>
      </c>
      <c r="L1280" s="2">
        <v>87386300</v>
      </c>
      <c r="M1280" s="2">
        <v>2567500000</v>
      </c>
      <c r="N1280" s="2">
        <v>4109000000</v>
      </c>
      <c r="O1280" s="2">
        <v>1727004400</v>
      </c>
      <c r="P1280" s="2">
        <v>18809000000</v>
      </c>
      <c r="Q1280" s="2">
        <v>8618112000</v>
      </c>
      <c r="R1280" s="2">
        <v>11807112000</v>
      </c>
      <c r="S1280" s="2">
        <f t="shared" si="38"/>
        <v>1.0620000000000003</v>
      </c>
      <c r="T1280" s="2">
        <f t="shared" si="39"/>
        <v>14293677600</v>
      </c>
    </row>
    <row r="1281" spans="1:20" x14ac:dyDescent="0.3">
      <c r="A1281" s="1">
        <v>45832</v>
      </c>
      <c r="B1281" t="s">
        <v>992</v>
      </c>
      <c r="C1281" t="s">
        <v>18</v>
      </c>
      <c r="D1281" t="s">
        <v>21</v>
      </c>
      <c r="E1281">
        <v>3.73</v>
      </c>
      <c r="F1281">
        <v>3.786</v>
      </c>
      <c r="G1281">
        <v>3.6</v>
      </c>
      <c r="H1281">
        <v>2.58</v>
      </c>
      <c r="I1281" s="2">
        <v>6866428500</v>
      </c>
      <c r="J1281" s="2">
        <v>177442495000</v>
      </c>
      <c r="K1281" s="2">
        <v>68694945000</v>
      </c>
      <c r="L1281" s="2">
        <v>300073700</v>
      </c>
      <c r="M1281" s="2">
        <v>18085000000</v>
      </c>
      <c r="N1281" s="2">
        <v>23976000000</v>
      </c>
      <c r="O1281" s="2">
        <v>9048450000</v>
      </c>
      <c r="P1281" s="2">
        <v>99333000000</v>
      </c>
      <c r="Q1281" s="2">
        <v>41561495000</v>
      </c>
      <c r="R1281" s="2">
        <v>54133495000</v>
      </c>
      <c r="S1281" s="2">
        <f t="shared" si="38"/>
        <v>0.18599999999999994</v>
      </c>
      <c r="T1281" s="2">
        <f t="shared" si="39"/>
        <v>75861447200</v>
      </c>
    </row>
    <row r="1282" spans="1:20" x14ac:dyDescent="0.3">
      <c r="A1282" s="1">
        <v>45833</v>
      </c>
      <c r="B1282" t="s">
        <v>991</v>
      </c>
      <c r="C1282" t="s">
        <v>18</v>
      </c>
      <c r="D1282" t="s">
        <v>19</v>
      </c>
      <c r="E1282">
        <v>3.819</v>
      </c>
      <c r="F1282">
        <v>3.879</v>
      </c>
      <c r="G1282">
        <v>3.7</v>
      </c>
      <c r="H1282">
        <v>2.36</v>
      </c>
      <c r="I1282" s="2">
        <v>6965941900</v>
      </c>
      <c r="J1282" s="2">
        <v>164874972000</v>
      </c>
      <c r="K1282" s="2">
        <v>69900930400</v>
      </c>
      <c r="L1282" s="2">
        <v>94148600</v>
      </c>
      <c r="M1282" s="2">
        <v>17080558400</v>
      </c>
      <c r="N1282" s="2">
        <v>22593800000</v>
      </c>
      <c r="O1282" s="2">
        <v>7608640000</v>
      </c>
      <c r="P1282" s="2">
        <v>88659000000</v>
      </c>
      <c r="Q1282" s="2">
        <v>45211732000</v>
      </c>
      <c r="R1282" s="2">
        <v>53622172000</v>
      </c>
      <c r="S1282" s="2">
        <f t="shared" ref="S1282:S1320" si="40">SUM($F1282,-$G1282)</f>
        <v>0.17899999999999983</v>
      </c>
      <c r="T1282" s="2">
        <f t="shared" ref="T1282:T1320" si="41">SUM(I1282,K1282,L1282)</f>
        <v>76961020900</v>
      </c>
    </row>
    <row r="1283" spans="1:20" x14ac:dyDescent="0.3">
      <c r="A1283" s="1">
        <v>45834</v>
      </c>
      <c r="B1283" t="s">
        <v>990</v>
      </c>
      <c r="C1283" t="s">
        <v>18</v>
      </c>
      <c r="D1283" t="s">
        <v>68</v>
      </c>
      <c r="E1283">
        <v>3.96</v>
      </c>
      <c r="F1283">
        <v>4.0220000000000002</v>
      </c>
      <c r="G1283">
        <v>3.9</v>
      </c>
      <c r="H1283">
        <v>2.5299999999999998</v>
      </c>
      <c r="I1283" s="2">
        <v>4378592000</v>
      </c>
      <c r="J1283" s="2">
        <v>111281455000</v>
      </c>
      <c r="K1283" s="2">
        <v>43935954500</v>
      </c>
      <c r="L1283" s="2">
        <v>64045700</v>
      </c>
      <c r="M1283" s="2">
        <v>5104800000</v>
      </c>
      <c r="N1283" s="2">
        <v>10147100000</v>
      </c>
      <c r="O1283" s="2">
        <v>5115112500</v>
      </c>
      <c r="P1283" s="2">
        <v>61679000000</v>
      </c>
      <c r="Q1283" s="2">
        <v>33716042000</v>
      </c>
      <c r="R1283" s="2">
        <v>39455355000</v>
      </c>
      <c r="S1283" s="2">
        <f t="shared" si="40"/>
        <v>0.12200000000000033</v>
      </c>
      <c r="T1283" s="2">
        <f t="shared" si="41"/>
        <v>48378592200</v>
      </c>
    </row>
    <row r="1284" spans="1:20" x14ac:dyDescent="0.3">
      <c r="A1284" s="1">
        <v>45846</v>
      </c>
      <c r="B1284" t="s">
        <v>993</v>
      </c>
      <c r="C1284" t="s">
        <v>18</v>
      </c>
      <c r="D1284" t="s">
        <v>52</v>
      </c>
      <c r="E1284">
        <v>3.8359999999999999</v>
      </c>
      <c r="F1284">
        <v>3.891</v>
      </c>
      <c r="G1284">
        <v>3.7</v>
      </c>
      <c r="H1284">
        <v>2.5099999999999998</v>
      </c>
      <c r="I1284" s="2">
        <v>6862758600</v>
      </c>
      <c r="J1284" s="2">
        <v>145380070000</v>
      </c>
      <c r="K1284" s="2">
        <v>57844579000</v>
      </c>
      <c r="L1284" s="2">
        <v>150439300</v>
      </c>
      <c r="M1284" s="2">
        <v>16992784000</v>
      </c>
      <c r="N1284" s="2">
        <v>22376000000</v>
      </c>
      <c r="O1284" s="2">
        <v>9549700000</v>
      </c>
      <c r="P1284" s="2">
        <v>81275000000</v>
      </c>
      <c r="Q1284" s="2">
        <v>31302095000</v>
      </c>
      <c r="R1284" s="2">
        <v>41729070000</v>
      </c>
      <c r="S1284" s="2">
        <f t="shared" si="40"/>
        <v>0.19099999999999984</v>
      </c>
      <c r="T1284" s="2">
        <f t="shared" si="41"/>
        <v>64857776900</v>
      </c>
    </row>
    <row r="1285" spans="1:20" x14ac:dyDescent="0.3">
      <c r="A1285" s="1">
        <v>45847</v>
      </c>
      <c r="B1285" t="s">
        <v>984</v>
      </c>
      <c r="C1285" t="s">
        <v>18</v>
      </c>
      <c r="D1285" t="s">
        <v>59</v>
      </c>
      <c r="E1285">
        <v>4.3099999999999996</v>
      </c>
      <c r="F1285">
        <v>4.3620000000000001</v>
      </c>
      <c r="G1285">
        <v>4.2</v>
      </c>
      <c r="H1285">
        <v>2.61</v>
      </c>
      <c r="I1285" s="2">
        <v>4614613500</v>
      </c>
      <c r="J1285" s="2">
        <v>101724256000</v>
      </c>
      <c r="K1285" s="2">
        <v>38897801100</v>
      </c>
      <c r="L1285" s="2">
        <v>102230900</v>
      </c>
      <c r="M1285" s="2">
        <v>9220455100</v>
      </c>
      <c r="N1285" s="2">
        <v>13968000000</v>
      </c>
      <c r="O1285" s="2">
        <v>4229690000</v>
      </c>
      <c r="P1285" s="2">
        <v>56464000000</v>
      </c>
      <c r="Q1285" s="2">
        <v>25447656000</v>
      </c>
      <c r="R1285" s="2">
        <v>31292256000</v>
      </c>
      <c r="S1285" s="2">
        <f t="shared" si="40"/>
        <v>0.16199999999999992</v>
      </c>
      <c r="T1285" s="2">
        <f t="shared" si="41"/>
        <v>43614645500</v>
      </c>
    </row>
    <row r="1286" spans="1:20" x14ac:dyDescent="0.3">
      <c r="A1286" s="1">
        <v>45848</v>
      </c>
      <c r="B1286" t="s">
        <v>982</v>
      </c>
      <c r="C1286" t="s">
        <v>23</v>
      </c>
      <c r="D1286" t="s">
        <v>91</v>
      </c>
      <c r="E1286">
        <v>4.8380000000000001</v>
      </c>
      <c r="F1286">
        <v>4.8890000000000002</v>
      </c>
      <c r="G1286">
        <v>3.88</v>
      </c>
      <c r="H1286">
        <v>2.38</v>
      </c>
      <c r="I1286" s="2">
        <v>2603115300</v>
      </c>
      <c r="J1286" s="2">
        <v>52404715000</v>
      </c>
      <c r="K1286" s="2">
        <v>21973765000</v>
      </c>
      <c r="L1286" s="2">
        <v>26237100</v>
      </c>
      <c r="M1286" s="2">
        <v>6019900000</v>
      </c>
      <c r="N1286" s="2">
        <v>8108900000</v>
      </c>
      <c r="O1286" s="2">
        <v>2816850000</v>
      </c>
      <c r="P1286" s="2">
        <v>28969000000</v>
      </c>
      <c r="Q1286" s="2">
        <v>13137015000</v>
      </c>
      <c r="R1286" s="2">
        <v>15326815000</v>
      </c>
      <c r="S1286" s="2">
        <f t="shared" si="40"/>
        <v>1.0090000000000003</v>
      </c>
      <c r="T1286" s="2">
        <f t="shared" si="41"/>
        <v>24603117400</v>
      </c>
    </row>
    <row r="1287" spans="1:20" x14ac:dyDescent="0.3">
      <c r="A1287" s="1">
        <v>45861</v>
      </c>
      <c r="B1287" t="s">
        <v>987</v>
      </c>
      <c r="C1287" t="s">
        <v>23</v>
      </c>
      <c r="D1287" t="s">
        <v>698</v>
      </c>
      <c r="E1287">
        <v>4.8860000000000001</v>
      </c>
      <c r="F1287">
        <v>4.9349999999999996</v>
      </c>
      <c r="G1287">
        <v>3.88</v>
      </c>
      <c r="H1287">
        <v>2.79</v>
      </c>
      <c r="I1287" s="2">
        <v>885247700</v>
      </c>
      <c r="J1287" s="2">
        <v>36102677000</v>
      </c>
      <c r="K1287" s="2">
        <v>12877685000</v>
      </c>
      <c r="L1287" s="2">
        <v>122325900</v>
      </c>
      <c r="M1287" s="2">
        <v>2814500000</v>
      </c>
      <c r="N1287" s="2">
        <v>5018000000</v>
      </c>
      <c r="O1287" s="2">
        <v>1379975000</v>
      </c>
      <c r="P1287" s="2">
        <v>18877000000</v>
      </c>
      <c r="Q1287" s="2">
        <v>8683210000</v>
      </c>
      <c r="R1287" s="2">
        <v>12207677000</v>
      </c>
      <c r="S1287" s="2">
        <f t="shared" si="40"/>
        <v>1.0549999999999997</v>
      </c>
      <c r="T1287" s="2">
        <f t="shared" si="41"/>
        <v>13885258600</v>
      </c>
    </row>
    <row r="1288" spans="1:20" x14ac:dyDescent="0.3">
      <c r="A1288" s="1">
        <v>45866</v>
      </c>
      <c r="B1288" t="s">
        <v>994</v>
      </c>
      <c r="C1288" t="s">
        <v>18</v>
      </c>
      <c r="D1288" t="s">
        <v>19</v>
      </c>
      <c r="E1288">
        <v>3.92</v>
      </c>
      <c r="F1288">
        <v>3.9830000000000001</v>
      </c>
      <c r="G1288">
        <v>3.8</v>
      </c>
      <c r="H1288">
        <v>2.31</v>
      </c>
      <c r="I1288" s="2">
        <v>4766718600</v>
      </c>
      <c r="J1288" s="2">
        <v>161873520000</v>
      </c>
      <c r="K1288" s="2">
        <v>69878752400</v>
      </c>
      <c r="L1288" s="2">
        <v>117282000</v>
      </c>
      <c r="M1288" s="2">
        <v>20611000000</v>
      </c>
      <c r="N1288" s="2">
        <v>26298000000</v>
      </c>
      <c r="O1288" s="2">
        <v>8544536000</v>
      </c>
      <c r="P1288" s="2">
        <v>87265000000</v>
      </c>
      <c r="Q1288" s="2">
        <v>40723216400</v>
      </c>
      <c r="R1288" s="2">
        <v>48310520000</v>
      </c>
      <c r="S1288" s="2">
        <f t="shared" si="40"/>
        <v>0.18300000000000027</v>
      </c>
      <c r="T1288" s="2">
        <f t="shared" si="41"/>
        <v>74762753000</v>
      </c>
    </row>
    <row r="1289" spans="1:20" x14ac:dyDescent="0.3">
      <c r="A1289" s="1">
        <v>45866</v>
      </c>
      <c r="B1289" t="s">
        <v>995</v>
      </c>
      <c r="C1289" t="s">
        <v>18</v>
      </c>
      <c r="D1289" t="s">
        <v>21</v>
      </c>
      <c r="E1289">
        <v>3.87</v>
      </c>
      <c r="F1289">
        <v>3.92</v>
      </c>
      <c r="G1289">
        <v>3.8</v>
      </c>
      <c r="H1289">
        <v>2.62</v>
      </c>
      <c r="I1289" s="2">
        <v>4698622800</v>
      </c>
      <c r="J1289" s="2">
        <v>180334900000</v>
      </c>
      <c r="K1289" s="2">
        <v>68438880500</v>
      </c>
      <c r="L1289" s="2">
        <v>356307900</v>
      </c>
      <c r="M1289" s="2">
        <v>23524063000</v>
      </c>
      <c r="N1289" s="2">
        <v>31113000000</v>
      </c>
      <c r="O1289" s="2">
        <v>7048617500</v>
      </c>
      <c r="P1289" s="2">
        <v>94722000000</v>
      </c>
      <c r="Q1289" s="2">
        <v>37866200000</v>
      </c>
      <c r="R1289" s="2">
        <v>54499900000</v>
      </c>
      <c r="S1289" s="2">
        <f t="shared" si="40"/>
        <v>0.12000000000000011</v>
      </c>
      <c r="T1289" s="2">
        <f t="shared" si="41"/>
        <v>73493811200</v>
      </c>
    </row>
    <row r="1290" spans="1:20" x14ac:dyDescent="0.3">
      <c r="A1290" s="1">
        <v>45867</v>
      </c>
      <c r="B1290" t="s">
        <v>996</v>
      </c>
      <c r="C1290" t="s">
        <v>18</v>
      </c>
      <c r="D1290" t="s">
        <v>68</v>
      </c>
      <c r="E1290">
        <v>4.0570000000000004</v>
      </c>
      <c r="F1290">
        <v>4.0919999999999996</v>
      </c>
      <c r="G1290">
        <v>3.88</v>
      </c>
      <c r="H1290">
        <v>2.79</v>
      </c>
      <c r="I1290" s="2">
        <v>2996223100</v>
      </c>
      <c r="J1290" s="2">
        <v>122544544000</v>
      </c>
      <c r="K1290" s="2">
        <v>43916977700</v>
      </c>
      <c r="L1290" s="2">
        <v>83485300</v>
      </c>
      <c r="M1290" s="2">
        <v>14789730500</v>
      </c>
      <c r="N1290" s="2">
        <v>24016400000</v>
      </c>
      <c r="O1290" s="2">
        <v>1784000000</v>
      </c>
      <c r="P1290" s="2">
        <v>60366000000</v>
      </c>
      <c r="Q1290" s="2">
        <v>27343247200</v>
      </c>
      <c r="R1290" s="2">
        <v>38162144000</v>
      </c>
      <c r="S1290" s="2">
        <f t="shared" si="40"/>
        <v>0.21199999999999974</v>
      </c>
      <c r="T1290" s="2">
        <f t="shared" si="41"/>
        <v>46996686100</v>
      </c>
    </row>
    <row r="1291" spans="1:20" x14ac:dyDescent="0.3">
      <c r="A1291" s="1">
        <v>45874</v>
      </c>
      <c r="B1291" t="s">
        <v>997</v>
      </c>
      <c r="C1291" t="s">
        <v>18</v>
      </c>
      <c r="D1291" t="s">
        <v>52</v>
      </c>
      <c r="E1291">
        <v>3.61</v>
      </c>
      <c r="F1291">
        <v>3.669</v>
      </c>
      <c r="G1291">
        <v>3.46</v>
      </c>
      <c r="H1291">
        <v>2.5299999999999998</v>
      </c>
      <c r="I1291" s="2">
        <v>19683688400</v>
      </c>
      <c r="J1291" s="2">
        <v>146330040000</v>
      </c>
      <c r="K1291" s="2">
        <v>57846725000</v>
      </c>
      <c r="L1291" s="2">
        <v>153289100</v>
      </c>
      <c r="M1291" s="2">
        <v>16275135000</v>
      </c>
      <c r="N1291" s="2">
        <v>21043000000</v>
      </c>
      <c r="O1291" s="2">
        <v>10342600000</v>
      </c>
      <c r="P1291" s="2">
        <v>84334000000</v>
      </c>
      <c r="Q1291" s="2">
        <v>31228990000</v>
      </c>
      <c r="R1291" s="2">
        <v>40953040000</v>
      </c>
      <c r="S1291" s="2">
        <f t="shared" si="40"/>
        <v>0.20900000000000007</v>
      </c>
      <c r="T1291" s="2">
        <f t="shared" si="41"/>
        <v>77683702500</v>
      </c>
    </row>
    <row r="1292" spans="1:20" x14ac:dyDescent="0.3">
      <c r="A1292" s="1">
        <v>45875</v>
      </c>
      <c r="B1292" t="s">
        <v>999</v>
      </c>
      <c r="C1292" t="s">
        <v>18</v>
      </c>
      <c r="D1292" t="s">
        <v>26</v>
      </c>
      <c r="E1292">
        <v>4.1950000000000003</v>
      </c>
      <c r="F1292">
        <v>4.2549999999999999</v>
      </c>
      <c r="G1292">
        <v>4.12</v>
      </c>
      <c r="H1292">
        <v>2.35</v>
      </c>
      <c r="I1292" s="2">
        <v>14253705400</v>
      </c>
      <c r="J1292" s="2">
        <v>98587416000</v>
      </c>
      <c r="K1292" s="2">
        <v>41857544000</v>
      </c>
      <c r="L1292" s="2">
        <v>142568100</v>
      </c>
      <c r="M1292" s="2">
        <v>8210000000</v>
      </c>
      <c r="N1292" s="2">
        <v>12175000000</v>
      </c>
      <c r="O1292" s="2">
        <v>6762778000</v>
      </c>
      <c r="P1292" s="2">
        <v>55568000000</v>
      </c>
      <c r="Q1292" s="2">
        <v>26884766000</v>
      </c>
      <c r="R1292" s="2">
        <v>30844416000</v>
      </c>
      <c r="S1292" s="2">
        <f t="shared" si="40"/>
        <v>0.13499999999999979</v>
      </c>
      <c r="T1292" s="2">
        <f t="shared" si="41"/>
        <v>56253817500</v>
      </c>
    </row>
    <row r="1293" spans="1:20" x14ac:dyDescent="0.3">
      <c r="A1293" s="1">
        <v>45876</v>
      </c>
      <c r="B1293" t="s">
        <v>998</v>
      </c>
      <c r="C1293" t="s">
        <v>23</v>
      </c>
      <c r="D1293" t="s">
        <v>65</v>
      </c>
      <c r="E1293">
        <v>4.74</v>
      </c>
      <c r="F1293">
        <v>4.8129999999999997</v>
      </c>
      <c r="G1293">
        <v>4.6399999999999997</v>
      </c>
      <c r="H1293">
        <v>2.27</v>
      </c>
      <c r="I1293" s="2">
        <v>8484348400</v>
      </c>
      <c r="J1293" s="2">
        <v>56618887000</v>
      </c>
      <c r="K1293" s="2">
        <v>24960862000</v>
      </c>
      <c r="L1293" s="2">
        <v>39138900</v>
      </c>
      <c r="M1293" s="2">
        <v>5747800000</v>
      </c>
      <c r="N1293" s="2">
        <v>7997800000</v>
      </c>
      <c r="O1293" s="2">
        <v>4356975000</v>
      </c>
      <c r="P1293" s="2">
        <v>32207000000</v>
      </c>
      <c r="Q1293" s="2">
        <v>14856087000</v>
      </c>
      <c r="R1293" s="2">
        <v>16414087000</v>
      </c>
      <c r="S1293" s="2">
        <f t="shared" si="40"/>
        <v>0.17300000000000004</v>
      </c>
      <c r="T1293" s="2">
        <f t="shared" si="41"/>
        <v>33484349300</v>
      </c>
    </row>
    <row r="1294" spans="1:20" x14ac:dyDescent="0.3">
      <c r="A1294" s="1">
        <v>45889</v>
      </c>
      <c r="B1294" t="s">
        <v>1001</v>
      </c>
      <c r="C1294" t="s">
        <v>23</v>
      </c>
      <c r="D1294" t="s">
        <v>688</v>
      </c>
      <c r="E1294">
        <v>4.82</v>
      </c>
      <c r="F1294">
        <v>4.8760000000000003</v>
      </c>
      <c r="G1294">
        <v>2.8879999999999999</v>
      </c>
      <c r="H1294">
        <v>2.54</v>
      </c>
      <c r="I1294" s="2">
        <v>1931037500</v>
      </c>
      <c r="J1294" s="2">
        <v>40468842000</v>
      </c>
      <c r="K1294" s="2">
        <v>15839720000</v>
      </c>
      <c r="L1294" s="2">
        <v>160287800</v>
      </c>
      <c r="M1294" s="2">
        <v>4193000000</v>
      </c>
      <c r="N1294" s="2">
        <v>5850000000</v>
      </c>
      <c r="O1294" s="2">
        <v>2040878000</v>
      </c>
      <c r="P1294" s="2">
        <v>22177000000</v>
      </c>
      <c r="Q1294" s="2">
        <v>9605842000</v>
      </c>
      <c r="R1294" s="2">
        <v>12441842000</v>
      </c>
      <c r="S1294" s="2">
        <f t="shared" si="40"/>
        <v>1.9880000000000004</v>
      </c>
      <c r="T1294" s="2">
        <f t="shared" si="41"/>
        <v>17931045300</v>
      </c>
    </row>
    <row r="1295" spans="1:20" x14ac:dyDescent="0.3">
      <c r="A1295" s="1">
        <v>45895</v>
      </c>
      <c r="B1295" t="s">
        <v>1002</v>
      </c>
      <c r="C1295" t="s">
        <v>18</v>
      </c>
      <c r="D1295" t="s">
        <v>21</v>
      </c>
      <c r="E1295">
        <v>3.6</v>
      </c>
      <c r="F1295">
        <v>3.641</v>
      </c>
      <c r="G1295">
        <v>3.5</v>
      </c>
      <c r="H1295">
        <v>2.69</v>
      </c>
      <c r="I1295" s="2">
        <v>8327599600</v>
      </c>
      <c r="J1295" s="2">
        <v>185064243000</v>
      </c>
      <c r="K1295" s="2">
        <v>68364904200</v>
      </c>
      <c r="L1295" s="2">
        <v>330121100</v>
      </c>
      <c r="M1295" s="2">
        <v>22673100000</v>
      </c>
      <c r="N1295" s="2">
        <v>32884000000</v>
      </c>
      <c r="O1295" s="2">
        <v>6659350000</v>
      </c>
      <c r="P1295" s="2">
        <v>96816000000</v>
      </c>
      <c r="Q1295" s="2">
        <v>39032454200</v>
      </c>
      <c r="R1295" s="2">
        <v>55364243000</v>
      </c>
      <c r="S1295" s="2">
        <f t="shared" si="40"/>
        <v>0.14100000000000001</v>
      </c>
      <c r="T1295" s="2">
        <f t="shared" si="41"/>
        <v>77022624900</v>
      </c>
    </row>
    <row r="1296" spans="1:20" x14ac:dyDescent="0.3">
      <c r="A1296" s="1">
        <v>45896</v>
      </c>
      <c r="B1296" t="s">
        <v>1000</v>
      </c>
      <c r="C1296" t="s">
        <v>18</v>
      </c>
      <c r="D1296" t="s">
        <v>19</v>
      </c>
      <c r="E1296">
        <v>3.6669999999999998</v>
      </c>
      <c r="F1296">
        <v>3.7240000000000002</v>
      </c>
      <c r="G1296">
        <v>3.6</v>
      </c>
      <c r="H1296">
        <v>2.36</v>
      </c>
      <c r="I1296" s="2">
        <v>8448289400</v>
      </c>
      <c r="J1296" s="2">
        <v>165269954000</v>
      </c>
      <c r="K1296" s="2">
        <v>69883850000</v>
      </c>
      <c r="L1296" s="2">
        <v>107007500</v>
      </c>
      <c r="M1296" s="2">
        <v>21480101000</v>
      </c>
      <c r="N1296" s="2">
        <v>26963000000</v>
      </c>
      <c r="O1296" s="2">
        <v>6139000000</v>
      </c>
      <c r="P1296" s="2">
        <v>87871000000</v>
      </c>
      <c r="Q1296" s="2">
        <v>42264749000</v>
      </c>
      <c r="R1296" s="2">
        <v>50435954000</v>
      </c>
      <c r="S1296" s="2">
        <f t="shared" si="40"/>
        <v>0.12400000000000011</v>
      </c>
      <c r="T1296" s="2">
        <f t="shared" si="41"/>
        <v>78439146900</v>
      </c>
    </row>
    <row r="1297" spans="1:20" x14ac:dyDescent="0.3">
      <c r="A1297" s="1">
        <v>45897</v>
      </c>
      <c r="B1297" t="s">
        <v>1003</v>
      </c>
      <c r="C1297" t="s">
        <v>18</v>
      </c>
      <c r="D1297" t="s">
        <v>68</v>
      </c>
      <c r="E1297">
        <v>3.87</v>
      </c>
      <c r="F1297">
        <v>3.9249999999999998</v>
      </c>
      <c r="G1297">
        <v>2.88</v>
      </c>
      <c r="H1297">
        <v>2.4900000000000002</v>
      </c>
      <c r="I1297" s="2">
        <v>5310353300</v>
      </c>
      <c r="J1297" s="2">
        <v>109408835000</v>
      </c>
      <c r="K1297" s="2">
        <v>43904285000</v>
      </c>
      <c r="L1297" s="2">
        <v>95734600</v>
      </c>
      <c r="M1297" s="2">
        <v>5604550000</v>
      </c>
      <c r="N1297" s="2">
        <v>10164300000</v>
      </c>
      <c r="O1297" s="2">
        <v>4297200000</v>
      </c>
      <c r="P1297" s="2">
        <v>60121000000</v>
      </c>
      <c r="Q1297" s="2">
        <v>34002535000</v>
      </c>
      <c r="R1297" s="2">
        <v>39123535000</v>
      </c>
      <c r="S1297" s="2">
        <f t="shared" si="40"/>
        <v>1.0449999999999999</v>
      </c>
      <c r="T1297" s="2">
        <f t="shared" si="41"/>
        <v>49310372900</v>
      </c>
    </row>
    <row r="1298" spans="1:20" x14ac:dyDescent="0.3">
      <c r="A1298" s="1">
        <v>45909</v>
      </c>
      <c r="B1298" t="s">
        <v>1004</v>
      </c>
      <c r="C1298" t="s">
        <v>18</v>
      </c>
      <c r="D1298" t="s">
        <v>52</v>
      </c>
      <c r="E1298">
        <v>3.4449999999999998</v>
      </c>
      <c r="F1298">
        <v>3.4849999999999999</v>
      </c>
      <c r="G1298">
        <v>2.88</v>
      </c>
      <c r="H1298">
        <v>2.73</v>
      </c>
      <c r="I1298" s="2">
        <v>0</v>
      </c>
      <c r="J1298" s="2">
        <v>157913245000</v>
      </c>
      <c r="K1298" s="2">
        <v>57778780200</v>
      </c>
      <c r="L1298" s="2">
        <v>213366000</v>
      </c>
      <c r="M1298" s="2">
        <v>10047772800</v>
      </c>
      <c r="N1298" s="2">
        <v>17365000000</v>
      </c>
      <c r="O1298" s="2">
        <v>4835680000</v>
      </c>
      <c r="P1298" s="2">
        <v>85284000000</v>
      </c>
      <c r="Q1298" s="2">
        <v>42895327400</v>
      </c>
      <c r="R1298" s="2">
        <v>55264245000</v>
      </c>
      <c r="S1298" s="2">
        <f t="shared" si="40"/>
        <v>0.60499999999999998</v>
      </c>
      <c r="T1298" s="2">
        <f t="shared" si="41"/>
        <v>57992146200</v>
      </c>
    </row>
    <row r="1299" spans="1:20" x14ac:dyDescent="0.3">
      <c r="A1299" s="1">
        <v>45910</v>
      </c>
      <c r="B1299" t="s">
        <v>999</v>
      </c>
      <c r="C1299" t="s">
        <v>18</v>
      </c>
      <c r="D1299" t="s">
        <v>29</v>
      </c>
      <c r="E1299">
        <v>3.9860000000000002</v>
      </c>
      <c r="F1299">
        <v>4.0330000000000004</v>
      </c>
      <c r="G1299">
        <v>3.9</v>
      </c>
      <c r="H1299">
        <v>2.65</v>
      </c>
      <c r="I1299" s="2">
        <v>0</v>
      </c>
      <c r="J1299" s="2">
        <v>103227910000</v>
      </c>
      <c r="K1299" s="2">
        <v>38881412000</v>
      </c>
      <c r="L1299" s="2">
        <v>118612500</v>
      </c>
      <c r="M1299" s="2">
        <v>4920500000</v>
      </c>
      <c r="N1299" s="2">
        <v>10467000000</v>
      </c>
      <c r="O1299" s="2">
        <v>1638000000</v>
      </c>
      <c r="P1299" s="2">
        <v>53808000000</v>
      </c>
      <c r="Q1299" s="2">
        <v>32322912000</v>
      </c>
      <c r="R1299" s="2">
        <v>38952910000</v>
      </c>
      <c r="S1299" s="2">
        <f t="shared" si="40"/>
        <v>0.13300000000000045</v>
      </c>
      <c r="T1299" s="2">
        <f t="shared" si="41"/>
        <v>39000024500</v>
      </c>
    </row>
    <row r="1300" spans="1:20" x14ac:dyDescent="0.3">
      <c r="A1300" s="1">
        <v>45911</v>
      </c>
      <c r="B1300" t="s">
        <v>998</v>
      </c>
      <c r="C1300" t="s">
        <v>23</v>
      </c>
      <c r="D1300" t="s">
        <v>72</v>
      </c>
      <c r="E1300">
        <v>4.585</v>
      </c>
      <c r="F1300">
        <v>4.6509999999999998</v>
      </c>
      <c r="G1300">
        <v>2.88</v>
      </c>
      <c r="H1300">
        <v>2.38</v>
      </c>
      <c r="I1300" s="2">
        <v>0</v>
      </c>
      <c r="J1300" s="2">
        <v>52238198000</v>
      </c>
      <c r="K1300" s="2">
        <v>21956149000</v>
      </c>
      <c r="L1300" s="2">
        <v>43851200</v>
      </c>
      <c r="M1300" s="2">
        <v>6150500000</v>
      </c>
      <c r="N1300" s="2">
        <v>8410500000</v>
      </c>
      <c r="O1300" s="2">
        <v>2185951000</v>
      </c>
      <c r="P1300" s="2">
        <v>28338000000</v>
      </c>
      <c r="Q1300" s="2">
        <v>13619698000</v>
      </c>
      <c r="R1300" s="2">
        <v>15489698000</v>
      </c>
      <c r="S1300" s="2">
        <f t="shared" si="40"/>
        <v>1.7709999999999999</v>
      </c>
      <c r="T1300" s="2">
        <f t="shared" si="41"/>
        <v>22000000200</v>
      </c>
    </row>
    <row r="1301" spans="1:20" x14ac:dyDescent="0.3">
      <c r="A1301" s="1">
        <v>45916</v>
      </c>
      <c r="B1301" t="s">
        <v>1001</v>
      </c>
      <c r="C1301" t="s">
        <v>23</v>
      </c>
      <c r="D1301" t="s">
        <v>693</v>
      </c>
      <c r="E1301">
        <v>4.5640000000000001</v>
      </c>
      <c r="F1301">
        <v>4.6130000000000004</v>
      </c>
      <c r="G1301">
        <v>2.88</v>
      </c>
      <c r="H1301">
        <v>2.74</v>
      </c>
      <c r="I1301" s="2">
        <v>717838900</v>
      </c>
      <c r="J1301" s="2">
        <v>35576344000</v>
      </c>
      <c r="K1301" s="2">
        <v>12891939200</v>
      </c>
      <c r="L1301" s="2">
        <v>108094900</v>
      </c>
      <c r="M1301" s="2">
        <v>3592431200</v>
      </c>
      <c r="N1301" s="2">
        <v>5281000000</v>
      </c>
      <c r="O1301" s="2">
        <v>976440000</v>
      </c>
      <c r="P1301" s="2">
        <v>19183000000</v>
      </c>
      <c r="Q1301" s="2">
        <v>8323068000</v>
      </c>
      <c r="R1301" s="2">
        <v>11112344000</v>
      </c>
      <c r="S1301" s="2">
        <f t="shared" si="40"/>
        <v>1.7330000000000005</v>
      </c>
      <c r="T1301" s="2">
        <f t="shared" si="41"/>
        <v>13717873000</v>
      </c>
    </row>
    <row r="1302" spans="1:20" x14ac:dyDescent="0.3">
      <c r="A1302" s="1">
        <v>45923</v>
      </c>
      <c r="B1302" t="s">
        <v>1007</v>
      </c>
      <c r="C1302" t="s">
        <v>18</v>
      </c>
      <c r="D1302" t="s">
        <v>21</v>
      </c>
      <c r="E1302">
        <v>3.52</v>
      </c>
      <c r="F1302">
        <v>3.5710000000000002</v>
      </c>
      <c r="G1302">
        <v>3.4</v>
      </c>
      <c r="H1302">
        <v>2.5099999999999998</v>
      </c>
      <c r="I1302" s="2">
        <v>3810068500</v>
      </c>
      <c r="J1302" s="2">
        <v>173060255000</v>
      </c>
      <c r="K1302" s="2">
        <v>68681817300</v>
      </c>
      <c r="L1302" s="2">
        <v>313227000</v>
      </c>
      <c r="M1302" s="2">
        <v>21131182300</v>
      </c>
      <c r="N1302" s="2">
        <v>28009000000</v>
      </c>
      <c r="O1302" s="2">
        <v>7889380000</v>
      </c>
      <c r="P1302" s="2">
        <v>92217000000</v>
      </c>
      <c r="Q1302" s="2">
        <v>39661255000</v>
      </c>
      <c r="R1302" s="2">
        <v>52834255000</v>
      </c>
      <c r="S1302" s="2">
        <f t="shared" si="40"/>
        <v>0.17100000000000026</v>
      </c>
      <c r="T1302" s="2">
        <f t="shared" si="41"/>
        <v>72805112800</v>
      </c>
    </row>
    <row r="1303" spans="1:20" x14ac:dyDescent="0.3">
      <c r="A1303" s="1">
        <v>45924</v>
      </c>
      <c r="B1303" t="s">
        <v>1006</v>
      </c>
      <c r="C1303" t="s">
        <v>18</v>
      </c>
      <c r="D1303" t="s">
        <v>19</v>
      </c>
      <c r="E1303">
        <v>3.6539999999999999</v>
      </c>
      <c r="F1303">
        <v>3.71</v>
      </c>
      <c r="G1303">
        <v>3.6</v>
      </c>
      <c r="H1303">
        <v>2.34</v>
      </c>
      <c r="I1303" s="2">
        <v>3865286900</v>
      </c>
      <c r="J1303" s="2">
        <v>164000354000</v>
      </c>
      <c r="K1303" s="2">
        <v>69898797200</v>
      </c>
      <c r="L1303" s="2">
        <v>96206000</v>
      </c>
      <c r="M1303" s="2">
        <v>20016676800</v>
      </c>
      <c r="N1303" s="2">
        <v>26120000000</v>
      </c>
      <c r="O1303" s="2">
        <v>8347846400</v>
      </c>
      <c r="P1303" s="2">
        <v>89845000000</v>
      </c>
      <c r="Q1303" s="2">
        <v>41534274000</v>
      </c>
      <c r="R1303" s="2">
        <v>48035354000</v>
      </c>
      <c r="S1303" s="2">
        <f t="shared" si="40"/>
        <v>0.10999999999999988</v>
      </c>
      <c r="T1303" s="2">
        <f t="shared" si="41"/>
        <v>73860290100</v>
      </c>
    </row>
    <row r="1304" spans="1:20" x14ac:dyDescent="0.3">
      <c r="A1304" s="1">
        <v>45925</v>
      </c>
      <c r="B1304" t="s">
        <v>1005</v>
      </c>
      <c r="C1304" t="s">
        <v>18</v>
      </c>
      <c r="D1304" t="s">
        <v>68</v>
      </c>
      <c r="E1304">
        <v>3.895</v>
      </c>
      <c r="F1304">
        <v>3.9529999999999998</v>
      </c>
      <c r="G1304">
        <v>3.8</v>
      </c>
      <c r="H1304">
        <v>2.4</v>
      </c>
      <c r="I1304" s="2">
        <v>2429608900</v>
      </c>
      <c r="J1304" s="2">
        <v>105335796000</v>
      </c>
      <c r="K1304" s="2">
        <v>43943699400</v>
      </c>
      <c r="L1304" s="2">
        <v>56306300</v>
      </c>
      <c r="M1304" s="2">
        <v>13877103400</v>
      </c>
      <c r="N1304" s="2">
        <v>17828200000</v>
      </c>
      <c r="O1304" s="2">
        <v>5275000000</v>
      </c>
      <c r="P1304" s="2">
        <v>58298000000</v>
      </c>
      <c r="Q1304" s="2">
        <v>24791596000</v>
      </c>
      <c r="R1304" s="2">
        <v>29209596000</v>
      </c>
      <c r="S1304" s="2">
        <f t="shared" si="40"/>
        <v>0.15300000000000002</v>
      </c>
      <c r="T1304" s="2">
        <f t="shared" si="41"/>
        <v>46429614600</v>
      </c>
    </row>
    <row r="1305" spans="1:20" x14ac:dyDescent="0.3">
      <c r="A1305" s="1">
        <v>45937</v>
      </c>
      <c r="B1305" t="s">
        <v>1008</v>
      </c>
      <c r="C1305" t="s">
        <v>18</v>
      </c>
      <c r="D1305" t="s">
        <v>52</v>
      </c>
      <c r="E1305">
        <v>3.5339999999999998</v>
      </c>
      <c r="F1305">
        <v>3.5760000000000001</v>
      </c>
      <c r="G1305">
        <v>3.4180000000000001</v>
      </c>
      <c r="H1305">
        <v>2.66</v>
      </c>
      <c r="I1305" s="2">
        <v>1076671700</v>
      </c>
      <c r="J1305" s="2">
        <v>154281860000</v>
      </c>
      <c r="K1305" s="2">
        <v>57841524400</v>
      </c>
      <c r="L1305" s="2">
        <v>153610300</v>
      </c>
      <c r="M1305" s="2">
        <v>15372614400</v>
      </c>
      <c r="N1305" s="2">
        <v>22778000000</v>
      </c>
      <c r="O1305" s="2">
        <v>6203000000</v>
      </c>
      <c r="P1305" s="2">
        <v>82977000000</v>
      </c>
      <c r="Q1305" s="2">
        <v>36265910000</v>
      </c>
      <c r="R1305" s="2">
        <v>48526860000</v>
      </c>
      <c r="S1305" s="2">
        <f t="shared" si="40"/>
        <v>0.15799999999999992</v>
      </c>
      <c r="T1305" s="2">
        <f t="shared" si="41"/>
        <v>59071806400</v>
      </c>
    </row>
    <row r="1306" spans="1:20" x14ac:dyDescent="0.3">
      <c r="A1306" s="1">
        <v>45938</v>
      </c>
      <c r="B1306" t="s">
        <v>999</v>
      </c>
      <c r="C1306" t="s">
        <v>18</v>
      </c>
      <c r="D1306" t="s">
        <v>59</v>
      </c>
      <c r="E1306">
        <v>4.0599999999999996</v>
      </c>
      <c r="F1306">
        <v>4.117</v>
      </c>
      <c r="G1306">
        <v>4.01</v>
      </c>
      <c r="H1306">
        <v>2.48</v>
      </c>
      <c r="I1306" s="2">
        <v>723968800</v>
      </c>
      <c r="J1306" s="2">
        <v>96557481000</v>
      </c>
      <c r="K1306" s="2">
        <v>38921677000</v>
      </c>
      <c r="L1306" s="2">
        <v>78344500</v>
      </c>
      <c r="M1306" s="2">
        <v>9381000000</v>
      </c>
      <c r="N1306" s="2">
        <v>13340000000</v>
      </c>
      <c r="O1306" s="2">
        <v>3539221000</v>
      </c>
      <c r="P1306" s="2">
        <v>52319000000</v>
      </c>
      <c r="Q1306" s="2">
        <v>26001456000</v>
      </c>
      <c r="R1306" s="2">
        <v>30898481000</v>
      </c>
      <c r="S1306" s="2">
        <f t="shared" si="40"/>
        <v>0.10700000000000021</v>
      </c>
      <c r="T1306" s="2">
        <f t="shared" si="41"/>
        <v>39723990300</v>
      </c>
    </row>
    <row r="1307" spans="1:20" x14ac:dyDescent="0.3">
      <c r="A1307" s="1">
        <v>45939</v>
      </c>
      <c r="B1307" t="s">
        <v>998</v>
      </c>
      <c r="C1307" t="s">
        <v>23</v>
      </c>
      <c r="D1307" t="s">
        <v>91</v>
      </c>
      <c r="E1307">
        <v>4.67</v>
      </c>
      <c r="F1307">
        <v>4.734</v>
      </c>
      <c r="G1307">
        <v>3.88</v>
      </c>
      <c r="H1307">
        <v>2.38</v>
      </c>
      <c r="I1307" s="2">
        <v>408392700</v>
      </c>
      <c r="J1307" s="2">
        <v>52369953000</v>
      </c>
      <c r="K1307" s="2">
        <v>21956457500</v>
      </c>
      <c r="L1307" s="2">
        <v>43558500</v>
      </c>
      <c r="M1307" s="2">
        <v>5898400000</v>
      </c>
      <c r="N1307" s="2">
        <v>8085400000</v>
      </c>
      <c r="O1307" s="2">
        <v>1901737000</v>
      </c>
      <c r="P1307" s="2">
        <v>27868000000</v>
      </c>
      <c r="Q1307" s="2">
        <v>14156320500</v>
      </c>
      <c r="R1307" s="2">
        <v>16416553000</v>
      </c>
      <c r="S1307" s="2">
        <f t="shared" si="40"/>
        <v>0.85400000000000009</v>
      </c>
      <c r="T1307" s="2">
        <f t="shared" si="41"/>
        <v>22408408700</v>
      </c>
    </row>
    <row r="1308" spans="1:20" x14ac:dyDescent="0.3">
      <c r="A1308" s="1">
        <v>45952</v>
      </c>
      <c r="B1308" t="s">
        <v>1001</v>
      </c>
      <c r="C1308" t="s">
        <v>23</v>
      </c>
      <c r="D1308" t="s">
        <v>698</v>
      </c>
      <c r="E1308">
        <v>4.4640000000000004</v>
      </c>
      <c r="F1308">
        <v>4.5060000000000002</v>
      </c>
      <c r="G1308">
        <v>3.88</v>
      </c>
      <c r="H1308">
        <v>2.73</v>
      </c>
      <c r="I1308" s="2">
        <v>746486500</v>
      </c>
      <c r="J1308" s="2">
        <v>35477274000</v>
      </c>
      <c r="K1308" s="2">
        <v>12934036100</v>
      </c>
      <c r="L1308" s="2">
        <v>65975000</v>
      </c>
      <c r="M1308" s="2">
        <v>3405962100</v>
      </c>
      <c r="N1308" s="2">
        <v>5082000000</v>
      </c>
      <c r="O1308" s="2">
        <v>1298000000</v>
      </c>
      <c r="P1308" s="2">
        <v>18704000000</v>
      </c>
      <c r="Q1308" s="2">
        <v>8230074000</v>
      </c>
      <c r="R1308" s="2">
        <v>11691274000</v>
      </c>
      <c r="S1308" s="2">
        <f t="shared" si="40"/>
        <v>0.62600000000000033</v>
      </c>
      <c r="T1308" s="2">
        <f t="shared" si="41"/>
        <v>13746497600</v>
      </c>
    </row>
    <row r="1309" spans="1:20" x14ac:dyDescent="0.3">
      <c r="A1309" s="1">
        <v>45957</v>
      </c>
      <c r="B1309" t="s">
        <v>1010</v>
      </c>
      <c r="C1309" t="s">
        <v>18</v>
      </c>
      <c r="D1309" t="s">
        <v>19</v>
      </c>
      <c r="E1309">
        <v>3.5750000000000002</v>
      </c>
      <c r="F1309">
        <v>3.625</v>
      </c>
      <c r="G1309">
        <v>3.52</v>
      </c>
      <c r="H1309">
        <v>2.38</v>
      </c>
      <c r="I1309" s="2">
        <v>4019543200</v>
      </c>
      <c r="J1309" s="2">
        <v>166511617000</v>
      </c>
      <c r="K1309" s="2">
        <v>69902036000</v>
      </c>
      <c r="L1309" s="2">
        <v>90171500</v>
      </c>
      <c r="M1309" s="2">
        <v>16701250000</v>
      </c>
      <c r="N1309" s="2">
        <v>23166000000</v>
      </c>
      <c r="O1309" s="2">
        <v>6480750000</v>
      </c>
      <c r="P1309" s="2">
        <v>89335000000</v>
      </c>
      <c r="Q1309" s="2">
        <v>46720036000</v>
      </c>
      <c r="R1309" s="2">
        <v>54010617000</v>
      </c>
      <c r="S1309" s="2">
        <f t="shared" si="40"/>
        <v>0.10499999999999998</v>
      </c>
      <c r="T1309" s="2">
        <f t="shared" si="41"/>
        <v>74011750700</v>
      </c>
    </row>
    <row r="1310" spans="1:20" x14ac:dyDescent="0.3">
      <c r="A1310" s="1">
        <v>45957</v>
      </c>
      <c r="B1310" t="s">
        <v>1009</v>
      </c>
      <c r="C1310" t="s">
        <v>18</v>
      </c>
      <c r="D1310" t="s">
        <v>21</v>
      </c>
      <c r="E1310">
        <v>3.4529999999999998</v>
      </c>
      <c r="F1310">
        <v>3.504</v>
      </c>
      <c r="G1310">
        <v>3.4</v>
      </c>
      <c r="H1310">
        <v>2.59</v>
      </c>
      <c r="I1310" s="2">
        <v>3962121200</v>
      </c>
      <c r="J1310" s="2">
        <v>178176194000</v>
      </c>
      <c r="K1310" s="2">
        <v>68473624000</v>
      </c>
      <c r="L1310" s="2">
        <v>321391600</v>
      </c>
      <c r="M1310" s="2">
        <v>23809000000</v>
      </c>
      <c r="N1310" s="2">
        <v>31681000000</v>
      </c>
      <c r="O1310" s="2">
        <v>7928260000</v>
      </c>
      <c r="P1310" s="2">
        <v>95869000000</v>
      </c>
      <c r="Q1310" s="2">
        <v>36736364000</v>
      </c>
      <c r="R1310" s="2">
        <v>50626194000</v>
      </c>
      <c r="S1310" s="2">
        <f t="shared" si="40"/>
        <v>0.10400000000000009</v>
      </c>
      <c r="T1310" s="2">
        <f t="shared" si="41"/>
        <v>72757136800</v>
      </c>
    </row>
    <row r="1311" spans="1:20" x14ac:dyDescent="0.3">
      <c r="A1311" s="1">
        <v>45958</v>
      </c>
      <c r="B1311" t="s">
        <v>1011</v>
      </c>
      <c r="C1311" t="s">
        <v>18</v>
      </c>
      <c r="D1311" t="s">
        <v>68</v>
      </c>
      <c r="E1311">
        <v>3.7349999999999999</v>
      </c>
      <c r="F1311">
        <v>3.79</v>
      </c>
      <c r="G1311">
        <v>3.63</v>
      </c>
      <c r="H1311">
        <v>2.46</v>
      </c>
      <c r="I1311" s="2">
        <v>2526570100</v>
      </c>
      <c r="J1311" s="2">
        <v>108060857000</v>
      </c>
      <c r="K1311" s="2">
        <v>43954857700</v>
      </c>
      <c r="L1311" s="2">
        <v>45181300</v>
      </c>
      <c r="M1311" s="2">
        <v>12239397000</v>
      </c>
      <c r="N1311" s="2">
        <v>17324100000</v>
      </c>
      <c r="O1311" s="2">
        <v>5777731000</v>
      </c>
      <c r="P1311" s="2">
        <v>60065000000</v>
      </c>
      <c r="Q1311" s="2">
        <v>25937729700</v>
      </c>
      <c r="R1311" s="2">
        <v>30671757000</v>
      </c>
      <c r="S1311" s="2">
        <f t="shared" si="40"/>
        <v>0.16000000000000014</v>
      </c>
      <c r="T1311" s="2">
        <f t="shared" si="41"/>
        <v>46526609100</v>
      </c>
    </row>
    <row r="1312" spans="1:20" x14ac:dyDescent="0.3">
      <c r="A1312" s="1">
        <v>45971</v>
      </c>
      <c r="B1312" t="s">
        <v>1014</v>
      </c>
      <c r="C1312" t="s">
        <v>18</v>
      </c>
      <c r="D1312" t="s">
        <v>52</v>
      </c>
      <c r="E1312">
        <v>3.54</v>
      </c>
      <c r="F1312">
        <v>3.5790000000000002</v>
      </c>
      <c r="G1312">
        <v>3.48</v>
      </c>
      <c r="H1312">
        <v>2.85</v>
      </c>
      <c r="I1312" s="2">
        <v>9033593800</v>
      </c>
      <c r="J1312" s="2">
        <v>165015820000</v>
      </c>
      <c r="K1312" s="2">
        <v>57743491600</v>
      </c>
      <c r="L1312" s="2">
        <v>156624000</v>
      </c>
      <c r="M1312" s="2">
        <v>15775500000</v>
      </c>
      <c r="N1312" s="2">
        <v>23870000000</v>
      </c>
      <c r="O1312" s="2">
        <v>5611000000</v>
      </c>
      <c r="P1312" s="2">
        <v>91183000000</v>
      </c>
      <c r="Q1312" s="2">
        <v>36356991600</v>
      </c>
      <c r="R1312" s="2">
        <v>49962820000</v>
      </c>
      <c r="S1312" s="2">
        <f t="shared" si="40"/>
        <v>9.9000000000000199E-2</v>
      </c>
      <c r="T1312" s="2">
        <f t="shared" si="41"/>
        <v>66933709400</v>
      </c>
    </row>
    <row r="1313" spans="1:20" x14ac:dyDescent="0.3">
      <c r="A1313" s="1">
        <v>45973</v>
      </c>
      <c r="B1313" t="s">
        <v>1012</v>
      </c>
      <c r="C1313" t="s">
        <v>18</v>
      </c>
      <c r="D1313" t="s">
        <v>26</v>
      </c>
      <c r="E1313">
        <v>4.0279999999999996</v>
      </c>
      <c r="F1313">
        <v>4.0739999999999998</v>
      </c>
      <c r="G1313">
        <v>3.96</v>
      </c>
      <c r="H1313">
        <v>2.4300000000000002</v>
      </c>
      <c r="I1313" s="2">
        <v>6541567900</v>
      </c>
      <c r="J1313" s="2">
        <v>102025085000</v>
      </c>
      <c r="K1313" s="2">
        <v>41857012200</v>
      </c>
      <c r="L1313" s="2">
        <v>143047000</v>
      </c>
      <c r="M1313" s="2">
        <v>9439000000</v>
      </c>
      <c r="N1313" s="2">
        <v>13485000000</v>
      </c>
      <c r="O1313" s="2">
        <v>4374668000</v>
      </c>
      <c r="P1313" s="2">
        <v>56267000000</v>
      </c>
      <c r="Q1313" s="2">
        <v>28043344200</v>
      </c>
      <c r="R1313" s="2">
        <v>32273085000</v>
      </c>
      <c r="S1313" s="2">
        <f t="shared" si="40"/>
        <v>0.11399999999999988</v>
      </c>
      <c r="T1313" s="2">
        <f t="shared" si="41"/>
        <v>48541627100</v>
      </c>
    </row>
    <row r="1314" spans="1:20" x14ac:dyDescent="0.3">
      <c r="A1314" s="1">
        <v>45974</v>
      </c>
      <c r="B1314" t="s">
        <v>1013</v>
      </c>
      <c r="C1314" t="s">
        <v>23</v>
      </c>
      <c r="D1314" t="s">
        <v>65</v>
      </c>
      <c r="E1314">
        <v>4.63</v>
      </c>
      <c r="F1314">
        <v>4.694</v>
      </c>
      <c r="G1314">
        <v>4.57</v>
      </c>
      <c r="H1314">
        <v>2.29</v>
      </c>
      <c r="I1314" s="2">
        <v>3893790400</v>
      </c>
      <c r="J1314" s="2">
        <v>57316798000</v>
      </c>
      <c r="K1314" s="2">
        <v>24946422000</v>
      </c>
      <c r="L1314" s="2">
        <v>53588500</v>
      </c>
      <c r="M1314" s="2">
        <v>3617560000</v>
      </c>
      <c r="N1314" s="2">
        <v>5952800000</v>
      </c>
      <c r="O1314" s="2">
        <v>3619824000</v>
      </c>
      <c r="P1314" s="2">
        <v>31791000000</v>
      </c>
      <c r="Q1314" s="2">
        <v>17709038000</v>
      </c>
      <c r="R1314" s="2">
        <v>19572998000</v>
      </c>
      <c r="S1314" s="2">
        <f t="shared" si="40"/>
        <v>0.12399999999999967</v>
      </c>
      <c r="T1314" s="2">
        <f t="shared" si="41"/>
        <v>28893800900</v>
      </c>
    </row>
    <row r="1315" spans="1:20" x14ac:dyDescent="0.3">
      <c r="A1315" s="1">
        <v>45980</v>
      </c>
      <c r="B1315" t="s">
        <v>1015</v>
      </c>
      <c r="C1315" t="s">
        <v>23</v>
      </c>
      <c r="D1315" t="s">
        <v>688</v>
      </c>
      <c r="E1315">
        <v>4.6500000000000004</v>
      </c>
      <c r="F1315">
        <v>4.7060000000000004</v>
      </c>
      <c r="G1315">
        <v>2.88</v>
      </c>
      <c r="H1315">
        <v>2.41</v>
      </c>
      <c r="I1315" s="2">
        <v>1829631800</v>
      </c>
      <c r="J1315" s="2">
        <v>38397118000</v>
      </c>
      <c r="K1315" s="2">
        <v>15901105500</v>
      </c>
      <c r="L1315" s="2">
        <v>98896700</v>
      </c>
      <c r="M1315" s="2">
        <v>4634500000</v>
      </c>
      <c r="N1315" s="2">
        <v>6224500000</v>
      </c>
      <c r="O1315" s="2">
        <v>1809987500</v>
      </c>
      <c r="P1315" s="2">
        <v>20706000000</v>
      </c>
      <c r="Q1315" s="2">
        <v>9456618000</v>
      </c>
      <c r="R1315" s="2">
        <v>11466618000</v>
      </c>
      <c r="S1315" s="2">
        <f t="shared" si="40"/>
        <v>1.8260000000000005</v>
      </c>
      <c r="T1315" s="2">
        <f t="shared" si="41"/>
        <v>17829634000</v>
      </c>
    </row>
    <row r="1316" spans="1:20" x14ac:dyDescent="0.3">
      <c r="A1316" s="1">
        <v>45985</v>
      </c>
      <c r="B1316" t="s">
        <v>1016</v>
      </c>
      <c r="C1316" t="s">
        <v>18</v>
      </c>
      <c r="D1316" t="s">
        <v>21</v>
      </c>
      <c r="E1316">
        <v>3.4340000000000002</v>
      </c>
      <c r="F1316">
        <v>3.4889999999999999</v>
      </c>
      <c r="G1316">
        <v>3.38</v>
      </c>
      <c r="H1316">
        <v>2.68</v>
      </c>
      <c r="I1316" s="2">
        <v>7890287400</v>
      </c>
      <c r="J1316" s="2">
        <v>184922656000</v>
      </c>
      <c r="K1316" s="2">
        <v>68711131300</v>
      </c>
      <c r="L1316" s="2">
        <v>284004200</v>
      </c>
      <c r="M1316" s="2">
        <v>21123896800</v>
      </c>
      <c r="N1316" s="2">
        <v>28289000000</v>
      </c>
      <c r="O1316" s="2">
        <v>7684000000</v>
      </c>
      <c r="P1316" s="2">
        <v>99816000000</v>
      </c>
      <c r="Q1316" s="2">
        <v>39903234500</v>
      </c>
      <c r="R1316" s="2">
        <v>56817656000</v>
      </c>
      <c r="S1316" s="2">
        <f t="shared" si="40"/>
        <v>0.10899999999999999</v>
      </c>
      <c r="T1316" s="2">
        <f t="shared" si="41"/>
        <v>76885422900</v>
      </c>
    </row>
    <row r="1317" spans="1:20" x14ac:dyDescent="0.3">
      <c r="A1317" s="1">
        <v>45986</v>
      </c>
      <c r="B1317" t="s">
        <v>1018</v>
      </c>
      <c r="C1317" t="s">
        <v>18</v>
      </c>
      <c r="D1317" t="s">
        <v>19</v>
      </c>
      <c r="E1317">
        <v>3.5150000000000001</v>
      </c>
      <c r="F1317">
        <v>3.5619999999999998</v>
      </c>
      <c r="G1317">
        <v>3.46</v>
      </c>
      <c r="H1317">
        <v>2.41</v>
      </c>
      <c r="I1317" s="2">
        <v>8004639400</v>
      </c>
      <c r="J1317" s="2">
        <v>168769022000</v>
      </c>
      <c r="K1317" s="2">
        <v>69800167000</v>
      </c>
      <c r="L1317" s="2">
        <v>94877200</v>
      </c>
      <c r="M1317" s="2">
        <v>19272500000</v>
      </c>
      <c r="N1317" s="2">
        <v>26234000000</v>
      </c>
      <c r="O1317" s="2">
        <v>7704745000</v>
      </c>
      <c r="P1317" s="2">
        <v>89849000000</v>
      </c>
      <c r="Q1317" s="2">
        <v>42822922000</v>
      </c>
      <c r="R1317" s="2">
        <v>52686022000</v>
      </c>
      <c r="S1317" s="2">
        <f t="shared" si="40"/>
        <v>0.10199999999999987</v>
      </c>
      <c r="T1317" s="2">
        <f t="shared" si="41"/>
        <v>77899683600</v>
      </c>
    </row>
    <row r="1318" spans="1:20" x14ac:dyDescent="0.3">
      <c r="A1318" s="1">
        <v>45987</v>
      </c>
      <c r="B1318" t="s">
        <v>1017</v>
      </c>
      <c r="C1318" t="s">
        <v>18</v>
      </c>
      <c r="D1318" t="s">
        <v>68</v>
      </c>
      <c r="E1318">
        <v>3.7149999999999999</v>
      </c>
      <c r="F1318">
        <v>3.7810000000000001</v>
      </c>
      <c r="G1318">
        <v>2.88</v>
      </c>
      <c r="H1318">
        <v>2.46</v>
      </c>
      <c r="I1318" s="2">
        <v>5031487500</v>
      </c>
      <c r="J1318" s="2">
        <v>108114572000</v>
      </c>
      <c r="K1318" s="2">
        <v>43940026900</v>
      </c>
      <c r="L1318" s="2">
        <v>60006900</v>
      </c>
      <c r="M1318" s="2">
        <v>13302179000</v>
      </c>
      <c r="N1318" s="2">
        <v>18297300000</v>
      </c>
      <c r="O1318" s="2">
        <v>5744480000</v>
      </c>
      <c r="P1318" s="2">
        <v>60849000000</v>
      </c>
      <c r="Q1318" s="2">
        <v>24893367900</v>
      </c>
      <c r="R1318" s="2">
        <v>28968272000</v>
      </c>
      <c r="S1318" s="2">
        <f t="shared" si="40"/>
        <v>0.90100000000000025</v>
      </c>
      <c r="T1318" s="2">
        <f t="shared" si="41"/>
        <v>49031521300</v>
      </c>
    </row>
    <row r="1319" spans="1:20" x14ac:dyDescent="0.3">
      <c r="A1319" s="1">
        <v>45999</v>
      </c>
      <c r="B1319" t="s">
        <v>1019</v>
      </c>
      <c r="C1319" t="s">
        <v>18</v>
      </c>
      <c r="D1319" t="s">
        <v>52</v>
      </c>
      <c r="E1319">
        <v>3.57</v>
      </c>
      <c r="F1319">
        <v>3.6139999999999999</v>
      </c>
      <c r="G1319">
        <v>1.8879999999999999</v>
      </c>
      <c r="H1319">
        <v>2.64</v>
      </c>
      <c r="I1319" s="2">
        <v>0</v>
      </c>
      <c r="J1319" s="2">
        <v>152872480000</v>
      </c>
      <c r="K1319" s="2">
        <v>57719315000</v>
      </c>
      <c r="L1319" s="2">
        <v>175752800</v>
      </c>
      <c r="M1319" s="2">
        <v>10967232500</v>
      </c>
      <c r="N1319" s="2">
        <v>17572000000</v>
      </c>
      <c r="O1319" s="2">
        <v>5211475000</v>
      </c>
      <c r="P1319" s="2">
        <v>82923000000</v>
      </c>
      <c r="Q1319" s="2">
        <v>41540607500</v>
      </c>
      <c r="R1319" s="2">
        <v>52377480000</v>
      </c>
      <c r="S1319" s="2">
        <f t="shared" si="40"/>
        <v>1.726</v>
      </c>
      <c r="T1319" s="2">
        <f t="shared" si="41"/>
        <v>57895067800</v>
      </c>
    </row>
    <row r="1320" spans="1:20" x14ac:dyDescent="0.3">
      <c r="A1320" s="1">
        <v>46000</v>
      </c>
      <c r="B1320" t="s">
        <v>1012</v>
      </c>
      <c r="C1320" t="s">
        <v>18</v>
      </c>
      <c r="D1320" t="s">
        <v>29</v>
      </c>
      <c r="E1320">
        <v>4.12</v>
      </c>
      <c r="F1320">
        <v>4.1749999999999998</v>
      </c>
      <c r="G1320">
        <v>4.07</v>
      </c>
      <c r="H1320">
        <v>2.5499999999999998</v>
      </c>
      <c r="I1320" s="2">
        <v>0</v>
      </c>
      <c r="J1320" s="2">
        <v>99355816000</v>
      </c>
      <c r="K1320" s="2">
        <v>38904926000</v>
      </c>
      <c r="L1320" s="2">
        <v>95122600</v>
      </c>
      <c r="M1320" s="2">
        <v>8153500000</v>
      </c>
      <c r="N1320" s="2">
        <v>12729000000</v>
      </c>
      <c r="O1320" s="2">
        <v>3426225000</v>
      </c>
      <c r="P1320" s="2">
        <v>54856500000</v>
      </c>
      <c r="Q1320" s="2">
        <v>27325201000</v>
      </c>
      <c r="R1320" s="2">
        <v>31770316000</v>
      </c>
      <c r="S1320" s="2">
        <f t="shared" si="40"/>
        <v>0.10499999999999954</v>
      </c>
      <c r="T1320" s="2">
        <f t="shared" si="41"/>
        <v>39000048600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A567B-F666-410E-A05D-E5B1E0A764A4}">
  <dimension ref="A3:B93"/>
  <sheetViews>
    <sheetView workbookViewId="0">
      <selection activeCell="C2" sqref="C2"/>
    </sheetView>
  </sheetViews>
  <sheetFormatPr defaultRowHeight="14.4" x14ac:dyDescent="0.3"/>
  <cols>
    <col min="1" max="1" width="12.44140625" bestFit="1" customWidth="1"/>
    <col min="2" max="2" width="24.21875" bestFit="1" customWidth="1"/>
  </cols>
  <sheetData>
    <row r="3" spans="1:2" x14ac:dyDescent="0.3">
      <c r="A3" s="3" t="s">
        <v>1058</v>
      </c>
      <c r="B3" t="s">
        <v>1042</v>
      </c>
    </row>
    <row r="4" spans="1:2" x14ac:dyDescent="0.3">
      <c r="A4" s="5" t="s">
        <v>1024</v>
      </c>
      <c r="B4" s="6"/>
    </row>
    <row r="5" spans="1:2" x14ac:dyDescent="0.3">
      <c r="A5" s="7" t="s">
        <v>1044</v>
      </c>
      <c r="B5" s="6">
        <v>0.12251080952922576</v>
      </c>
    </row>
    <row r="6" spans="1:2" x14ac:dyDescent="0.3">
      <c r="A6" s="7" t="s">
        <v>1045</v>
      </c>
      <c r="B6" s="6">
        <v>0.11801339892350002</v>
      </c>
    </row>
    <row r="7" spans="1:2" x14ac:dyDescent="0.3">
      <c r="A7" s="7" t="s">
        <v>1046</v>
      </c>
      <c r="B7" s="6">
        <v>6.5662640520507035E-2</v>
      </c>
    </row>
    <row r="8" spans="1:2" x14ac:dyDescent="0.3">
      <c r="A8" s="5" t="s">
        <v>1025</v>
      </c>
      <c r="B8" s="6"/>
    </row>
    <row r="9" spans="1:2" x14ac:dyDescent="0.3">
      <c r="A9" s="7" t="s">
        <v>1043</v>
      </c>
      <c r="B9" s="6">
        <v>4.5764606231473097E-2</v>
      </c>
    </row>
    <row r="10" spans="1:2" x14ac:dyDescent="0.3">
      <c r="A10" s="7" t="s">
        <v>1044</v>
      </c>
      <c r="B10" s="6">
        <v>4.6435931121294086E-2</v>
      </c>
    </row>
    <row r="11" spans="1:2" x14ac:dyDescent="0.3">
      <c r="A11" s="7" t="s">
        <v>1045</v>
      </c>
      <c r="B11" s="6">
        <v>3.7176985965937541E-2</v>
      </c>
    </row>
    <row r="12" spans="1:2" x14ac:dyDescent="0.3">
      <c r="A12" s="7" t="s">
        <v>1046</v>
      </c>
      <c r="B12" s="6">
        <v>3.4980597929607775E-2</v>
      </c>
    </row>
    <row r="13" spans="1:2" x14ac:dyDescent="0.3">
      <c r="A13" s="5" t="s">
        <v>1026</v>
      </c>
      <c r="B13" s="6"/>
    </row>
    <row r="14" spans="1:2" x14ac:dyDescent="0.3">
      <c r="A14" s="7" t="s">
        <v>1043</v>
      </c>
      <c r="B14" s="6">
        <v>3.586073013565947E-2</v>
      </c>
    </row>
    <row r="15" spans="1:2" x14ac:dyDescent="0.3">
      <c r="A15" s="7" t="s">
        <v>1044</v>
      </c>
      <c r="B15" s="6">
        <v>3.5615485626914613E-2</v>
      </c>
    </row>
    <row r="16" spans="1:2" x14ac:dyDescent="0.3">
      <c r="A16" s="7" t="s">
        <v>1045</v>
      </c>
      <c r="B16" s="6">
        <v>2.6867558735624051E-2</v>
      </c>
    </row>
    <row r="17" spans="1:2" x14ac:dyDescent="0.3">
      <c r="A17" s="7" t="s">
        <v>1046</v>
      </c>
      <c r="B17" s="6">
        <v>2.7881071396772834E-2</v>
      </c>
    </row>
    <row r="18" spans="1:2" x14ac:dyDescent="0.3">
      <c r="A18" s="5" t="s">
        <v>1027</v>
      </c>
      <c r="B18" s="6"/>
    </row>
    <row r="19" spans="1:2" x14ac:dyDescent="0.3">
      <c r="A19" s="7" t="s">
        <v>1043</v>
      </c>
      <c r="B19" s="6">
        <v>2.8978795925673175E-2</v>
      </c>
    </row>
    <row r="20" spans="1:2" x14ac:dyDescent="0.3">
      <c r="A20" s="7" t="s">
        <v>1044</v>
      </c>
      <c r="B20" s="6">
        <v>4.0260375951600133E-2</v>
      </c>
    </row>
    <row r="21" spans="1:2" x14ac:dyDescent="0.3">
      <c r="A21" s="7" t="s">
        <v>1045</v>
      </c>
      <c r="B21" s="6">
        <v>2.199588460554169E-2</v>
      </c>
    </row>
    <row r="22" spans="1:2" x14ac:dyDescent="0.3">
      <c r="A22" s="7" t="s">
        <v>1046</v>
      </c>
      <c r="B22" s="6">
        <v>3.7242421458829653E-2</v>
      </c>
    </row>
    <row r="23" spans="1:2" x14ac:dyDescent="0.3">
      <c r="A23" s="5" t="s">
        <v>1028</v>
      </c>
      <c r="B23" s="6"/>
    </row>
    <row r="24" spans="1:2" x14ac:dyDescent="0.3">
      <c r="A24" s="7" t="s">
        <v>1043</v>
      </c>
      <c r="B24" s="6">
        <v>4.511061045946077E-2</v>
      </c>
    </row>
    <row r="25" spans="1:2" x14ac:dyDescent="0.3">
      <c r="A25" s="7" t="s">
        <v>1044</v>
      </c>
      <c r="B25" s="6">
        <v>4.7268732720444885E-2</v>
      </c>
    </row>
    <row r="26" spans="1:2" x14ac:dyDescent="0.3">
      <c r="A26" s="7" t="s">
        <v>1045</v>
      </c>
      <c r="B26" s="6">
        <v>0</v>
      </c>
    </row>
    <row r="27" spans="1:2" x14ac:dyDescent="0.3">
      <c r="A27" s="7" t="s">
        <v>1046</v>
      </c>
      <c r="B27" s="6">
        <v>0</v>
      </c>
    </row>
    <row r="28" spans="1:2" x14ac:dyDescent="0.3">
      <c r="A28" s="5" t="s">
        <v>1029</v>
      </c>
      <c r="B28" s="6"/>
    </row>
    <row r="29" spans="1:2" x14ac:dyDescent="0.3">
      <c r="A29" s="7" t="s">
        <v>1043</v>
      </c>
      <c r="B29" s="6">
        <v>0</v>
      </c>
    </row>
    <row r="30" spans="1:2" x14ac:dyDescent="0.3">
      <c r="A30" s="7" t="s">
        <v>1044</v>
      </c>
      <c r="B30" s="6">
        <v>0</v>
      </c>
    </row>
    <row r="31" spans="1:2" x14ac:dyDescent="0.3">
      <c r="A31" s="7" t="s">
        <v>1045</v>
      </c>
      <c r="B31" s="6">
        <v>0</v>
      </c>
    </row>
    <row r="32" spans="1:2" x14ac:dyDescent="0.3">
      <c r="A32" s="7" t="s">
        <v>1046</v>
      </c>
      <c r="B32" s="6">
        <v>0</v>
      </c>
    </row>
    <row r="33" spans="1:2" x14ac:dyDescent="0.3">
      <c r="A33" s="5" t="s">
        <v>1030</v>
      </c>
      <c r="B33" s="6"/>
    </row>
    <row r="34" spans="1:2" x14ac:dyDescent="0.3">
      <c r="A34" s="7" t="s">
        <v>1043</v>
      </c>
      <c r="B34" s="6">
        <v>5.5542409188686455E-4</v>
      </c>
    </row>
    <row r="35" spans="1:2" x14ac:dyDescent="0.3">
      <c r="A35" s="7" t="s">
        <v>1044</v>
      </c>
      <c r="B35" s="6">
        <v>7.6233381663313584E-5</v>
      </c>
    </row>
    <row r="36" spans="1:2" x14ac:dyDescent="0.3">
      <c r="A36" s="7" t="s">
        <v>1045</v>
      </c>
      <c r="B36" s="6">
        <v>7.4690857248255486E-5</v>
      </c>
    </row>
    <row r="37" spans="1:2" x14ac:dyDescent="0.3">
      <c r="A37" s="7" t="s">
        <v>1046</v>
      </c>
      <c r="B37" s="6">
        <v>1.9086505274105571E-4</v>
      </c>
    </row>
    <row r="38" spans="1:2" x14ac:dyDescent="0.3">
      <c r="A38" s="5" t="s">
        <v>1031</v>
      </c>
      <c r="B38" s="6"/>
    </row>
    <row r="39" spans="1:2" x14ac:dyDescent="0.3">
      <c r="A39" s="7" t="s">
        <v>1043</v>
      </c>
      <c r="B39" s="6">
        <v>5.3737089502083459E-6</v>
      </c>
    </row>
    <row r="40" spans="1:2" x14ac:dyDescent="0.3">
      <c r="A40" s="7" t="s">
        <v>1044</v>
      </c>
      <c r="B40" s="6">
        <v>3.9415861945315545E-3</v>
      </c>
    </row>
    <row r="41" spans="1:2" x14ac:dyDescent="0.3">
      <c r="A41" s="7" t="s">
        <v>1045</v>
      </c>
      <c r="B41" s="6">
        <v>2.8540518407043588E-3</v>
      </c>
    </row>
    <row r="42" spans="1:2" x14ac:dyDescent="0.3">
      <c r="A42" s="7" t="s">
        <v>1046</v>
      </c>
      <c r="B42" s="6">
        <v>7.2411005697961789E-4</v>
      </c>
    </row>
    <row r="43" spans="1:2" x14ac:dyDescent="0.3">
      <c r="A43" s="5" t="s">
        <v>1032</v>
      </c>
      <c r="B43" s="6"/>
    </row>
    <row r="44" spans="1:2" x14ac:dyDescent="0.3">
      <c r="A44" s="7" t="s">
        <v>1043</v>
      </c>
      <c r="B44" s="6">
        <v>0.11416801077292651</v>
      </c>
    </row>
    <row r="45" spans="1:2" x14ac:dyDescent="0.3">
      <c r="A45" s="7" t="s">
        <v>1044</v>
      </c>
      <c r="B45" s="6">
        <v>0.14301989668373341</v>
      </c>
    </row>
    <row r="46" spans="1:2" x14ac:dyDescent="0.3">
      <c r="A46" s="7" t="s">
        <v>1045</v>
      </c>
      <c r="B46" s="6">
        <v>5.9128392646220405E-2</v>
      </c>
    </row>
    <row r="47" spans="1:2" x14ac:dyDescent="0.3">
      <c r="A47" s="7" t="s">
        <v>1046</v>
      </c>
      <c r="B47" s="6">
        <v>8.3606794456036596E-2</v>
      </c>
    </row>
    <row r="48" spans="1:2" x14ac:dyDescent="0.3">
      <c r="A48" s="5" t="s">
        <v>1033</v>
      </c>
      <c r="B48" s="6"/>
    </row>
    <row r="49" spans="1:2" x14ac:dyDescent="0.3">
      <c r="A49" s="7" t="s">
        <v>1043</v>
      </c>
      <c r="B49" s="6">
        <v>8.1218884932151861E-2</v>
      </c>
    </row>
    <row r="50" spans="1:2" x14ac:dyDescent="0.3">
      <c r="A50" s="7" t="s">
        <v>1044</v>
      </c>
      <c r="B50" s="6">
        <v>0.11032056306412755</v>
      </c>
    </row>
    <row r="51" spans="1:2" x14ac:dyDescent="0.3">
      <c r="A51" s="7" t="s">
        <v>1045</v>
      </c>
      <c r="B51" s="6">
        <v>8.8722800783820513E-2</v>
      </c>
    </row>
    <row r="52" spans="1:2" x14ac:dyDescent="0.3">
      <c r="A52" s="7" t="s">
        <v>1046</v>
      </c>
      <c r="B52" s="6">
        <v>5.614610823450393E-2</v>
      </c>
    </row>
    <row r="53" spans="1:2" x14ac:dyDescent="0.3">
      <c r="A53" s="5" t="s">
        <v>1034</v>
      </c>
      <c r="B53" s="6"/>
    </row>
    <row r="54" spans="1:2" x14ac:dyDescent="0.3">
      <c r="A54" s="7" t="s">
        <v>1043</v>
      </c>
      <c r="B54" s="6">
        <v>0.12660993585541117</v>
      </c>
    </row>
    <row r="55" spans="1:2" x14ac:dyDescent="0.3">
      <c r="A55" s="7" t="s">
        <v>1044</v>
      </c>
      <c r="B55" s="6">
        <v>0.1066777428509141</v>
      </c>
    </row>
    <row r="56" spans="1:2" x14ac:dyDescent="0.3">
      <c r="A56" s="7" t="s">
        <v>1045</v>
      </c>
      <c r="B56" s="6">
        <v>4.2545426236404928E-2</v>
      </c>
    </row>
    <row r="57" spans="1:2" x14ac:dyDescent="0.3">
      <c r="A57" s="7" t="s">
        <v>1046</v>
      </c>
      <c r="B57" s="6">
        <v>4.5005632506149244E-2</v>
      </c>
    </row>
    <row r="58" spans="1:2" x14ac:dyDescent="0.3">
      <c r="A58" s="5" t="s">
        <v>1035</v>
      </c>
      <c r="B58" s="6"/>
    </row>
    <row r="59" spans="1:2" x14ac:dyDescent="0.3">
      <c r="A59" s="7" t="s">
        <v>1043</v>
      </c>
      <c r="B59" s="6">
        <v>4.2503821315321828E-2</v>
      </c>
    </row>
    <row r="60" spans="1:2" x14ac:dyDescent="0.3">
      <c r="A60" s="7" t="s">
        <v>1044</v>
      </c>
      <c r="B60" s="6">
        <v>7.7243006813607323E-2</v>
      </c>
    </row>
    <row r="61" spans="1:2" x14ac:dyDescent="0.3">
      <c r="A61" s="7" t="s">
        <v>1045</v>
      </c>
      <c r="B61" s="6">
        <v>0.12987284933207324</v>
      </c>
    </row>
    <row r="62" spans="1:2" x14ac:dyDescent="0.3">
      <c r="A62" s="7" t="s">
        <v>1046</v>
      </c>
      <c r="B62" s="6">
        <v>0.10954812566676994</v>
      </c>
    </row>
    <row r="63" spans="1:2" x14ac:dyDescent="0.3">
      <c r="A63" s="5" t="s">
        <v>1036</v>
      </c>
      <c r="B63" s="6"/>
    </row>
    <row r="64" spans="1:2" x14ac:dyDescent="0.3">
      <c r="A64" s="7" t="s">
        <v>1043</v>
      </c>
      <c r="B64" s="6">
        <v>0.12656342404708834</v>
      </c>
    </row>
    <row r="65" spans="1:2" x14ac:dyDescent="0.3">
      <c r="A65" s="7" t="s">
        <v>1044</v>
      </c>
      <c r="B65" s="6">
        <v>0.12569600444366516</v>
      </c>
    </row>
    <row r="66" spans="1:2" x14ac:dyDescent="0.3">
      <c r="A66" s="7" t="s">
        <v>1045</v>
      </c>
      <c r="B66" s="6">
        <v>0.14247219182230925</v>
      </c>
    </row>
    <row r="67" spans="1:2" x14ac:dyDescent="0.3">
      <c r="A67" s="7" t="s">
        <v>1046</v>
      </c>
      <c r="B67" s="6">
        <v>0.11319831118971435</v>
      </c>
    </row>
    <row r="68" spans="1:2" x14ac:dyDescent="0.3">
      <c r="A68" s="5" t="s">
        <v>1037</v>
      </c>
      <c r="B68" s="6"/>
    </row>
    <row r="69" spans="1:2" x14ac:dyDescent="0.3">
      <c r="A69" s="7" t="s">
        <v>1043</v>
      </c>
      <c r="B69" s="6">
        <v>0.15093027811808066</v>
      </c>
    </row>
    <row r="70" spans="1:2" x14ac:dyDescent="0.3">
      <c r="A70" s="7" t="s">
        <v>1044</v>
      </c>
      <c r="B70" s="6">
        <v>0.17375288232134845</v>
      </c>
    </row>
    <row r="71" spans="1:2" x14ac:dyDescent="0.3">
      <c r="A71" s="7" t="s">
        <v>1045</v>
      </c>
      <c r="B71" s="6">
        <v>0.13907631441402957</v>
      </c>
    </row>
    <row r="72" spans="1:2" x14ac:dyDescent="0.3">
      <c r="A72" s="7" t="s">
        <v>1046</v>
      </c>
      <c r="B72" s="6">
        <v>0.14314937818327286</v>
      </c>
    </row>
    <row r="73" spans="1:2" x14ac:dyDescent="0.3">
      <c r="A73" s="5" t="s">
        <v>1038</v>
      </c>
      <c r="B73" s="6"/>
    </row>
    <row r="74" spans="1:2" x14ac:dyDescent="0.3">
      <c r="A74" s="7" t="s">
        <v>1043</v>
      </c>
      <c r="B74" s="6">
        <v>0.18329543253643846</v>
      </c>
    </row>
    <row r="75" spans="1:2" x14ac:dyDescent="0.3">
      <c r="A75" s="7" t="s">
        <v>1044</v>
      </c>
      <c r="B75" s="6">
        <v>0.17263269026309341</v>
      </c>
    </row>
    <row r="76" spans="1:2" x14ac:dyDescent="0.3">
      <c r="A76" s="7" t="s">
        <v>1045</v>
      </c>
      <c r="B76" s="6">
        <v>0.12991343707441647</v>
      </c>
    </row>
    <row r="77" spans="1:2" x14ac:dyDescent="0.3">
      <c r="A77" s="7" t="s">
        <v>1046</v>
      </c>
      <c r="B77" s="6">
        <v>6.6895446835991829E-2</v>
      </c>
    </row>
    <row r="78" spans="1:2" x14ac:dyDescent="0.3">
      <c r="A78" s="5" t="s">
        <v>1039</v>
      </c>
      <c r="B78" s="6"/>
    </row>
    <row r="79" spans="1:2" x14ac:dyDescent="0.3">
      <c r="A79" s="7" t="s">
        <v>1043</v>
      </c>
      <c r="B79" s="6">
        <v>9.1776920737729223E-2</v>
      </c>
    </row>
    <row r="80" spans="1:2" x14ac:dyDescent="0.3">
      <c r="A80" s="7" t="s">
        <v>1044</v>
      </c>
      <c r="B80" s="6">
        <v>9.4137685916252101E-2</v>
      </c>
    </row>
    <row r="81" spans="1:2" x14ac:dyDescent="0.3">
      <c r="A81" s="7" t="s">
        <v>1045</v>
      </c>
      <c r="B81" s="6">
        <v>6.964451867136344E-2</v>
      </c>
    </row>
    <row r="82" spans="1:2" x14ac:dyDescent="0.3">
      <c r="A82" s="7" t="s">
        <v>1046</v>
      </c>
      <c r="B82" s="6">
        <v>4.9605217721459807E-3</v>
      </c>
    </row>
    <row r="83" spans="1:2" x14ac:dyDescent="0.3">
      <c r="A83" s="5" t="s">
        <v>1040</v>
      </c>
      <c r="B83" s="6"/>
    </row>
    <row r="84" spans="1:2" x14ac:dyDescent="0.3">
      <c r="A84" s="7" t="s">
        <v>1043</v>
      </c>
      <c r="B84" s="6">
        <v>1.8554643336028027E-2</v>
      </c>
    </row>
    <row r="85" spans="1:2" x14ac:dyDescent="0.3">
      <c r="A85" s="7" t="s">
        <v>1044</v>
      </c>
      <c r="B85" s="6">
        <v>4.132225661564487E-2</v>
      </c>
    </row>
    <row r="86" spans="1:2" x14ac:dyDescent="0.3">
      <c r="A86" s="7" t="s">
        <v>1045</v>
      </c>
      <c r="B86" s="6">
        <v>7.2918441341699142E-2</v>
      </c>
    </row>
    <row r="87" spans="1:2" x14ac:dyDescent="0.3">
      <c r="A87" s="7" t="s">
        <v>1046</v>
      </c>
      <c r="B87" s="6">
        <v>5.1364792624339253E-2</v>
      </c>
    </row>
    <row r="88" spans="1:2" x14ac:dyDescent="0.3">
      <c r="A88" s="5" t="s">
        <v>1041</v>
      </c>
      <c r="B88" s="6"/>
    </row>
    <row r="89" spans="1:2" x14ac:dyDescent="0.3">
      <c r="A89" s="7" t="s">
        <v>1043</v>
      </c>
      <c r="B89" s="6">
        <v>9.4272074569721309E-2</v>
      </c>
    </row>
    <row r="90" spans="1:2" x14ac:dyDescent="0.3">
      <c r="A90" s="7" t="s">
        <v>1044</v>
      </c>
      <c r="B90" s="6">
        <v>0.11696021923266119</v>
      </c>
    </row>
    <row r="91" spans="1:2" x14ac:dyDescent="0.3">
      <c r="A91" s="7" t="s">
        <v>1045</v>
      </c>
      <c r="B91" s="6">
        <v>9.8936541756273089E-2</v>
      </c>
    </row>
    <row r="92" spans="1:2" x14ac:dyDescent="0.3">
      <c r="A92" s="7" t="s">
        <v>1046</v>
      </c>
      <c r="B92" s="6">
        <v>7.0389028279842378E-2</v>
      </c>
    </row>
    <row r="93" spans="1:2" x14ac:dyDescent="0.3">
      <c r="A93" s="5" t="s">
        <v>1023</v>
      </c>
      <c r="B93" s="6">
        <v>7.6418774463691733E-2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2D44A-114A-42C2-80F6-A39A8306DAC6}">
  <dimension ref="A3:B16"/>
  <sheetViews>
    <sheetView topLeftCell="B7" workbookViewId="0">
      <selection activeCell="C19" sqref="C19"/>
    </sheetView>
  </sheetViews>
  <sheetFormatPr defaultRowHeight="14.4" x14ac:dyDescent="0.3"/>
  <cols>
    <col min="1" max="1" width="10.5546875" bestFit="1" customWidth="1"/>
    <col min="2" max="2" width="20.44140625" bestFit="1" customWidth="1"/>
  </cols>
  <sheetData>
    <row r="3" spans="1:2" x14ac:dyDescent="0.3">
      <c r="A3" s="3" t="s">
        <v>1058</v>
      </c>
      <c r="B3" t="s">
        <v>1059</v>
      </c>
    </row>
    <row r="4" spans="1:2" x14ac:dyDescent="0.3">
      <c r="A4" s="5" t="s">
        <v>1041</v>
      </c>
      <c r="B4" s="2"/>
    </row>
    <row r="5" spans="1:2" x14ac:dyDescent="0.3">
      <c r="A5" s="7" t="s">
        <v>1055</v>
      </c>
      <c r="B5" s="2">
        <v>37032622700</v>
      </c>
    </row>
    <row r="6" spans="1:2" x14ac:dyDescent="0.3">
      <c r="A6" s="7" t="s">
        <v>1056</v>
      </c>
      <c r="B6" s="2">
        <v>54396428000</v>
      </c>
    </row>
    <row r="7" spans="1:2" x14ac:dyDescent="0.3">
      <c r="A7" s="7" t="s">
        <v>1057</v>
      </c>
      <c r="B7" s="2">
        <v>7806121500</v>
      </c>
    </row>
    <row r="8" spans="1:2" x14ac:dyDescent="0.3">
      <c r="A8" s="7" t="s">
        <v>1047</v>
      </c>
      <c r="B8" s="2">
        <v>33284193500</v>
      </c>
    </row>
    <row r="9" spans="1:2" x14ac:dyDescent="0.3">
      <c r="A9" s="7" t="s">
        <v>1048</v>
      </c>
      <c r="B9" s="2">
        <v>71367523500</v>
      </c>
    </row>
    <row r="10" spans="1:2" x14ac:dyDescent="0.3">
      <c r="A10" s="7" t="s">
        <v>1049</v>
      </c>
      <c r="B10" s="2">
        <v>21644717100</v>
      </c>
    </row>
    <row r="11" spans="1:2" x14ac:dyDescent="0.3">
      <c r="A11" s="7" t="s">
        <v>1050</v>
      </c>
      <c r="B11" s="2">
        <v>27427299600</v>
      </c>
    </row>
    <row r="12" spans="1:2" x14ac:dyDescent="0.3">
      <c r="A12" s="7" t="s">
        <v>1051</v>
      </c>
      <c r="B12" s="2">
        <v>66439022000</v>
      </c>
    </row>
    <row r="13" spans="1:2" x14ac:dyDescent="0.3">
      <c r="A13" s="7" t="s">
        <v>1052</v>
      </c>
      <c r="B13" s="2">
        <v>10822803200</v>
      </c>
    </row>
    <row r="14" spans="1:2" x14ac:dyDescent="0.3">
      <c r="A14" s="7" t="s">
        <v>1053</v>
      </c>
      <c r="B14" s="2">
        <v>13463754200</v>
      </c>
    </row>
    <row r="15" spans="1:2" x14ac:dyDescent="0.3">
      <c r="A15" s="7" t="s">
        <v>1054</v>
      </c>
      <c r="B15" s="2">
        <v>42224998200</v>
      </c>
    </row>
    <row r="16" spans="1:2" x14ac:dyDescent="0.3">
      <c r="A16" s="5" t="s">
        <v>1023</v>
      </c>
      <c r="B16" s="2">
        <v>385909483500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notesbonds_auction_data</vt:lpstr>
      <vt:lpstr>pvt_soma_share</vt:lpstr>
      <vt:lpstr>pvt_soma_gross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Stevenson</dc:creator>
  <cp:lastModifiedBy>James Stevenson</cp:lastModifiedBy>
  <dcterms:created xsi:type="dcterms:W3CDTF">2025-12-10T02:08:29Z</dcterms:created>
  <dcterms:modified xsi:type="dcterms:W3CDTF">2026-01-06T01:59:25Z</dcterms:modified>
</cp:coreProperties>
</file>