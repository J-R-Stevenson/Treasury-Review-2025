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3E59ABFD-0849-4B70-9CE0-EF79F2AB926E}" xr6:coauthVersionLast="47" xr6:coauthVersionMax="47" xr10:uidLastSave="{00000000-0000-0000-0000-000000000000}"/>
  <bookViews>
    <workbookView xWindow="1536" yWindow="1176" windowWidth="19920" windowHeight="11184" xr2:uid="{D4D72D89-D69F-4A83-8AA3-F7E8DE395791}"/>
  </bookViews>
  <sheets>
    <sheet name="total_debt_breakd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</calcChain>
</file>

<file path=xl/sharedStrings.xml><?xml version="1.0" encoding="utf-8"?>
<sst xmlns="http://schemas.openxmlformats.org/spreadsheetml/2006/main" count="7" uniqueCount="7">
  <si>
    <t>Total National Debt (millions)</t>
  </si>
  <si>
    <t>Debt Held by the Public (millions)</t>
  </si>
  <si>
    <t>Public Share</t>
  </si>
  <si>
    <t>Date</t>
  </si>
  <si>
    <t>Foreign Holdings</t>
  </si>
  <si>
    <t>Foreign share of Total National Debt</t>
  </si>
  <si>
    <t>Foreign share of Debt held by the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</si>
</sst>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##0&quot;mn&quot;"/>
    <numFmt numFmtId="165" formatCode="[$-409]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64" formatCode="&quot;$&quot;###0&quot;mn&quot;"/>
    </dxf>
    <dxf>
      <numFmt numFmtId="164" formatCode="&quot;$&quot;###0&quot;mn&quot;"/>
    </dxf>
    <dxf>
      <numFmt numFmtId="164" formatCode="&quot;$&quot;###0&quot;mn&quot;"/>
    </dxf>
    <dxf>
      <numFmt numFmtId="165" formatCode="[$-409]mmm\-yy;@"/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Foreign</a:t>
            </a:r>
            <a:r>
              <a:rPr lang="en-US" baseline="0"/>
              <a:t> Share of Federal Debt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total_debt_breakdown!$F$1</c:f>
              <c:strCache>
                <c:ptCount val="1"/>
                <c:pt idx="0">
                  <c:v>Foreign share of Debt held by the Public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total_debt_breakdown!$A$2:$A$223</c:f>
              <c:numCache>
                <c:formatCode>[$-409]mmm\-yy;@</c:formatCode>
                <c:ptCount val="222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26299</c:v>
                </c:pt>
                <c:pt idx="9">
                  <c:v>26390</c:v>
                </c:pt>
                <c:pt idx="10">
                  <c:v>26481</c:v>
                </c:pt>
                <c:pt idx="11">
                  <c:v>26573</c:v>
                </c:pt>
                <c:pt idx="12">
                  <c:v>26665</c:v>
                </c:pt>
                <c:pt idx="13">
                  <c:v>26755</c:v>
                </c:pt>
                <c:pt idx="14">
                  <c:v>26846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28126</c:v>
                </c:pt>
                <c:pt idx="29">
                  <c:v>28216</c:v>
                </c:pt>
                <c:pt idx="30">
                  <c:v>28307</c:v>
                </c:pt>
                <c:pt idx="31">
                  <c:v>28399</c:v>
                </c:pt>
                <c:pt idx="32">
                  <c:v>28491</c:v>
                </c:pt>
                <c:pt idx="33">
                  <c:v>28581</c:v>
                </c:pt>
                <c:pt idx="34">
                  <c:v>28672</c:v>
                </c:pt>
                <c:pt idx="35">
                  <c:v>28764</c:v>
                </c:pt>
                <c:pt idx="36">
                  <c:v>28856</c:v>
                </c:pt>
                <c:pt idx="37">
                  <c:v>28946</c:v>
                </c:pt>
                <c:pt idx="38">
                  <c:v>29037</c:v>
                </c:pt>
                <c:pt idx="39">
                  <c:v>29129</c:v>
                </c:pt>
                <c:pt idx="40">
                  <c:v>29221</c:v>
                </c:pt>
                <c:pt idx="41">
                  <c:v>29312</c:v>
                </c:pt>
                <c:pt idx="42">
                  <c:v>29403</c:v>
                </c:pt>
                <c:pt idx="43">
                  <c:v>29495</c:v>
                </c:pt>
                <c:pt idx="44">
                  <c:v>29587</c:v>
                </c:pt>
                <c:pt idx="45">
                  <c:v>29677</c:v>
                </c:pt>
                <c:pt idx="46">
                  <c:v>29768</c:v>
                </c:pt>
                <c:pt idx="47">
                  <c:v>29860</c:v>
                </c:pt>
                <c:pt idx="48">
                  <c:v>29952</c:v>
                </c:pt>
                <c:pt idx="49">
                  <c:v>30042</c:v>
                </c:pt>
                <c:pt idx="50">
                  <c:v>30133</c:v>
                </c:pt>
                <c:pt idx="51">
                  <c:v>30225</c:v>
                </c:pt>
                <c:pt idx="52">
                  <c:v>30317</c:v>
                </c:pt>
                <c:pt idx="53">
                  <c:v>30407</c:v>
                </c:pt>
                <c:pt idx="54">
                  <c:v>30498</c:v>
                </c:pt>
                <c:pt idx="55">
                  <c:v>30590</c:v>
                </c:pt>
                <c:pt idx="56">
                  <c:v>30682</c:v>
                </c:pt>
                <c:pt idx="57">
                  <c:v>30773</c:v>
                </c:pt>
                <c:pt idx="58">
                  <c:v>30864</c:v>
                </c:pt>
                <c:pt idx="59">
                  <c:v>30956</c:v>
                </c:pt>
                <c:pt idx="60">
                  <c:v>31048</c:v>
                </c:pt>
                <c:pt idx="61">
                  <c:v>31138</c:v>
                </c:pt>
                <c:pt idx="62">
                  <c:v>31229</c:v>
                </c:pt>
                <c:pt idx="63">
                  <c:v>31321</c:v>
                </c:pt>
                <c:pt idx="64">
                  <c:v>31413</c:v>
                </c:pt>
                <c:pt idx="65">
                  <c:v>31503</c:v>
                </c:pt>
                <c:pt idx="66">
                  <c:v>31594</c:v>
                </c:pt>
                <c:pt idx="67">
                  <c:v>31686</c:v>
                </c:pt>
                <c:pt idx="68">
                  <c:v>31778</c:v>
                </c:pt>
                <c:pt idx="69">
                  <c:v>31868</c:v>
                </c:pt>
                <c:pt idx="70">
                  <c:v>31959</c:v>
                </c:pt>
                <c:pt idx="71">
                  <c:v>32051</c:v>
                </c:pt>
                <c:pt idx="72">
                  <c:v>32143</c:v>
                </c:pt>
                <c:pt idx="73">
                  <c:v>32234</c:v>
                </c:pt>
                <c:pt idx="74">
                  <c:v>32325</c:v>
                </c:pt>
                <c:pt idx="75">
                  <c:v>32417</c:v>
                </c:pt>
                <c:pt idx="76">
                  <c:v>32509</c:v>
                </c:pt>
                <c:pt idx="77">
                  <c:v>32599</c:v>
                </c:pt>
                <c:pt idx="78">
                  <c:v>32690</c:v>
                </c:pt>
                <c:pt idx="79">
                  <c:v>32782</c:v>
                </c:pt>
                <c:pt idx="80">
                  <c:v>32874</c:v>
                </c:pt>
                <c:pt idx="81">
                  <c:v>32964</c:v>
                </c:pt>
                <c:pt idx="82">
                  <c:v>33055</c:v>
                </c:pt>
                <c:pt idx="83">
                  <c:v>33147</c:v>
                </c:pt>
                <c:pt idx="84">
                  <c:v>33239</c:v>
                </c:pt>
                <c:pt idx="85">
                  <c:v>33329</c:v>
                </c:pt>
                <c:pt idx="86">
                  <c:v>33420</c:v>
                </c:pt>
                <c:pt idx="87">
                  <c:v>33512</c:v>
                </c:pt>
                <c:pt idx="88">
                  <c:v>33604</c:v>
                </c:pt>
                <c:pt idx="89">
                  <c:v>33695</c:v>
                </c:pt>
                <c:pt idx="90">
                  <c:v>33786</c:v>
                </c:pt>
                <c:pt idx="91">
                  <c:v>33878</c:v>
                </c:pt>
                <c:pt idx="92">
                  <c:v>33970</c:v>
                </c:pt>
                <c:pt idx="93">
                  <c:v>34060</c:v>
                </c:pt>
                <c:pt idx="94">
                  <c:v>34151</c:v>
                </c:pt>
                <c:pt idx="95">
                  <c:v>34243</c:v>
                </c:pt>
                <c:pt idx="96">
                  <c:v>34335</c:v>
                </c:pt>
                <c:pt idx="97">
                  <c:v>34425</c:v>
                </c:pt>
                <c:pt idx="98">
                  <c:v>34516</c:v>
                </c:pt>
                <c:pt idx="99">
                  <c:v>34608</c:v>
                </c:pt>
                <c:pt idx="100">
                  <c:v>34700</c:v>
                </c:pt>
                <c:pt idx="101">
                  <c:v>34790</c:v>
                </c:pt>
                <c:pt idx="102">
                  <c:v>34881</c:v>
                </c:pt>
                <c:pt idx="103">
                  <c:v>34973</c:v>
                </c:pt>
                <c:pt idx="104">
                  <c:v>35065</c:v>
                </c:pt>
                <c:pt idx="105">
                  <c:v>35156</c:v>
                </c:pt>
                <c:pt idx="106">
                  <c:v>35247</c:v>
                </c:pt>
                <c:pt idx="107">
                  <c:v>35339</c:v>
                </c:pt>
                <c:pt idx="108">
                  <c:v>35431</c:v>
                </c:pt>
                <c:pt idx="109">
                  <c:v>35521</c:v>
                </c:pt>
                <c:pt idx="110">
                  <c:v>35612</c:v>
                </c:pt>
                <c:pt idx="111">
                  <c:v>35704</c:v>
                </c:pt>
                <c:pt idx="112">
                  <c:v>35796</c:v>
                </c:pt>
                <c:pt idx="113">
                  <c:v>35886</c:v>
                </c:pt>
                <c:pt idx="114">
                  <c:v>35977</c:v>
                </c:pt>
                <c:pt idx="115">
                  <c:v>36069</c:v>
                </c:pt>
                <c:pt idx="116">
                  <c:v>36161</c:v>
                </c:pt>
                <c:pt idx="117">
                  <c:v>36251</c:v>
                </c:pt>
                <c:pt idx="118">
                  <c:v>36342</c:v>
                </c:pt>
                <c:pt idx="119">
                  <c:v>36434</c:v>
                </c:pt>
                <c:pt idx="120">
                  <c:v>36526</c:v>
                </c:pt>
                <c:pt idx="121">
                  <c:v>36617</c:v>
                </c:pt>
                <c:pt idx="122">
                  <c:v>36708</c:v>
                </c:pt>
                <c:pt idx="123">
                  <c:v>36800</c:v>
                </c:pt>
                <c:pt idx="124">
                  <c:v>36892</c:v>
                </c:pt>
                <c:pt idx="125">
                  <c:v>36982</c:v>
                </c:pt>
                <c:pt idx="126">
                  <c:v>37073</c:v>
                </c:pt>
                <c:pt idx="127">
                  <c:v>37165</c:v>
                </c:pt>
                <c:pt idx="128">
                  <c:v>37257</c:v>
                </c:pt>
                <c:pt idx="129">
                  <c:v>37347</c:v>
                </c:pt>
                <c:pt idx="130">
                  <c:v>37438</c:v>
                </c:pt>
                <c:pt idx="131">
                  <c:v>37530</c:v>
                </c:pt>
                <c:pt idx="132">
                  <c:v>37622</c:v>
                </c:pt>
                <c:pt idx="133">
                  <c:v>37712</c:v>
                </c:pt>
                <c:pt idx="134">
                  <c:v>37803</c:v>
                </c:pt>
                <c:pt idx="135">
                  <c:v>37895</c:v>
                </c:pt>
                <c:pt idx="136">
                  <c:v>37987</c:v>
                </c:pt>
                <c:pt idx="137">
                  <c:v>38078</c:v>
                </c:pt>
                <c:pt idx="138">
                  <c:v>38169</c:v>
                </c:pt>
                <c:pt idx="139">
                  <c:v>38261</c:v>
                </c:pt>
                <c:pt idx="140">
                  <c:v>38353</c:v>
                </c:pt>
                <c:pt idx="141">
                  <c:v>38443</c:v>
                </c:pt>
                <c:pt idx="142">
                  <c:v>38534</c:v>
                </c:pt>
                <c:pt idx="143">
                  <c:v>38626</c:v>
                </c:pt>
                <c:pt idx="144">
                  <c:v>38718</c:v>
                </c:pt>
                <c:pt idx="145">
                  <c:v>38808</c:v>
                </c:pt>
                <c:pt idx="146">
                  <c:v>38899</c:v>
                </c:pt>
                <c:pt idx="147">
                  <c:v>38991</c:v>
                </c:pt>
                <c:pt idx="148">
                  <c:v>39083</c:v>
                </c:pt>
                <c:pt idx="149">
                  <c:v>39173</c:v>
                </c:pt>
                <c:pt idx="150">
                  <c:v>39264</c:v>
                </c:pt>
                <c:pt idx="151">
                  <c:v>39356</c:v>
                </c:pt>
                <c:pt idx="152">
                  <c:v>39448</c:v>
                </c:pt>
                <c:pt idx="153">
                  <c:v>39539</c:v>
                </c:pt>
                <c:pt idx="154">
                  <c:v>39630</c:v>
                </c:pt>
                <c:pt idx="155">
                  <c:v>39722</c:v>
                </c:pt>
                <c:pt idx="156">
                  <c:v>39814</c:v>
                </c:pt>
                <c:pt idx="157">
                  <c:v>39904</c:v>
                </c:pt>
                <c:pt idx="158">
                  <c:v>39995</c:v>
                </c:pt>
                <c:pt idx="159">
                  <c:v>40087</c:v>
                </c:pt>
                <c:pt idx="160">
                  <c:v>40179</c:v>
                </c:pt>
                <c:pt idx="161">
                  <c:v>40269</c:v>
                </c:pt>
                <c:pt idx="162">
                  <c:v>40360</c:v>
                </c:pt>
                <c:pt idx="163">
                  <c:v>40452</c:v>
                </c:pt>
                <c:pt idx="164">
                  <c:v>40544</c:v>
                </c:pt>
                <c:pt idx="165">
                  <c:v>40634</c:v>
                </c:pt>
                <c:pt idx="166">
                  <c:v>40725</c:v>
                </c:pt>
                <c:pt idx="167">
                  <c:v>40817</c:v>
                </c:pt>
                <c:pt idx="168">
                  <c:v>40909</c:v>
                </c:pt>
                <c:pt idx="169">
                  <c:v>41000</c:v>
                </c:pt>
                <c:pt idx="170">
                  <c:v>41091</c:v>
                </c:pt>
                <c:pt idx="171">
                  <c:v>41183</c:v>
                </c:pt>
                <c:pt idx="172">
                  <c:v>41275</c:v>
                </c:pt>
                <c:pt idx="173">
                  <c:v>41365</c:v>
                </c:pt>
                <c:pt idx="174">
                  <c:v>41456</c:v>
                </c:pt>
                <c:pt idx="175">
                  <c:v>41548</c:v>
                </c:pt>
                <c:pt idx="176">
                  <c:v>41640</c:v>
                </c:pt>
                <c:pt idx="177">
                  <c:v>41730</c:v>
                </c:pt>
                <c:pt idx="178">
                  <c:v>41821</c:v>
                </c:pt>
                <c:pt idx="179">
                  <c:v>41913</c:v>
                </c:pt>
                <c:pt idx="180">
                  <c:v>42005</c:v>
                </c:pt>
                <c:pt idx="181">
                  <c:v>42095</c:v>
                </c:pt>
                <c:pt idx="182">
                  <c:v>42186</c:v>
                </c:pt>
                <c:pt idx="183">
                  <c:v>42278</c:v>
                </c:pt>
                <c:pt idx="184">
                  <c:v>42370</c:v>
                </c:pt>
                <c:pt idx="185">
                  <c:v>42461</c:v>
                </c:pt>
                <c:pt idx="186">
                  <c:v>42552</c:v>
                </c:pt>
                <c:pt idx="187">
                  <c:v>42644</c:v>
                </c:pt>
                <c:pt idx="188">
                  <c:v>42736</c:v>
                </c:pt>
                <c:pt idx="189">
                  <c:v>42826</c:v>
                </c:pt>
                <c:pt idx="190">
                  <c:v>42917</c:v>
                </c:pt>
                <c:pt idx="191">
                  <c:v>43009</c:v>
                </c:pt>
                <c:pt idx="192">
                  <c:v>43101</c:v>
                </c:pt>
                <c:pt idx="193">
                  <c:v>43191</c:v>
                </c:pt>
                <c:pt idx="194">
                  <c:v>43282</c:v>
                </c:pt>
                <c:pt idx="195">
                  <c:v>43374</c:v>
                </c:pt>
                <c:pt idx="196">
                  <c:v>43466</c:v>
                </c:pt>
                <c:pt idx="197">
                  <c:v>43556</c:v>
                </c:pt>
                <c:pt idx="198">
                  <c:v>43647</c:v>
                </c:pt>
                <c:pt idx="199">
                  <c:v>43739</c:v>
                </c:pt>
                <c:pt idx="200">
                  <c:v>43831</c:v>
                </c:pt>
                <c:pt idx="201">
                  <c:v>43922</c:v>
                </c:pt>
                <c:pt idx="202">
                  <c:v>44013</c:v>
                </c:pt>
                <c:pt idx="203">
                  <c:v>44105</c:v>
                </c:pt>
                <c:pt idx="204">
                  <c:v>44197</c:v>
                </c:pt>
                <c:pt idx="205">
                  <c:v>44287</c:v>
                </c:pt>
                <c:pt idx="206">
                  <c:v>44378</c:v>
                </c:pt>
                <c:pt idx="207">
                  <c:v>44470</c:v>
                </c:pt>
                <c:pt idx="208">
                  <c:v>44562</c:v>
                </c:pt>
                <c:pt idx="209">
                  <c:v>44652</c:v>
                </c:pt>
                <c:pt idx="210">
                  <c:v>44743</c:v>
                </c:pt>
                <c:pt idx="211">
                  <c:v>44835</c:v>
                </c:pt>
                <c:pt idx="212">
                  <c:v>44927</c:v>
                </c:pt>
                <c:pt idx="213">
                  <c:v>45017</c:v>
                </c:pt>
                <c:pt idx="214">
                  <c:v>45108</c:v>
                </c:pt>
                <c:pt idx="215">
                  <c:v>45200</c:v>
                </c:pt>
                <c:pt idx="216">
                  <c:v>45292</c:v>
                </c:pt>
                <c:pt idx="217">
                  <c:v>45383</c:v>
                </c:pt>
                <c:pt idx="218">
                  <c:v>45474</c:v>
                </c:pt>
                <c:pt idx="219">
                  <c:v>45566</c:v>
                </c:pt>
                <c:pt idx="220">
                  <c:v>45658</c:v>
                </c:pt>
                <c:pt idx="221">
                  <c:v>45748</c:v>
                </c:pt>
              </c:numCache>
            </c:numRef>
          </c:cat>
          <c:val>
            <c:numRef>
              <c:f>total_debt_breakdown!$F$2:$F$223</c:f>
              <c:numCache>
                <c:formatCode>0.00%</c:formatCode>
                <c:ptCount val="222"/>
                <c:pt idx="0">
                  <c:v>4.4157342582634769E-2</c:v>
                </c:pt>
                <c:pt idx="1">
                  <c:v>5.0923164219929873E-2</c:v>
                </c:pt>
                <c:pt idx="2">
                  <c:v>5.8788739477346856E-2</c:v>
                </c:pt>
                <c:pt idx="3">
                  <c:v>6.7641342938175128E-2</c:v>
                </c:pt>
                <c:pt idx="4">
                  <c:v>8.4234170995367119E-2</c:v>
                </c:pt>
                <c:pt idx="5">
                  <c:v>0.10801006735344766</c:v>
                </c:pt>
                <c:pt idx="6">
                  <c:v>0.13608699073952621</c:v>
                </c:pt>
                <c:pt idx="7">
                  <c:v>0.14505641433157374</c:v>
                </c:pt>
                <c:pt idx="8">
                  <c:v>0.15265415733347457</c:v>
                </c:pt>
                <c:pt idx="9">
                  <c:v>0.15620237732398659</c:v>
                </c:pt>
                <c:pt idx="10">
                  <c:v>0.17053953075031136</c:v>
                </c:pt>
                <c:pt idx="11">
                  <c:v>0.16406495041860689</c:v>
                </c:pt>
                <c:pt idx="12">
                  <c:v>0.18301707472804898</c:v>
                </c:pt>
                <c:pt idx="13">
                  <c:v>0.17788052657427261</c:v>
                </c:pt>
                <c:pt idx="14">
                  <c:v>0.17335760940757966</c:v>
                </c:pt>
                <c:pt idx="15">
                  <c:v>0.16115157085955362</c:v>
                </c:pt>
                <c:pt idx="16">
                  <c:v>0.1579751152692731</c:v>
                </c:pt>
                <c:pt idx="17">
                  <c:v>0.1690330298873014</c:v>
                </c:pt>
                <c:pt idx="18">
                  <c:v>0.16428020335542315</c:v>
                </c:pt>
                <c:pt idx="19">
                  <c:v>0.16730353926653901</c:v>
                </c:pt>
                <c:pt idx="20">
                  <c:v>0.17510728688769697</c:v>
                </c:pt>
                <c:pt idx="21">
                  <c:v>0.17014475193668552</c:v>
                </c:pt>
                <c:pt idx="22">
                  <c:v>0.15921979867811104</c:v>
                </c:pt>
                <c:pt idx="23">
                  <c:v>0.15206777878139971</c:v>
                </c:pt>
                <c:pt idx="24">
                  <c:v>0.14758692132815227</c:v>
                </c:pt>
                <c:pt idx="25">
                  <c:v>0.14825167101722311</c:v>
                </c:pt>
                <c:pt idx="26">
                  <c:v>0.15276648639129109</c:v>
                </c:pt>
                <c:pt idx="27">
                  <c:v>0.15421220468165348</c:v>
                </c:pt>
                <c:pt idx="28">
                  <c:v>0.16156167383234973</c:v>
                </c:pt>
                <c:pt idx="29">
                  <c:v>0.16799784412322899</c:v>
                </c:pt>
                <c:pt idx="30">
                  <c:v>0.17576147970921138</c:v>
                </c:pt>
                <c:pt idx="31">
                  <c:v>0.19429385882494762</c:v>
                </c:pt>
                <c:pt idx="32">
                  <c:v>0.21273578215855907</c:v>
                </c:pt>
                <c:pt idx="33">
                  <c:v>0.20325237822291087</c:v>
                </c:pt>
                <c:pt idx="34">
                  <c:v>0.20030783453810735</c:v>
                </c:pt>
                <c:pt idx="35">
                  <c:v>0.21495235034487659</c:v>
                </c:pt>
                <c:pt idx="36">
                  <c:v>0.21062047395950631</c:v>
                </c:pt>
                <c:pt idx="37">
                  <c:v>0.19077632393979452</c:v>
                </c:pt>
                <c:pt idx="38">
                  <c:v>0.1944160942714562</c:v>
                </c:pt>
                <c:pt idx="39">
                  <c:v>0.1808598594460521</c:v>
                </c:pt>
                <c:pt idx="40">
                  <c:v>0.1873717440412038</c:v>
                </c:pt>
                <c:pt idx="41">
                  <c:v>0.17313354132794306</c:v>
                </c:pt>
                <c:pt idx="42">
                  <c:v>0.1756441930367712</c:v>
                </c:pt>
                <c:pt idx="43">
                  <c:v>0.1758057651278353</c:v>
                </c:pt>
                <c:pt idx="44">
                  <c:v>0.17862774598152198</c:v>
                </c:pt>
                <c:pt idx="45">
                  <c:v>0.17711392470713319</c:v>
                </c:pt>
                <c:pt idx="46">
                  <c:v>0.16548514242231249</c:v>
                </c:pt>
                <c:pt idx="47">
                  <c:v>0.16547366533859717</c:v>
                </c:pt>
                <c:pt idx="48">
                  <c:v>0.15846070733320294</c:v>
                </c:pt>
                <c:pt idx="49">
                  <c:v>0.15807981417556538</c:v>
                </c:pt>
                <c:pt idx="50">
                  <c:v>0.15189638203560599</c:v>
                </c:pt>
                <c:pt idx="51">
                  <c:v>0.15135883788810381</c:v>
                </c:pt>
                <c:pt idx="52">
                  <c:v>0.14971164693354699</c:v>
                </c:pt>
                <c:pt idx="53">
                  <c:v>0.14684153129760771</c:v>
                </c:pt>
                <c:pt idx="54">
                  <c:v>0.14066217531725866</c:v>
                </c:pt>
                <c:pt idx="55">
                  <c:v>0.14160120910232668</c:v>
                </c:pt>
                <c:pt idx="56">
                  <c:v>0.13587733618324402</c:v>
                </c:pt>
                <c:pt idx="57">
                  <c:v>0.13672217353198948</c:v>
                </c:pt>
                <c:pt idx="58">
                  <c:v>0.13412945325443426</c:v>
                </c:pt>
                <c:pt idx="59">
                  <c:v>0.14045782406146651</c:v>
                </c:pt>
                <c:pt idx="60">
                  <c:v>0.14103694659250215</c:v>
                </c:pt>
                <c:pt idx="61">
                  <c:v>0.14638982693408487</c:v>
                </c:pt>
                <c:pt idx="62">
                  <c:v>0.1479531488333008</c:v>
                </c:pt>
                <c:pt idx="63">
                  <c:v>0.14075661690719893</c:v>
                </c:pt>
                <c:pt idx="64">
                  <c:v>0.14232750133240815</c:v>
                </c:pt>
                <c:pt idx="65">
                  <c:v>0.14890746786678924</c:v>
                </c:pt>
                <c:pt idx="66">
                  <c:v>0.15237209782805197</c:v>
                </c:pt>
                <c:pt idx="67">
                  <c:v>0.14538477842344172</c:v>
                </c:pt>
                <c:pt idx="68">
                  <c:v>0.14831963315900701</c:v>
                </c:pt>
                <c:pt idx="69">
                  <c:v>0.15022846912326643</c:v>
                </c:pt>
                <c:pt idx="70">
                  <c:v>0.14764065479554805</c:v>
                </c:pt>
                <c:pt idx="71">
                  <c:v>0.15337258484236707</c:v>
                </c:pt>
                <c:pt idx="72">
                  <c:v>0.16652384846880694</c:v>
                </c:pt>
                <c:pt idx="73">
                  <c:v>0.17154941805311774</c:v>
                </c:pt>
                <c:pt idx="74">
                  <c:v>0.16858902343626248</c:v>
                </c:pt>
                <c:pt idx="75">
                  <c:v>0.17287305762419344</c:v>
                </c:pt>
                <c:pt idx="76">
                  <c:v>0.17507109480134939</c:v>
                </c:pt>
                <c:pt idx="77">
                  <c:v>0.17104534662358167</c:v>
                </c:pt>
                <c:pt idx="78">
                  <c:v>0.17966493727318333</c:v>
                </c:pt>
                <c:pt idx="79">
                  <c:v>0.18978509877421362</c:v>
                </c:pt>
                <c:pt idx="80">
                  <c:v>0.19121920057151101</c:v>
                </c:pt>
                <c:pt idx="81">
                  <c:v>0.1903940100609092</c:v>
                </c:pt>
                <c:pt idx="82">
                  <c:v>0.19027294198152161</c:v>
                </c:pt>
                <c:pt idx="83">
                  <c:v>0.19203286359989671</c:v>
                </c:pt>
                <c:pt idx="84">
                  <c:v>0.18935086137323248</c:v>
                </c:pt>
                <c:pt idx="85">
                  <c:v>0.18994552498559328</c:v>
                </c:pt>
                <c:pt idx="86">
                  <c:v>0.1843954738431943</c:v>
                </c:pt>
                <c:pt idx="87">
                  <c:v>0.18386648377675666</c:v>
                </c:pt>
                <c:pt idx="88">
                  <c:v>0.18384784911040811</c:v>
                </c:pt>
                <c:pt idx="89">
                  <c:v>0.18751843438568061</c:v>
                </c:pt>
                <c:pt idx="90">
                  <c:v>0.18462804240146363</c:v>
                </c:pt>
                <c:pt idx="91">
                  <c:v>0.18428994525307194</c:v>
                </c:pt>
                <c:pt idx="92">
                  <c:v>0.18380853544220085</c:v>
                </c:pt>
                <c:pt idx="93">
                  <c:v>0.18350175338262176</c:v>
                </c:pt>
                <c:pt idx="94">
                  <c:v>0.18790237696051593</c:v>
                </c:pt>
                <c:pt idx="95">
                  <c:v>0.19227147324653177</c:v>
                </c:pt>
                <c:pt idx="96">
                  <c:v>0.19250435617178691</c:v>
                </c:pt>
                <c:pt idx="97">
                  <c:v>0.19167159472858095</c:v>
                </c:pt>
                <c:pt idx="98">
                  <c:v>0.1959966111553684</c:v>
                </c:pt>
                <c:pt idx="99">
                  <c:v>0.18833693938502755</c:v>
                </c:pt>
                <c:pt idx="100">
                  <c:v>0.19587422935126844</c:v>
                </c:pt>
                <c:pt idx="101">
                  <c:v>0.20977724270442896</c:v>
                </c:pt>
                <c:pt idx="102">
                  <c:v>0.22457030126198985</c:v>
                </c:pt>
                <c:pt idx="103">
                  <c:v>0.22669723677456952</c:v>
                </c:pt>
                <c:pt idx="104">
                  <c:v>0.24125808079077177</c:v>
                </c:pt>
                <c:pt idx="105">
                  <c:v>0.24867377996182027</c:v>
                </c:pt>
                <c:pt idx="106">
                  <c:v>0.26295671987565278</c:v>
                </c:pt>
                <c:pt idx="107">
                  <c:v>0.28805586208446748</c:v>
                </c:pt>
                <c:pt idx="108">
                  <c:v>0.2988044209425349</c:v>
                </c:pt>
                <c:pt idx="109">
                  <c:v>0.31086315187427327</c:v>
                </c:pt>
                <c:pt idx="110">
                  <c:v>0.3224258793867803</c:v>
                </c:pt>
                <c:pt idx="111">
                  <c:v>0.32276966318715283</c:v>
                </c:pt>
                <c:pt idx="112">
                  <c:v>0.32295570716065503</c:v>
                </c:pt>
                <c:pt idx="113">
                  <c:v>0.33136528035850771</c:v>
                </c:pt>
                <c:pt idx="114">
                  <c:v>0.32538321302234546</c:v>
                </c:pt>
                <c:pt idx="115">
                  <c:v>0.33762027738884104</c:v>
                </c:pt>
                <c:pt idx="116">
                  <c:v>0.33529676385783924</c:v>
                </c:pt>
                <c:pt idx="117">
                  <c:v>0.34158560521137848</c:v>
                </c:pt>
                <c:pt idx="118">
                  <c:v>0.34938407900322743</c:v>
                </c:pt>
                <c:pt idx="119">
                  <c:v>0.34145859636213505</c:v>
                </c:pt>
                <c:pt idx="120">
                  <c:v>0.29419947103748562</c:v>
                </c:pt>
                <c:pt idx="121">
                  <c:v>0.30342879978991411</c:v>
                </c:pt>
                <c:pt idx="122">
                  <c:v>0.30211585799973012</c:v>
                </c:pt>
                <c:pt idx="123">
                  <c:v>0.2974037810004333</c:v>
                </c:pt>
                <c:pt idx="124">
                  <c:v>0.29481252252950019</c:v>
                </c:pt>
                <c:pt idx="125">
                  <c:v>0.30031983619695457</c:v>
                </c:pt>
                <c:pt idx="126">
                  <c:v>0.2971809146474968</c:v>
                </c:pt>
                <c:pt idx="127">
                  <c:v>0.30647441567725214</c:v>
                </c:pt>
                <c:pt idx="128">
                  <c:v>0.30699770071150756</c:v>
                </c:pt>
                <c:pt idx="129">
                  <c:v>0.32426324019559155</c:v>
                </c:pt>
                <c:pt idx="130">
                  <c:v>0.33457299298426951</c:v>
                </c:pt>
                <c:pt idx="131">
                  <c:v>0.33876325093183196</c:v>
                </c:pt>
                <c:pt idx="132">
                  <c:v>0.34364751983343661</c:v>
                </c:pt>
                <c:pt idx="133">
                  <c:v>0.35948629542022476</c:v>
                </c:pt>
                <c:pt idx="134">
                  <c:v>0.36780923766164764</c:v>
                </c:pt>
                <c:pt idx="135">
                  <c:v>0.37662701833358309</c:v>
                </c:pt>
                <c:pt idx="136">
                  <c:v>0.39984035116996397</c:v>
                </c:pt>
                <c:pt idx="137">
                  <c:v>0.41135563417840521</c:v>
                </c:pt>
                <c:pt idx="138">
                  <c:v>0.41699915833326751</c:v>
                </c:pt>
                <c:pt idx="139">
                  <c:v>0.41968957541294932</c:v>
                </c:pt>
                <c:pt idx="140">
                  <c:v>0.42690956187750101</c:v>
                </c:pt>
                <c:pt idx="141">
                  <c:v>0.4147865439534591</c:v>
                </c:pt>
                <c:pt idx="142">
                  <c:v>0.41943956788596809</c:v>
                </c:pt>
                <c:pt idx="143">
                  <c:v>0.43142514317736347</c:v>
                </c:pt>
                <c:pt idx="144">
                  <c:v>0.42728991356927143</c:v>
                </c:pt>
                <c:pt idx="145">
                  <c:v>0.41226068015299794</c:v>
                </c:pt>
                <c:pt idx="146">
                  <c:v>0.41817324384994409</c:v>
                </c:pt>
                <c:pt idx="147">
                  <c:v>0.42909829576708436</c:v>
                </c:pt>
                <c:pt idx="148">
                  <c:v>0.43424599913182454</c:v>
                </c:pt>
                <c:pt idx="149">
                  <c:v>0.4434524309265182</c:v>
                </c:pt>
                <c:pt idx="150">
                  <c:v>0.44270011221486316</c:v>
                </c:pt>
                <c:pt idx="151">
                  <c:v>0.45815187933386914</c:v>
                </c:pt>
                <c:pt idx="152">
                  <c:v>0.46986828764945499</c:v>
                </c:pt>
                <c:pt idx="153">
                  <c:v>0.48957195093684513</c:v>
                </c:pt>
                <c:pt idx="154">
                  <c:v>0.48198904757973526</c:v>
                </c:pt>
                <c:pt idx="155">
                  <c:v>0.4828759648064832</c:v>
                </c:pt>
                <c:pt idx="156">
                  <c:v>0.47769727008816709</c:v>
                </c:pt>
                <c:pt idx="157">
                  <c:v>0.48224306566576519</c:v>
                </c:pt>
                <c:pt idx="158">
                  <c:v>0.47264312822877164</c:v>
                </c:pt>
                <c:pt idx="159">
                  <c:v>0.47158058645629153</c:v>
                </c:pt>
                <c:pt idx="160">
                  <c:v>0.46754070982419027</c:v>
                </c:pt>
                <c:pt idx="161">
                  <c:v>0.4711073453390468</c:v>
                </c:pt>
                <c:pt idx="162">
                  <c:v>0.47899715661208708</c:v>
                </c:pt>
                <c:pt idx="163">
                  <c:v>0.47210281700289641</c:v>
                </c:pt>
                <c:pt idx="164">
                  <c:v>0.4640776805601739</c:v>
                </c:pt>
                <c:pt idx="165">
                  <c:v>0.48124122603758596</c:v>
                </c:pt>
                <c:pt idx="166">
                  <c:v>0.48480863526087886</c:v>
                </c:pt>
                <c:pt idx="167">
                  <c:v>0.47901445232783002</c:v>
                </c:pt>
                <c:pt idx="168">
                  <c:v>0.47305200602331987</c:v>
                </c:pt>
                <c:pt idx="169">
                  <c:v>0.48070199924567014</c:v>
                </c:pt>
                <c:pt idx="170">
                  <c:v>0.48571116359581479</c:v>
                </c:pt>
                <c:pt idx="171">
                  <c:v>0.48105736301369861</c:v>
                </c:pt>
                <c:pt idx="172">
                  <c:v>0.48018637773733497</c:v>
                </c:pt>
                <c:pt idx="173">
                  <c:v>0.46990851187827093</c:v>
                </c:pt>
                <c:pt idx="174">
                  <c:v>0.47181457139809457</c:v>
                </c:pt>
                <c:pt idx="175">
                  <c:v>0.46883925901932416</c:v>
                </c:pt>
                <c:pt idx="176">
                  <c:v>0.47047420981442911</c:v>
                </c:pt>
                <c:pt idx="177">
                  <c:v>0.4787376667601812</c:v>
                </c:pt>
                <c:pt idx="178">
                  <c:v>0.47471964579212722</c:v>
                </c:pt>
                <c:pt idx="179">
                  <c:v>0.47280298296551748</c:v>
                </c:pt>
                <c:pt idx="180">
                  <c:v>0.47154420988614137</c:v>
                </c:pt>
                <c:pt idx="181">
                  <c:v>0.4712032915243981</c:v>
                </c:pt>
                <c:pt idx="182">
                  <c:v>0.46511075030654336</c:v>
                </c:pt>
                <c:pt idx="183">
                  <c:v>0.448486073004499</c:v>
                </c:pt>
                <c:pt idx="184">
                  <c:v>0.45114912946825653</c:v>
                </c:pt>
                <c:pt idx="185">
                  <c:v>0.45052455965495203</c:v>
                </c:pt>
                <c:pt idx="186">
                  <c:v>0.43419442436211669</c:v>
                </c:pt>
                <c:pt idx="187">
                  <c:v>0.41572577556597862</c:v>
                </c:pt>
                <c:pt idx="188">
                  <c:v>0.42264553019289702</c:v>
                </c:pt>
                <c:pt idx="189">
                  <c:v>0.42808041640821609</c:v>
                </c:pt>
                <c:pt idx="190">
                  <c:v>0.42923132114279783</c:v>
                </c:pt>
                <c:pt idx="191">
                  <c:v>0.41902823875104178</c:v>
                </c:pt>
                <c:pt idx="192">
                  <c:v>0.40315397341233428</c:v>
                </c:pt>
                <c:pt idx="193">
                  <c:v>0.40203963587673835</c:v>
                </c:pt>
                <c:pt idx="194">
                  <c:v>0.39457358180333796</c:v>
                </c:pt>
                <c:pt idx="195">
                  <c:v>0.3889461167482241</c:v>
                </c:pt>
                <c:pt idx="196">
                  <c:v>0.39904212631144109</c:v>
                </c:pt>
                <c:pt idx="197">
                  <c:v>0.40888706555170751</c:v>
                </c:pt>
                <c:pt idx="198">
                  <c:v>0.41147682470522662</c:v>
                </c:pt>
                <c:pt idx="199">
                  <c:v>0.39821050220999205</c:v>
                </c:pt>
                <c:pt idx="200">
                  <c:v>0.40336581039003461</c:v>
                </c:pt>
                <c:pt idx="201">
                  <c:v>0.34319502150413356</c:v>
                </c:pt>
                <c:pt idx="202">
                  <c:v>0.33602649196128442</c:v>
                </c:pt>
                <c:pt idx="203">
                  <c:v>0.32656986499174001</c:v>
                </c:pt>
                <c:pt idx="204">
                  <c:v>0.31982295704753561</c:v>
                </c:pt>
                <c:pt idx="205">
                  <c:v>0.33636295150135559</c:v>
                </c:pt>
                <c:pt idx="206">
                  <c:v>0.33941276198978754</c:v>
                </c:pt>
                <c:pt idx="207">
                  <c:v>0.33409401256344384</c:v>
                </c:pt>
                <c:pt idx="208">
                  <c:v>0.3181237051986171</c:v>
                </c:pt>
                <c:pt idx="209">
                  <c:v>0.30989641665581369</c:v>
                </c:pt>
                <c:pt idx="210">
                  <c:v>0.29816770466500159</c:v>
                </c:pt>
                <c:pt idx="211">
                  <c:v>0.29319162723900061</c:v>
                </c:pt>
                <c:pt idx="212">
                  <c:v>0.30219108157993912</c:v>
                </c:pt>
                <c:pt idx="213">
                  <c:v>0.29680471468669645</c:v>
                </c:pt>
                <c:pt idx="214">
                  <c:v>0.28498075048789351</c:v>
                </c:pt>
                <c:pt idx="215">
                  <c:v>0.29450790603506416</c:v>
                </c:pt>
                <c:pt idx="216">
                  <c:v>0.29447483861613716</c:v>
                </c:pt>
                <c:pt idx="217">
                  <c:v>0.30032813072888037</c:v>
                </c:pt>
                <c:pt idx="218">
                  <c:v>0.30948203778792521</c:v>
                </c:pt>
                <c:pt idx="219">
                  <c:v>0.29867849423709136</c:v>
                </c:pt>
                <c:pt idx="220">
                  <c:v>0.31277807805032415</c:v>
                </c:pt>
                <c:pt idx="221">
                  <c:v>0.31500704872143759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7-486D-99D1-CFA2097C1821}"/>
            </c:ext>
          </c:extLst>
        </c:ser>
        <c:ser>
          <c:idx val="1"/>
          <c:order val="1"/>
          <c:tx>
            <c:strRef>
              <c:f>total_debt_breakdown!$G$1</c:f>
              <c:strCache>
                <c:ptCount val="1"/>
                <c:pt idx="0">
                  <c:v>Foreign share of Total National Debt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total_debt_breakdown!$A$2:$A$223</c:f>
              <c:numCache>
                <c:formatCode>[$-409]mmm\-yy;@</c:formatCode>
                <c:ptCount val="222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26299</c:v>
                </c:pt>
                <c:pt idx="9">
                  <c:v>26390</c:v>
                </c:pt>
                <c:pt idx="10">
                  <c:v>26481</c:v>
                </c:pt>
                <c:pt idx="11">
                  <c:v>26573</c:v>
                </c:pt>
                <c:pt idx="12">
                  <c:v>26665</c:v>
                </c:pt>
                <c:pt idx="13">
                  <c:v>26755</c:v>
                </c:pt>
                <c:pt idx="14">
                  <c:v>26846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28126</c:v>
                </c:pt>
                <c:pt idx="29">
                  <c:v>28216</c:v>
                </c:pt>
                <c:pt idx="30">
                  <c:v>28307</c:v>
                </c:pt>
                <c:pt idx="31">
                  <c:v>28399</c:v>
                </c:pt>
                <c:pt idx="32">
                  <c:v>28491</c:v>
                </c:pt>
                <c:pt idx="33">
                  <c:v>28581</c:v>
                </c:pt>
                <c:pt idx="34">
                  <c:v>28672</c:v>
                </c:pt>
                <c:pt idx="35">
                  <c:v>28764</c:v>
                </c:pt>
                <c:pt idx="36">
                  <c:v>28856</c:v>
                </c:pt>
                <c:pt idx="37">
                  <c:v>28946</c:v>
                </c:pt>
                <c:pt idx="38">
                  <c:v>29037</c:v>
                </c:pt>
                <c:pt idx="39">
                  <c:v>29129</c:v>
                </c:pt>
                <c:pt idx="40">
                  <c:v>29221</c:v>
                </c:pt>
                <c:pt idx="41">
                  <c:v>29312</c:v>
                </c:pt>
                <c:pt idx="42">
                  <c:v>29403</c:v>
                </c:pt>
                <c:pt idx="43">
                  <c:v>29495</c:v>
                </c:pt>
                <c:pt idx="44">
                  <c:v>29587</c:v>
                </c:pt>
                <c:pt idx="45">
                  <c:v>29677</c:v>
                </c:pt>
                <c:pt idx="46">
                  <c:v>29768</c:v>
                </c:pt>
                <c:pt idx="47">
                  <c:v>29860</c:v>
                </c:pt>
                <c:pt idx="48">
                  <c:v>29952</c:v>
                </c:pt>
                <c:pt idx="49">
                  <c:v>30042</c:v>
                </c:pt>
                <c:pt idx="50">
                  <c:v>30133</c:v>
                </c:pt>
                <c:pt idx="51">
                  <c:v>30225</c:v>
                </c:pt>
                <c:pt idx="52">
                  <c:v>30317</c:v>
                </c:pt>
                <c:pt idx="53">
                  <c:v>30407</c:v>
                </c:pt>
                <c:pt idx="54">
                  <c:v>30498</c:v>
                </c:pt>
                <c:pt idx="55">
                  <c:v>30590</c:v>
                </c:pt>
                <c:pt idx="56">
                  <c:v>30682</c:v>
                </c:pt>
                <c:pt idx="57">
                  <c:v>30773</c:v>
                </c:pt>
                <c:pt idx="58">
                  <c:v>30864</c:v>
                </c:pt>
                <c:pt idx="59">
                  <c:v>30956</c:v>
                </c:pt>
                <c:pt idx="60">
                  <c:v>31048</c:v>
                </c:pt>
                <c:pt idx="61">
                  <c:v>31138</c:v>
                </c:pt>
                <c:pt idx="62">
                  <c:v>31229</c:v>
                </c:pt>
                <c:pt idx="63">
                  <c:v>31321</c:v>
                </c:pt>
                <c:pt idx="64">
                  <c:v>31413</c:v>
                </c:pt>
                <c:pt idx="65">
                  <c:v>31503</c:v>
                </c:pt>
                <c:pt idx="66">
                  <c:v>31594</c:v>
                </c:pt>
                <c:pt idx="67">
                  <c:v>31686</c:v>
                </c:pt>
                <c:pt idx="68">
                  <c:v>31778</c:v>
                </c:pt>
                <c:pt idx="69">
                  <c:v>31868</c:v>
                </c:pt>
                <c:pt idx="70">
                  <c:v>31959</c:v>
                </c:pt>
                <c:pt idx="71">
                  <c:v>32051</c:v>
                </c:pt>
                <c:pt idx="72">
                  <c:v>32143</c:v>
                </c:pt>
                <c:pt idx="73">
                  <c:v>32234</c:v>
                </c:pt>
                <c:pt idx="74">
                  <c:v>32325</c:v>
                </c:pt>
                <c:pt idx="75">
                  <c:v>32417</c:v>
                </c:pt>
                <c:pt idx="76">
                  <c:v>32509</c:v>
                </c:pt>
                <c:pt idx="77">
                  <c:v>32599</c:v>
                </c:pt>
                <c:pt idx="78">
                  <c:v>32690</c:v>
                </c:pt>
                <c:pt idx="79">
                  <c:v>32782</c:v>
                </c:pt>
                <c:pt idx="80">
                  <c:v>32874</c:v>
                </c:pt>
                <c:pt idx="81">
                  <c:v>32964</c:v>
                </c:pt>
                <c:pt idx="82">
                  <c:v>33055</c:v>
                </c:pt>
                <c:pt idx="83">
                  <c:v>33147</c:v>
                </c:pt>
                <c:pt idx="84">
                  <c:v>33239</c:v>
                </c:pt>
                <c:pt idx="85">
                  <c:v>33329</c:v>
                </c:pt>
                <c:pt idx="86">
                  <c:v>33420</c:v>
                </c:pt>
                <c:pt idx="87">
                  <c:v>33512</c:v>
                </c:pt>
                <c:pt idx="88">
                  <c:v>33604</c:v>
                </c:pt>
                <c:pt idx="89">
                  <c:v>33695</c:v>
                </c:pt>
                <c:pt idx="90">
                  <c:v>33786</c:v>
                </c:pt>
                <c:pt idx="91">
                  <c:v>33878</c:v>
                </c:pt>
                <c:pt idx="92">
                  <c:v>33970</c:v>
                </c:pt>
                <c:pt idx="93">
                  <c:v>34060</c:v>
                </c:pt>
                <c:pt idx="94">
                  <c:v>34151</c:v>
                </c:pt>
                <c:pt idx="95">
                  <c:v>34243</c:v>
                </c:pt>
                <c:pt idx="96">
                  <c:v>34335</c:v>
                </c:pt>
                <c:pt idx="97">
                  <c:v>34425</c:v>
                </c:pt>
                <c:pt idx="98">
                  <c:v>34516</c:v>
                </c:pt>
                <c:pt idx="99">
                  <c:v>34608</c:v>
                </c:pt>
                <c:pt idx="100">
                  <c:v>34700</c:v>
                </c:pt>
                <c:pt idx="101">
                  <c:v>34790</c:v>
                </c:pt>
                <c:pt idx="102">
                  <c:v>34881</c:v>
                </c:pt>
                <c:pt idx="103">
                  <c:v>34973</c:v>
                </c:pt>
                <c:pt idx="104">
                  <c:v>35065</c:v>
                </c:pt>
                <c:pt idx="105">
                  <c:v>35156</c:v>
                </c:pt>
                <c:pt idx="106">
                  <c:v>35247</c:v>
                </c:pt>
                <c:pt idx="107">
                  <c:v>35339</c:v>
                </c:pt>
                <c:pt idx="108">
                  <c:v>35431</c:v>
                </c:pt>
                <c:pt idx="109">
                  <c:v>35521</c:v>
                </c:pt>
                <c:pt idx="110">
                  <c:v>35612</c:v>
                </c:pt>
                <c:pt idx="111">
                  <c:v>35704</c:v>
                </c:pt>
                <c:pt idx="112">
                  <c:v>35796</c:v>
                </c:pt>
                <c:pt idx="113">
                  <c:v>35886</c:v>
                </c:pt>
                <c:pt idx="114">
                  <c:v>35977</c:v>
                </c:pt>
                <c:pt idx="115">
                  <c:v>36069</c:v>
                </c:pt>
                <c:pt idx="116">
                  <c:v>36161</c:v>
                </c:pt>
                <c:pt idx="117">
                  <c:v>36251</c:v>
                </c:pt>
                <c:pt idx="118">
                  <c:v>36342</c:v>
                </c:pt>
                <c:pt idx="119">
                  <c:v>36434</c:v>
                </c:pt>
                <c:pt idx="120">
                  <c:v>36526</c:v>
                </c:pt>
                <c:pt idx="121">
                  <c:v>36617</c:v>
                </c:pt>
                <c:pt idx="122">
                  <c:v>36708</c:v>
                </c:pt>
                <c:pt idx="123">
                  <c:v>36800</c:v>
                </c:pt>
                <c:pt idx="124">
                  <c:v>36892</c:v>
                </c:pt>
                <c:pt idx="125">
                  <c:v>36982</c:v>
                </c:pt>
                <c:pt idx="126">
                  <c:v>37073</c:v>
                </c:pt>
                <c:pt idx="127">
                  <c:v>37165</c:v>
                </c:pt>
                <c:pt idx="128">
                  <c:v>37257</c:v>
                </c:pt>
                <c:pt idx="129">
                  <c:v>37347</c:v>
                </c:pt>
                <c:pt idx="130">
                  <c:v>37438</c:v>
                </c:pt>
                <c:pt idx="131">
                  <c:v>37530</c:v>
                </c:pt>
                <c:pt idx="132">
                  <c:v>37622</c:v>
                </c:pt>
                <c:pt idx="133">
                  <c:v>37712</c:v>
                </c:pt>
                <c:pt idx="134">
                  <c:v>37803</c:v>
                </c:pt>
                <c:pt idx="135">
                  <c:v>37895</c:v>
                </c:pt>
                <c:pt idx="136">
                  <c:v>37987</c:v>
                </c:pt>
                <c:pt idx="137">
                  <c:v>38078</c:v>
                </c:pt>
                <c:pt idx="138">
                  <c:v>38169</c:v>
                </c:pt>
                <c:pt idx="139">
                  <c:v>38261</c:v>
                </c:pt>
                <c:pt idx="140">
                  <c:v>38353</c:v>
                </c:pt>
                <c:pt idx="141">
                  <c:v>38443</c:v>
                </c:pt>
                <c:pt idx="142">
                  <c:v>38534</c:v>
                </c:pt>
                <c:pt idx="143">
                  <c:v>38626</c:v>
                </c:pt>
                <c:pt idx="144">
                  <c:v>38718</c:v>
                </c:pt>
                <c:pt idx="145">
                  <c:v>38808</c:v>
                </c:pt>
                <c:pt idx="146">
                  <c:v>38899</c:v>
                </c:pt>
                <c:pt idx="147">
                  <c:v>38991</c:v>
                </c:pt>
                <c:pt idx="148">
                  <c:v>39083</c:v>
                </c:pt>
                <c:pt idx="149">
                  <c:v>39173</c:v>
                </c:pt>
                <c:pt idx="150">
                  <c:v>39264</c:v>
                </c:pt>
                <c:pt idx="151">
                  <c:v>39356</c:v>
                </c:pt>
                <c:pt idx="152">
                  <c:v>39448</c:v>
                </c:pt>
                <c:pt idx="153">
                  <c:v>39539</c:v>
                </c:pt>
                <c:pt idx="154">
                  <c:v>39630</c:v>
                </c:pt>
                <c:pt idx="155">
                  <c:v>39722</c:v>
                </c:pt>
                <c:pt idx="156">
                  <c:v>39814</c:v>
                </c:pt>
                <c:pt idx="157">
                  <c:v>39904</c:v>
                </c:pt>
                <c:pt idx="158">
                  <c:v>39995</c:v>
                </c:pt>
                <c:pt idx="159">
                  <c:v>40087</c:v>
                </c:pt>
                <c:pt idx="160">
                  <c:v>40179</c:v>
                </c:pt>
                <c:pt idx="161">
                  <c:v>40269</c:v>
                </c:pt>
                <c:pt idx="162">
                  <c:v>40360</c:v>
                </c:pt>
                <c:pt idx="163">
                  <c:v>40452</c:v>
                </c:pt>
                <c:pt idx="164">
                  <c:v>40544</c:v>
                </c:pt>
                <c:pt idx="165">
                  <c:v>40634</c:v>
                </c:pt>
                <c:pt idx="166">
                  <c:v>40725</c:v>
                </c:pt>
                <c:pt idx="167">
                  <c:v>40817</c:v>
                </c:pt>
                <c:pt idx="168">
                  <c:v>40909</c:v>
                </c:pt>
                <c:pt idx="169">
                  <c:v>41000</c:v>
                </c:pt>
                <c:pt idx="170">
                  <c:v>41091</c:v>
                </c:pt>
                <c:pt idx="171">
                  <c:v>41183</c:v>
                </c:pt>
                <c:pt idx="172">
                  <c:v>41275</c:v>
                </c:pt>
                <c:pt idx="173">
                  <c:v>41365</c:v>
                </c:pt>
                <c:pt idx="174">
                  <c:v>41456</c:v>
                </c:pt>
                <c:pt idx="175">
                  <c:v>41548</c:v>
                </c:pt>
                <c:pt idx="176">
                  <c:v>41640</c:v>
                </c:pt>
                <c:pt idx="177">
                  <c:v>41730</c:v>
                </c:pt>
                <c:pt idx="178">
                  <c:v>41821</c:v>
                </c:pt>
                <c:pt idx="179">
                  <c:v>41913</c:v>
                </c:pt>
                <c:pt idx="180">
                  <c:v>42005</c:v>
                </c:pt>
                <c:pt idx="181">
                  <c:v>42095</c:v>
                </c:pt>
                <c:pt idx="182">
                  <c:v>42186</c:v>
                </c:pt>
                <c:pt idx="183">
                  <c:v>42278</c:v>
                </c:pt>
                <c:pt idx="184">
                  <c:v>42370</c:v>
                </c:pt>
                <c:pt idx="185">
                  <c:v>42461</c:v>
                </c:pt>
                <c:pt idx="186">
                  <c:v>42552</c:v>
                </c:pt>
                <c:pt idx="187">
                  <c:v>42644</c:v>
                </c:pt>
                <c:pt idx="188">
                  <c:v>42736</c:v>
                </c:pt>
                <c:pt idx="189">
                  <c:v>42826</c:v>
                </c:pt>
                <c:pt idx="190">
                  <c:v>42917</c:v>
                </c:pt>
                <c:pt idx="191">
                  <c:v>43009</c:v>
                </c:pt>
                <c:pt idx="192">
                  <c:v>43101</c:v>
                </c:pt>
                <c:pt idx="193">
                  <c:v>43191</c:v>
                </c:pt>
                <c:pt idx="194">
                  <c:v>43282</c:v>
                </c:pt>
                <c:pt idx="195">
                  <c:v>43374</c:v>
                </c:pt>
                <c:pt idx="196">
                  <c:v>43466</c:v>
                </c:pt>
                <c:pt idx="197">
                  <c:v>43556</c:v>
                </c:pt>
                <c:pt idx="198">
                  <c:v>43647</c:v>
                </c:pt>
                <c:pt idx="199">
                  <c:v>43739</c:v>
                </c:pt>
                <c:pt idx="200">
                  <c:v>43831</c:v>
                </c:pt>
                <c:pt idx="201">
                  <c:v>43922</c:v>
                </c:pt>
                <c:pt idx="202">
                  <c:v>44013</c:v>
                </c:pt>
                <c:pt idx="203">
                  <c:v>44105</c:v>
                </c:pt>
                <c:pt idx="204">
                  <c:v>44197</c:v>
                </c:pt>
                <c:pt idx="205">
                  <c:v>44287</c:v>
                </c:pt>
                <c:pt idx="206">
                  <c:v>44378</c:v>
                </c:pt>
                <c:pt idx="207">
                  <c:v>44470</c:v>
                </c:pt>
                <c:pt idx="208">
                  <c:v>44562</c:v>
                </c:pt>
                <c:pt idx="209">
                  <c:v>44652</c:v>
                </c:pt>
                <c:pt idx="210">
                  <c:v>44743</c:v>
                </c:pt>
                <c:pt idx="211">
                  <c:v>44835</c:v>
                </c:pt>
                <c:pt idx="212">
                  <c:v>44927</c:v>
                </c:pt>
                <c:pt idx="213">
                  <c:v>45017</c:v>
                </c:pt>
                <c:pt idx="214">
                  <c:v>45108</c:v>
                </c:pt>
                <c:pt idx="215">
                  <c:v>45200</c:v>
                </c:pt>
                <c:pt idx="216">
                  <c:v>45292</c:v>
                </c:pt>
                <c:pt idx="217">
                  <c:v>45383</c:v>
                </c:pt>
                <c:pt idx="218">
                  <c:v>45474</c:v>
                </c:pt>
                <c:pt idx="219">
                  <c:v>45566</c:v>
                </c:pt>
                <c:pt idx="220">
                  <c:v>45658</c:v>
                </c:pt>
                <c:pt idx="221">
                  <c:v>45748</c:v>
                </c:pt>
              </c:numCache>
            </c:numRef>
          </c:cat>
          <c:val>
            <c:numRef>
              <c:f>total_debt_breakdown!$G$2:$G$223</c:f>
              <c:numCache>
                <c:formatCode>0.00%</c:formatCode>
                <c:ptCount val="222"/>
                <c:pt idx="0">
                  <c:v>3.333270610499265E-2</c:v>
                </c:pt>
                <c:pt idx="1">
                  <c:v>3.7828227423303266E-2</c:v>
                </c:pt>
                <c:pt idx="2">
                  <c:v>4.3836716154622132E-2</c:v>
                </c:pt>
                <c:pt idx="3">
                  <c:v>5.0622112355392927E-2</c:v>
                </c:pt>
                <c:pt idx="4">
                  <c:v>6.2808296822819326E-2</c:v>
                </c:pt>
                <c:pt idx="5">
                  <c:v>8.0039264544871064E-2</c:v>
                </c:pt>
                <c:pt idx="6">
                  <c:v>0.10066267573520138</c:v>
                </c:pt>
                <c:pt idx="7">
                  <c:v>0.10845705689987292</c:v>
                </c:pt>
                <c:pt idx="8">
                  <c:v>0.11466172451233667</c:v>
                </c:pt>
                <c:pt idx="9">
                  <c:v>0.1153751450983151</c:v>
                </c:pt>
                <c:pt idx="10">
                  <c:v>0.12559166347886602</c:v>
                </c:pt>
                <c:pt idx="11">
                  <c:v>0.12130050192542249</c:v>
                </c:pt>
                <c:pt idx="12">
                  <c:v>0.13562840433836451</c:v>
                </c:pt>
                <c:pt idx="13">
                  <c:v>0.12988802078208334</c:v>
                </c:pt>
                <c:pt idx="14">
                  <c:v>0.12526757762464885</c:v>
                </c:pt>
                <c:pt idx="15">
                  <c:v>0.11661297921645458</c:v>
                </c:pt>
                <c:pt idx="16">
                  <c:v>0.11421333192589855</c:v>
                </c:pt>
                <c:pt idx="17">
                  <c:v>0.11977184307358166</c:v>
                </c:pt>
                <c:pt idx="18">
                  <c:v>0.11631143216758816</c:v>
                </c:pt>
                <c:pt idx="19">
                  <c:v>0.11935111962716984</c:v>
                </c:pt>
                <c:pt idx="20">
                  <c:v>0.12753625463299972</c:v>
                </c:pt>
                <c:pt idx="21">
                  <c:v>0.12378373106671568</c:v>
                </c:pt>
                <c:pt idx="22">
                  <c:v>0.11830642990931045</c:v>
                </c:pt>
                <c:pt idx="23">
                  <c:v>0.1153214520444846</c:v>
                </c:pt>
                <c:pt idx="24">
                  <c:v>0.11340738396975802</c:v>
                </c:pt>
                <c:pt idx="25">
                  <c:v>0.11250225649225055</c:v>
                </c:pt>
                <c:pt idx="26">
                  <c:v>0.11753565852267446</c:v>
                </c:pt>
                <c:pt idx="27">
                  <c:v>0.11950246579031525</c:v>
                </c:pt>
                <c:pt idx="28">
                  <c:v>0.12656771372684386</c:v>
                </c:pt>
                <c:pt idx="29">
                  <c:v>0.13033324683990066</c:v>
                </c:pt>
                <c:pt idx="30">
                  <c:v>0.13665502833266557</c:v>
                </c:pt>
                <c:pt idx="31">
                  <c:v>0.15244602145093561</c:v>
                </c:pt>
                <c:pt idx="32">
                  <c:v>0.1687103886301394</c:v>
                </c:pt>
                <c:pt idx="33">
                  <c:v>0.15954094928867432</c:v>
                </c:pt>
                <c:pt idx="34">
                  <c:v>0.15669877544248934</c:v>
                </c:pt>
                <c:pt idx="35">
                  <c:v>0.16865030340582382</c:v>
                </c:pt>
                <c:pt idx="36">
                  <c:v>0.16666834004357473</c:v>
                </c:pt>
                <c:pt idx="37">
                  <c:v>0.14846325006553504</c:v>
                </c:pt>
                <c:pt idx="38">
                  <c:v>0.15026877785023696</c:v>
                </c:pt>
                <c:pt idx="39">
                  <c:v>0.14080907236403051</c:v>
                </c:pt>
                <c:pt idx="40">
                  <c:v>0.14476791387119825</c:v>
                </c:pt>
                <c:pt idx="41">
                  <c:v>0.13468335737579393</c:v>
                </c:pt>
                <c:pt idx="42">
                  <c:v>0.13738004034368145</c:v>
                </c:pt>
                <c:pt idx="43">
                  <c:v>0.13943088119886907</c:v>
                </c:pt>
                <c:pt idx="44">
                  <c:v>0.14328207180484609</c:v>
                </c:pt>
                <c:pt idx="45">
                  <c:v>0.14065450681340316</c:v>
                </c:pt>
                <c:pt idx="46">
                  <c:v>0.13098095414664454</c:v>
                </c:pt>
                <c:pt idx="47">
                  <c:v>0.13278521359852788</c:v>
                </c:pt>
                <c:pt idx="48">
                  <c:v>0.12823907306046647</c:v>
                </c:pt>
                <c:pt idx="49">
                  <c:v>0.12708057390031771</c:v>
                </c:pt>
                <c:pt idx="50">
                  <c:v>0.12311356482069288</c:v>
                </c:pt>
                <c:pt idx="51">
                  <c:v>0.12488785154468311</c:v>
                </c:pt>
                <c:pt idx="52">
                  <c:v>0.12551295989611833</c:v>
                </c:pt>
                <c:pt idx="53">
                  <c:v>0.12132639072554091</c:v>
                </c:pt>
                <c:pt idx="54">
                  <c:v>0.11624943454561429</c:v>
                </c:pt>
                <c:pt idx="55">
                  <c:v>0.11788457094411152</c:v>
                </c:pt>
                <c:pt idx="56">
                  <c:v>0.113612995741733</c:v>
                </c:pt>
                <c:pt idx="57">
                  <c:v>0.11343977015886195</c:v>
                </c:pt>
                <c:pt idx="58">
                  <c:v>0.1116858650598149</c:v>
                </c:pt>
                <c:pt idx="59">
                  <c:v>0.11599756098440979</c:v>
                </c:pt>
                <c:pt idx="60">
                  <c:v>0.11667526922701466</c:v>
                </c:pt>
                <c:pt idx="61">
                  <c:v>0.1204751386196637</c:v>
                </c:pt>
                <c:pt idx="62">
                  <c:v>0.12226407394425877</c:v>
                </c:pt>
                <c:pt idx="63">
                  <c:v>0.1155224564760923</c:v>
                </c:pt>
                <c:pt idx="64">
                  <c:v>0.11707173688957609</c:v>
                </c:pt>
                <c:pt idx="65">
                  <c:v>0.1218346186100559</c:v>
                </c:pt>
                <c:pt idx="66">
                  <c:v>0.12492330508953071</c:v>
                </c:pt>
                <c:pt idx="67">
                  <c:v>0.11892533755336177</c:v>
                </c:pt>
                <c:pt idx="68">
                  <c:v>0.12142123376080018</c:v>
                </c:pt>
                <c:pt idx="69">
                  <c:v>0.12172540895580299</c:v>
                </c:pt>
                <c:pt idx="70">
                  <c:v>0.11892215258031287</c:v>
                </c:pt>
                <c:pt idx="71">
                  <c:v>0.12324635082647432</c:v>
                </c:pt>
                <c:pt idx="72">
                  <c:v>0.13366560122787433</c:v>
                </c:pt>
                <c:pt idx="73">
                  <c:v>0.13557560361367468</c:v>
                </c:pt>
                <c:pt idx="74">
                  <c:v>0.132926854106725</c:v>
                </c:pt>
                <c:pt idx="75">
                  <c:v>0.13492813270193027</c:v>
                </c:pt>
                <c:pt idx="76">
                  <c:v>0.13626920812084214</c:v>
                </c:pt>
                <c:pt idx="77">
                  <c:v>0.13086074152753485</c:v>
                </c:pt>
                <c:pt idx="78">
                  <c:v>0.13711617183407054</c:v>
                </c:pt>
                <c:pt idx="79">
                  <c:v>0.14429423154940377</c:v>
                </c:pt>
                <c:pt idx="80">
                  <c:v>0.14593909876872485</c:v>
                </c:pt>
                <c:pt idx="81">
                  <c:v>0.14345906200039826</c:v>
                </c:pt>
                <c:pt idx="82">
                  <c:v>0.1434442010408519</c:v>
                </c:pt>
                <c:pt idx="83">
                  <c:v>0.14476257273791762</c:v>
                </c:pt>
                <c:pt idx="84">
                  <c:v>0.14198359743148209</c:v>
                </c:pt>
                <c:pt idx="85">
                  <c:v>0.14188855360730449</c:v>
                </c:pt>
                <c:pt idx="86">
                  <c:v>0.1381331911713711</c:v>
                </c:pt>
                <c:pt idx="87">
                  <c:v>0.137017722081028</c:v>
                </c:pt>
                <c:pt idx="88">
                  <c:v>0.13820154546635036</c:v>
                </c:pt>
                <c:pt idx="89">
                  <c:v>0.14008737517115655</c:v>
                </c:pt>
                <c:pt idx="90">
                  <c:v>0.13846309409905622</c:v>
                </c:pt>
                <c:pt idx="91">
                  <c:v>0.13806529983536067</c:v>
                </c:pt>
                <c:pt idx="92">
                  <c:v>0.13849164889920532</c:v>
                </c:pt>
                <c:pt idx="93">
                  <c:v>0.13713392846884731</c:v>
                </c:pt>
                <c:pt idx="94">
                  <c:v>0.14033810352921655</c:v>
                </c:pt>
                <c:pt idx="95">
                  <c:v>0.14337409084886149</c:v>
                </c:pt>
                <c:pt idx="96">
                  <c:v>0.144475289830194</c:v>
                </c:pt>
                <c:pt idx="97">
                  <c:v>0.14204221359412217</c:v>
                </c:pt>
                <c:pt idx="98">
                  <c:v>0.14533056310265835</c:v>
                </c:pt>
                <c:pt idx="99">
                  <c:v>0.13901648906804995</c:v>
                </c:pt>
                <c:pt idx="100">
                  <c:v>0.14535015201117737</c:v>
                </c:pt>
                <c:pt idx="101">
                  <c:v>0.15399772022784797</c:v>
                </c:pt>
                <c:pt idx="102">
                  <c:v>0.16493823963612261</c:v>
                </c:pt>
                <c:pt idx="103">
                  <c:v>0.16741954009740082</c:v>
                </c:pt>
                <c:pt idx="104">
                  <c:v>0.17744001019190719</c:v>
                </c:pt>
                <c:pt idx="105">
                  <c:v>0.18013685518291148</c:v>
                </c:pt>
                <c:pt idx="106">
                  <c:v>0.19013127938981908</c:v>
                </c:pt>
                <c:pt idx="107">
                  <c:v>0.20703820954874275</c:v>
                </c:pt>
                <c:pt idx="108">
                  <c:v>0.21513169754445827</c:v>
                </c:pt>
                <c:pt idx="109">
                  <c:v>0.21999010072447742</c:v>
                </c:pt>
                <c:pt idx="110">
                  <c:v>0.22731697981173979</c:v>
                </c:pt>
                <c:pt idx="111">
                  <c:v>0.22564748251122968</c:v>
                </c:pt>
                <c:pt idx="112">
                  <c:v>0.2256232198679784</c:v>
                </c:pt>
                <c:pt idx="113">
                  <c:v>0.22639053990358574</c:v>
                </c:pt>
                <c:pt idx="114">
                  <c:v>0.22152682687702005</c:v>
                </c:pt>
                <c:pt idx="115">
                  <c:v>0.22776105732998919</c:v>
                </c:pt>
                <c:pt idx="116">
                  <c:v>0.22512149182136434</c:v>
                </c:pt>
                <c:pt idx="117">
                  <c:v>0.22323977881740376</c:v>
                </c:pt>
                <c:pt idx="118">
                  <c:v>0.22654501525828588</c:v>
                </c:pt>
                <c:pt idx="119">
                  <c:v>0.2196468165061804</c:v>
                </c:pt>
                <c:pt idx="120">
                  <c:v>0.18793111571152626</c:v>
                </c:pt>
                <c:pt idx="121">
                  <c:v>0.1865479363299424</c:v>
                </c:pt>
                <c:pt idx="122">
                  <c:v>0.18307494352927534</c:v>
                </c:pt>
                <c:pt idx="123">
                  <c:v>0.17929376060538843</c:v>
                </c:pt>
                <c:pt idx="124">
                  <c:v>0.17536293632896527</c:v>
                </c:pt>
                <c:pt idx="125">
                  <c:v>0.17170102404215956</c:v>
                </c:pt>
                <c:pt idx="126">
                  <c:v>0.17084910039907264</c:v>
                </c:pt>
                <c:pt idx="127">
                  <c:v>0.17499969293871778</c:v>
                </c:pt>
                <c:pt idx="128">
                  <c:v>0.17602303817229079</c:v>
                </c:pt>
                <c:pt idx="129">
                  <c:v>0.18331929860413887</c:v>
                </c:pt>
                <c:pt idx="130">
                  <c:v>0.19084055260590641</c:v>
                </c:pt>
                <c:pt idx="131">
                  <c:v>0.19289049592808413</c:v>
                </c:pt>
                <c:pt idx="132">
                  <c:v>0.19737567128159217</c:v>
                </c:pt>
                <c:pt idx="133">
                  <c:v>0.2056784277226755</c:v>
                </c:pt>
                <c:pt idx="134">
                  <c:v>0.21277191699639705</c:v>
                </c:pt>
                <c:pt idx="135">
                  <c:v>0.21764901905754303</c:v>
                </c:pt>
                <c:pt idx="136">
                  <c:v>0.23418652016780656</c:v>
                </c:pt>
                <c:pt idx="137">
                  <c:v>0.23856476227723908</c:v>
                </c:pt>
                <c:pt idx="138">
                  <c:v>0.24318838745296992</c:v>
                </c:pt>
                <c:pt idx="139">
                  <c:v>0.24345249951192335</c:v>
                </c:pt>
                <c:pt idx="140">
                  <c:v>0.25099849696648002</c:v>
                </c:pt>
                <c:pt idx="141">
                  <c:v>0.23964792427636025</c:v>
                </c:pt>
                <c:pt idx="142">
                  <c:v>0.24329642707221114</c:v>
                </c:pt>
                <c:pt idx="143">
                  <c:v>0.24894702385301698</c:v>
                </c:pt>
                <c:pt idx="144">
                  <c:v>0.2487231154215738</c:v>
                </c:pt>
                <c:pt idx="145">
                  <c:v>0.23489193996894553</c:v>
                </c:pt>
                <c:pt idx="146">
                  <c:v>0.23807525449119746</c:v>
                </c:pt>
                <c:pt idx="147">
                  <c:v>0.24228637417651894</c:v>
                </c:pt>
                <c:pt idx="148">
                  <c:v>0.24800938792598365</c:v>
                </c:pt>
                <c:pt idx="149">
                  <c:v>0.24718987847662921</c:v>
                </c:pt>
                <c:pt idx="150">
                  <c:v>0.24815565164421854</c:v>
                </c:pt>
                <c:pt idx="151">
                  <c:v>0.25497411902172806</c:v>
                </c:pt>
                <c:pt idx="152">
                  <c:v>0.26556556681713583</c:v>
                </c:pt>
                <c:pt idx="153">
                  <c:v>0.27258726975098835</c:v>
                </c:pt>
                <c:pt idx="154">
                  <c:v>0.27954881555354388</c:v>
                </c:pt>
                <c:pt idx="155">
                  <c:v>0.28759402624627273</c:v>
                </c:pt>
                <c:pt idx="156">
                  <c:v>0.29349486080675724</c:v>
                </c:pt>
                <c:pt idx="157">
                  <c:v>0.299758992315038</c:v>
                </c:pt>
                <c:pt idx="158">
                  <c:v>0.29980281831106209</c:v>
                </c:pt>
                <c:pt idx="159">
                  <c:v>0.29932544353994028</c:v>
                </c:pt>
                <c:pt idx="160">
                  <c:v>0.30359842303248785</c:v>
                </c:pt>
                <c:pt idx="161">
                  <c:v>0.30829148042932353</c:v>
                </c:pt>
                <c:pt idx="162">
                  <c:v>0.31885566490497963</c:v>
                </c:pt>
                <c:pt idx="163">
                  <c:v>0.31625896644008666</c:v>
                </c:pt>
                <c:pt idx="164">
                  <c:v>0.31404093898619168</c:v>
                </c:pt>
                <c:pt idx="165">
                  <c:v>0.32702862361498608</c:v>
                </c:pt>
                <c:pt idx="166">
                  <c:v>0.3321154212817285</c:v>
                </c:pt>
                <c:pt idx="167">
                  <c:v>0.32890492900845697</c:v>
                </c:pt>
                <c:pt idx="168">
                  <c:v>0.32967635701954784</c:v>
                </c:pt>
                <c:pt idx="169">
                  <c:v>0.33496610572400431</c:v>
                </c:pt>
                <c:pt idx="170">
                  <c:v>0.34084515107455138</c:v>
                </c:pt>
                <c:pt idx="171">
                  <c:v>0.33918892356899921</c:v>
                </c:pt>
                <c:pt idx="172">
                  <c:v>0.3413553123621722</c:v>
                </c:pt>
                <c:pt idx="173">
                  <c:v>0.33426293678218605</c:v>
                </c:pt>
                <c:pt idx="174">
                  <c:v>0.33771891567661477</c:v>
                </c:pt>
                <c:pt idx="175">
                  <c:v>0.33764046518912583</c:v>
                </c:pt>
                <c:pt idx="176">
                  <c:v>0.33794803055491529</c:v>
                </c:pt>
                <c:pt idx="177">
                  <c:v>0.3413392212132455</c:v>
                </c:pt>
                <c:pt idx="178">
                  <c:v>0.34050582495996568</c:v>
                </c:pt>
                <c:pt idx="179">
                  <c:v>0.33942722530797437</c:v>
                </c:pt>
                <c:pt idx="180">
                  <c:v>0.34004963404696414</c:v>
                </c:pt>
                <c:pt idx="181">
                  <c:v>0.33941167247814813</c:v>
                </c:pt>
                <c:pt idx="182">
                  <c:v>0.33629708916798318</c:v>
                </c:pt>
                <c:pt idx="183">
                  <c:v>0.32470890376842965</c:v>
                </c:pt>
                <c:pt idx="184">
                  <c:v>0.32620918239087077</c:v>
                </c:pt>
                <c:pt idx="185">
                  <c:v>0.32397237151480496</c:v>
                </c:pt>
                <c:pt idx="186">
                  <c:v>0.31450263354253682</c:v>
                </c:pt>
                <c:pt idx="187">
                  <c:v>0.30048816060728761</c:v>
                </c:pt>
                <c:pt idx="188">
                  <c:v>0.30611566216980191</c:v>
                </c:pt>
                <c:pt idx="189">
                  <c:v>0.31000444756783146</c:v>
                </c:pt>
                <c:pt idx="190">
                  <c:v>0.31128333555611537</c:v>
                </c:pt>
                <c:pt idx="191">
                  <c:v>0.3030974812698366</c:v>
                </c:pt>
                <c:pt idx="192">
                  <c:v>0.29509271446652746</c:v>
                </c:pt>
                <c:pt idx="193">
                  <c:v>0.29370037466259841</c:v>
                </c:pt>
                <c:pt idx="194">
                  <c:v>0.28936062544542313</c:v>
                </c:pt>
                <c:pt idx="195">
                  <c:v>0.28534052094793799</c:v>
                </c:pt>
                <c:pt idx="196">
                  <c:v>0.29390027546908737</c:v>
                </c:pt>
                <c:pt idx="197">
                  <c:v>0.30085886831677183</c:v>
                </c:pt>
                <c:pt idx="198">
                  <c:v>0.30473953495783029</c:v>
                </c:pt>
                <c:pt idx="199">
                  <c:v>0.29499107380681666</c:v>
                </c:pt>
                <c:pt idx="200">
                  <c:v>0.29924026687607241</c:v>
                </c:pt>
                <c:pt idx="201">
                  <c:v>0.26634572688294827</c:v>
                </c:pt>
                <c:pt idx="202">
                  <c:v>0.26235284542725695</c:v>
                </c:pt>
                <c:pt idx="203">
                  <c:v>0.25482022032883472</c:v>
                </c:pt>
                <c:pt idx="204">
                  <c:v>0.25018332843391128</c:v>
                </c:pt>
                <c:pt idx="205">
                  <c:v>0.26354884828427733</c:v>
                </c:pt>
                <c:pt idx="206">
                  <c:v>0.26630980938810933</c:v>
                </c:pt>
                <c:pt idx="207">
                  <c:v>0.26134800317990736</c:v>
                </c:pt>
                <c:pt idx="208">
                  <c:v>0.25013025904445124</c:v>
                </c:pt>
                <c:pt idx="209">
                  <c:v>0.24263147044243008</c:v>
                </c:pt>
                <c:pt idx="210">
                  <c:v>0.23445700256122814</c:v>
                </c:pt>
                <c:pt idx="211">
                  <c:v>0.22898698965479894</c:v>
                </c:pt>
                <c:pt idx="212">
                  <c:v>0.23741166042636955</c:v>
                </c:pt>
                <c:pt idx="213">
                  <c:v>0.23392106599121362</c:v>
                </c:pt>
                <c:pt idx="214">
                  <c:v>0.22640046981165263</c:v>
                </c:pt>
                <c:pt idx="215">
                  <c:v>0.23351915065849754</c:v>
                </c:pt>
                <c:pt idx="216">
                  <c:v>0.23442361221924152</c:v>
                </c:pt>
                <c:pt idx="217">
                  <c:v>0.23826904014896341</c:v>
                </c:pt>
                <c:pt idx="218">
                  <c:v>0.24718400061988446</c:v>
                </c:pt>
                <c:pt idx="219">
                  <c:v>0.23798818314509904</c:v>
                </c:pt>
                <c:pt idx="220">
                  <c:v>0.24989016772651473</c:v>
                </c:pt>
                <c:pt idx="221">
                  <c:v>0.25206654830821695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7-486D-99D1-CFA2097C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568688"/>
        <c:axId val="1235560048"/>
      </c:lineChart>
      <c:dateAx>
        <c:axId val="123556868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60048"/>
        <c:crosses val="autoZero"/>
        <c:auto val="1"/>
        <c:lblOffset val="100"/>
        <c:baseTimeUnit val="months"/>
      </c:dateAx>
      <c:valAx>
        <c:axId val="12355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6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1249680</xdr:colOff>
      <xdr:row>1</xdr:row>
      <xdr:rowOff>34290</xdr:rowOff>
    </xdr:from>
    <xdr:to>
      <xdr:col>21</xdr:col>
      <xdr:colOff>121920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50A54-82EA-645D-9D07-392D6693E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672213-80B1-48AE-A7C8-870D252B41D3}" name="Debt" displayName="Debt" ref="A1:G223" totalsRowShown="0">
  <autoFilter ref="A1:G223" xr:uid="{A8672213-80B1-48AE-A7C8-870D252B41D3}"/>
  <tableColumns count="7">
    <tableColumn id="1" xr3:uid="{AD2B354C-C774-4EB7-ABA9-2D3631768DA7}" name="Date" dataDxfId="6"/>
    <tableColumn id="2" xr3:uid="{B8B95579-3037-4EC7-A3A2-880293CE320E}" name="Debt Held by the Public (millions)" dataDxfId="5"/>
    <tableColumn id="3" xr3:uid="{16DFE740-CF94-43D1-84A2-34ED31B40C96}" name="Total National Debt (millions)" dataDxfId="4"/>
    <tableColumn id="5" xr3:uid="{DFE55A0B-47D0-444B-8CB4-12698EB00200}" name="Foreign Holdings" dataDxfId="3"/>
    <tableColumn id="4" xr3:uid="{7941974C-7437-4ABD-B2BF-8D3C72AA2554}" name="Public Share" dataDxfId="2">
      <calculatedColumnFormula>Debt[[#This Row],[Debt Held by the Public (millions)]]/Debt[[#This Row],[Total National Debt (millions)]]</calculatedColumnFormula>
    </tableColumn>
    <tableColumn id="6" xr3:uid="{5E54EF05-37C3-4845-A220-2EE3FD5AD6CD}" name="Foreign share of Debt held by the Public" dataDxfId="1">
      <calculatedColumnFormula>Debt[[#This Row],[Foreign Holdings]]/Debt[[#This Row],[Debt Held by the Public (millions)]]</calculatedColumnFormula>
    </tableColumn>
    <tableColumn id="7" xr3:uid="{5C3DB7D1-7712-4BEA-ACFC-AEC5F2402E01}" name="Foreign share of Total National Debt" dataDxfId="0">
      <calculatedColumnFormula>Debt[[#This Row],[Foreign Holdings]]/Debt[[#This Row],[Total National Debt (millions)]]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07BB-A5FA-4F0D-BA7F-B4F92479C01D}">
  <dimension ref="A1:G223"/>
  <sheetViews>
    <sheetView tabSelected="1" workbookViewId="0">
      <pane ySplit="1" topLeftCell="A95" activePane="bottomLeft" state="frozen"/>
      <selection pane="bottomLeft" activeCell="F101" sqref="F101"/>
    </sheetView>
  </sheetViews>
  <sheetFormatPr defaultRowHeight="14.4" x14ac:dyDescent="0.3"/>
  <cols>
    <col min="1" max="1" width="17.21875" customWidth="1"/>
    <col min="2" max="2" width="30.6640625" customWidth="1"/>
    <col min="3" max="3" width="27.21875" customWidth="1"/>
    <col min="4" max="5" width="17.109375" bestFit="1" customWidth="1"/>
    <col min="6" max="6" width="36.109375" bestFit="1" customWidth="1"/>
    <col min="7" max="8" width="32.88671875" bestFit="1" customWidth="1"/>
  </cols>
  <sheetData>
    <row r="1" spans="1:7" x14ac:dyDescent="0.3">
      <c r="A1" t="s">
        <v>3</v>
      </c>
      <c r="B1" t="s">
        <v>1</v>
      </c>
      <c r="C1" t="s">
        <v>0</v>
      </c>
      <c r="D1" t="s">
        <v>4</v>
      </c>
      <c r="E1" t="s">
        <v>2</v>
      </c>
      <c r="F1" t="s">
        <v>6</v>
      </c>
      <c r="G1" t="s">
        <v>5</v>
      </c>
    </row>
    <row r="2" spans="1:7" x14ac:dyDescent="0.3">
      <c r="A2" s="3">
        <v>25569</v>
      </c>
      <c r="B2" s="2">
        <v>280814</v>
      </c>
      <c r="C2" s="2">
        <v>372007</v>
      </c>
      <c r="D2" s="2">
        <v>12400</v>
      </c>
      <c r="E2" s="1">
        <f>Debt[[#This Row],[Debt Held by the Public (millions)]]/Debt[[#This Row],[Total National Debt (millions)]]</f>
        <v>0.75486213969091975</v>
      </c>
      <c r="F2" s="1">
        <f>Debt[[#This Row],[Foreign Holdings]]/Debt[[#This Row],[Debt Held by the Public (millions)]]</f>
        <v>4.4157342582634769E-2</v>
      </c>
      <c r="G2" s="1">
        <f>Debt[[#This Row],[Foreign Holdings]]/Debt[[#This Row],[Total National Debt (millions)]]</f>
        <v>3.333270610499265E-2</v>
      </c>
    </row>
    <row r="3" spans="1:7" x14ac:dyDescent="0.3">
      <c r="A3" s="3">
        <v>25659</v>
      </c>
      <c r="B3" s="2">
        <v>274924</v>
      </c>
      <c r="C3" s="2">
        <v>370094</v>
      </c>
      <c r="D3" s="2">
        <v>14000</v>
      </c>
      <c r="E3" s="1">
        <f>Debt[[#This Row],[Debt Held by the Public (millions)]]/Debt[[#This Row],[Total National Debt (millions)]]</f>
        <v>0.74284911400887343</v>
      </c>
      <c r="F3" s="1">
        <f>Debt[[#This Row],[Foreign Holdings]]/Debt[[#This Row],[Debt Held by the Public (millions)]]</f>
        <v>5.0923164219929873E-2</v>
      </c>
      <c r="G3" s="1">
        <f>Debt[[#This Row],[Foreign Holdings]]/Debt[[#This Row],[Total National Debt (millions)]]</f>
        <v>3.7828227423303266E-2</v>
      </c>
    </row>
    <row r="4" spans="1:7" x14ac:dyDescent="0.3">
      <c r="A4" s="3">
        <v>25750</v>
      </c>
      <c r="B4" s="2">
        <v>282367</v>
      </c>
      <c r="C4" s="2">
        <v>378678</v>
      </c>
      <c r="D4" s="2">
        <v>16600</v>
      </c>
      <c r="E4" s="1">
        <f>Debt[[#This Row],[Debt Held by the Public (millions)]]/Debt[[#This Row],[Total National Debt (millions)]]</f>
        <v>0.74566518255615588</v>
      </c>
      <c r="F4" s="1">
        <f>Debt[[#This Row],[Foreign Holdings]]/Debt[[#This Row],[Debt Held by the Public (millions)]]</f>
        <v>5.8788739477346856E-2</v>
      </c>
      <c r="G4" s="1">
        <f>Debt[[#This Row],[Foreign Holdings]]/Debt[[#This Row],[Total National Debt (millions)]]</f>
        <v>4.3836716154622132E-2</v>
      </c>
    </row>
    <row r="5" spans="1:7" x14ac:dyDescent="0.3">
      <c r="A5" s="3">
        <v>25842</v>
      </c>
      <c r="B5" s="2">
        <v>291242</v>
      </c>
      <c r="C5" s="2">
        <v>389158</v>
      </c>
      <c r="D5" s="2">
        <v>19700</v>
      </c>
      <c r="E5" s="1">
        <f>Debt[[#This Row],[Debt Held by the Public (millions)]]/Debt[[#This Row],[Total National Debt (millions)]]</f>
        <v>0.74839011404108358</v>
      </c>
      <c r="F5" s="1">
        <f>Debt[[#This Row],[Foreign Holdings]]/Debt[[#This Row],[Debt Held by the Public (millions)]]</f>
        <v>6.7641342938175128E-2</v>
      </c>
      <c r="G5" s="1">
        <f>Debt[[#This Row],[Foreign Holdings]]/Debt[[#This Row],[Total National Debt (millions)]]</f>
        <v>5.0622112355392927E-2</v>
      </c>
    </row>
    <row r="6" spans="1:7" x14ac:dyDescent="0.3">
      <c r="A6" s="3">
        <v>25934</v>
      </c>
      <c r="B6" s="2">
        <v>292043</v>
      </c>
      <c r="C6" s="2">
        <v>391668</v>
      </c>
      <c r="D6" s="2">
        <v>24600</v>
      </c>
      <c r="E6" s="1">
        <f>Debt[[#This Row],[Debt Held by the Public (millions)]]/Debt[[#This Row],[Total National Debt (millions)]]</f>
        <v>0.74563916378157014</v>
      </c>
      <c r="F6" s="1">
        <f>Debt[[#This Row],[Foreign Holdings]]/Debt[[#This Row],[Debt Held by the Public (millions)]]</f>
        <v>8.4234170995367119E-2</v>
      </c>
      <c r="G6" s="1">
        <f>Debt[[#This Row],[Foreign Holdings]]/Debt[[#This Row],[Total National Debt (millions)]]</f>
        <v>6.2808296822819326E-2</v>
      </c>
    </row>
    <row r="7" spans="1:7" x14ac:dyDescent="0.3">
      <c r="A7" s="3">
        <v>26024</v>
      </c>
      <c r="B7" s="2">
        <v>294417</v>
      </c>
      <c r="C7" s="2">
        <v>397305</v>
      </c>
      <c r="D7" s="2">
        <v>31800</v>
      </c>
      <c r="E7" s="1">
        <f>Debt[[#This Row],[Debt Held by the Public (millions)]]/Debt[[#This Row],[Total National Debt (millions)]]</f>
        <v>0.7410352248272738</v>
      </c>
      <c r="F7" s="1">
        <f>Debt[[#This Row],[Foreign Holdings]]/Debt[[#This Row],[Debt Held by the Public (millions)]]</f>
        <v>0.10801006735344766</v>
      </c>
      <c r="G7" s="1">
        <f>Debt[[#This Row],[Foreign Holdings]]/Debt[[#This Row],[Total National Debt (millions)]]</f>
        <v>8.0039264544871064E-2</v>
      </c>
    </row>
    <row r="8" spans="1:7" x14ac:dyDescent="0.3">
      <c r="A8" s="3">
        <v>26115</v>
      </c>
      <c r="B8" s="2">
        <v>304952</v>
      </c>
      <c r="C8" s="2">
        <v>412268</v>
      </c>
      <c r="D8" s="2">
        <v>41500</v>
      </c>
      <c r="E8" s="1">
        <f>Debt[[#This Row],[Debt Held by the Public (millions)]]/Debt[[#This Row],[Total National Debt (millions)]]</f>
        <v>0.73969359736870188</v>
      </c>
      <c r="F8" s="1">
        <f>Debt[[#This Row],[Foreign Holdings]]/Debt[[#This Row],[Debt Held by the Public (millions)]]</f>
        <v>0.13608699073952621</v>
      </c>
      <c r="G8" s="1">
        <f>Debt[[#This Row],[Foreign Holdings]]/Debt[[#This Row],[Total National Debt (millions)]]</f>
        <v>0.10066267573520138</v>
      </c>
    </row>
    <row r="9" spans="1:7" x14ac:dyDescent="0.3">
      <c r="A9" s="3">
        <v>26207</v>
      </c>
      <c r="B9" s="2">
        <v>317118</v>
      </c>
      <c r="C9" s="2">
        <v>424131</v>
      </c>
      <c r="D9" s="2">
        <v>46000</v>
      </c>
      <c r="E9" s="1">
        <f>Debt[[#This Row],[Debt Held by the Public (millions)]]/Debt[[#This Row],[Total National Debt (millions)]]</f>
        <v>0.74768880369508472</v>
      </c>
      <c r="F9" s="1">
        <f>Debt[[#This Row],[Foreign Holdings]]/Debt[[#This Row],[Debt Held by the Public (millions)]]</f>
        <v>0.14505641433157374</v>
      </c>
      <c r="G9" s="1">
        <f>Debt[[#This Row],[Foreign Holdings]]/Debt[[#This Row],[Total National Debt (millions)]]</f>
        <v>0.10845705689987292</v>
      </c>
    </row>
    <row r="10" spans="1:7" x14ac:dyDescent="0.3">
      <c r="A10" s="3">
        <v>26299</v>
      </c>
      <c r="B10" s="2">
        <v>320987</v>
      </c>
      <c r="C10" s="2">
        <v>427344</v>
      </c>
      <c r="D10" s="2">
        <v>49000</v>
      </c>
      <c r="E10" s="1">
        <f>Debt[[#This Row],[Debt Held by the Public (millions)]]/Debt[[#This Row],[Total National Debt (millions)]]</f>
        <v>0.7511208768579879</v>
      </c>
      <c r="F10" s="1">
        <f>Debt[[#This Row],[Foreign Holdings]]/Debt[[#This Row],[Debt Held by the Public (millions)]]</f>
        <v>0.15265415733347457</v>
      </c>
      <c r="G10" s="1">
        <f>Debt[[#This Row],[Foreign Holdings]]/Debt[[#This Row],[Total National Debt (millions)]]</f>
        <v>0.11466172451233667</v>
      </c>
    </row>
    <row r="11" spans="1:7" x14ac:dyDescent="0.3">
      <c r="A11" s="3">
        <v>26390</v>
      </c>
      <c r="B11" s="2">
        <v>314976</v>
      </c>
      <c r="C11" s="2">
        <v>426435</v>
      </c>
      <c r="D11" s="2">
        <v>49200</v>
      </c>
      <c r="E11" s="1">
        <f>Debt[[#This Row],[Debt Held by the Public (millions)]]/Debt[[#This Row],[Total National Debt (millions)]]</f>
        <v>0.73862605086355482</v>
      </c>
      <c r="F11" s="1">
        <f>Debt[[#This Row],[Foreign Holdings]]/Debt[[#This Row],[Debt Held by the Public (millions)]]</f>
        <v>0.15620237732398659</v>
      </c>
      <c r="G11" s="1">
        <f>Debt[[#This Row],[Foreign Holdings]]/Debt[[#This Row],[Total National Debt (millions)]]</f>
        <v>0.1153751450983151</v>
      </c>
    </row>
    <row r="12" spans="1:7" x14ac:dyDescent="0.3">
      <c r="A12" s="3">
        <v>26481</v>
      </c>
      <c r="B12" s="2">
        <v>319574</v>
      </c>
      <c r="C12" s="2">
        <v>433946</v>
      </c>
      <c r="D12" s="2">
        <v>54500</v>
      </c>
      <c r="E12" s="1">
        <f>Debt[[#This Row],[Debt Held by the Public (millions)]]/Debt[[#This Row],[Total National Debt (millions)]]</f>
        <v>0.7364372525613786</v>
      </c>
      <c r="F12" s="1">
        <f>Debt[[#This Row],[Foreign Holdings]]/Debt[[#This Row],[Debt Held by the Public (millions)]]</f>
        <v>0.17053953075031136</v>
      </c>
      <c r="G12" s="1">
        <f>Debt[[#This Row],[Foreign Holdings]]/Debt[[#This Row],[Total National Debt (millions)]]</f>
        <v>0.12559166347886602</v>
      </c>
    </row>
    <row r="13" spans="1:7" x14ac:dyDescent="0.3">
      <c r="A13" s="3">
        <v>26573</v>
      </c>
      <c r="B13" s="2">
        <v>331576</v>
      </c>
      <c r="C13" s="2">
        <v>448473</v>
      </c>
      <c r="D13" s="2">
        <v>54400</v>
      </c>
      <c r="E13" s="1">
        <f>Debt[[#This Row],[Debt Held by the Public (millions)]]/Debt[[#This Row],[Total National Debt (millions)]]</f>
        <v>0.73934439754455672</v>
      </c>
      <c r="F13" s="1">
        <f>Debt[[#This Row],[Foreign Holdings]]/Debt[[#This Row],[Debt Held by the Public (millions)]]</f>
        <v>0.16406495041860689</v>
      </c>
      <c r="G13" s="1">
        <f>Debt[[#This Row],[Foreign Holdings]]/Debt[[#This Row],[Total National Debt (millions)]]</f>
        <v>0.12130050192542249</v>
      </c>
    </row>
    <row r="14" spans="1:7" x14ac:dyDescent="0.3">
      <c r="A14" s="3">
        <v>26665</v>
      </c>
      <c r="B14" s="2">
        <v>339859</v>
      </c>
      <c r="C14" s="2">
        <v>458606</v>
      </c>
      <c r="D14" s="2">
        <v>62200</v>
      </c>
      <c r="E14" s="1">
        <f>Debt[[#This Row],[Debt Held by the Public (millions)]]/Debt[[#This Row],[Total National Debt (millions)]]</f>
        <v>0.74106967636707766</v>
      </c>
      <c r="F14" s="1">
        <f>Debt[[#This Row],[Foreign Holdings]]/Debt[[#This Row],[Debt Held by the Public (millions)]]</f>
        <v>0.18301707472804898</v>
      </c>
      <c r="G14" s="1">
        <f>Debt[[#This Row],[Foreign Holdings]]/Debt[[#This Row],[Total National Debt (millions)]]</f>
        <v>0.13562840433836451</v>
      </c>
    </row>
    <row r="15" spans="1:7" x14ac:dyDescent="0.3">
      <c r="A15" s="3">
        <v>26755</v>
      </c>
      <c r="B15" s="2">
        <v>333932</v>
      </c>
      <c r="C15" s="2">
        <v>457317</v>
      </c>
      <c r="D15" s="2">
        <v>59400</v>
      </c>
      <c r="E15" s="1">
        <f>Debt[[#This Row],[Debt Held by the Public (millions)]]/Debt[[#This Row],[Total National Debt (millions)]]</f>
        <v>0.73019809016502779</v>
      </c>
      <c r="F15" s="1">
        <f>Debt[[#This Row],[Foreign Holdings]]/Debt[[#This Row],[Debt Held by the Public (millions)]]</f>
        <v>0.17788052657427261</v>
      </c>
      <c r="G15" s="1">
        <f>Debt[[#This Row],[Foreign Holdings]]/Debt[[#This Row],[Total National Debt (millions)]]</f>
        <v>0.12988802078208334</v>
      </c>
    </row>
    <row r="16" spans="1:7" x14ac:dyDescent="0.3">
      <c r="A16" s="3">
        <v>26846</v>
      </c>
      <c r="B16" s="2">
        <v>332838</v>
      </c>
      <c r="C16" s="2">
        <v>460614</v>
      </c>
      <c r="D16" s="2">
        <v>57700</v>
      </c>
      <c r="E16" s="1">
        <f>Debt[[#This Row],[Debt Held by the Public (millions)]]/Debt[[#This Row],[Total National Debt (millions)]]</f>
        <v>0.72259636051010179</v>
      </c>
      <c r="F16" s="1">
        <f>Debt[[#This Row],[Foreign Holdings]]/Debt[[#This Row],[Debt Held by the Public (millions)]]</f>
        <v>0.17335760940757966</v>
      </c>
      <c r="G16" s="1">
        <f>Debt[[#This Row],[Foreign Holdings]]/Debt[[#This Row],[Total National Debt (millions)]]</f>
        <v>0.12526757762464885</v>
      </c>
    </row>
    <row r="17" spans="1:7" x14ac:dyDescent="0.3">
      <c r="A17" s="3">
        <v>26938</v>
      </c>
      <c r="B17" s="2">
        <v>339432</v>
      </c>
      <c r="C17" s="2">
        <v>469073</v>
      </c>
      <c r="D17" s="2">
        <v>54700</v>
      </c>
      <c r="E17" s="1">
        <f>Debt[[#This Row],[Debt Held by the Public (millions)]]/Debt[[#This Row],[Total National Debt (millions)]]</f>
        <v>0.72362297552832933</v>
      </c>
      <c r="F17" s="1">
        <f>Debt[[#This Row],[Foreign Holdings]]/Debt[[#This Row],[Debt Held by the Public (millions)]]</f>
        <v>0.16115157085955362</v>
      </c>
      <c r="G17" s="1">
        <f>Debt[[#This Row],[Foreign Holdings]]/Debt[[#This Row],[Total National Debt (millions)]]</f>
        <v>0.11661297921645458</v>
      </c>
    </row>
    <row r="18" spans="1:7" x14ac:dyDescent="0.3">
      <c r="A18" s="3">
        <v>27030</v>
      </c>
      <c r="B18" s="2">
        <v>342459</v>
      </c>
      <c r="C18" s="2">
        <v>473675</v>
      </c>
      <c r="D18" s="2">
        <v>54100</v>
      </c>
      <c r="E18" s="1">
        <f>Debt[[#This Row],[Debt Held by the Public (millions)]]/Debt[[#This Row],[Total National Debt (millions)]]</f>
        <v>0.72298305800390561</v>
      </c>
      <c r="F18" s="1">
        <f>Debt[[#This Row],[Foreign Holdings]]/Debt[[#This Row],[Debt Held by the Public (millions)]]</f>
        <v>0.1579751152692731</v>
      </c>
      <c r="G18" s="1">
        <f>Debt[[#This Row],[Foreign Holdings]]/Debt[[#This Row],[Total National Debt (millions)]]</f>
        <v>0.11421333192589855</v>
      </c>
    </row>
    <row r="19" spans="1:7" x14ac:dyDescent="0.3">
      <c r="A19" s="3">
        <v>27120</v>
      </c>
      <c r="B19" s="2">
        <v>336029</v>
      </c>
      <c r="C19" s="2">
        <v>474235</v>
      </c>
      <c r="D19" s="2">
        <v>56800</v>
      </c>
      <c r="E19" s="1">
        <f>Debt[[#This Row],[Debt Held by the Public (millions)]]/Debt[[#This Row],[Total National Debt (millions)]]</f>
        <v>0.70857064535515091</v>
      </c>
      <c r="F19" s="1">
        <f>Debt[[#This Row],[Foreign Holdings]]/Debt[[#This Row],[Debt Held by the Public (millions)]]</f>
        <v>0.1690330298873014</v>
      </c>
      <c r="G19" s="1">
        <f>Debt[[#This Row],[Foreign Holdings]]/Debt[[#This Row],[Total National Debt (millions)]]</f>
        <v>0.11977184307358166</v>
      </c>
    </row>
    <row r="20" spans="1:7" x14ac:dyDescent="0.3">
      <c r="A20" s="3">
        <v>27211</v>
      </c>
      <c r="B20" s="2">
        <v>340881</v>
      </c>
      <c r="C20" s="2">
        <v>481466</v>
      </c>
      <c r="D20" s="2">
        <v>56000</v>
      </c>
      <c r="E20" s="1">
        <f>Debt[[#This Row],[Debt Held by the Public (millions)]]/Debt[[#This Row],[Total National Debt (millions)]]</f>
        <v>0.70800638051285036</v>
      </c>
      <c r="F20" s="1">
        <f>Debt[[#This Row],[Foreign Holdings]]/Debt[[#This Row],[Debt Held by the Public (millions)]]</f>
        <v>0.16428020335542315</v>
      </c>
      <c r="G20" s="1">
        <f>Debt[[#This Row],[Foreign Holdings]]/Debt[[#This Row],[Total National Debt (millions)]]</f>
        <v>0.11631143216758816</v>
      </c>
    </row>
    <row r="21" spans="1:7" x14ac:dyDescent="0.3">
      <c r="A21" s="3">
        <v>27303</v>
      </c>
      <c r="B21" s="2">
        <v>351457</v>
      </c>
      <c r="C21" s="2">
        <v>492664</v>
      </c>
      <c r="D21" s="2">
        <v>58800</v>
      </c>
      <c r="E21" s="1">
        <f>Debt[[#This Row],[Debt Held by the Public (millions)]]/Debt[[#This Row],[Total National Debt (millions)]]</f>
        <v>0.71338072195248692</v>
      </c>
      <c r="F21" s="1">
        <f>Debt[[#This Row],[Foreign Holdings]]/Debt[[#This Row],[Debt Held by the Public (millions)]]</f>
        <v>0.16730353926653901</v>
      </c>
      <c r="G21" s="1">
        <f>Debt[[#This Row],[Foreign Holdings]]/Debt[[#This Row],[Total National Debt (millions)]]</f>
        <v>0.11935111962716984</v>
      </c>
    </row>
    <row r="22" spans="1:7" x14ac:dyDescent="0.3">
      <c r="A22" s="3">
        <v>27395</v>
      </c>
      <c r="B22" s="2">
        <v>371201</v>
      </c>
      <c r="C22" s="2">
        <v>509659</v>
      </c>
      <c r="D22" s="2">
        <v>65000</v>
      </c>
      <c r="E22" s="1">
        <f>Debt[[#This Row],[Debt Held by the Public (millions)]]/Debt[[#This Row],[Total National Debt (millions)]]</f>
        <v>0.72833208086190959</v>
      </c>
      <c r="F22" s="1">
        <f>Debt[[#This Row],[Foreign Holdings]]/Debt[[#This Row],[Debt Held by the Public (millions)]]</f>
        <v>0.17510728688769697</v>
      </c>
      <c r="G22" s="1">
        <f>Debt[[#This Row],[Foreign Holdings]]/Debt[[#This Row],[Total National Debt (millions)]]</f>
        <v>0.12753625463299972</v>
      </c>
    </row>
    <row r="23" spans="1:7" x14ac:dyDescent="0.3">
      <c r="A23" s="3">
        <v>27485</v>
      </c>
      <c r="B23" s="2">
        <v>387905</v>
      </c>
      <c r="C23" s="2">
        <v>533188</v>
      </c>
      <c r="D23" s="2">
        <v>66000</v>
      </c>
      <c r="E23" s="1">
        <f>Debt[[#This Row],[Debt Held by the Public (millions)]]/Debt[[#This Row],[Total National Debt (millions)]]</f>
        <v>0.7275201242338537</v>
      </c>
      <c r="F23" s="1">
        <f>Debt[[#This Row],[Foreign Holdings]]/Debt[[#This Row],[Debt Held by the Public (millions)]]</f>
        <v>0.17014475193668552</v>
      </c>
      <c r="G23" s="1">
        <f>Debt[[#This Row],[Foreign Holdings]]/Debt[[#This Row],[Total National Debt (millions)]]</f>
        <v>0.12378373106671568</v>
      </c>
    </row>
    <row r="24" spans="1:7" x14ac:dyDescent="0.3">
      <c r="A24" s="3">
        <v>27576</v>
      </c>
      <c r="B24" s="2">
        <v>411381</v>
      </c>
      <c r="C24" s="2">
        <v>553647</v>
      </c>
      <c r="D24" s="2">
        <v>65500</v>
      </c>
      <c r="E24" s="1">
        <f>Debt[[#This Row],[Debt Held by the Public (millions)]]/Debt[[#This Row],[Total National Debt (millions)]]</f>
        <v>0.74303843423697769</v>
      </c>
      <c r="F24" s="1">
        <f>Debt[[#This Row],[Foreign Holdings]]/Debt[[#This Row],[Debt Held by the Public (millions)]]</f>
        <v>0.15921979867811104</v>
      </c>
      <c r="G24" s="1">
        <f>Debt[[#This Row],[Foreign Holdings]]/Debt[[#This Row],[Total National Debt (millions)]]</f>
        <v>0.11830642990931045</v>
      </c>
    </row>
    <row r="25" spans="1:7" x14ac:dyDescent="0.3">
      <c r="A25" s="3">
        <v>27668</v>
      </c>
      <c r="B25" s="2">
        <v>437305</v>
      </c>
      <c r="C25" s="2">
        <v>576649</v>
      </c>
      <c r="D25" s="2">
        <v>66500</v>
      </c>
      <c r="E25" s="1">
        <f>Debt[[#This Row],[Debt Held by the Public (millions)]]/Debt[[#This Row],[Total National Debt (millions)]]</f>
        <v>0.75835560280170433</v>
      </c>
      <c r="F25" s="1">
        <f>Debt[[#This Row],[Foreign Holdings]]/Debt[[#This Row],[Debt Held by the Public (millions)]]</f>
        <v>0.15206777878139971</v>
      </c>
      <c r="G25" s="1">
        <f>Debt[[#This Row],[Foreign Holdings]]/Debt[[#This Row],[Total National Debt (millions)]]</f>
        <v>0.1153214520444846</v>
      </c>
    </row>
    <row r="26" spans="1:7" x14ac:dyDescent="0.3">
      <c r="A26" s="3">
        <v>27760</v>
      </c>
      <c r="B26" s="2">
        <v>461423</v>
      </c>
      <c r="C26" s="2">
        <v>600490</v>
      </c>
      <c r="D26" s="2">
        <v>68100</v>
      </c>
      <c r="E26" s="1">
        <f>Debt[[#This Row],[Debt Held by the Public (millions)]]/Debt[[#This Row],[Total National Debt (millions)]]</f>
        <v>0.76841079784842381</v>
      </c>
      <c r="F26" s="1">
        <f>Debt[[#This Row],[Foreign Holdings]]/Debt[[#This Row],[Debt Held by the Public (millions)]]</f>
        <v>0.14758692132815227</v>
      </c>
      <c r="G26" s="1">
        <f>Debt[[#This Row],[Foreign Holdings]]/Debt[[#This Row],[Total National Debt (millions)]]</f>
        <v>0.11340738396975802</v>
      </c>
    </row>
    <row r="27" spans="1:7" x14ac:dyDescent="0.3">
      <c r="A27" s="3">
        <v>27851</v>
      </c>
      <c r="B27" s="2">
        <v>470821</v>
      </c>
      <c r="C27" s="2">
        <v>620432</v>
      </c>
      <c r="D27" s="2">
        <v>69800</v>
      </c>
      <c r="E27" s="1">
        <f>Debt[[#This Row],[Debt Held by the Public (millions)]]/Debt[[#This Row],[Total National Debt (millions)]]</f>
        <v>0.75885995564380948</v>
      </c>
      <c r="F27" s="1">
        <f>Debt[[#This Row],[Foreign Holdings]]/Debt[[#This Row],[Debt Held by the Public (millions)]]</f>
        <v>0.14825167101722311</v>
      </c>
      <c r="G27" s="1">
        <f>Debt[[#This Row],[Foreign Holdings]]/Debt[[#This Row],[Total National Debt (millions)]]</f>
        <v>0.11250225649225055</v>
      </c>
    </row>
    <row r="28" spans="1:7" x14ac:dyDescent="0.3">
      <c r="A28" s="3">
        <v>27942</v>
      </c>
      <c r="B28" s="2">
        <v>488327</v>
      </c>
      <c r="C28" s="2">
        <v>634701</v>
      </c>
      <c r="D28" s="2">
        <v>74600</v>
      </c>
      <c r="E28" s="1">
        <f>Debt[[#This Row],[Debt Held by the Public (millions)]]/Debt[[#This Row],[Total National Debt (millions)]]</f>
        <v>0.76938117318233312</v>
      </c>
      <c r="F28" s="1">
        <f>Debt[[#This Row],[Foreign Holdings]]/Debt[[#This Row],[Debt Held by the Public (millions)]]</f>
        <v>0.15276648639129109</v>
      </c>
      <c r="G28" s="1">
        <f>Debt[[#This Row],[Foreign Holdings]]/Debt[[#This Row],[Total National Debt (millions)]]</f>
        <v>0.11753565852267446</v>
      </c>
    </row>
    <row r="29" spans="1:7" x14ac:dyDescent="0.3">
      <c r="A29" s="3">
        <v>28034</v>
      </c>
      <c r="B29" s="2">
        <v>506445</v>
      </c>
      <c r="C29" s="2">
        <v>653543</v>
      </c>
      <c r="D29" s="2">
        <v>78100</v>
      </c>
      <c r="E29" s="1">
        <f>Debt[[#This Row],[Debt Held by the Public (millions)]]/Debt[[#This Row],[Total National Debt (millions)]]</f>
        <v>0.77492223158996421</v>
      </c>
      <c r="F29" s="1">
        <f>Debt[[#This Row],[Foreign Holdings]]/Debt[[#This Row],[Debt Held by the Public (millions)]]</f>
        <v>0.15421220468165348</v>
      </c>
      <c r="G29" s="1">
        <f>Debt[[#This Row],[Foreign Holdings]]/Debt[[#This Row],[Total National Debt (millions)]]</f>
        <v>0.11950246579031525</v>
      </c>
    </row>
    <row r="30" spans="1:7" x14ac:dyDescent="0.3">
      <c r="A30" s="3">
        <v>28126</v>
      </c>
      <c r="B30" s="2">
        <v>524258</v>
      </c>
      <c r="C30" s="2">
        <v>669207</v>
      </c>
      <c r="D30" s="2">
        <v>84700</v>
      </c>
      <c r="E30" s="1">
        <f>Debt[[#This Row],[Debt Held by the Public (millions)]]/Debt[[#This Row],[Total National Debt (millions)]]</f>
        <v>0.78340184726101192</v>
      </c>
      <c r="F30" s="1">
        <f>Debt[[#This Row],[Foreign Holdings]]/Debt[[#This Row],[Debt Held by the Public (millions)]]</f>
        <v>0.16156167383234973</v>
      </c>
      <c r="G30" s="1">
        <f>Debt[[#This Row],[Foreign Holdings]]/Debt[[#This Row],[Total National Debt (millions)]]</f>
        <v>0.12656771372684386</v>
      </c>
    </row>
    <row r="31" spans="1:7" x14ac:dyDescent="0.3">
      <c r="A31" s="3">
        <v>28216</v>
      </c>
      <c r="B31" s="2">
        <v>523221</v>
      </c>
      <c r="C31" s="2">
        <v>674425</v>
      </c>
      <c r="D31" s="2">
        <v>87900</v>
      </c>
      <c r="E31" s="1">
        <f>Debt[[#This Row],[Debt Held by the Public (millions)]]/Debt[[#This Row],[Total National Debt (millions)]]</f>
        <v>0.77580309152240801</v>
      </c>
      <c r="F31" s="1">
        <f>Debt[[#This Row],[Foreign Holdings]]/Debt[[#This Row],[Debt Held by the Public (millions)]]</f>
        <v>0.16799784412322899</v>
      </c>
      <c r="G31" s="1">
        <f>Debt[[#This Row],[Foreign Holdings]]/Debt[[#This Row],[Total National Debt (millions)]]</f>
        <v>0.13033324683990066</v>
      </c>
    </row>
    <row r="32" spans="1:7" x14ac:dyDescent="0.3">
      <c r="A32" s="3">
        <v>28307</v>
      </c>
      <c r="B32" s="2">
        <v>543350</v>
      </c>
      <c r="C32" s="2">
        <v>698840</v>
      </c>
      <c r="D32" s="2">
        <v>95500</v>
      </c>
      <c r="E32" s="1">
        <f>Debt[[#This Row],[Debt Held by the Public (millions)]]/Debt[[#This Row],[Total National Debt (millions)]]</f>
        <v>0.77750271879113964</v>
      </c>
      <c r="F32" s="1">
        <f>Debt[[#This Row],[Foreign Holdings]]/Debt[[#This Row],[Debt Held by the Public (millions)]]</f>
        <v>0.17576147970921138</v>
      </c>
      <c r="G32" s="1">
        <f>Debt[[#This Row],[Foreign Holdings]]/Debt[[#This Row],[Total National Debt (millions)]]</f>
        <v>0.13665502833266557</v>
      </c>
    </row>
    <row r="33" spans="1:7" x14ac:dyDescent="0.3">
      <c r="A33" s="3">
        <v>28399</v>
      </c>
      <c r="B33" s="2">
        <v>564094</v>
      </c>
      <c r="C33" s="2">
        <v>718943</v>
      </c>
      <c r="D33" s="2">
        <v>109600</v>
      </c>
      <c r="E33" s="1">
        <f>Debt[[#This Row],[Debt Held by the Public (millions)]]/Debt[[#This Row],[Total National Debt (millions)]]</f>
        <v>0.78461574839729997</v>
      </c>
      <c r="F33" s="1">
        <f>Debt[[#This Row],[Foreign Holdings]]/Debt[[#This Row],[Debt Held by the Public (millions)]]</f>
        <v>0.19429385882494762</v>
      </c>
      <c r="G33" s="1">
        <f>Debt[[#This Row],[Foreign Holdings]]/Debt[[#This Row],[Total National Debt (millions)]]</f>
        <v>0.15244602145093561</v>
      </c>
    </row>
    <row r="34" spans="1:7" x14ac:dyDescent="0.3">
      <c r="A34" s="3">
        <v>28491</v>
      </c>
      <c r="B34" s="2">
        <v>585233</v>
      </c>
      <c r="C34" s="2">
        <v>737951</v>
      </c>
      <c r="D34" s="2">
        <v>124500</v>
      </c>
      <c r="E34" s="1">
        <f>Debt[[#This Row],[Debt Held by the Public (millions)]]/Debt[[#This Row],[Total National Debt (millions)]]</f>
        <v>0.79305130015407532</v>
      </c>
      <c r="F34" s="1">
        <f>Debt[[#This Row],[Foreign Holdings]]/Debt[[#This Row],[Debt Held by the Public (millions)]]</f>
        <v>0.21273578215855907</v>
      </c>
      <c r="G34" s="1">
        <f>Debt[[#This Row],[Foreign Holdings]]/Debt[[#This Row],[Total National Debt (millions)]]</f>
        <v>0.1687103886301394</v>
      </c>
    </row>
    <row r="35" spans="1:7" x14ac:dyDescent="0.3">
      <c r="A35" s="3">
        <v>28581</v>
      </c>
      <c r="B35" s="2">
        <v>587939</v>
      </c>
      <c r="C35" s="2">
        <v>749024</v>
      </c>
      <c r="D35" s="2">
        <v>119500</v>
      </c>
      <c r="E35" s="1">
        <f>Debt[[#This Row],[Debt Held by the Public (millions)]]/Debt[[#This Row],[Total National Debt (millions)]]</f>
        <v>0.78494013542957231</v>
      </c>
      <c r="F35" s="1">
        <f>Debt[[#This Row],[Foreign Holdings]]/Debt[[#This Row],[Debt Held by the Public (millions)]]</f>
        <v>0.20325237822291087</v>
      </c>
      <c r="G35" s="1">
        <f>Debt[[#This Row],[Foreign Holdings]]/Debt[[#This Row],[Total National Debt (millions)]]</f>
        <v>0.15954094928867432</v>
      </c>
    </row>
    <row r="36" spans="1:7" x14ac:dyDescent="0.3">
      <c r="A36" s="3">
        <v>28672</v>
      </c>
      <c r="B36" s="2">
        <v>603571</v>
      </c>
      <c r="C36" s="2">
        <v>771544</v>
      </c>
      <c r="D36" s="2">
        <v>120900</v>
      </c>
      <c r="E36" s="1">
        <f>Debt[[#This Row],[Debt Held by the Public (millions)]]/Debt[[#This Row],[Total National Debt (millions)]]</f>
        <v>0.78228979811909627</v>
      </c>
      <c r="F36" s="1">
        <f>Debt[[#This Row],[Foreign Holdings]]/Debt[[#This Row],[Debt Held by the Public (millions)]]</f>
        <v>0.20030783453810735</v>
      </c>
      <c r="G36" s="1">
        <f>Debt[[#This Row],[Foreign Holdings]]/Debt[[#This Row],[Total National Debt (millions)]]</f>
        <v>0.15669877544248934</v>
      </c>
    </row>
    <row r="37" spans="1:7" x14ac:dyDescent="0.3">
      <c r="A37" s="3">
        <v>28764</v>
      </c>
      <c r="B37" s="2">
        <v>619207</v>
      </c>
      <c r="C37" s="2">
        <v>789207</v>
      </c>
      <c r="D37" s="2">
        <v>133100</v>
      </c>
      <c r="E37" s="1">
        <f>Debt[[#This Row],[Debt Held by the Public (millions)]]/Debt[[#This Row],[Total National Debt (millions)]]</f>
        <v>0.78459390248692673</v>
      </c>
      <c r="F37" s="1">
        <f>Debt[[#This Row],[Foreign Holdings]]/Debt[[#This Row],[Debt Held by the Public (millions)]]</f>
        <v>0.21495235034487659</v>
      </c>
      <c r="G37" s="1">
        <f>Debt[[#This Row],[Foreign Holdings]]/Debt[[#This Row],[Total National Debt (millions)]]</f>
        <v>0.16865030340582382</v>
      </c>
    </row>
    <row r="38" spans="1:7" x14ac:dyDescent="0.3">
      <c r="A38" s="3">
        <v>28856</v>
      </c>
      <c r="B38" s="2">
        <v>630518</v>
      </c>
      <c r="C38" s="2">
        <v>796792</v>
      </c>
      <c r="D38" s="2">
        <v>132800</v>
      </c>
      <c r="E38" s="1">
        <f>Debt[[#This Row],[Debt Held by the Public (millions)]]/Debt[[#This Row],[Total National Debt (millions)]]</f>
        <v>0.79132069599092358</v>
      </c>
      <c r="F38" s="1">
        <f>Debt[[#This Row],[Foreign Holdings]]/Debt[[#This Row],[Debt Held by the Public (millions)]]</f>
        <v>0.21062047395950631</v>
      </c>
      <c r="G38" s="1">
        <f>Debt[[#This Row],[Foreign Holdings]]/Debt[[#This Row],[Total National Debt (millions)]]</f>
        <v>0.16666834004357473</v>
      </c>
    </row>
    <row r="39" spans="1:7" x14ac:dyDescent="0.3">
      <c r="A39" s="3">
        <v>28946</v>
      </c>
      <c r="B39" s="2">
        <v>626388</v>
      </c>
      <c r="C39" s="2">
        <v>804913</v>
      </c>
      <c r="D39" s="2">
        <v>119500</v>
      </c>
      <c r="E39" s="1">
        <f>Debt[[#This Row],[Debt Held by the Public (millions)]]/Debt[[#This Row],[Total National Debt (millions)]]</f>
        <v>0.7782058433644381</v>
      </c>
      <c r="F39" s="1">
        <f>Debt[[#This Row],[Foreign Holdings]]/Debt[[#This Row],[Debt Held by the Public (millions)]]</f>
        <v>0.19077632393979452</v>
      </c>
      <c r="G39" s="1">
        <f>Debt[[#This Row],[Foreign Holdings]]/Debt[[#This Row],[Total National Debt (millions)]]</f>
        <v>0.14846325006553504</v>
      </c>
    </row>
    <row r="40" spans="1:7" x14ac:dyDescent="0.3">
      <c r="A40" s="3">
        <v>29037</v>
      </c>
      <c r="B40" s="2">
        <v>638836</v>
      </c>
      <c r="C40" s="2">
        <v>826519</v>
      </c>
      <c r="D40" s="2">
        <v>124200</v>
      </c>
      <c r="E40" s="1">
        <f>Debt[[#This Row],[Debt Held by the Public (millions)]]/Debt[[#This Row],[Total National Debt (millions)]]</f>
        <v>0.77292355045679528</v>
      </c>
      <c r="F40" s="1">
        <f>Debt[[#This Row],[Foreign Holdings]]/Debt[[#This Row],[Debt Held by the Public (millions)]]</f>
        <v>0.1944160942714562</v>
      </c>
      <c r="G40" s="1">
        <f>Debt[[#This Row],[Foreign Holdings]]/Debt[[#This Row],[Total National Debt (millions)]]</f>
        <v>0.15026877785023696</v>
      </c>
    </row>
    <row r="41" spans="1:7" x14ac:dyDescent="0.3">
      <c r="A41" s="3">
        <v>29129</v>
      </c>
      <c r="B41" s="2">
        <v>657968</v>
      </c>
      <c r="C41" s="2">
        <v>845116</v>
      </c>
      <c r="D41" s="2">
        <v>119000</v>
      </c>
      <c r="E41" s="1">
        <f>Debt[[#This Row],[Debt Held by the Public (millions)]]/Debt[[#This Row],[Total National Debt (millions)]]</f>
        <v>0.77855347668249097</v>
      </c>
      <c r="F41" s="1">
        <f>Debt[[#This Row],[Foreign Holdings]]/Debt[[#This Row],[Debt Held by the Public (millions)]]</f>
        <v>0.1808598594460521</v>
      </c>
      <c r="G41" s="1">
        <f>Debt[[#This Row],[Foreign Holdings]]/Debt[[#This Row],[Total National Debt (millions)]]</f>
        <v>0.14080907236403051</v>
      </c>
    </row>
    <row r="42" spans="1:7" x14ac:dyDescent="0.3">
      <c r="A42" s="3">
        <v>29221</v>
      </c>
      <c r="B42" s="2">
        <v>667123</v>
      </c>
      <c r="C42" s="2">
        <v>863451</v>
      </c>
      <c r="D42" s="2">
        <v>125000</v>
      </c>
      <c r="E42" s="1">
        <f>Debt[[#This Row],[Debt Held by the Public (millions)]]/Debt[[#This Row],[Total National Debt (millions)]]</f>
        <v>0.77262404004396312</v>
      </c>
      <c r="F42" s="1">
        <f>Debt[[#This Row],[Foreign Holdings]]/Debt[[#This Row],[Debt Held by the Public (millions)]]</f>
        <v>0.1873717440412038</v>
      </c>
      <c r="G42" s="1">
        <f>Debt[[#This Row],[Foreign Holdings]]/Debt[[#This Row],[Total National Debt (millions)]]</f>
        <v>0.14476791387119825</v>
      </c>
    </row>
    <row r="43" spans="1:7" x14ac:dyDescent="0.3">
      <c r="A43" s="3">
        <v>29312</v>
      </c>
      <c r="B43" s="2">
        <v>682710</v>
      </c>
      <c r="C43" s="2">
        <v>877614</v>
      </c>
      <c r="D43" s="2">
        <v>118200</v>
      </c>
      <c r="E43" s="1">
        <f>Debt[[#This Row],[Debt Held by the Public (millions)]]/Debt[[#This Row],[Total National Debt (millions)]]</f>
        <v>0.77791603142155896</v>
      </c>
      <c r="F43" s="1">
        <f>Debt[[#This Row],[Foreign Holdings]]/Debt[[#This Row],[Debt Held by the Public (millions)]]</f>
        <v>0.17313354132794306</v>
      </c>
      <c r="G43" s="1">
        <f>Debt[[#This Row],[Foreign Holdings]]/Debt[[#This Row],[Total National Debt (millions)]]</f>
        <v>0.13468335737579393</v>
      </c>
    </row>
    <row r="44" spans="1:7" x14ac:dyDescent="0.3">
      <c r="A44" s="3">
        <v>29403</v>
      </c>
      <c r="B44" s="2">
        <v>709958</v>
      </c>
      <c r="C44" s="2">
        <v>907701</v>
      </c>
      <c r="D44" s="2">
        <v>124700</v>
      </c>
      <c r="E44" s="1">
        <f>Debt[[#This Row],[Debt Held by the Public (millions)]]/Debt[[#This Row],[Total National Debt (millions)]]</f>
        <v>0.78214962856711623</v>
      </c>
      <c r="F44" s="1">
        <f>Debt[[#This Row],[Foreign Holdings]]/Debt[[#This Row],[Debt Held by the Public (millions)]]</f>
        <v>0.1756441930367712</v>
      </c>
      <c r="G44" s="1">
        <f>Debt[[#This Row],[Foreign Holdings]]/Debt[[#This Row],[Total National Debt (millions)]]</f>
        <v>0.13738004034368145</v>
      </c>
    </row>
    <row r="45" spans="1:7" x14ac:dyDescent="0.3">
      <c r="A45" s="3">
        <v>29495</v>
      </c>
      <c r="B45" s="2">
        <v>737746</v>
      </c>
      <c r="C45" s="2">
        <v>930210</v>
      </c>
      <c r="D45" s="2">
        <v>129699.99999999999</v>
      </c>
      <c r="E45" s="1">
        <f>Debt[[#This Row],[Debt Held by the Public (millions)]]/Debt[[#This Row],[Total National Debt (millions)]]</f>
        <v>0.79309618258242764</v>
      </c>
      <c r="F45" s="1">
        <f>Debt[[#This Row],[Foreign Holdings]]/Debt[[#This Row],[Debt Held by the Public (millions)]]</f>
        <v>0.1758057651278353</v>
      </c>
      <c r="G45" s="1">
        <f>Debt[[#This Row],[Foreign Holdings]]/Debt[[#This Row],[Total National Debt (millions)]]</f>
        <v>0.13943088119886907</v>
      </c>
    </row>
    <row r="46" spans="1:7" x14ac:dyDescent="0.3">
      <c r="A46" s="3">
        <v>29587</v>
      </c>
      <c r="B46" s="2">
        <v>773676</v>
      </c>
      <c r="C46" s="2">
        <v>964531</v>
      </c>
      <c r="D46" s="2">
        <v>138200</v>
      </c>
      <c r="E46" s="1">
        <f>Debt[[#This Row],[Debt Held by the Public (millions)]]/Debt[[#This Row],[Total National Debt (millions)]]</f>
        <v>0.80212662941885748</v>
      </c>
      <c r="F46" s="1">
        <f>Debt[[#This Row],[Foreign Holdings]]/Debt[[#This Row],[Debt Held by the Public (millions)]]</f>
        <v>0.17862774598152198</v>
      </c>
      <c r="G46" s="1">
        <f>Debt[[#This Row],[Foreign Holdings]]/Debt[[#This Row],[Total National Debt (millions)]]</f>
        <v>0.14328207180484609</v>
      </c>
    </row>
    <row r="47" spans="1:7" x14ac:dyDescent="0.3">
      <c r="A47" s="3">
        <v>29677</v>
      </c>
      <c r="B47" s="2">
        <v>771255</v>
      </c>
      <c r="C47" s="2">
        <v>971174</v>
      </c>
      <c r="D47" s="2">
        <v>136600</v>
      </c>
      <c r="E47" s="1">
        <f>Debt[[#This Row],[Debt Held by the Public (millions)]]/Debt[[#This Row],[Total National Debt (millions)]]</f>
        <v>0.79414708383873533</v>
      </c>
      <c r="F47" s="1">
        <f>Debt[[#This Row],[Foreign Holdings]]/Debt[[#This Row],[Debt Held by the Public (millions)]]</f>
        <v>0.17711392470713319</v>
      </c>
      <c r="G47" s="1">
        <f>Debt[[#This Row],[Foreign Holdings]]/Debt[[#This Row],[Total National Debt (millions)]]</f>
        <v>0.14065450681340316</v>
      </c>
    </row>
    <row r="48" spans="1:7" x14ac:dyDescent="0.3">
      <c r="A48" s="3">
        <v>29768</v>
      </c>
      <c r="B48" s="2">
        <v>789799</v>
      </c>
      <c r="C48" s="2">
        <v>997855</v>
      </c>
      <c r="D48" s="2">
        <v>130699.99999999999</v>
      </c>
      <c r="E48" s="1">
        <f>Debt[[#This Row],[Debt Held by the Public (millions)]]/Debt[[#This Row],[Total National Debt (millions)]]</f>
        <v>0.79149676055138274</v>
      </c>
      <c r="F48" s="1">
        <f>Debt[[#This Row],[Foreign Holdings]]/Debt[[#This Row],[Debt Held by the Public (millions)]]</f>
        <v>0.16548514242231249</v>
      </c>
      <c r="G48" s="1">
        <f>Debt[[#This Row],[Foreign Holdings]]/Debt[[#This Row],[Total National Debt (millions)]]</f>
        <v>0.13098095414664454</v>
      </c>
    </row>
    <row r="49" spans="1:7" x14ac:dyDescent="0.3">
      <c r="A49" s="3">
        <v>29860</v>
      </c>
      <c r="B49" s="2">
        <v>825509</v>
      </c>
      <c r="C49" s="2">
        <v>1028729</v>
      </c>
      <c r="D49" s="2">
        <v>136600</v>
      </c>
      <c r="E49" s="1">
        <f>Debt[[#This Row],[Debt Held by the Public (millions)]]/Debt[[#This Row],[Total National Debt (millions)]]</f>
        <v>0.80245526275627499</v>
      </c>
      <c r="F49" s="1">
        <f>Debt[[#This Row],[Foreign Holdings]]/Debt[[#This Row],[Debt Held by the Public (millions)]]</f>
        <v>0.16547366533859717</v>
      </c>
      <c r="G49" s="1">
        <f>Debt[[#This Row],[Foreign Holdings]]/Debt[[#This Row],[Total National Debt (millions)]]</f>
        <v>0.13278521359852788</v>
      </c>
    </row>
    <row r="50" spans="1:7" x14ac:dyDescent="0.3">
      <c r="A50" s="3">
        <v>29952</v>
      </c>
      <c r="B50" s="2">
        <v>858888</v>
      </c>
      <c r="C50" s="2">
        <v>1061299</v>
      </c>
      <c r="D50" s="2">
        <v>136100</v>
      </c>
      <c r="E50" s="1">
        <f>Debt[[#This Row],[Debt Held by the Public (millions)]]/Debt[[#This Row],[Total National Debt (millions)]]</f>
        <v>0.80927994844054318</v>
      </c>
      <c r="F50" s="1">
        <f>Debt[[#This Row],[Foreign Holdings]]/Debt[[#This Row],[Debt Held by the Public (millions)]]</f>
        <v>0.15846070733320294</v>
      </c>
      <c r="G50" s="1">
        <f>Debt[[#This Row],[Foreign Holdings]]/Debt[[#This Row],[Total National Debt (millions)]]</f>
        <v>0.12823907306046647</v>
      </c>
    </row>
    <row r="51" spans="1:7" x14ac:dyDescent="0.3">
      <c r="A51" s="3">
        <v>30042</v>
      </c>
      <c r="B51" s="2">
        <v>867916</v>
      </c>
      <c r="C51" s="2">
        <v>1079630</v>
      </c>
      <c r="D51" s="2">
        <v>137200</v>
      </c>
      <c r="E51" s="1">
        <f>Debt[[#This Row],[Debt Held by the Public (millions)]]/Debt[[#This Row],[Total National Debt (millions)]]</f>
        <v>0.80390133656900975</v>
      </c>
      <c r="F51" s="1">
        <f>Debt[[#This Row],[Foreign Holdings]]/Debt[[#This Row],[Debt Held by the Public (millions)]]</f>
        <v>0.15807981417556538</v>
      </c>
      <c r="G51" s="1">
        <f>Debt[[#This Row],[Foreign Holdings]]/Debt[[#This Row],[Total National Debt (millions)]]</f>
        <v>0.12708057390031771</v>
      </c>
    </row>
    <row r="52" spans="1:7" x14ac:dyDescent="0.3">
      <c r="A52" s="3">
        <v>30133</v>
      </c>
      <c r="B52" s="2">
        <v>925631</v>
      </c>
      <c r="C52" s="2">
        <v>1142035</v>
      </c>
      <c r="D52" s="2">
        <v>140600</v>
      </c>
      <c r="E52" s="1">
        <f>Debt[[#This Row],[Debt Held by the Public (millions)]]/Debt[[#This Row],[Total National Debt (millions)]]</f>
        <v>0.81051018576488465</v>
      </c>
      <c r="F52" s="1">
        <f>Debt[[#This Row],[Foreign Holdings]]/Debt[[#This Row],[Debt Held by the Public (millions)]]</f>
        <v>0.15189638203560599</v>
      </c>
      <c r="G52" s="1">
        <f>Debt[[#This Row],[Foreign Holdings]]/Debt[[#This Row],[Total National Debt (millions)]]</f>
        <v>0.12311356482069288</v>
      </c>
    </row>
    <row r="53" spans="1:7" x14ac:dyDescent="0.3">
      <c r="A53" s="3">
        <v>30225</v>
      </c>
      <c r="B53" s="2">
        <v>987719</v>
      </c>
      <c r="C53" s="2">
        <v>1197074</v>
      </c>
      <c r="D53" s="2">
        <v>149500</v>
      </c>
      <c r="E53" s="1">
        <f>Debt[[#This Row],[Debt Held by the Public (millions)]]/Debt[[#This Row],[Total National Debt (millions)]]</f>
        <v>0.82511106247399912</v>
      </c>
      <c r="F53" s="1">
        <f>Debt[[#This Row],[Foreign Holdings]]/Debt[[#This Row],[Debt Held by the Public (millions)]]</f>
        <v>0.15135883788810381</v>
      </c>
      <c r="G53" s="1">
        <f>Debt[[#This Row],[Foreign Holdings]]/Debt[[#This Row],[Total National Debt (millions)]]</f>
        <v>0.12488785154468311</v>
      </c>
    </row>
    <row r="54" spans="1:7" x14ac:dyDescent="0.3">
      <c r="A54" s="3">
        <v>30317</v>
      </c>
      <c r="B54" s="2">
        <v>1043339</v>
      </c>
      <c r="C54" s="2">
        <v>1244493</v>
      </c>
      <c r="D54" s="2">
        <v>156200</v>
      </c>
      <c r="E54" s="1">
        <f>Debt[[#This Row],[Debt Held by the Public (millions)]]/Debt[[#This Row],[Total National Debt (millions)]]</f>
        <v>0.8383646995202062</v>
      </c>
      <c r="F54" s="1">
        <f>Debt[[#This Row],[Foreign Holdings]]/Debt[[#This Row],[Debt Held by the Public (millions)]]</f>
        <v>0.14971164693354699</v>
      </c>
      <c r="G54" s="1">
        <f>Debt[[#This Row],[Foreign Holdings]]/Debt[[#This Row],[Total National Debt (millions)]]</f>
        <v>0.12551295989611833</v>
      </c>
    </row>
    <row r="55" spans="1:7" x14ac:dyDescent="0.3">
      <c r="A55" s="3">
        <v>30407</v>
      </c>
      <c r="B55" s="2">
        <v>1090291</v>
      </c>
      <c r="C55" s="2">
        <v>1319581</v>
      </c>
      <c r="D55" s="2">
        <v>160100</v>
      </c>
      <c r="E55" s="1">
        <f>Debt[[#This Row],[Debt Held by the Public (millions)]]/Debt[[#This Row],[Total National Debt (millions)]]</f>
        <v>0.82624029900400198</v>
      </c>
      <c r="F55" s="1">
        <f>Debt[[#This Row],[Foreign Holdings]]/Debt[[#This Row],[Debt Held by the Public (millions)]]</f>
        <v>0.14684153129760771</v>
      </c>
      <c r="G55" s="1">
        <f>Debt[[#This Row],[Foreign Holdings]]/Debt[[#This Row],[Total National Debt (millions)]]</f>
        <v>0.12132639072554091</v>
      </c>
    </row>
    <row r="56" spans="1:7" x14ac:dyDescent="0.3">
      <c r="A56" s="3">
        <v>30498</v>
      </c>
      <c r="B56" s="2">
        <v>1138188</v>
      </c>
      <c r="C56" s="2">
        <v>1377211</v>
      </c>
      <c r="D56" s="2">
        <v>160100</v>
      </c>
      <c r="E56" s="1">
        <f>Debt[[#This Row],[Debt Held by the Public (millions)]]/Debt[[#This Row],[Total National Debt (millions)]]</f>
        <v>0.82644416868584403</v>
      </c>
      <c r="F56" s="1">
        <f>Debt[[#This Row],[Foreign Holdings]]/Debt[[#This Row],[Debt Held by the Public (millions)]]</f>
        <v>0.14066217531725866</v>
      </c>
      <c r="G56" s="1">
        <f>Debt[[#This Row],[Foreign Holdings]]/Debt[[#This Row],[Total National Debt (millions)]]</f>
        <v>0.11624943454561429</v>
      </c>
    </row>
    <row r="57" spans="1:7" x14ac:dyDescent="0.3">
      <c r="A57" s="3">
        <v>30590</v>
      </c>
      <c r="B57" s="2">
        <v>1174425</v>
      </c>
      <c r="C57" s="2">
        <v>1410702</v>
      </c>
      <c r="D57" s="2">
        <v>166300</v>
      </c>
      <c r="E57" s="1">
        <f>Debt[[#This Row],[Debt Held by the Public (millions)]]/Debt[[#This Row],[Total National Debt (millions)]]</f>
        <v>0.83251104769114948</v>
      </c>
      <c r="F57" s="1">
        <f>Debt[[#This Row],[Foreign Holdings]]/Debt[[#This Row],[Debt Held by the Public (millions)]]</f>
        <v>0.14160120910232668</v>
      </c>
      <c r="G57" s="1">
        <f>Debt[[#This Row],[Foreign Holdings]]/Debt[[#This Row],[Total National Debt (millions)]]</f>
        <v>0.11788457094411152</v>
      </c>
    </row>
    <row r="58" spans="1:7" x14ac:dyDescent="0.3">
      <c r="A58" s="3">
        <v>30682</v>
      </c>
      <c r="B58" s="2">
        <v>1223898</v>
      </c>
      <c r="C58" s="2">
        <v>1463741</v>
      </c>
      <c r="D58" s="2">
        <v>166300</v>
      </c>
      <c r="E58" s="1">
        <f>Debt[[#This Row],[Debt Held by the Public (millions)]]/Debt[[#This Row],[Total National Debt (millions)]]</f>
        <v>0.83614382599107351</v>
      </c>
      <c r="F58" s="1">
        <f>Debt[[#This Row],[Foreign Holdings]]/Debt[[#This Row],[Debt Held by the Public (millions)]]</f>
        <v>0.13587733618324402</v>
      </c>
      <c r="G58" s="1">
        <f>Debt[[#This Row],[Foreign Holdings]]/Debt[[#This Row],[Total National Debt (millions)]]</f>
        <v>0.113612995741733</v>
      </c>
    </row>
    <row r="59" spans="1:7" x14ac:dyDescent="0.3">
      <c r="A59" s="3">
        <v>30773</v>
      </c>
      <c r="B59" s="2">
        <v>1255100</v>
      </c>
      <c r="C59" s="2">
        <v>1512697</v>
      </c>
      <c r="D59" s="2">
        <v>171600</v>
      </c>
      <c r="E59" s="1">
        <f>Debt[[#This Row],[Debt Held by the Public (millions)]]/Debt[[#This Row],[Total National Debt (millions)]]</f>
        <v>0.8297101137901377</v>
      </c>
      <c r="F59" s="1">
        <f>Debt[[#This Row],[Foreign Holdings]]/Debt[[#This Row],[Debt Held by the Public (millions)]]</f>
        <v>0.13672217353198948</v>
      </c>
      <c r="G59" s="1">
        <f>Debt[[#This Row],[Foreign Holdings]]/Debt[[#This Row],[Total National Debt (millions)]]</f>
        <v>0.11343977015886195</v>
      </c>
    </row>
    <row r="60" spans="1:7" x14ac:dyDescent="0.3">
      <c r="A60" s="3">
        <v>30864</v>
      </c>
      <c r="B60" s="2">
        <v>1309183</v>
      </c>
      <c r="C60" s="2">
        <v>1572267</v>
      </c>
      <c r="D60" s="2">
        <v>175600</v>
      </c>
      <c r="E60" s="1">
        <f>Debt[[#This Row],[Debt Held by the Public (millions)]]/Debt[[#This Row],[Total National Debt (millions)]]</f>
        <v>0.83267218608544225</v>
      </c>
      <c r="F60" s="1">
        <f>Debt[[#This Row],[Foreign Holdings]]/Debt[[#This Row],[Debt Held by the Public (millions)]]</f>
        <v>0.13412945325443426</v>
      </c>
      <c r="G60" s="1">
        <f>Debt[[#This Row],[Foreign Holdings]]/Debt[[#This Row],[Total National Debt (millions)]]</f>
        <v>0.1116858650598149</v>
      </c>
    </row>
    <row r="61" spans="1:7" x14ac:dyDescent="0.3">
      <c r="A61" s="3">
        <v>30956</v>
      </c>
      <c r="B61" s="2">
        <v>1373366</v>
      </c>
      <c r="C61" s="2">
        <v>1662966</v>
      </c>
      <c r="D61" s="2">
        <v>192900</v>
      </c>
      <c r="E61" s="1">
        <f>Debt[[#This Row],[Debt Held by the Public (millions)]]/Debt[[#This Row],[Total National Debt (millions)]]</f>
        <v>0.82585332472221318</v>
      </c>
      <c r="F61" s="1">
        <f>Debt[[#This Row],[Foreign Holdings]]/Debt[[#This Row],[Debt Held by the Public (millions)]]</f>
        <v>0.14045782406146651</v>
      </c>
      <c r="G61" s="1">
        <f>Debt[[#This Row],[Foreign Holdings]]/Debt[[#This Row],[Total National Debt (millions)]]</f>
        <v>0.11599756098440979</v>
      </c>
    </row>
    <row r="62" spans="1:7" x14ac:dyDescent="0.3">
      <c r="A62" s="3">
        <v>31048</v>
      </c>
      <c r="B62" s="2">
        <v>1415232</v>
      </c>
      <c r="C62" s="2">
        <v>1710731</v>
      </c>
      <c r="D62" s="2">
        <v>199600</v>
      </c>
      <c r="E62" s="1">
        <f>Debt[[#This Row],[Debt Held by the Public (millions)]]/Debt[[#This Row],[Total National Debt (millions)]]</f>
        <v>0.82726740790925046</v>
      </c>
      <c r="F62" s="1">
        <f>Debt[[#This Row],[Foreign Holdings]]/Debt[[#This Row],[Debt Held by the Public (millions)]]</f>
        <v>0.14103694659250215</v>
      </c>
      <c r="G62" s="1">
        <f>Debt[[#This Row],[Foreign Holdings]]/Debt[[#This Row],[Total National Debt (millions)]]</f>
        <v>0.11667526922701466</v>
      </c>
    </row>
    <row r="63" spans="1:7" x14ac:dyDescent="0.3">
      <c r="A63" s="3">
        <v>31138</v>
      </c>
      <c r="B63" s="2">
        <v>1460484</v>
      </c>
      <c r="C63" s="2">
        <v>1774640</v>
      </c>
      <c r="D63" s="2">
        <v>213800</v>
      </c>
      <c r="E63" s="1">
        <f>Debt[[#This Row],[Debt Held by the Public (millions)]]/Debt[[#This Row],[Total National Debt (millions)]]</f>
        <v>0.82297480052292293</v>
      </c>
      <c r="F63" s="1">
        <f>Debt[[#This Row],[Foreign Holdings]]/Debt[[#This Row],[Debt Held by the Public (millions)]]</f>
        <v>0.14638982693408487</v>
      </c>
      <c r="G63" s="1">
        <f>Debt[[#This Row],[Foreign Holdings]]/Debt[[#This Row],[Total National Debt (millions)]]</f>
        <v>0.1204751386196637</v>
      </c>
    </row>
    <row r="64" spans="1:7" x14ac:dyDescent="0.3">
      <c r="A64" s="3">
        <v>31229</v>
      </c>
      <c r="B64" s="2">
        <v>1506558</v>
      </c>
      <c r="C64" s="2">
        <v>1823103</v>
      </c>
      <c r="D64" s="2">
        <v>222900</v>
      </c>
      <c r="E64" s="1">
        <f>Debt[[#This Row],[Debt Held by the Public (millions)]]/Debt[[#This Row],[Total National Debt (millions)]]</f>
        <v>0.82637020508440828</v>
      </c>
      <c r="F64" s="1">
        <f>Debt[[#This Row],[Foreign Holdings]]/Debt[[#This Row],[Debt Held by the Public (millions)]]</f>
        <v>0.1479531488333008</v>
      </c>
      <c r="G64" s="1">
        <f>Debt[[#This Row],[Foreign Holdings]]/Debt[[#This Row],[Total National Debt (millions)]]</f>
        <v>0.12226407394425877</v>
      </c>
    </row>
    <row r="65" spans="1:7" x14ac:dyDescent="0.3">
      <c r="A65" s="3">
        <v>31321</v>
      </c>
      <c r="B65" s="2">
        <v>1597083</v>
      </c>
      <c r="C65" s="2">
        <v>1945942</v>
      </c>
      <c r="D65" s="2">
        <v>224800</v>
      </c>
      <c r="E65" s="1">
        <f>Debt[[#This Row],[Debt Held by the Public (millions)]]/Debt[[#This Row],[Total National Debt (millions)]]</f>
        <v>0.82072487258099158</v>
      </c>
      <c r="F65" s="1">
        <f>Debt[[#This Row],[Foreign Holdings]]/Debt[[#This Row],[Debt Held by the Public (millions)]]</f>
        <v>0.14075661690719893</v>
      </c>
      <c r="G65" s="1">
        <f>Debt[[#This Row],[Foreign Holdings]]/Debt[[#This Row],[Total National Debt (millions)]]</f>
        <v>0.1155224564760923</v>
      </c>
    </row>
    <row r="66" spans="1:7" x14ac:dyDescent="0.3">
      <c r="A66" s="3">
        <v>31413</v>
      </c>
      <c r="B66" s="2">
        <v>1634259</v>
      </c>
      <c r="C66" s="2">
        <v>1986816</v>
      </c>
      <c r="D66" s="2">
        <v>232600</v>
      </c>
      <c r="E66" s="1">
        <f>Debt[[#This Row],[Debt Held by the Public (millions)]]/Debt[[#This Row],[Total National Debt (millions)]]</f>
        <v>0.82255176120989559</v>
      </c>
      <c r="F66" s="1">
        <f>Debt[[#This Row],[Foreign Holdings]]/Debt[[#This Row],[Debt Held by the Public (millions)]]</f>
        <v>0.14232750133240815</v>
      </c>
      <c r="G66" s="1">
        <f>Debt[[#This Row],[Foreign Holdings]]/Debt[[#This Row],[Total National Debt (millions)]]</f>
        <v>0.11707173688957609</v>
      </c>
    </row>
    <row r="67" spans="1:7" x14ac:dyDescent="0.3">
      <c r="A67" s="3">
        <v>31503</v>
      </c>
      <c r="B67" s="2">
        <v>1684939</v>
      </c>
      <c r="C67" s="2">
        <v>2059349</v>
      </c>
      <c r="D67" s="2">
        <v>250900</v>
      </c>
      <c r="E67" s="1">
        <f>Debt[[#This Row],[Debt Held by the Public (millions)]]/Debt[[#This Row],[Total National Debt (millions)]]</f>
        <v>0.81819011736233149</v>
      </c>
      <c r="F67" s="1">
        <f>Debt[[#This Row],[Foreign Holdings]]/Debt[[#This Row],[Debt Held by the Public (millions)]]</f>
        <v>0.14890746786678924</v>
      </c>
      <c r="G67" s="1">
        <f>Debt[[#This Row],[Foreign Holdings]]/Debt[[#This Row],[Total National Debt (millions)]]</f>
        <v>0.1218346186100559</v>
      </c>
    </row>
    <row r="68" spans="1:7" x14ac:dyDescent="0.3">
      <c r="A68" s="3">
        <v>31594</v>
      </c>
      <c r="B68" s="2">
        <v>1742445</v>
      </c>
      <c r="C68" s="2">
        <v>2125304</v>
      </c>
      <c r="D68" s="2">
        <v>265500</v>
      </c>
      <c r="E68" s="1">
        <f>Debt[[#This Row],[Debt Held by the Public (millions)]]/Debt[[#This Row],[Total National Debt (millions)]]</f>
        <v>0.81985682989351172</v>
      </c>
      <c r="F68" s="1">
        <f>Debt[[#This Row],[Foreign Holdings]]/Debt[[#This Row],[Debt Held by the Public (millions)]]</f>
        <v>0.15237209782805197</v>
      </c>
      <c r="G68" s="1">
        <f>Debt[[#This Row],[Foreign Holdings]]/Debt[[#This Row],[Total National Debt (millions)]]</f>
        <v>0.12492330508953071</v>
      </c>
    </row>
    <row r="69" spans="1:7" x14ac:dyDescent="0.3">
      <c r="A69" s="3">
        <v>31686</v>
      </c>
      <c r="B69" s="2">
        <v>1811744</v>
      </c>
      <c r="C69" s="2">
        <v>2214835</v>
      </c>
      <c r="D69" s="2">
        <v>263400</v>
      </c>
      <c r="E69" s="1">
        <f>Debt[[#This Row],[Debt Held by the Public (millions)]]/Debt[[#This Row],[Total National Debt (millions)]]</f>
        <v>0.81800404996308984</v>
      </c>
      <c r="F69" s="1">
        <f>Debt[[#This Row],[Foreign Holdings]]/Debt[[#This Row],[Debt Held by the Public (millions)]]</f>
        <v>0.14538477842344172</v>
      </c>
      <c r="G69" s="1">
        <f>Debt[[#This Row],[Foreign Holdings]]/Debt[[#This Row],[Total National Debt (millions)]]</f>
        <v>0.11892533755336177</v>
      </c>
    </row>
    <row r="70" spans="1:7" x14ac:dyDescent="0.3">
      <c r="A70" s="3">
        <v>31778</v>
      </c>
      <c r="B70" s="2">
        <v>1839271</v>
      </c>
      <c r="C70" s="2">
        <v>2246724</v>
      </c>
      <c r="D70" s="2">
        <v>272800</v>
      </c>
      <c r="E70" s="1">
        <f>Debt[[#This Row],[Debt Held by the Public (millions)]]/Debt[[#This Row],[Total National Debt (millions)]]</f>
        <v>0.81864572595476792</v>
      </c>
      <c r="F70" s="1">
        <f>Debt[[#This Row],[Foreign Holdings]]/Debt[[#This Row],[Debt Held by the Public (millions)]]</f>
        <v>0.14831963315900701</v>
      </c>
      <c r="G70" s="1">
        <f>Debt[[#This Row],[Foreign Holdings]]/Debt[[#This Row],[Total National Debt (millions)]]</f>
        <v>0.12142123376080018</v>
      </c>
    </row>
    <row r="71" spans="1:7" x14ac:dyDescent="0.3">
      <c r="A71" s="3">
        <v>31868</v>
      </c>
      <c r="B71" s="2">
        <v>1871150</v>
      </c>
      <c r="C71" s="2">
        <v>2309296</v>
      </c>
      <c r="D71" s="2">
        <v>281100</v>
      </c>
      <c r="E71" s="1">
        <f>Debt[[#This Row],[Debt Held by the Public (millions)]]/Debt[[#This Row],[Total National Debt (millions)]]</f>
        <v>0.81026858401867929</v>
      </c>
      <c r="F71" s="1">
        <f>Debt[[#This Row],[Foreign Holdings]]/Debt[[#This Row],[Debt Held by the Public (millions)]]</f>
        <v>0.15022846912326643</v>
      </c>
      <c r="G71" s="1">
        <f>Debt[[#This Row],[Foreign Holdings]]/Debt[[#This Row],[Total National Debt (millions)]]</f>
        <v>0.12172540895580299</v>
      </c>
    </row>
    <row r="72" spans="1:7" x14ac:dyDescent="0.3">
      <c r="A72" s="3">
        <v>31959</v>
      </c>
      <c r="B72" s="2">
        <v>1893110</v>
      </c>
      <c r="C72" s="2">
        <v>2350277</v>
      </c>
      <c r="D72" s="2">
        <v>279500</v>
      </c>
      <c r="E72" s="1">
        <f>Debt[[#This Row],[Debt Held by the Public (millions)]]/Debt[[#This Row],[Total National Debt (millions)]]</f>
        <v>0.80548377914603253</v>
      </c>
      <c r="F72" s="1">
        <f>Debt[[#This Row],[Foreign Holdings]]/Debt[[#This Row],[Debt Held by the Public (millions)]]</f>
        <v>0.14764065479554805</v>
      </c>
      <c r="G72" s="1">
        <f>Debt[[#This Row],[Foreign Holdings]]/Debt[[#This Row],[Total National Debt (millions)]]</f>
        <v>0.11892215258031287</v>
      </c>
    </row>
    <row r="73" spans="1:7" x14ac:dyDescent="0.3">
      <c r="A73" s="3">
        <v>32051</v>
      </c>
      <c r="B73" s="2">
        <v>1954065</v>
      </c>
      <c r="C73" s="2">
        <v>2431715</v>
      </c>
      <c r="D73" s="2">
        <v>299700</v>
      </c>
      <c r="E73" s="1">
        <f>Debt[[#This Row],[Debt Held by the Public (millions)]]/Debt[[#This Row],[Total National Debt (millions)]]</f>
        <v>0.80357484326905082</v>
      </c>
      <c r="F73" s="1">
        <f>Debt[[#This Row],[Foreign Holdings]]/Debt[[#This Row],[Debt Held by the Public (millions)]]</f>
        <v>0.15337258484236707</v>
      </c>
      <c r="G73" s="1">
        <f>Debt[[#This Row],[Foreign Holdings]]/Debt[[#This Row],[Total National Debt (millions)]]</f>
        <v>0.12324635082647432</v>
      </c>
    </row>
    <row r="74" spans="1:7" x14ac:dyDescent="0.3">
      <c r="A74" s="3">
        <v>32143</v>
      </c>
      <c r="B74" s="2">
        <v>1996711</v>
      </c>
      <c r="C74" s="2">
        <v>2487551</v>
      </c>
      <c r="D74" s="2">
        <v>332500</v>
      </c>
      <c r="E74" s="1">
        <f>Debt[[#This Row],[Debt Held by the Public (millions)]]/Debt[[#This Row],[Total National Debt (millions)]]</f>
        <v>0.80268143246108326</v>
      </c>
      <c r="F74" s="1">
        <f>Debt[[#This Row],[Foreign Holdings]]/Debt[[#This Row],[Debt Held by the Public (millions)]]</f>
        <v>0.16652384846880694</v>
      </c>
      <c r="G74" s="1">
        <f>Debt[[#This Row],[Foreign Holdings]]/Debt[[#This Row],[Total National Debt (millions)]]</f>
        <v>0.13366560122787433</v>
      </c>
    </row>
    <row r="75" spans="1:7" x14ac:dyDescent="0.3">
      <c r="A75" s="3">
        <v>32234</v>
      </c>
      <c r="B75" s="2">
        <v>2013414</v>
      </c>
      <c r="C75" s="2">
        <v>2547656</v>
      </c>
      <c r="D75" s="2">
        <v>345400</v>
      </c>
      <c r="E75" s="1">
        <f>Debt[[#This Row],[Debt Held by the Public (millions)]]/Debt[[#This Row],[Total National Debt (millions)]]</f>
        <v>0.79030057433185641</v>
      </c>
      <c r="F75" s="1">
        <f>Debt[[#This Row],[Foreign Holdings]]/Debt[[#This Row],[Debt Held by the Public (millions)]]</f>
        <v>0.17154941805311774</v>
      </c>
      <c r="G75" s="1">
        <f>Debt[[#This Row],[Foreign Holdings]]/Debt[[#This Row],[Total National Debt (millions)]]</f>
        <v>0.13557560361367468</v>
      </c>
    </row>
    <row r="76" spans="1:7" x14ac:dyDescent="0.3">
      <c r="A76" s="3">
        <v>32325</v>
      </c>
      <c r="B76" s="2">
        <v>2051735</v>
      </c>
      <c r="C76" s="2">
        <v>2602183</v>
      </c>
      <c r="D76" s="2">
        <v>345900</v>
      </c>
      <c r="E76" s="1">
        <f>Debt[[#This Row],[Debt Held by the Public (millions)]]/Debt[[#This Row],[Total National Debt (millions)]]</f>
        <v>0.78846683726701772</v>
      </c>
      <c r="F76" s="1">
        <f>Debt[[#This Row],[Foreign Holdings]]/Debt[[#This Row],[Debt Held by the Public (millions)]]</f>
        <v>0.16858902343626248</v>
      </c>
      <c r="G76" s="1">
        <f>Debt[[#This Row],[Foreign Holdings]]/Debt[[#This Row],[Total National Debt (millions)]]</f>
        <v>0.132926854106725</v>
      </c>
    </row>
    <row r="77" spans="1:7" x14ac:dyDescent="0.3">
      <c r="A77" s="3">
        <v>32417</v>
      </c>
      <c r="B77" s="2">
        <v>2095179</v>
      </c>
      <c r="C77" s="2">
        <v>2684392</v>
      </c>
      <c r="D77" s="2">
        <v>362200</v>
      </c>
      <c r="E77" s="1">
        <f>Debt[[#This Row],[Debt Held by the Public (millions)]]/Debt[[#This Row],[Total National Debt (millions)]]</f>
        <v>0.78050411415322352</v>
      </c>
      <c r="F77" s="1">
        <f>Debt[[#This Row],[Foreign Holdings]]/Debt[[#This Row],[Debt Held by the Public (millions)]]</f>
        <v>0.17287305762419344</v>
      </c>
      <c r="G77" s="1">
        <f>Debt[[#This Row],[Foreign Holdings]]/Debt[[#This Row],[Total National Debt (millions)]]</f>
        <v>0.13492813270193027</v>
      </c>
    </row>
    <row r="78" spans="1:7" x14ac:dyDescent="0.3">
      <c r="A78" s="3">
        <v>32509</v>
      </c>
      <c r="B78" s="2">
        <v>2133419</v>
      </c>
      <c r="C78" s="2">
        <v>2740898</v>
      </c>
      <c r="D78" s="2">
        <v>373500</v>
      </c>
      <c r="E78" s="1">
        <f>Debt[[#This Row],[Debt Held by the Public (millions)]]/Debt[[#This Row],[Total National Debt (millions)]]</f>
        <v>0.77836497381515113</v>
      </c>
      <c r="F78" s="1">
        <f>Debt[[#This Row],[Foreign Holdings]]/Debt[[#This Row],[Debt Held by the Public (millions)]]</f>
        <v>0.17507109480134939</v>
      </c>
      <c r="G78" s="1">
        <f>Debt[[#This Row],[Foreign Holdings]]/Debt[[#This Row],[Total National Debt (millions)]]</f>
        <v>0.13626920812084214</v>
      </c>
    </row>
    <row r="79" spans="1:7" x14ac:dyDescent="0.3">
      <c r="A79" s="3">
        <v>32599</v>
      </c>
      <c r="B79" s="2">
        <v>2142122</v>
      </c>
      <c r="C79" s="2">
        <v>2799923</v>
      </c>
      <c r="D79" s="2">
        <v>366400</v>
      </c>
      <c r="E79" s="1">
        <f>Debt[[#This Row],[Debt Held by the Public (millions)]]/Debt[[#This Row],[Total National Debt (millions)]]</f>
        <v>0.7650646107053658</v>
      </c>
      <c r="F79" s="1">
        <f>Debt[[#This Row],[Foreign Holdings]]/Debt[[#This Row],[Debt Held by the Public (millions)]]</f>
        <v>0.17104534662358167</v>
      </c>
      <c r="G79" s="1">
        <f>Debt[[#This Row],[Foreign Holdings]]/Debt[[#This Row],[Total National Debt (millions)]]</f>
        <v>0.13086074152753485</v>
      </c>
    </row>
    <row r="80" spans="1:7" x14ac:dyDescent="0.3">
      <c r="A80" s="3">
        <v>32690</v>
      </c>
      <c r="B80" s="2">
        <v>2180726</v>
      </c>
      <c r="C80" s="2">
        <v>2857431</v>
      </c>
      <c r="D80" s="2">
        <v>391800</v>
      </c>
      <c r="E80" s="1">
        <f>Debt[[#This Row],[Debt Held by the Public (millions)]]/Debt[[#This Row],[Total National Debt (millions)]]</f>
        <v>0.76317713358607786</v>
      </c>
      <c r="F80" s="1">
        <f>Debt[[#This Row],[Foreign Holdings]]/Debt[[#This Row],[Debt Held by the Public (millions)]]</f>
        <v>0.17966493727318333</v>
      </c>
      <c r="G80" s="1">
        <f>Debt[[#This Row],[Foreign Holdings]]/Debt[[#This Row],[Total National Debt (millions)]]</f>
        <v>0.13711617183407054</v>
      </c>
    </row>
    <row r="81" spans="1:7" x14ac:dyDescent="0.3">
      <c r="A81" s="3">
        <v>32782</v>
      </c>
      <c r="B81" s="2">
        <v>2245171</v>
      </c>
      <c r="C81" s="2">
        <v>2952994</v>
      </c>
      <c r="D81" s="2">
        <v>426100</v>
      </c>
      <c r="E81" s="1">
        <f>Debt[[#This Row],[Debt Held by the Public (millions)]]/Debt[[#This Row],[Total National Debt (millions)]]</f>
        <v>0.76030327186577418</v>
      </c>
      <c r="F81" s="1">
        <f>Debt[[#This Row],[Foreign Holdings]]/Debt[[#This Row],[Debt Held by the Public (millions)]]</f>
        <v>0.18978509877421362</v>
      </c>
      <c r="G81" s="1">
        <f>Debt[[#This Row],[Foreign Holdings]]/Debt[[#This Row],[Total National Debt (millions)]]</f>
        <v>0.14429423154940377</v>
      </c>
    </row>
    <row r="82" spans="1:7" x14ac:dyDescent="0.3">
      <c r="A82" s="3">
        <v>32874</v>
      </c>
      <c r="B82" s="2">
        <v>2329264</v>
      </c>
      <c r="C82" s="2">
        <v>3051958</v>
      </c>
      <c r="D82" s="2">
        <v>445400</v>
      </c>
      <c r="E82" s="1">
        <f>Debt[[#This Row],[Debt Held by the Public (millions)]]/Debt[[#This Row],[Total National Debt (millions)]]</f>
        <v>0.76320316334628457</v>
      </c>
      <c r="F82" s="1">
        <f>Debt[[#This Row],[Foreign Holdings]]/Debt[[#This Row],[Debt Held by the Public (millions)]]</f>
        <v>0.19121920057151101</v>
      </c>
      <c r="G82" s="1">
        <f>Debt[[#This Row],[Foreign Holdings]]/Debt[[#This Row],[Total National Debt (millions)]]</f>
        <v>0.14593909876872485</v>
      </c>
    </row>
    <row r="83" spans="1:7" x14ac:dyDescent="0.3">
      <c r="A83" s="3">
        <v>32964</v>
      </c>
      <c r="B83" s="2">
        <v>2368772</v>
      </c>
      <c r="C83" s="2">
        <v>3143754</v>
      </c>
      <c r="D83" s="2">
        <v>451000</v>
      </c>
      <c r="E83" s="1">
        <f>Debt[[#This Row],[Debt Held by the Public (millions)]]/Debt[[#This Row],[Total National Debt (millions)]]</f>
        <v>0.75348516455167924</v>
      </c>
      <c r="F83" s="1">
        <f>Debt[[#This Row],[Foreign Holdings]]/Debt[[#This Row],[Debt Held by the Public (millions)]]</f>
        <v>0.1903940100609092</v>
      </c>
      <c r="G83" s="1">
        <f>Debt[[#This Row],[Foreign Holdings]]/Debt[[#This Row],[Total National Debt (millions)]]</f>
        <v>0.14345906200039826</v>
      </c>
    </row>
    <row r="84" spans="1:7" x14ac:dyDescent="0.3">
      <c r="A84" s="3">
        <v>33055</v>
      </c>
      <c r="B84" s="2">
        <v>2437551</v>
      </c>
      <c r="C84" s="2">
        <v>3233313</v>
      </c>
      <c r="D84" s="2">
        <v>463800</v>
      </c>
      <c r="E84" s="1">
        <f>Debt[[#This Row],[Debt Held by the Public (millions)]]/Debt[[#This Row],[Total National Debt (millions)]]</f>
        <v>0.75388649351300041</v>
      </c>
      <c r="F84" s="1">
        <f>Debt[[#This Row],[Foreign Holdings]]/Debt[[#This Row],[Debt Held by the Public (millions)]]</f>
        <v>0.19027294198152161</v>
      </c>
      <c r="G84" s="1">
        <f>Debt[[#This Row],[Foreign Holdings]]/Debt[[#This Row],[Total National Debt (millions)]]</f>
        <v>0.1434442010408519</v>
      </c>
    </row>
    <row r="85" spans="1:7" x14ac:dyDescent="0.3">
      <c r="A85" s="3">
        <v>33147</v>
      </c>
      <c r="B85" s="2">
        <v>2536545</v>
      </c>
      <c r="C85" s="2">
        <v>3364820</v>
      </c>
      <c r="D85" s="2">
        <v>487100</v>
      </c>
      <c r="E85" s="1">
        <f>Debt[[#This Row],[Debt Held by the Public (millions)]]/Debt[[#This Row],[Total National Debt (millions)]]</f>
        <v>0.75384270183843416</v>
      </c>
      <c r="F85" s="1">
        <f>Debt[[#This Row],[Foreign Holdings]]/Debt[[#This Row],[Debt Held by the Public (millions)]]</f>
        <v>0.19203286359989671</v>
      </c>
      <c r="G85" s="1">
        <f>Debt[[#This Row],[Foreign Holdings]]/Debt[[#This Row],[Total National Debt (millions)]]</f>
        <v>0.14476257273791762</v>
      </c>
    </row>
    <row r="86" spans="1:7" x14ac:dyDescent="0.3">
      <c r="A86" s="3">
        <v>33239</v>
      </c>
      <c r="B86" s="2">
        <v>2598351</v>
      </c>
      <c r="C86" s="2">
        <v>3465189</v>
      </c>
      <c r="D86" s="2">
        <v>492000</v>
      </c>
      <c r="E86" s="1">
        <f>Debt[[#This Row],[Debt Held by the Public (millions)]]/Debt[[#This Row],[Total National Debt (millions)]]</f>
        <v>0.74984394790587183</v>
      </c>
      <c r="F86" s="1">
        <f>Debt[[#This Row],[Foreign Holdings]]/Debt[[#This Row],[Debt Held by the Public (millions)]]</f>
        <v>0.18935086137323248</v>
      </c>
      <c r="G86" s="1">
        <f>Debt[[#This Row],[Foreign Holdings]]/Debt[[#This Row],[Total National Debt (millions)]]</f>
        <v>0.14198359743148209</v>
      </c>
    </row>
    <row r="87" spans="1:7" x14ac:dyDescent="0.3">
      <c r="A87" s="3">
        <v>33329</v>
      </c>
      <c r="B87" s="2">
        <v>2642863</v>
      </c>
      <c r="C87" s="2">
        <v>3537988</v>
      </c>
      <c r="D87" s="2">
        <v>502000</v>
      </c>
      <c r="E87" s="1">
        <f>Debt[[#This Row],[Debt Held by the Public (millions)]]/Debt[[#This Row],[Total National Debt (millions)]]</f>
        <v>0.74699603277342941</v>
      </c>
      <c r="F87" s="1">
        <f>Debt[[#This Row],[Foreign Holdings]]/Debt[[#This Row],[Debt Held by the Public (millions)]]</f>
        <v>0.18994552498559328</v>
      </c>
      <c r="G87" s="1">
        <f>Debt[[#This Row],[Foreign Holdings]]/Debt[[#This Row],[Total National Debt (millions)]]</f>
        <v>0.14188855360730449</v>
      </c>
    </row>
    <row r="88" spans="1:7" x14ac:dyDescent="0.3">
      <c r="A88" s="3">
        <v>33420</v>
      </c>
      <c r="B88" s="2">
        <v>2745729</v>
      </c>
      <c r="C88" s="2">
        <v>3665303</v>
      </c>
      <c r="D88" s="2">
        <v>506300</v>
      </c>
      <c r="E88" s="1">
        <f>Debt[[#This Row],[Debt Held by the Public (millions)]]/Debt[[#This Row],[Total National Debt (millions)]]</f>
        <v>0.74911378404459328</v>
      </c>
      <c r="F88" s="1">
        <f>Debt[[#This Row],[Foreign Holdings]]/Debt[[#This Row],[Debt Held by the Public (millions)]]</f>
        <v>0.1843954738431943</v>
      </c>
      <c r="G88" s="1">
        <f>Debt[[#This Row],[Foreign Holdings]]/Debt[[#This Row],[Total National Debt (millions)]]</f>
        <v>0.1381331911713711</v>
      </c>
    </row>
    <row r="89" spans="1:7" x14ac:dyDescent="0.3">
      <c r="A89" s="3">
        <v>33512</v>
      </c>
      <c r="B89" s="2">
        <v>2833034</v>
      </c>
      <c r="C89" s="2">
        <v>3801698</v>
      </c>
      <c r="D89" s="2">
        <v>520900</v>
      </c>
      <c r="E89" s="1">
        <f>Debt[[#This Row],[Debt Held by the Public (millions)]]/Debt[[#This Row],[Total National Debt (millions)]]</f>
        <v>0.74520227540430617</v>
      </c>
      <c r="F89" s="1">
        <f>Debt[[#This Row],[Foreign Holdings]]/Debt[[#This Row],[Debt Held by the Public (millions)]]</f>
        <v>0.18386648377675666</v>
      </c>
      <c r="G89" s="1">
        <f>Debt[[#This Row],[Foreign Holdings]]/Debt[[#This Row],[Total National Debt (millions)]]</f>
        <v>0.137017722081028</v>
      </c>
    </row>
    <row r="90" spans="1:7" x14ac:dyDescent="0.3">
      <c r="A90" s="3">
        <v>33604</v>
      </c>
      <c r="B90" s="2">
        <v>2917630</v>
      </c>
      <c r="C90" s="2">
        <v>3881288</v>
      </c>
      <c r="D90" s="2">
        <v>536400</v>
      </c>
      <c r="E90" s="1">
        <f>Debt[[#This Row],[Debt Held by the Public (millions)]]/Debt[[#This Row],[Total National Debt (millions)]]</f>
        <v>0.75171695581466769</v>
      </c>
      <c r="F90" s="1">
        <f>Debt[[#This Row],[Foreign Holdings]]/Debt[[#This Row],[Debt Held by the Public (millions)]]</f>
        <v>0.18384784911040811</v>
      </c>
      <c r="G90" s="1">
        <f>Debt[[#This Row],[Foreign Holdings]]/Debt[[#This Row],[Total National Debt (millions)]]</f>
        <v>0.13820154546635036</v>
      </c>
    </row>
    <row r="91" spans="1:7" x14ac:dyDescent="0.3">
      <c r="A91" s="3">
        <v>33695</v>
      </c>
      <c r="B91" s="2">
        <v>2976774</v>
      </c>
      <c r="C91" s="2">
        <v>3984656</v>
      </c>
      <c r="D91" s="2">
        <v>558200</v>
      </c>
      <c r="E91" s="1">
        <f>Debt[[#This Row],[Debt Held by the Public (millions)]]/Debt[[#This Row],[Total National Debt (millions)]]</f>
        <v>0.74705921916471585</v>
      </c>
      <c r="F91" s="1">
        <f>Debt[[#This Row],[Foreign Holdings]]/Debt[[#This Row],[Debt Held by the Public (millions)]]</f>
        <v>0.18751843438568061</v>
      </c>
      <c r="G91" s="1">
        <f>Debt[[#This Row],[Foreign Holdings]]/Debt[[#This Row],[Total National Debt (millions)]]</f>
        <v>0.14008737517115655</v>
      </c>
    </row>
    <row r="92" spans="1:7" x14ac:dyDescent="0.3">
      <c r="A92" s="3">
        <v>33786</v>
      </c>
      <c r="B92" s="2">
        <v>3048291</v>
      </c>
      <c r="C92" s="2">
        <v>4064621</v>
      </c>
      <c r="D92" s="2">
        <v>562800</v>
      </c>
      <c r="E92" s="1">
        <f>Debt[[#This Row],[Debt Held by the Public (millions)]]/Debt[[#This Row],[Total National Debt (millions)]]</f>
        <v>0.74995700706166701</v>
      </c>
      <c r="F92" s="1">
        <f>Debt[[#This Row],[Foreign Holdings]]/Debt[[#This Row],[Debt Held by the Public (millions)]]</f>
        <v>0.18462804240146363</v>
      </c>
      <c r="G92" s="1">
        <f>Debt[[#This Row],[Foreign Holdings]]/Debt[[#This Row],[Total National Debt (millions)]]</f>
        <v>0.13846309409905622</v>
      </c>
    </row>
    <row r="93" spans="1:7" x14ac:dyDescent="0.3">
      <c r="A93" s="3">
        <v>33878</v>
      </c>
      <c r="B93" s="2">
        <v>3129308</v>
      </c>
      <c r="C93" s="2">
        <v>4177009</v>
      </c>
      <c r="D93" s="2">
        <v>576700</v>
      </c>
      <c r="E93" s="1">
        <f>Debt[[#This Row],[Debt Held by the Public (millions)]]/Debt[[#This Row],[Total National Debt (millions)]]</f>
        <v>0.74917434939690097</v>
      </c>
      <c r="F93" s="1">
        <f>Debt[[#This Row],[Foreign Holdings]]/Debt[[#This Row],[Debt Held by the Public (millions)]]</f>
        <v>0.18428994525307194</v>
      </c>
      <c r="G93" s="1">
        <f>Debt[[#This Row],[Foreign Holdings]]/Debt[[#This Row],[Total National Debt (millions)]]</f>
        <v>0.13806529983536067</v>
      </c>
    </row>
    <row r="94" spans="1:7" x14ac:dyDescent="0.3">
      <c r="A94" s="3">
        <v>33970</v>
      </c>
      <c r="B94" s="2">
        <v>3187556</v>
      </c>
      <c r="C94" s="2">
        <v>4230580</v>
      </c>
      <c r="D94" s="2">
        <v>585900</v>
      </c>
      <c r="E94" s="1">
        <f>Debt[[#This Row],[Debt Held by the Public (millions)]]/Debt[[#This Row],[Total National Debt (millions)]]</f>
        <v>0.75345602730594863</v>
      </c>
      <c r="F94" s="1">
        <f>Debt[[#This Row],[Foreign Holdings]]/Debt[[#This Row],[Debt Held by the Public (millions)]]</f>
        <v>0.18380853544220085</v>
      </c>
      <c r="G94" s="1">
        <f>Debt[[#This Row],[Foreign Holdings]]/Debt[[#This Row],[Total National Debt (millions)]]</f>
        <v>0.13849164889920532</v>
      </c>
    </row>
    <row r="95" spans="1:7" x14ac:dyDescent="0.3">
      <c r="A95" s="3">
        <v>34060</v>
      </c>
      <c r="B95" s="2">
        <v>3252285</v>
      </c>
      <c r="C95" s="2">
        <v>4351950</v>
      </c>
      <c r="D95" s="2">
        <v>596800</v>
      </c>
      <c r="E95" s="1">
        <f>Debt[[#This Row],[Debt Held by the Public (millions)]]/Debt[[#This Row],[Total National Debt (millions)]]</f>
        <v>0.7473167200909937</v>
      </c>
      <c r="F95" s="1">
        <f>Debt[[#This Row],[Foreign Holdings]]/Debt[[#This Row],[Debt Held by the Public (millions)]]</f>
        <v>0.18350175338262176</v>
      </c>
      <c r="G95" s="1">
        <f>Debt[[#This Row],[Foreign Holdings]]/Debt[[#This Row],[Total National Debt (millions)]]</f>
        <v>0.13713392846884731</v>
      </c>
    </row>
    <row r="96" spans="1:7" x14ac:dyDescent="0.3">
      <c r="A96" s="3">
        <v>34151</v>
      </c>
      <c r="B96" s="2">
        <v>3294796</v>
      </c>
      <c r="C96" s="2">
        <v>4411489</v>
      </c>
      <c r="D96" s="2">
        <v>619100</v>
      </c>
      <c r="E96" s="1">
        <f>Debt[[#This Row],[Debt Held by the Public (millions)]]/Debt[[#This Row],[Total National Debt (millions)]]</f>
        <v>0.74686710088135777</v>
      </c>
      <c r="F96" s="1">
        <f>Debt[[#This Row],[Foreign Holdings]]/Debt[[#This Row],[Debt Held by the Public (millions)]]</f>
        <v>0.18790237696051593</v>
      </c>
      <c r="G96" s="1">
        <f>Debt[[#This Row],[Foreign Holdings]]/Debt[[#This Row],[Total National Debt (millions)]]</f>
        <v>0.14033810352921655</v>
      </c>
    </row>
    <row r="97" spans="1:7" x14ac:dyDescent="0.3">
      <c r="A97" s="3">
        <v>34243</v>
      </c>
      <c r="B97" s="2">
        <v>3382197</v>
      </c>
      <c r="C97" s="2">
        <v>4535687</v>
      </c>
      <c r="D97" s="2">
        <v>650300</v>
      </c>
      <c r="E97" s="1">
        <f>Debt[[#This Row],[Debt Held by the Public (millions)]]/Debt[[#This Row],[Total National Debt (millions)]]</f>
        <v>0.74568571420382401</v>
      </c>
      <c r="F97" s="1">
        <f>Debt[[#This Row],[Foreign Holdings]]/Debt[[#This Row],[Debt Held by the Public (millions)]]</f>
        <v>0.19227147324653177</v>
      </c>
      <c r="G97" s="1">
        <f>Debt[[#This Row],[Foreign Holdings]]/Debt[[#This Row],[Total National Debt (millions)]]</f>
        <v>0.14337409084886149</v>
      </c>
    </row>
    <row r="98" spans="1:7" x14ac:dyDescent="0.3">
      <c r="A98" s="3">
        <v>34335</v>
      </c>
      <c r="B98" s="2">
        <v>3434208</v>
      </c>
      <c r="C98" s="2">
        <v>4575869</v>
      </c>
      <c r="D98" s="2">
        <v>661100</v>
      </c>
      <c r="E98" s="1">
        <f>Debt[[#This Row],[Debt Held by the Public (millions)]]/Debt[[#This Row],[Total National Debt (millions)]]</f>
        <v>0.75050400262769756</v>
      </c>
      <c r="F98" s="1">
        <f>Debt[[#This Row],[Foreign Holdings]]/Debt[[#This Row],[Debt Held by the Public (millions)]]</f>
        <v>0.19250435617178691</v>
      </c>
      <c r="G98" s="1">
        <f>Debt[[#This Row],[Foreign Holdings]]/Debt[[#This Row],[Total National Debt (millions)]]</f>
        <v>0.144475289830194</v>
      </c>
    </row>
    <row r="99" spans="1:7" x14ac:dyDescent="0.3">
      <c r="A99" s="3">
        <v>34425</v>
      </c>
      <c r="B99" s="2">
        <v>3442868</v>
      </c>
      <c r="C99" s="2">
        <v>4645802</v>
      </c>
      <c r="D99" s="2">
        <v>659900</v>
      </c>
      <c r="E99" s="1">
        <f>Debt[[#This Row],[Debt Held by the Public (millions)]]/Debt[[#This Row],[Total National Debt (millions)]]</f>
        <v>0.74107075592115201</v>
      </c>
      <c r="F99" s="1">
        <f>Debt[[#This Row],[Foreign Holdings]]/Debt[[#This Row],[Debt Held by the Public (millions)]]</f>
        <v>0.19167159472858095</v>
      </c>
      <c r="G99" s="1">
        <f>Debt[[#This Row],[Foreign Holdings]]/Debt[[#This Row],[Total National Debt (millions)]]</f>
        <v>0.14204221359412217</v>
      </c>
    </row>
    <row r="100" spans="1:7" x14ac:dyDescent="0.3">
      <c r="A100" s="3">
        <v>34516</v>
      </c>
      <c r="B100" s="2">
        <v>3479652</v>
      </c>
      <c r="C100" s="2">
        <v>4692750</v>
      </c>
      <c r="D100" s="2">
        <v>682000</v>
      </c>
      <c r="E100" s="1">
        <f>Debt[[#This Row],[Debt Held by the Public (millions)]]/Debt[[#This Row],[Total National Debt (millions)]]</f>
        <v>0.74149528528048581</v>
      </c>
      <c r="F100" s="1">
        <f>Debt[[#This Row],[Foreign Holdings]]/Debt[[#This Row],[Debt Held by the Public (millions)]]</f>
        <v>0.1959966111553684</v>
      </c>
      <c r="G100" s="1">
        <f>Debt[[#This Row],[Foreign Holdings]]/Debt[[#This Row],[Total National Debt (millions)]]</f>
        <v>0.14533056310265835</v>
      </c>
    </row>
    <row r="101" spans="1:7" x14ac:dyDescent="0.3">
      <c r="A101" s="3">
        <v>34608</v>
      </c>
      <c r="B101" s="2">
        <v>3543118</v>
      </c>
      <c r="C101" s="2">
        <v>4800150</v>
      </c>
      <c r="D101" s="2">
        <v>667300</v>
      </c>
      <c r="E101" s="1">
        <f>Debt[[#This Row],[Debt Held by the Public (millions)]]/Debt[[#This Row],[Total National Debt (millions)]]</f>
        <v>0.73812651687968089</v>
      </c>
      <c r="F101" s="1">
        <f>Debt[[#This Row],[Foreign Holdings]]/Debt[[#This Row],[Debt Held by the Public (millions)]]</f>
        <v>0.18833693938502755</v>
      </c>
      <c r="G101" s="1">
        <f>Debt[[#This Row],[Foreign Holdings]]/Debt[[#This Row],[Total National Debt (millions)]]</f>
        <v>0.13901648906804995</v>
      </c>
    </row>
    <row r="102" spans="1:7" x14ac:dyDescent="0.3">
      <c r="A102" s="3">
        <v>34700</v>
      </c>
      <c r="B102" s="2">
        <v>3609459</v>
      </c>
      <c r="C102" s="2">
        <v>4864116</v>
      </c>
      <c r="D102" s="2">
        <v>707000</v>
      </c>
      <c r="E102" s="1">
        <f>Debt[[#This Row],[Debt Held by the Public (millions)]]/Debt[[#This Row],[Total National Debt (millions)]]</f>
        <v>0.74205857755037097</v>
      </c>
      <c r="F102" s="1">
        <f>Debt[[#This Row],[Foreign Holdings]]/Debt[[#This Row],[Debt Held by the Public (millions)]]</f>
        <v>0.19587422935126844</v>
      </c>
      <c r="G102" s="1">
        <f>Debt[[#This Row],[Foreign Holdings]]/Debt[[#This Row],[Total National Debt (millions)]]</f>
        <v>0.14535015201117737</v>
      </c>
    </row>
    <row r="103" spans="1:7" x14ac:dyDescent="0.3">
      <c r="A103" s="3">
        <v>34790</v>
      </c>
      <c r="B103" s="2">
        <v>3634808</v>
      </c>
      <c r="C103" s="2">
        <v>4951372</v>
      </c>
      <c r="D103" s="2">
        <v>762500</v>
      </c>
      <c r="E103" s="1">
        <f>Debt[[#This Row],[Debt Held by the Public (millions)]]/Debt[[#This Row],[Total National Debt (millions)]]</f>
        <v>0.7341011743815653</v>
      </c>
      <c r="F103" s="1">
        <f>Debt[[#This Row],[Foreign Holdings]]/Debt[[#This Row],[Debt Held by the Public (millions)]]</f>
        <v>0.20977724270442896</v>
      </c>
      <c r="G103" s="1">
        <f>Debt[[#This Row],[Foreign Holdings]]/Debt[[#This Row],[Total National Debt (millions)]]</f>
        <v>0.15399772022784797</v>
      </c>
    </row>
    <row r="104" spans="1:7" x14ac:dyDescent="0.3">
      <c r="A104" s="3">
        <v>34881</v>
      </c>
      <c r="B104" s="2">
        <v>3653199</v>
      </c>
      <c r="C104" s="2">
        <v>4973983</v>
      </c>
      <c r="D104" s="2">
        <v>820400</v>
      </c>
      <c r="E104" s="1">
        <f>Debt[[#This Row],[Debt Held by the Public (millions)]]/Debt[[#This Row],[Total National Debt (millions)]]</f>
        <v>0.73446149695324647</v>
      </c>
      <c r="F104" s="1">
        <f>Debt[[#This Row],[Foreign Holdings]]/Debt[[#This Row],[Debt Held by the Public (millions)]]</f>
        <v>0.22457030126198985</v>
      </c>
      <c r="G104" s="1">
        <f>Debt[[#This Row],[Foreign Holdings]]/Debt[[#This Row],[Total National Debt (millions)]]</f>
        <v>0.16493823963612261</v>
      </c>
    </row>
    <row r="105" spans="1:7" x14ac:dyDescent="0.3">
      <c r="A105" s="3">
        <v>34973</v>
      </c>
      <c r="B105" s="2">
        <v>3684209</v>
      </c>
      <c r="C105" s="2">
        <v>4988665</v>
      </c>
      <c r="D105" s="2">
        <v>835200</v>
      </c>
      <c r="E105" s="1">
        <f>Debt[[#This Row],[Debt Held by the Public (millions)]]/Debt[[#This Row],[Total National Debt (millions)]]</f>
        <v>0.73851601580783632</v>
      </c>
      <c r="F105" s="1">
        <f>Debt[[#This Row],[Foreign Holdings]]/Debt[[#This Row],[Debt Held by the Public (millions)]]</f>
        <v>0.22669723677456952</v>
      </c>
      <c r="G105" s="1">
        <f>Debt[[#This Row],[Foreign Holdings]]/Debt[[#This Row],[Total National Debt (millions)]]</f>
        <v>0.16741954009740082</v>
      </c>
    </row>
    <row r="106" spans="1:7" x14ac:dyDescent="0.3">
      <c r="A106" s="3">
        <v>35065</v>
      </c>
      <c r="B106" s="2">
        <v>3764019</v>
      </c>
      <c r="C106" s="2">
        <v>5117786</v>
      </c>
      <c r="D106" s="2">
        <v>908100</v>
      </c>
      <c r="E106" s="1">
        <f>Debt[[#This Row],[Debt Held by the Public (millions)]]/Debt[[#This Row],[Total National Debt (millions)]]</f>
        <v>0.73547799771229194</v>
      </c>
      <c r="F106" s="1">
        <f>Debt[[#This Row],[Foreign Holdings]]/Debt[[#This Row],[Debt Held by the Public (millions)]]</f>
        <v>0.24125808079077177</v>
      </c>
      <c r="G106" s="1">
        <f>Debt[[#This Row],[Foreign Holdings]]/Debt[[#This Row],[Total National Debt (millions)]]</f>
        <v>0.17744001019190719</v>
      </c>
    </row>
    <row r="107" spans="1:7" x14ac:dyDescent="0.3">
      <c r="A107" s="3">
        <v>35156</v>
      </c>
      <c r="B107" s="2">
        <v>3738633</v>
      </c>
      <c r="C107" s="2">
        <v>5161076</v>
      </c>
      <c r="D107" s="2">
        <v>929700</v>
      </c>
      <c r="E107" s="1">
        <f>Debt[[#This Row],[Debt Held by the Public (millions)]]/Debt[[#This Row],[Total National Debt (millions)]]</f>
        <v>0.72439022405405384</v>
      </c>
      <c r="F107" s="1">
        <f>Debt[[#This Row],[Foreign Holdings]]/Debt[[#This Row],[Debt Held by the Public (millions)]]</f>
        <v>0.24867377996182027</v>
      </c>
      <c r="G107" s="1">
        <f>Debt[[#This Row],[Foreign Holdings]]/Debt[[#This Row],[Total National Debt (millions)]]</f>
        <v>0.18013685518291148</v>
      </c>
    </row>
    <row r="108" spans="1:7" x14ac:dyDescent="0.3">
      <c r="A108" s="3">
        <v>35247</v>
      </c>
      <c r="B108" s="2">
        <v>3777808</v>
      </c>
      <c r="C108" s="2">
        <v>5224811</v>
      </c>
      <c r="D108" s="2">
        <v>993400</v>
      </c>
      <c r="E108" s="1">
        <f>Debt[[#This Row],[Debt Held by the Public (millions)]]/Debt[[#This Row],[Total National Debt (millions)]]</f>
        <v>0.72305160894815146</v>
      </c>
      <c r="F108" s="1">
        <f>Debt[[#This Row],[Foreign Holdings]]/Debt[[#This Row],[Debt Held by the Public (millions)]]</f>
        <v>0.26295671987565278</v>
      </c>
      <c r="G108" s="1">
        <f>Debt[[#This Row],[Foreign Holdings]]/Debt[[#This Row],[Total National Debt (millions)]]</f>
        <v>0.19013127938981908</v>
      </c>
    </row>
    <row r="109" spans="1:7" x14ac:dyDescent="0.3">
      <c r="A109" s="3">
        <v>35339</v>
      </c>
      <c r="B109" s="2">
        <v>3825994</v>
      </c>
      <c r="C109" s="2">
        <v>5323172</v>
      </c>
      <c r="D109" s="2">
        <v>1102100</v>
      </c>
      <c r="E109" s="1">
        <f>Debt[[#This Row],[Debt Held by the Public (millions)]]/Debt[[#This Row],[Total National Debt (millions)]]</f>
        <v>0.71874326059725291</v>
      </c>
      <c r="F109" s="1">
        <f>Debt[[#This Row],[Foreign Holdings]]/Debt[[#This Row],[Debt Held by the Public (millions)]]</f>
        <v>0.28805586208446748</v>
      </c>
      <c r="G109" s="1">
        <f>Debt[[#This Row],[Foreign Holdings]]/Debt[[#This Row],[Total National Debt (millions)]]</f>
        <v>0.20703820954874275</v>
      </c>
    </row>
    <row r="110" spans="1:7" x14ac:dyDescent="0.3">
      <c r="A110" s="3">
        <v>35431</v>
      </c>
      <c r="B110" s="2">
        <v>3874106</v>
      </c>
      <c r="C110" s="2">
        <v>5380890</v>
      </c>
      <c r="D110" s="2">
        <v>1157600</v>
      </c>
      <c r="E110" s="1">
        <f>Debt[[#This Row],[Debt Held by the Public (millions)]]/Debt[[#This Row],[Total National Debt (millions)]]</f>
        <v>0.71997494838214493</v>
      </c>
      <c r="F110" s="1">
        <f>Debt[[#This Row],[Foreign Holdings]]/Debt[[#This Row],[Debt Held by the Public (millions)]]</f>
        <v>0.2988044209425349</v>
      </c>
      <c r="G110" s="1">
        <f>Debt[[#This Row],[Foreign Holdings]]/Debt[[#This Row],[Total National Debt (millions)]]</f>
        <v>0.21513169754445827</v>
      </c>
    </row>
    <row r="111" spans="1:7" x14ac:dyDescent="0.3">
      <c r="A111" s="3">
        <v>35521</v>
      </c>
      <c r="B111" s="2">
        <v>3804568</v>
      </c>
      <c r="C111" s="2">
        <v>5376151</v>
      </c>
      <c r="D111" s="2">
        <v>1182700</v>
      </c>
      <c r="E111" s="1">
        <f>Debt[[#This Row],[Debt Held by the Public (millions)]]/Debt[[#This Row],[Total National Debt (millions)]]</f>
        <v>0.70767506344222841</v>
      </c>
      <c r="F111" s="1">
        <f>Debt[[#This Row],[Foreign Holdings]]/Debt[[#This Row],[Debt Held by the Public (millions)]]</f>
        <v>0.31086315187427327</v>
      </c>
      <c r="G111" s="1">
        <f>Debt[[#This Row],[Foreign Holdings]]/Debt[[#This Row],[Total National Debt (millions)]]</f>
        <v>0.21999010072447742</v>
      </c>
    </row>
    <row r="112" spans="1:7" x14ac:dyDescent="0.3">
      <c r="A112" s="3">
        <v>35612</v>
      </c>
      <c r="B112" s="2">
        <v>3816381</v>
      </c>
      <c r="C112" s="2">
        <v>5413146</v>
      </c>
      <c r="D112" s="2">
        <v>1230500</v>
      </c>
      <c r="E112" s="1">
        <f>Debt[[#This Row],[Debt Held by the Public (millions)]]/Debt[[#This Row],[Total National Debt (millions)]]</f>
        <v>0.70502088803812057</v>
      </c>
      <c r="F112" s="1">
        <f>Debt[[#This Row],[Foreign Holdings]]/Debt[[#This Row],[Debt Held by the Public (millions)]]</f>
        <v>0.3224258793867803</v>
      </c>
      <c r="G112" s="1">
        <f>Debt[[#This Row],[Foreign Holdings]]/Debt[[#This Row],[Total National Debt (millions)]]</f>
        <v>0.22731697981173979</v>
      </c>
    </row>
    <row r="113" spans="1:7" x14ac:dyDescent="0.3">
      <c r="A113" s="3">
        <v>35704</v>
      </c>
      <c r="B113" s="2">
        <v>3846706</v>
      </c>
      <c r="C113" s="2">
        <v>5502388</v>
      </c>
      <c r="D113" s="2">
        <v>1241600</v>
      </c>
      <c r="E113" s="1">
        <f>Debt[[#This Row],[Debt Held by the Public (millions)]]/Debt[[#This Row],[Total National Debt (millions)]]</f>
        <v>0.6990975554613742</v>
      </c>
      <c r="F113" s="1">
        <f>Debt[[#This Row],[Foreign Holdings]]/Debt[[#This Row],[Debt Held by the Public (millions)]]</f>
        <v>0.32276966318715283</v>
      </c>
      <c r="G113" s="1">
        <f>Debt[[#This Row],[Foreign Holdings]]/Debt[[#This Row],[Total National Debt (millions)]]</f>
        <v>0.22564748251122968</v>
      </c>
    </row>
    <row r="114" spans="1:7" x14ac:dyDescent="0.3">
      <c r="A114" s="3">
        <v>35796</v>
      </c>
      <c r="B114" s="2">
        <v>3872048</v>
      </c>
      <c r="C114" s="2">
        <v>5542426</v>
      </c>
      <c r="D114" s="2">
        <v>1250500</v>
      </c>
      <c r="E114" s="1">
        <f>Debt[[#This Row],[Debt Held by the Public (millions)]]/Debt[[#This Row],[Total National Debt (millions)]]</f>
        <v>0.69861970191392719</v>
      </c>
      <c r="F114" s="1">
        <f>Debt[[#This Row],[Foreign Holdings]]/Debt[[#This Row],[Debt Held by the Public (millions)]]</f>
        <v>0.32295570716065503</v>
      </c>
      <c r="G114" s="1">
        <f>Debt[[#This Row],[Foreign Holdings]]/Debt[[#This Row],[Total National Debt (millions)]]</f>
        <v>0.2256232198679784</v>
      </c>
    </row>
    <row r="115" spans="1:7" x14ac:dyDescent="0.3">
      <c r="A115" s="3">
        <v>35886</v>
      </c>
      <c r="B115" s="2">
        <v>3790379</v>
      </c>
      <c r="C115" s="2">
        <v>5547935</v>
      </c>
      <c r="D115" s="2">
        <v>1256000</v>
      </c>
      <c r="E115" s="1">
        <f>Debt[[#This Row],[Debt Held by the Public (millions)]]/Debt[[#This Row],[Total National Debt (millions)]]</f>
        <v>0.68320537280988336</v>
      </c>
      <c r="F115" s="1">
        <f>Debt[[#This Row],[Foreign Holdings]]/Debt[[#This Row],[Debt Held by the Public (millions)]]</f>
        <v>0.33136528035850771</v>
      </c>
      <c r="G115" s="1">
        <f>Debt[[#This Row],[Foreign Holdings]]/Debt[[#This Row],[Total National Debt (millions)]]</f>
        <v>0.22639053990358574</v>
      </c>
    </row>
    <row r="116" spans="1:7" x14ac:dyDescent="0.3">
      <c r="A116" s="3">
        <v>35977</v>
      </c>
      <c r="B116" s="2">
        <v>3762333</v>
      </c>
      <c r="C116" s="2">
        <v>5526193</v>
      </c>
      <c r="D116" s="2">
        <v>1224200</v>
      </c>
      <c r="E116" s="1">
        <f>Debt[[#This Row],[Debt Held by the Public (millions)]]/Debt[[#This Row],[Total National Debt (millions)]]</f>
        <v>0.68081824141864034</v>
      </c>
      <c r="F116" s="1">
        <f>Debt[[#This Row],[Foreign Holdings]]/Debt[[#This Row],[Debt Held by the Public (millions)]]</f>
        <v>0.32538321302234546</v>
      </c>
      <c r="G116" s="1">
        <f>Debt[[#This Row],[Foreign Holdings]]/Debt[[#This Row],[Total National Debt (millions)]]</f>
        <v>0.22152682687702005</v>
      </c>
    </row>
    <row r="117" spans="1:7" x14ac:dyDescent="0.3">
      <c r="A117" s="3">
        <v>36069</v>
      </c>
      <c r="B117" s="2">
        <v>3787391</v>
      </c>
      <c r="C117" s="2">
        <v>5614217</v>
      </c>
      <c r="D117" s="2">
        <v>1278700</v>
      </c>
      <c r="E117" s="1">
        <f>Debt[[#This Row],[Debt Held by the Public (millions)]]/Debt[[#This Row],[Total National Debt (millions)]]</f>
        <v>0.6746071624947878</v>
      </c>
      <c r="F117" s="1">
        <f>Debt[[#This Row],[Foreign Holdings]]/Debt[[#This Row],[Debt Held by the Public (millions)]]</f>
        <v>0.33762027738884104</v>
      </c>
      <c r="G117" s="1">
        <f>Debt[[#This Row],[Foreign Holdings]]/Debt[[#This Row],[Total National Debt (millions)]]</f>
        <v>0.22776105732998919</v>
      </c>
    </row>
    <row r="118" spans="1:7" x14ac:dyDescent="0.3">
      <c r="A118" s="3">
        <v>36161</v>
      </c>
      <c r="B118" s="2">
        <v>3794549</v>
      </c>
      <c r="C118" s="2">
        <v>5651615</v>
      </c>
      <c r="D118" s="2">
        <v>1272300</v>
      </c>
      <c r="E118" s="1">
        <f>Debt[[#This Row],[Debt Held by the Public (millions)]]/Debt[[#This Row],[Total National Debt (millions)]]</f>
        <v>0.67140967670303087</v>
      </c>
      <c r="F118" s="1">
        <f>Debt[[#This Row],[Foreign Holdings]]/Debt[[#This Row],[Debt Held by the Public (millions)]]</f>
        <v>0.33529676385783924</v>
      </c>
      <c r="G118" s="1">
        <f>Debt[[#This Row],[Foreign Holdings]]/Debt[[#This Row],[Total National Debt (millions)]]</f>
        <v>0.22512149182136434</v>
      </c>
    </row>
    <row r="119" spans="1:7" x14ac:dyDescent="0.3">
      <c r="A119" s="3">
        <v>36251</v>
      </c>
      <c r="B119" s="2">
        <v>3685167</v>
      </c>
      <c r="C119" s="2">
        <v>5638780</v>
      </c>
      <c r="D119" s="2">
        <v>1258800</v>
      </c>
      <c r="E119" s="1">
        <f>Debt[[#This Row],[Debt Held by the Public (millions)]]/Debt[[#This Row],[Total National Debt (millions)]]</f>
        <v>0.65353977278773068</v>
      </c>
      <c r="F119" s="1">
        <f>Debt[[#This Row],[Foreign Holdings]]/Debt[[#This Row],[Debt Held by the Public (millions)]]</f>
        <v>0.34158560521137848</v>
      </c>
      <c r="G119" s="1">
        <f>Debt[[#This Row],[Foreign Holdings]]/Debt[[#This Row],[Total National Debt (millions)]]</f>
        <v>0.22323977881740376</v>
      </c>
    </row>
    <row r="120" spans="1:7" x14ac:dyDescent="0.3">
      <c r="A120" s="3">
        <v>36342</v>
      </c>
      <c r="B120" s="2">
        <v>3667597</v>
      </c>
      <c r="C120" s="2">
        <v>5656271</v>
      </c>
      <c r="D120" s="2">
        <v>1281400</v>
      </c>
      <c r="E120" s="1">
        <f>Debt[[#This Row],[Debt Held by the Public (millions)]]/Debt[[#This Row],[Total National Debt (millions)]]</f>
        <v>0.64841253186065517</v>
      </c>
      <c r="F120" s="1">
        <f>Debt[[#This Row],[Foreign Holdings]]/Debt[[#This Row],[Debt Held by the Public (millions)]]</f>
        <v>0.34938407900322743</v>
      </c>
      <c r="G120" s="1">
        <f>Debt[[#This Row],[Foreign Holdings]]/Debt[[#This Row],[Total National Debt (millions)]]</f>
        <v>0.22654501525828588</v>
      </c>
    </row>
    <row r="121" spans="1:7" x14ac:dyDescent="0.3">
      <c r="A121" s="3">
        <v>36434</v>
      </c>
      <c r="B121" s="2">
        <v>3715531</v>
      </c>
      <c r="C121" s="2">
        <v>5776091</v>
      </c>
      <c r="D121" s="2">
        <v>1268700</v>
      </c>
      <c r="E121" s="1">
        <f>Debt[[#This Row],[Debt Held by the Public (millions)]]/Debt[[#This Row],[Total National Debt (millions)]]</f>
        <v>0.64326046802240477</v>
      </c>
      <c r="F121" s="1">
        <f>Debt[[#This Row],[Foreign Holdings]]/Debt[[#This Row],[Debt Held by the Public (millions)]]</f>
        <v>0.34145859636213505</v>
      </c>
      <c r="G121" s="1">
        <f>Debt[[#This Row],[Foreign Holdings]]/Debt[[#This Row],[Total National Debt (millions)]]</f>
        <v>0.2196468165061804</v>
      </c>
    </row>
    <row r="122" spans="1:7" x14ac:dyDescent="0.3">
      <c r="A122" s="3">
        <v>36526</v>
      </c>
      <c r="B122" s="2">
        <v>3687974</v>
      </c>
      <c r="C122" s="2">
        <v>5773392</v>
      </c>
      <c r="D122" s="2">
        <v>1085000</v>
      </c>
      <c r="E122" s="1">
        <f>Debt[[#This Row],[Debt Held by the Public (millions)]]/Debt[[#This Row],[Total National Debt (millions)]]</f>
        <v>0.63878808159917078</v>
      </c>
      <c r="F122" s="1">
        <f>Debt[[#This Row],[Foreign Holdings]]/Debt[[#This Row],[Debt Held by the Public (millions)]]</f>
        <v>0.29419947103748562</v>
      </c>
      <c r="G122" s="1">
        <f>Debt[[#This Row],[Foreign Holdings]]/Debt[[#This Row],[Total National Debt (millions)]]</f>
        <v>0.18793111571152626</v>
      </c>
    </row>
    <row r="123" spans="1:7" x14ac:dyDescent="0.3">
      <c r="A123" s="3">
        <v>36617</v>
      </c>
      <c r="B123" s="2">
        <v>3495713</v>
      </c>
      <c r="C123" s="2">
        <v>5685938</v>
      </c>
      <c r="D123" s="2">
        <v>1060700</v>
      </c>
      <c r="E123" s="1">
        <f>Debt[[#This Row],[Debt Held by the Public (millions)]]/Debt[[#This Row],[Total National Debt (millions)]]</f>
        <v>0.61479970411214468</v>
      </c>
      <c r="F123" s="1">
        <f>Debt[[#This Row],[Foreign Holdings]]/Debt[[#This Row],[Debt Held by the Public (millions)]]</f>
        <v>0.30342879978991411</v>
      </c>
      <c r="G123" s="1">
        <f>Debt[[#This Row],[Foreign Holdings]]/Debt[[#This Row],[Total National Debt (millions)]]</f>
        <v>0.1865479363299424</v>
      </c>
    </row>
    <row r="124" spans="1:7" x14ac:dyDescent="0.3">
      <c r="A124" s="3">
        <v>36708</v>
      </c>
      <c r="B124" s="2">
        <v>3438416</v>
      </c>
      <c r="C124" s="2">
        <v>5674179</v>
      </c>
      <c r="D124" s="2">
        <v>1038800</v>
      </c>
      <c r="E124" s="1">
        <f>Debt[[#This Row],[Debt Held by the Public (millions)]]/Debt[[#This Row],[Total National Debt (millions)]]</f>
        <v>0.60597594823850287</v>
      </c>
      <c r="F124" s="1">
        <f>Debt[[#This Row],[Foreign Holdings]]/Debt[[#This Row],[Debt Held by the Public (millions)]]</f>
        <v>0.30211585799973012</v>
      </c>
      <c r="G124" s="1">
        <f>Debt[[#This Row],[Foreign Holdings]]/Debt[[#This Row],[Total National Debt (millions)]]</f>
        <v>0.18307494352927534</v>
      </c>
    </row>
    <row r="125" spans="1:7" x14ac:dyDescent="0.3">
      <c r="A125" s="3">
        <v>36800</v>
      </c>
      <c r="B125" s="2">
        <v>3413541</v>
      </c>
      <c r="C125" s="2">
        <v>5662216</v>
      </c>
      <c r="D125" s="2">
        <v>1015200</v>
      </c>
      <c r="E125" s="1">
        <f>Debt[[#This Row],[Debt Held by the Public (millions)]]/Debt[[#This Row],[Total National Debt (millions)]]</f>
        <v>0.60286308399396982</v>
      </c>
      <c r="F125" s="1">
        <f>Debt[[#This Row],[Foreign Holdings]]/Debt[[#This Row],[Debt Held by the Public (millions)]]</f>
        <v>0.2974037810004333</v>
      </c>
      <c r="G125" s="1">
        <f>Debt[[#This Row],[Foreign Holdings]]/Debt[[#This Row],[Total National Debt (millions)]]</f>
        <v>0.17929376060538843</v>
      </c>
    </row>
    <row r="126" spans="1:7" x14ac:dyDescent="0.3">
      <c r="A126" s="3">
        <v>36892</v>
      </c>
      <c r="B126" s="2">
        <v>3434386</v>
      </c>
      <c r="C126" s="2">
        <v>5773740</v>
      </c>
      <c r="D126" s="2">
        <v>1012500</v>
      </c>
      <c r="E126" s="1">
        <f>Debt[[#This Row],[Debt Held by the Public (millions)]]/Debt[[#This Row],[Total National Debt (millions)]]</f>
        <v>0.59482865525638495</v>
      </c>
      <c r="F126" s="1">
        <f>Debt[[#This Row],[Foreign Holdings]]/Debt[[#This Row],[Debt Held by the Public (millions)]]</f>
        <v>0.29481252252950019</v>
      </c>
      <c r="G126" s="1">
        <f>Debt[[#This Row],[Foreign Holdings]]/Debt[[#This Row],[Total National Debt (millions)]]</f>
        <v>0.17536293632896527</v>
      </c>
    </row>
    <row r="127" spans="1:7" x14ac:dyDescent="0.3">
      <c r="A127" s="3">
        <v>36982</v>
      </c>
      <c r="B127" s="2">
        <v>3274176</v>
      </c>
      <c r="C127" s="2">
        <v>5726815</v>
      </c>
      <c r="D127" s="2">
        <v>983300</v>
      </c>
      <c r="E127" s="1">
        <f>Debt[[#This Row],[Debt Held by the Public (millions)]]/Debt[[#This Row],[Total National Debt (millions)]]</f>
        <v>0.5717272166116768</v>
      </c>
      <c r="F127" s="1">
        <f>Debt[[#This Row],[Foreign Holdings]]/Debt[[#This Row],[Debt Held by the Public (millions)]]</f>
        <v>0.30031983619695457</v>
      </c>
      <c r="G127" s="1">
        <f>Debt[[#This Row],[Foreign Holdings]]/Debt[[#This Row],[Total National Debt (millions)]]</f>
        <v>0.17170102404215956</v>
      </c>
    </row>
    <row r="128" spans="1:7" x14ac:dyDescent="0.3">
      <c r="A128" s="3">
        <v>37073</v>
      </c>
      <c r="B128" s="2">
        <v>3338707</v>
      </c>
      <c r="C128" s="2">
        <v>5807464</v>
      </c>
      <c r="D128" s="2">
        <v>992200</v>
      </c>
      <c r="E128" s="1">
        <f>Debt[[#This Row],[Debt Held by the Public (millions)]]/Debt[[#This Row],[Total National Debt (millions)]]</f>
        <v>0.57489930200169992</v>
      </c>
      <c r="F128" s="1">
        <f>Debt[[#This Row],[Foreign Holdings]]/Debt[[#This Row],[Debt Held by the Public (millions)]]</f>
        <v>0.2971809146474968</v>
      </c>
      <c r="G128" s="1">
        <f>Debt[[#This Row],[Foreign Holdings]]/Debt[[#This Row],[Total National Debt (millions)]]</f>
        <v>0.17084910039907264</v>
      </c>
    </row>
    <row r="129" spans="1:7" x14ac:dyDescent="0.3">
      <c r="A129" s="3">
        <v>37165</v>
      </c>
      <c r="B129" s="2">
        <v>3393758</v>
      </c>
      <c r="C129" s="2">
        <v>5943439</v>
      </c>
      <c r="D129" s="2">
        <v>1040099.9999999999</v>
      </c>
      <c r="E129" s="1">
        <f>Debt[[#This Row],[Debt Held by the Public (millions)]]/Debt[[#This Row],[Total National Debt (millions)]]</f>
        <v>0.57100914134056058</v>
      </c>
      <c r="F129" s="1">
        <f>Debt[[#This Row],[Foreign Holdings]]/Debt[[#This Row],[Debt Held by the Public (millions)]]</f>
        <v>0.30647441567725214</v>
      </c>
      <c r="G129" s="1">
        <f>Debt[[#This Row],[Foreign Holdings]]/Debt[[#This Row],[Total National Debt (millions)]]</f>
        <v>0.17499969293871778</v>
      </c>
    </row>
    <row r="130" spans="1:7" x14ac:dyDescent="0.3">
      <c r="A130" s="3">
        <v>37257</v>
      </c>
      <c r="B130" s="2">
        <v>3443674</v>
      </c>
      <c r="C130" s="2">
        <v>6006032</v>
      </c>
      <c r="D130" s="2">
        <v>1057200</v>
      </c>
      <c r="E130" s="1">
        <f>Debt[[#This Row],[Debt Held by the Public (millions)]]/Debt[[#This Row],[Total National Debt (millions)]]</f>
        <v>0.57336923945793161</v>
      </c>
      <c r="F130" s="1">
        <f>Debt[[#This Row],[Foreign Holdings]]/Debt[[#This Row],[Debt Held by the Public (millions)]]</f>
        <v>0.30699770071150756</v>
      </c>
      <c r="G130" s="1">
        <f>Debt[[#This Row],[Foreign Holdings]]/Debt[[#This Row],[Total National Debt (millions)]]</f>
        <v>0.17602303817229079</v>
      </c>
    </row>
    <row r="131" spans="1:7" x14ac:dyDescent="0.3">
      <c r="A131" s="3">
        <v>37347</v>
      </c>
      <c r="B131" s="2">
        <v>3463544</v>
      </c>
      <c r="C131" s="2">
        <v>6126469</v>
      </c>
      <c r="D131" s="2">
        <v>1123100</v>
      </c>
      <c r="E131" s="1">
        <f>Debt[[#This Row],[Debt Held by the Public (millions)]]/Debt[[#This Row],[Total National Debt (millions)]]</f>
        <v>0.56534098189348547</v>
      </c>
      <c r="F131" s="1">
        <f>Debt[[#This Row],[Foreign Holdings]]/Debt[[#This Row],[Debt Held by the Public (millions)]]</f>
        <v>0.32426324019559155</v>
      </c>
      <c r="G131" s="1">
        <f>Debt[[#This Row],[Foreign Holdings]]/Debt[[#This Row],[Total National Debt (millions)]]</f>
        <v>0.18331929860413887</v>
      </c>
    </row>
    <row r="132" spans="1:7" x14ac:dyDescent="0.3">
      <c r="A132" s="3">
        <v>37438</v>
      </c>
      <c r="B132" s="2">
        <v>3552588</v>
      </c>
      <c r="C132" s="2">
        <v>6228236</v>
      </c>
      <c r="D132" s="2">
        <v>1188600</v>
      </c>
      <c r="E132" s="1">
        <f>Debt[[#This Row],[Debt Held by the Public (millions)]]/Debt[[#This Row],[Total National Debt (millions)]]</f>
        <v>0.57040035091798058</v>
      </c>
      <c r="F132" s="1">
        <f>Debt[[#This Row],[Foreign Holdings]]/Debt[[#This Row],[Debt Held by the Public (millions)]]</f>
        <v>0.33457299298426951</v>
      </c>
      <c r="G132" s="1">
        <f>Debt[[#This Row],[Foreign Holdings]]/Debt[[#This Row],[Total National Debt (millions)]]</f>
        <v>0.19084055260590641</v>
      </c>
    </row>
    <row r="133" spans="1:7" x14ac:dyDescent="0.3">
      <c r="A133" s="3">
        <v>37530</v>
      </c>
      <c r="B133" s="2">
        <v>3647385</v>
      </c>
      <c r="C133" s="2">
        <v>6405707</v>
      </c>
      <c r="D133" s="2">
        <v>1235600</v>
      </c>
      <c r="E133" s="1">
        <f>Debt[[#This Row],[Debt Held by the Public (millions)]]/Debt[[#This Row],[Total National Debt (millions)]]</f>
        <v>0.56939616501347934</v>
      </c>
      <c r="F133" s="1">
        <f>Debt[[#This Row],[Foreign Holdings]]/Debt[[#This Row],[Debt Held by the Public (millions)]]</f>
        <v>0.33876325093183196</v>
      </c>
      <c r="G133" s="1">
        <f>Debt[[#This Row],[Foreign Holdings]]/Debt[[#This Row],[Total National Debt (millions)]]</f>
        <v>0.19289049592808413</v>
      </c>
    </row>
    <row r="134" spans="1:7" x14ac:dyDescent="0.3">
      <c r="A134" s="3">
        <v>37622</v>
      </c>
      <c r="B134" s="2">
        <v>3710779</v>
      </c>
      <c r="C134" s="2">
        <v>6460776</v>
      </c>
      <c r="D134" s="2">
        <v>1275200</v>
      </c>
      <c r="E134" s="1">
        <f>Debt[[#This Row],[Debt Held by the Public (millions)]]/Debt[[#This Row],[Total National Debt (millions)]]</f>
        <v>0.57435500008048568</v>
      </c>
      <c r="F134" s="1">
        <f>Debt[[#This Row],[Foreign Holdings]]/Debt[[#This Row],[Debt Held by the Public (millions)]]</f>
        <v>0.34364751983343661</v>
      </c>
      <c r="G134" s="1">
        <f>Debt[[#This Row],[Foreign Holdings]]/Debt[[#This Row],[Total National Debt (millions)]]</f>
        <v>0.19737567128159217</v>
      </c>
    </row>
    <row r="135" spans="1:7" x14ac:dyDescent="0.3">
      <c r="A135" s="3">
        <v>37712</v>
      </c>
      <c r="B135" s="2">
        <v>3816279</v>
      </c>
      <c r="C135" s="2">
        <v>6670121</v>
      </c>
      <c r="D135" s="2">
        <v>1371900</v>
      </c>
      <c r="E135" s="1">
        <f>Debt[[#This Row],[Debt Held by the Public (millions)]]/Debt[[#This Row],[Total National Debt (millions)]]</f>
        <v>0.57214539286468713</v>
      </c>
      <c r="F135" s="1">
        <f>Debt[[#This Row],[Foreign Holdings]]/Debt[[#This Row],[Debt Held by the Public (millions)]]</f>
        <v>0.35948629542022476</v>
      </c>
      <c r="G135" s="1">
        <f>Debt[[#This Row],[Foreign Holdings]]/Debt[[#This Row],[Total National Debt (millions)]]</f>
        <v>0.2056784277226755</v>
      </c>
    </row>
    <row r="136" spans="1:7" x14ac:dyDescent="0.3">
      <c r="A136" s="3">
        <v>37803</v>
      </c>
      <c r="B136" s="2">
        <v>3924045</v>
      </c>
      <c r="C136" s="2">
        <v>6783320</v>
      </c>
      <c r="D136" s="2">
        <v>1443300</v>
      </c>
      <c r="E136" s="1">
        <f>Debt[[#This Row],[Debt Held by the Public (millions)]]/Debt[[#This Row],[Total National Debt (millions)]]</f>
        <v>0.57848442945342393</v>
      </c>
      <c r="F136" s="1">
        <f>Debt[[#This Row],[Foreign Holdings]]/Debt[[#This Row],[Debt Held by the Public (millions)]]</f>
        <v>0.36780923766164764</v>
      </c>
      <c r="G136" s="1">
        <f>Debt[[#This Row],[Foreign Holdings]]/Debt[[#This Row],[Total National Debt (millions)]]</f>
        <v>0.21277191699639705</v>
      </c>
    </row>
    <row r="137" spans="1:7" x14ac:dyDescent="0.3">
      <c r="A137" s="3">
        <v>37895</v>
      </c>
      <c r="B137" s="2">
        <v>4044054</v>
      </c>
      <c r="C137" s="2">
        <v>6997964</v>
      </c>
      <c r="D137" s="2">
        <v>1523100</v>
      </c>
      <c r="E137" s="1">
        <f>Debt[[#This Row],[Debt Held by the Public (millions)]]/Debt[[#This Row],[Total National Debt (millions)]]</f>
        <v>0.57789008345856019</v>
      </c>
      <c r="F137" s="1">
        <f>Debt[[#This Row],[Foreign Holdings]]/Debt[[#This Row],[Debt Held by the Public (millions)]]</f>
        <v>0.37662701833358309</v>
      </c>
      <c r="G137" s="1">
        <f>Debt[[#This Row],[Foreign Holdings]]/Debt[[#This Row],[Total National Debt (millions)]]</f>
        <v>0.21764901905754303</v>
      </c>
    </row>
    <row r="138" spans="1:7" x14ac:dyDescent="0.3">
      <c r="A138" s="3">
        <v>37987</v>
      </c>
      <c r="B138" s="2">
        <v>4176667</v>
      </c>
      <c r="C138" s="2">
        <v>7131068</v>
      </c>
      <c r="D138" s="2">
        <v>1670000</v>
      </c>
      <c r="E138" s="1">
        <f>Debt[[#This Row],[Debt Held by the Public (millions)]]/Debt[[#This Row],[Total National Debt (millions)]]</f>
        <v>0.58570006624533655</v>
      </c>
      <c r="F138" s="1">
        <f>Debt[[#This Row],[Foreign Holdings]]/Debt[[#This Row],[Debt Held by the Public (millions)]]</f>
        <v>0.39984035116996397</v>
      </c>
      <c r="G138" s="1">
        <f>Debt[[#This Row],[Foreign Holdings]]/Debt[[#This Row],[Total National Debt (millions)]]</f>
        <v>0.23418652016780656</v>
      </c>
    </row>
    <row r="139" spans="1:7" x14ac:dyDescent="0.3">
      <c r="A139" s="3">
        <v>38078</v>
      </c>
      <c r="B139" s="2">
        <v>4218734</v>
      </c>
      <c r="C139" s="2">
        <v>7274335</v>
      </c>
      <c r="D139" s="2">
        <v>1735400</v>
      </c>
      <c r="E139" s="1">
        <f>Debt[[#This Row],[Debt Held by the Public (millions)]]/Debt[[#This Row],[Total National Debt (millions)]]</f>
        <v>0.57994772030707964</v>
      </c>
      <c r="F139" s="1">
        <f>Debt[[#This Row],[Foreign Holdings]]/Debt[[#This Row],[Debt Held by the Public (millions)]]</f>
        <v>0.41135563417840521</v>
      </c>
      <c r="G139" s="1">
        <f>Debt[[#This Row],[Foreign Holdings]]/Debt[[#This Row],[Total National Debt (millions)]]</f>
        <v>0.23856476227723908</v>
      </c>
    </row>
    <row r="140" spans="1:7" x14ac:dyDescent="0.3">
      <c r="A140" s="3">
        <v>38169</v>
      </c>
      <c r="B140" s="2">
        <v>4303366</v>
      </c>
      <c r="C140" s="2">
        <v>7379053</v>
      </c>
      <c r="D140" s="2">
        <v>1794500</v>
      </c>
      <c r="E140" s="1">
        <f>Debt[[#This Row],[Debt Held by the Public (millions)]]/Debt[[#This Row],[Total National Debt (millions)]]</f>
        <v>0.583186758517658</v>
      </c>
      <c r="F140" s="1">
        <f>Debt[[#This Row],[Foreign Holdings]]/Debt[[#This Row],[Debt Held by the Public (millions)]]</f>
        <v>0.41699915833326751</v>
      </c>
      <c r="G140" s="1">
        <f>Debt[[#This Row],[Foreign Holdings]]/Debt[[#This Row],[Total National Debt (millions)]]</f>
        <v>0.24318838745296992</v>
      </c>
    </row>
    <row r="141" spans="1:7" x14ac:dyDescent="0.3">
      <c r="A141" s="3">
        <v>38261</v>
      </c>
      <c r="B141" s="2">
        <v>4406352</v>
      </c>
      <c r="C141" s="2">
        <v>7596143</v>
      </c>
      <c r="D141" s="2">
        <v>1849300</v>
      </c>
      <c r="E141" s="1">
        <f>Debt[[#This Row],[Debt Held by the Public (millions)]]/Debt[[#This Row],[Total National Debt (millions)]]</f>
        <v>0.58007754724996619</v>
      </c>
      <c r="F141" s="1">
        <f>Debt[[#This Row],[Foreign Holdings]]/Debt[[#This Row],[Debt Held by the Public (millions)]]</f>
        <v>0.41968957541294932</v>
      </c>
      <c r="G141" s="1">
        <f>Debt[[#This Row],[Foreign Holdings]]/Debt[[#This Row],[Total National Debt (millions)]]</f>
        <v>0.24345249951192335</v>
      </c>
    </row>
    <row r="142" spans="1:7" x14ac:dyDescent="0.3">
      <c r="A142" s="3">
        <v>38353</v>
      </c>
      <c r="B142" s="2">
        <v>4572397</v>
      </c>
      <c r="C142" s="2">
        <v>7776939</v>
      </c>
      <c r="D142" s="2">
        <v>1952000</v>
      </c>
      <c r="E142" s="1">
        <f>Debt[[#This Row],[Debt Held by the Public (millions)]]/Debt[[#This Row],[Total National Debt (millions)]]</f>
        <v>0.58794301974080032</v>
      </c>
      <c r="F142" s="1">
        <f>Debt[[#This Row],[Foreign Holdings]]/Debt[[#This Row],[Debt Held by the Public (millions)]]</f>
        <v>0.42690956187750101</v>
      </c>
      <c r="G142" s="1">
        <f>Debt[[#This Row],[Foreign Holdings]]/Debt[[#This Row],[Total National Debt (millions)]]</f>
        <v>0.25099849696648002</v>
      </c>
    </row>
    <row r="143" spans="1:7" x14ac:dyDescent="0.3">
      <c r="A143" s="3">
        <v>38443</v>
      </c>
      <c r="B143" s="2">
        <v>4527630</v>
      </c>
      <c r="C143" s="2">
        <v>7836496</v>
      </c>
      <c r="D143" s="2">
        <v>1878000</v>
      </c>
      <c r="E143" s="1">
        <f>Debt[[#This Row],[Debt Held by the Public (millions)]]/Debt[[#This Row],[Total National Debt (millions)]]</f>
        <v>0.57776205079413046</v>
      </c>
      <c r="F143" s="1">
        <f>Debt[[#This Row],[Foreign Holdings]]/Debt[[#This Row],[Debt Held by the Public (millions)]]</f>
        <v>0.4147865439534591</v>
      </c>
      <c r="G143" s="1">
        <f>Debt[[#This Row],[Foreign Holdings]]/Debt[[#This Row],[Total National Debt (millions)]]</f>
        <v>0.23964792427636025</v>
      </c>
    </row>
    <row r="144" spans="1:7" x14ac:dyDescent="0.3">
      <c r="A144" s="3">
        <v>38534</v>
      </c>
      <c r="B144" s="2">
        <v>4601378</v>
      </c>
      <c r="C144" s="2">
        <v>7932710</v>
      </c>
      <c r="D144" s="2">
        <v>1930000</v>
      </c>
      <c r="E144" s="1">
        <f>Debt[[#This Row],[Debt Held by the Public (millions)]]/Debt[[#This Row],[Total National Debt (millions)]]</f>
        <v>0.58005120570397761</v>
      </c>
      <c r="F144" s="1">
        <f>Debt[[#This Row],[Foreign Holdings]]/Debt[[#This Row],[Debt Held by the Public (millions)]]</f>
        <v>0.41943956788596809</v>
      </c>
      <c r="G144" s="1">
        <f>Debt[[#This Row],[Foreign Holdings]]/Debt[[#This Row],[Total National Debt (millions)]]</f>
        <v>0.24329642707221114</v>
      </c>
    </row>
    <row r="145" spans="1:7" x14ac:dyDescent="0.3">
      <c r="A145" s="3">
        <v>38626</v>
      </c>
      <c r="B145" s="2">
        <v>4714607</v>
      </c>
      <c r="C145" s="2">
        <v>8170413</v>
      </c>
      <c r="D145" s="2">
        <v>2034000</v>
      </c>
      <c r="E145" s="1">
        <f>Debt[[#This Row],[Debt Held by the Public (millions)]]/Debt[[#This Row],[Total National Debt (millions)]]</f>
        <v>0.57703411076037403</v>
      </c>
      <c r="F145" s="1">
        <f>Debt[[#This Row],[Foreign Holdings]]/Debt[[#This Row],[Debt Held by the Public (millions)]]</f>
        <v>0.43142514317736347</v>
      </c>
      <c r="G145" s="1">
        <f>Debt[[#This Row],[Foreign Holdings]]/Debt[[#This Row],[Total National Debt (millions)]]</f>
        <v>0.24894702385301698</v>
      </c>
    </row>
    <row r="146" spans="1:7" x14ac:dyDescent="0.3">
      <c r="A146" s="3">
        <v>38718</v>
      </c>
      <c r="B146" s="2">
        <v>4872804</v>
      </c>
      <c r="C146" s="2">
        <v>8371156</v>
      </c>
      <c r="D146" s="2">
        <v>2082100</v>
      </c>
      <c r="E146" s="1">
        <f>Debt[[#This Row],[Debt Held by the Public (millions)]]/Debt[[#This Row],[Total National Debt (millions)]]</f>
        <v>0.58209451597843831</v>
      </c>
      <c r="F146" s="1">
        <f>Debt[[#This Row],[Foreign Holdings]]/Debt[[#This Row],[Debt Held by the Public (millions)]]</f>
        <v>0.42728991356927143</v>
      </c>
      <c r="G146" s="1">
        <f>Debt[[#This Row],[Foreign Holdings]]/Debt[[#This Row],[Total National Debt (millions)]]</f>
        <v>0.2487231154215738</v>
      </c>
    </row>
    <row r="147" spans="1:7" x14ac:dyDescent="0.3">
      <c r="A147" s="3">
        <v>38808</v>
      </c>
      <c r="B147" s="2">
        <v>4797450</v>
      </c>
      <c r="C147" s="2">
        <v>8420042</v>
      </c>
      <c r="D147" s="2">
        <v>1977800</v>
      </c>
      <c r="E147" s="1">
        <f>Debt[[#This Row],[Debt Held by the Public (millions)]]/Debt[[#This Row],[Total National Debt (millions)]]</f>
        <v>0.56976556649004839</v>
      </c>
      <c r="F147" s="1">
        <f>Debt[[#This Row],[Foreign Holdings]]/Debt[[#This Row],[Debt Held by the Public (millions)]]</f>
        <v>0.41226068015299794</v>
      </c>
      <c r="G147" s="1">
        <f>Debt[[#This Row],[Foreign Holdings]]/Debt[[#This Row],[Total National Debt (millions)]]</f>
        <v>0.23489193996894553</v>
      </c>
    </row>
    <row r="148" spans="1:7" x14ac:dyDescent="0.3">
      <c r="A148" s="3">
        <v>38899</v>
      </c>
      <c r="B148" s="2">
        <v>4843208</v>
      </c>
      <c r="C148" s="2">
        <v>8506974</v>
      </c>
      <c r="D148" s="2">
        <v>2025300</v>
      </c>
      <c r="E148" s="1">
        <f>Debt[[#This Row],[Debt Held by the Public (millions)]]/Debt[[#This Row],[Total National Debt (millions)]]</f>
        <v>0.56932206446146416</v>
      </c>
      <c r="F148" s="1">
        <f>Debt[[#This Row],[Foreign Holdings]]/Debt[[#This Row],[Debt Held by the Public (millions)]]</f>
        <v>0.41817324384994409</v>
      </c>
      <c r="G148" s="1">
        <f>Debt[[#This Row],[Foreign Holdings]]/Debt[[#This Row],[Total National Debt (millions)]]</f>
        <v>0.23807525449119746</v>
      </c>
    </row>
    <row r="149" spans="1:7" x14ac:dyDescent="0.3">
      <c r="A149" s="3">
        <v>38991</v>
      </c>
      <c r="B149" s="2">
        <v>4901208</v>
      </c>
      <c r="C149" s="2">
        <v>8680224</v>
      </c>
      <c r="D149" s="2">
        <v>2103100</v>
      </c>
      <c r="E149" s="1">
        <f>Debt[[#This Row],[Debt Held by the Public (millions)]]/Debt[[#This Row],[Total National Debt (millions)]]</f>
        <v>0.56464072816554045</v>
      </c>
      <c r="F149" s="1">
        <f>Debt[[#This Row],[Foreign Holdings]]/Debt[[#This Row],[Debt Held by the Public (millions)]]</f>
        <v>0.42909829576708436</v>
      </c>
      <c r="G149" s="1">
        <f>Debt[[#This Row],[Foreign Holdings]]/Debt[[#This Row],[Total National Debt (millions)]]</f>
        <v>0.24228637417651894</v>
      </c>
    </row>
    <row r="150" spans="1:7" x14ac:dyDescent="0.3">
      <c r="A150" s="3">
        <v>39083</v>
      </c>
      <c r="B150" s="2">
        <v>5054278</v>
      </c>
      <c r="C150" s="2">
        <v>8849665</v>
      </c>
      <c r="D150" s="2">
        <v>2194800</v>
      </c>
      <c r="E150" s="1">
        <f>Debt[[#This Row],[Debt Held by the Public (millions)]]/Debt[[#This Row],[Total National Debt (millions)]]</f>
        <v>0.57112647766892866</v>
      </c>
      <c r="F150" s="1">
        <f>Debt[[#This Row],[Foreign Holdings]]/Debt[[#This Row],[Debt Held by the Public (millions)]]</f>
        <v>0.43424599913182454</v>
      </c>
      <c r="G150" s="1">
        <f>Debt[[#This Row],[Foreign Holdings]]/Debt[[#This Row],[Total National Debt (millions)]]</f>
        <v>0.24800938792598365</v>
      </c>
    </row>
    <row r="151" spans="1:7" x14ac:dyDescent="0.3">
      <c r="A151" s="3">
        <v>39173</v>
      </c>
      <c r="B151" s="2">
        <v>4943033</v>
      </c>
      <c r="C151" s="2">
        <v>8867677</v>
      </c>
      <c r="D151" s="2">
        <v>2192000</v>
      </c>
      <c r="E151" s="1">
        <f>Debt[[#This Row],[Debt Held by the Public (millions)]]/Debt[[#This Row],[Total National Debt (millions)]]</f>
        <v>0.55742140810947449</v>
      </c>
      <c r="F151" s="1">
        <f>Debt[[#This Row],[Foreign Holdings]]/Debt[[#This Row],[Debt Held by the Public (millions)]]</f>
        <v>0.4434524309265182</v>
      </c>
      <c r="G151" s="1">
        <f>Debt[[#This Row],[Foreign Holdings]]/Debt[[#This Row],[Total National Debt (millions)]]</f>
        <v>0.24718987847662921</v>
      </c>
    </row>
    <row r="152" spans="1:7" x14ac:dyDescent="0.3">
      <c r="A152" s="3">
        <v>39264</v>
      </c>
      <c r="B152" s="2">
        <v>5049242</v>
      </c>
      <c r="C152" s="2">
        <v>9007653</v>
      </c>
      <c r="D152" s="2">
        <v>2235300</v>
      </c>
      <c r="E152" s="1">
        <f>Debt[[#This Row],[Debt Held by the Public (millions)]]/Debt[[#This Row],[Total National Debt (millions)]]</f>
        <v>0.56055023433962214</v>
      </c>
      <c r="F152" s="1">
        <f>Debt[[#This Row],[Foreign Holdings]]/Debt[[#This Row],[Debt Held by the Public (millions)]]</f>
        <v>0.44270011221486316</v>
      </c>
      <c r="G152" s="1">
        <f>Debt[[#This Row],[Foreign Holdings]]/Debt[[#This Row],[Total National Debt (millions)]]</f>
        <v>0.24815565164421854</v>
      </c>
    </row>
    <row r="153" spans="1:7" x14ac:dyDescent="0.3">
      <c r="A153" s="3">
        <v>39356</v>
      </c>
      <c r="B153" s="2">
        <v>5136288</v>
      </c>
      <c r="C153" s="2">
        <v>9229172</v>
      </c>
      <c r="D153" s="2">
        <v>2353200</v>
      </c>
      <c r="E153" s="1">
        <f>Debt[[#This Row],[Debt Held by the Public (millions)]]/Debt[[#This Row],[Total National Debt (millions)]]</f>
        <v>0.55652749780803734</v>
      </c>
      <c r="F153" s="1">
        <f>Debt[[#This Row],[Foreign Holdings]]/Debt[[#This Row],[Debt Held by the Public (millions)]]</f>
        <v>0.45815187933386914</v>
      </c>
      <c r="G153" s="1">
        <f>Debt[[#This Row],[Foreign Holdings]]/Debt[[#This Row],[Total National Debt (millions)]]</f>
        <v>0.25497411902172806</v>
      </c>
    </row>
    <row r="154" spans="1:7" x14ac:dyDescent="0.3">
      <c r="A154" s="3">
        <v>39448</v>
      </c>
      <c r="B154" s="2">
        <v>5334048</v>
      </c>
      <c r="C154" s="2">
        <v>9437594</v>
      </c>
      <c r="D154" s="2">
        <v>2506300</v>
      </c>
      <c r="E154" s="1">
        <f>Debt[[#This Row],[Debt Held by the Public (millions)]]/Debt[[#This Row],[Total National Debt (millions)]]</f>
        <v>0.56519150961569231</v>
      </c>
      <c r="F154" s="1">
        <f>Debt[[#This Row],[Foreign Holdings]]/Debt[[#This Row],[Debt Held by the Public (millions)]]</f>
        <v>0.46986828764945499</v>
      </c>
      <c r="G154" s="1">
        <f>Debt[[#This Row],[Foreign Holdings]]/Debt[[#This Row],[Total National Debt (millions)]]</f>
        <v>0.26556556681713583</v>
      </c>
    </row>
    <row r="155" spans="1:7" x14ac:dyDescent="0.3">
      <c r="A155" s="3">
        <v>39539</v>
      </c>
      <c r="B155" s="2">
        <v>5285025</v>
      </c>
      <c r="C155" s="2">
        <v>9492006</v>
      </c>
      <c r="D155" s="2">
        <v>2587400</v>
      </c>
      <c r="E155" s="1">
        <f>Debt[[#This Row],[Debt Held by the Public (millions)]]/Debt[[#This Row],[Total National Debt (millions)]]</f>
        <v>0.55678694261255213</v>
      </c>
      <c r="F155" s="1">
        <f>Debt[[#This Row],[Foreign Holdings]]/Debt[[#This Row],[Debt Held by the Public (millions)]]</f>
        <v>0.48957195093684513</v>
      </c>
      <c r="G155" s="1">
        <f>Debt[[#This Row],[Foreign Holdings]]/Debt[[#This Row],[Total National Debt (millions)]]</f>
        <v>0.27258726975098835</v>
      </c>
    </row>
    <row r="156" spans="1:7" x14ac:dyDescent="0.3">
      <c r="A156" s="3">
        <v>39630</v>
      </c>
      <c r="B156" s="2">
        <v>5814240</v>
      </c>
      <c r="C156" s="2">
        <v>10024725</v>
      </c>
      <c r="D156" s="2">
        <v>2802400</v>
      </c>
      <c r="E156" s="1">
        <f>Debt[[#This Row],[Debt Held by the Public (millions)]]/Debt[[#This Row],[Total National Debt (millions)]]</f>
        <v>0.57998997478733827</v>
      </c>
      <c r="F156" s="1">
        <f>Debt[[#This Row],[Foreign Holdings]]/Debt[[#This Row],[Debt Held by the Public (millions)]]</f>
        <v>0.48198904757973526</v>
      </c>
      <c r="G156" s="1">
        <f>Debt[[#This Row],[Foreign Holdings]]/Debt[[#This Row],[Total National Debt (millions)]]</f>
        <v>0.27954881555354388</v>
      </c>
    </row>
    <row r="157" spans="1:7" x14ac:dyDescent="0.3">
      <c r="A157" s="3">
        <v>39722</v>
      </c>
      <c r="B157" s="2">
        <v>6372651</v>
      </c>
      <c r="C157" s="2">
        <v>10699805</v>
      </c>
      <c r="D157" s="2">
        <v>3077200</v>
      </c>
      <c r="E157" s="1">
        <f>Debt[[#This Row],[Debt Held by the Public (millions)]]/Debt[[#This Row],[Total National Debt (millions)]]</f>
        <v>0.59558571394525417</v>
      </c>
      <c r="F157" s="1">
        <f>Debt[[#This Row],[Foreign Holdings]]/Debt[[#This Row],[Debt Held by the Public (millions)]]</f>
        <v>0.4828759648064832</v>
      </c>
      <c r="G157" s="1">
        <f>Debt[[#This Row],[Foreign Holdings]]/Debt[[#This Row],[Total National Debt (millions)]]</f>
        <v>0.28759402624627273</v>
      </c>
    </row>
    <row r="158" spans="1:7" x14ac:dyDescent="0.3">
      <c r="A158" s="3">
        <v>39814</v>
      </c>
      <c r="B158" s="2">
        <v>6836338</v>
      </c>
      <c r="C158" s="2">
        <v>11126941</v>
      </c>
      <c r="D158" s="2">
        <v>3265700</v>
      </c>
      <c r="E158" s="1">
        <f>Debt[[#This Row],[Debt Held by the Public (millions)]]/Debt[[#This Row],[Total National Debt (millions)]]</f>
        <v>0.61439509744861598</v>
      </c>
      <c r="F158" s="1">
        <f>Debt[[#This Row],[Foreign Holdings]]/Debt[[#This Row],[Debt Held by the Public (millions)]]</f>
        <v>0.47769727008816709</v>
      </c>
      <c r="G158" s="1">
        <f>Debt[[#This Row],[Foreign Holdings]]/Debt[[#This Row],[Total National Debt (millions)]]</f>
        <v>0.29349486080675724</v>
      </c>
    </row>
    <row r="159" spans="1:7" x14ac:dyDescent="0.3">
      <c r="A159" s="3">
        <v>39904</v>
      </c>
      <c r="B159" s="2">
        <v>7176464</v>
      </c>
      <c r="C159" s="2">
        <v>11545275</v>
      </c>
      <c r="D159" s="2">
        <v>3460800</v>
      </c>
      <c r="E159" s="1">
        <f>Debt[[#This Row],[Debt Held by the Public (millions)]]/Debt[[#This Row],[Total National Debt (millions)]]</f>
        <v>0.6215931625708353</v>
      </c>
      <c r="F159" s="1">
        <f>Debt[[#This Row],[Foreign Holdings]]/Debt[[#This Row],[Debt Held by the Public (millions)]]</f>
        <v>0.48224306566576519</v>
      </c>
      <c r="G159" s="1">
        <f>Debt[[#This Row],[Foreign Holdings]]/Debt[[#This Row],[Total National Debt (millions)]]</f>
        <v>0.299758992315038</v>
      </c>
    </row>
    <row r="160" spans="1:7" x14ac:dyDescent="0.3">
      <c r="A160" s="3">
        <v>39995</v>
      </c>
      <c r="B160" s="2">
        <v>7554537</v>
      </c>
      <c r="C160" s="2">
        <v>11909828</v>
      </c>
      <c r="D160" s="2">
        <v>3570600</v>
      </c>
      <c r="E160" s="1">
        <f>Debt[[#This Row],[Debt Held by the Public (millions)]]/Debt[[#This Row],[Total National Debt (millions)]]</f>
        <v>0.63431117561059658</v>
      </c>
      <c r="F160" s="1">
        <f>Debt[[#This Row],[Foreign Holdings]]/Debt[[#This Row],[Debt Held by the Public (millions)]]</f>
        <v>0.47264312822877164</v>
      </c>
      <c r="G160" s="1">
        <f>Debt[[#This Row],[Foreign Holdings]]/Debt[[#This Row],[Total National Debt (millions)]]</f>
        <v>0.29980281831106209</v>
      </c>
    </row>
    <row r="161" spans="1:7" x14ac:dyDescent="0.3">
      <c r="A161" s="3">
        <v>40087</v>
      </c>
      <c r="B161" s="2">
        <v>7814359</v>
      </c>
      <c r="C161" s="2">
        <v>12311349</v>
      </c>
      <c r="D161" s="2">
        <v>3685100</v>
      </c>
      <c r="E161" s="1">
        <f>Debt[[#This Row],[Debt Held by the Public (millions)]]/Debt[[#This Row],[Total National Debt (millions)]]</f>
        <v>0.63472808706828143</v>
      </c>
      <c r="F161" s="1">
        <f>Debt[[#This Row],[Foreign Holdings]]/Debt[[#This Row],[Debt Held by the Public (millions)]]</f>
        <v>0.47158058645629153</v>
      </c>
      <c r="G161" s="1">
        <f>Debt[[#This Row],[Foreign Holdings]]/Debt[[#This Row],[Total National Debt (millions)]]</f>
        <v>0.29932544353994028</v>
      </c>
    </row>
    <row r="162" spans="1:7" x14ac:dyDescent="0.3">
      <c r="A162" s="3">
        <v>40179</v>
      </c>
      <c r="B162" s="2">
        <v>8294251</v>
      </c>
      <c r="C162" s="2">
        <v>12773123</v>
      </c>
      <c r="D162" s="2">
        <v>3877900</v>
      </c>
      <c r="E162" s="1">
        <f>Debt[[#This Row],[Debt Held by the Public (millions)]]/Debt[[#This Row],[Total National Debt (millions)]]</f>
        <v>0.64935184605988683</v>
      </c>
      <c r="F162" s="1">
        <f>Debt[[#This Row],[Foreign Holdings]]/Debt[[#This Row],[Debt Held by the Public (millions)]]</f>
        <v>0.46754070982419027</v>
      </c>
      <c r="G162" s="1">
        <f>Debt[[#This Row],[Foreign Holdings]]/Debt[[#This Row],[Total National Debt (millions)]]</f>
        <v>0.30359842303248785</v>
      </c>
    </row>
    <row r="163" spans="1:7" x14ac:dyDescent="0.3">
      <c r="A163" s="3">
        <v>40269</v>
      </c>
      <c r="B163" s="2">
        <v>8639220</v>
      </c>
      <c r="C163" s="2">
        <v>13201792</v>
      </c>
      <c r="D163" s="2">
        <v>4070000</v>
      </c>
      <c r="E163" s="1">
        <f>Debt[[#This Row],[Debt Held by the Public (millions)]]/Debt[[#This Row],[Total National Debt (millions)]]</f>
        <v>0.6543975242148945</v>
      </c>
      <c r="F163" s="1">
        <f>Debt[[#This Row],[Foreign Holdings]]/Debt[[#This Row],[Debt Held by the Public (millions)]]</f>
        <v>0.4711073453390468</v>
      </c>
      <c r="G163" s="1">
        <f>Debt[[#This Row],[Foreign Holdings]]/Debt[[#This Row],[Total National Debt (millions)]]</f>
        <v>0.30829148042932353</v>
      </c>
    </row>
    <row r="164" spans="1:7" x14ac:dyDescent="0.3">
      <c r="A164" s="3">
        <v>40360</v>
      </c>
      <c r="B164" s="2">
        <v>9027611</v>
      </c>
      <c r="C164" s="2">
        <v>13561622</v>
      </c>
      <c r="D164" s="2">
        <v>4324200</v>
      </c>
      <c r="E164" s="1">
        <f>Debt[[#This Row],[Debt Held by the Public (millions)]]/Debt[[#This Row],[Total National Debt (millions)]]</f>
        <v>0.66567339806403691</v>
      </c>
      <c r="F164" s="1">
        <f>Debt[[#This Row],[Foreign Holdings]]/Debt[[#This Row],[Debt Held by the Public (millions)]]</f>
        <v>0.47899715661208708</v>
      </c>
      <c r="G164" s="1">
        <f>Debt[[#This Row],[Foreign Holdings]]/Debt[[#This Row],[Total National Debt (millions)]]</f>
        <v>0.31885566490497963</v>
      </c>
    </row>
    <row r="165" spans="1:7" x14ac:dyDescent="0.3">
      <c r="A165" s="3">
        <v>40452</v>
      </c>
      <c r="B165" s="2">
        <v>9395411</v>
      </c>
      <c r="C165" s="2">
        <v>14025215</v>
      </c>
      <c r="D165" s="2">
        <v>4435600</v>
      </c>
      <c r="E165" s="1">
        <f>Debt[[#This Row],[Debt Held by the Public (millions)]]/Debt[[#This Row],[Total National Debt (millions)]]</f>
        <v>0.66989425830548766</v>
      </c>
      <c r="F165" s="1">
        <f>Debt[[#This Row],[Foreign Holdings]]/Debt[[#This Row],[Debt Held by the Public (millions)]]</f>
        <v>0.47210281700289641</v>
      </c>
      <c r="G165" s="1">
        <f>Debt[[#This Row],[Foreign Holdings]]/Debt[[#This Row],[Total National Debt (millions)]]</f>
        <v>0.31625896644008666</v>
      </c>
    </row>
    <row r="166" spans="1:7" x14ac:dyDescent="0.3">
      <c r="A166" s="3">
        <v>40544</v>
      </c>
      <c r="B166" s="2">
        <v>9656573</v>
      </c>
      <c r="C166" s="2">
        <v>14270114</v>
      </c>
      <c r="D166" s="2">
        <v>4481400</v>
      </c>
      <c r="E166" s="1">
        <f>Debt[[#This Row],[Debt Held by the Public (millions)]]/Debt[[#This Row],[Total National Debt (millions)]]</f>
        <v>0.67669907892817116</v>
      </c>
      <c r="F166" s="1">
        <f>Debt[[#This Row],[Foreign Holdings]]/Debt[[#This Row],[Debt Held by the Public (millions)]]</f>
        <v>0.4640776805601739</v>
      </c>
      <c r="G166" s="1">
        <f>Debt[[#This Row],[Foreign Holdings]]/Debt[[#This Row],[Total National Debt (millions)]]</f>
        <v>0.31404093898619168</v>
      </c>
    </row>
    <row r="167" spans="1:7" x14ac:dyDescent="0.3">
      <c r="A167" s="3">
        <v>40634</v>
      </c>
      <c r="B167" s="2">
        <v>9746879</v>
      </c>
      <c r="C167" s="2">
        <v>14343087</v>
      </c>
      <c r="D167" s="2">
        <v>4690600</v>
      </c>
      <c r="E167" s="1">
        <f>Debt[[#This Row],[Debt Held by the Public (millions)]]/Debt[[#This Row],[Total National Debt (millions)]]</f>
        <v>0.6795523864562768</v>
      </c>
      <c r="F167" s="1">
        <f>Debt[[#This Row],[Foreign Holdings]]/Debt[[#This Row],[Debt Held by the Public (millions)]]</f>
        <v>0.48124122603758596</v>
      </c>
      <c r="G167" s="1">
        <f>Debt[[#This Row],[Foreign Holdings]]/Debt[[#This Row],[Total National Debt (millions)]]</f>
        <v>0.32702862361498608</v>
      </c>
    </row>
    <row r="168" spans="1:7" x14ac:dyDescent="0.3">
      <c r="A168" s="3">
        <v>40725</v>
      </c>
      <c r="B168" s="2">
        <v>10132039</v>
      </c>
      <c r="C168" s="2">
        <v>14790340</v>
      </c>
      <c r="D168" s="2">
        <v>4912100</v>
      </c>
      <c r="E168" s="1">
        <f>Debt[[#This Row],[Debt Held by the Public (millions)]]/Debt[[#This Row],[Total National Debt (millions)]]</f>
        <v>0.6850443600349958</v>
      </c>
      <c r="F168" s="1">
        <f>Debt[[#This Row],[Foreign Holdings]]/Debt[[#This Row],[Debt Held by the Public (millions)]]</f>
        <v>0.48480863526087886</v>
      </c>
      <c r="G168" s="1">
        <f>Debt[[#This Row],[Foreign Holdings]]/Debt[[#This Row],[Total National Debt (millions)]]</f>
        <v>0.3321154212817285</v>
      </c>
    </row>
    <row r="169" spans="1:7" x14ac:dyDescent="0.3">
      <c r="A169" s="3">
        <v>40817</v>
      </c>
      <c r="B169" s="2">
        <v>10452503</v>
      </c>
      <c r="C169" s="2">
        <v>15222940</v>
      </c>
      <c r="D169" s="2">
        <v>5006900</v>
      </c>
      <c r="E169" s="1">
        <f>Debt[[#This Row],[Debt Held by the Public (millions)]]/Debt[[#This Row],[Total National Debt (millions)]]</f>
        <v>0.68662840423728921</v>
      </c>
      <c r="F169" s="1">
        <f>Debt[[#This Row],[Foreign Holdings]]/Debt[[#This Row],[Debt Held by the Public (millions)]]</f>
        <v>0.47901445232783002</v>
      </c>
      <c r="G169" s="1">
        <f>Debt[[#This Row],[Foreign Holdings]]/Debt[[#This Row],[Total National Debt (millions)]]</f>
        <v>0.32890492900845697</v>
      </c>
    </row>
    <row r="170" spans="1:7" x14ac:dyDescent="0.3">
      <c r="A170" s="3">
        <v>40909</v>
      </c>
      <c r="B170" s="2">
        <v>10876394</v>
      </c>
      <c r="C170" s="2">
        <v>15606518</v>
      </c>
      <c r="D170" s="2">
        <v>5145100</v>
      </c>
      <c r="E170" s="1">
        <f>Debt[[#This Row],[Debt Held by the Public (millions)]]/Debt[[#This Row],[Total National Debt (millions)]]</f>
        <v>0.69691355880921035</v>
      </c>
      <c r="F170" s="1">
        <f>Debt[[#This Row],[Foreign Holdings]]/Debt[[#This Row],[Debt Held by the Public (millions)]]</f>
        <v>0.47305200602331987</v>
      </c>
      <c r="G170" s="1">
        <f>Debt[[#This Row],[Foreign Holdings]]/Debt[[#This Row],[Total National Debt (millions)]]</f>
        <v>0.32967635701954784</v>
      </c>
    </row>
    <row r="171" spans="1:7" x14ac:dyDescent="0.3">
      <c r="A171" s="3">
        <v>41000</v>
      </c>
      <c r="B171" s="2">
        <v>11048217</v>
      </c>
      <c r="C171" s="2">
        <v>15855037</v>
      </c>
      <c r="D171" s="2">
        <v>5310900</v>
      </c>
      <c r="E171" s="1">
        <f>Debt[[#This Row],[Debt Held by the Public (millions)]]/Debt[[#This Row],[Total National Debt (millions)]]</f>
        <v>0.69682694527928257</v>
      </c>
      <c r="F171" s="1">
        <f>Debt[[#This Row],[Foreign Holdings]]/Debt[[#This Row],[Debt Held by the Public (millions)]]</f>
        <v>0.48070199924567014</v>
      </c>
      <c r="G171" s="1">
        <f>Debt[[#This Row],[Foreign Holdings]]/Debt[[#This Row],[Total National Debt (millions)]]</f>
        <v>0.33496610572400431</v>
      </c>
    </row>
    <row r="172" spans="1:7" x14ac:dyDescent="0.3">
      <c r="A172" s="3">
        <v>41091</v>
      </c>
      <c r="B172" s="2">
        <v>11274396</v>
      </c>
      <c r="C172" s="2">
        <v>16066240</v>
      </c>
      <c r="D172" s="2">
        <v>5476100</v>
      </c>
      <c r="E172" s="1">
        <f>Debt[[#This Row],[Debt Held by the Public (millions)]]/Debt[[#This Row],[Total National Debt (millions)]]</f>
        <v>0.70174452765550621</v>
      </c>
      <c r="F172" s="1">
        <f>Debt[[#This Row],[Foreign Holdings]]/Debt[[#This Row],[Debt Held by the Public (millions)]]</f>
        <v>0.48571116359581479</v>
      </c>
      <c r="G172" s="1">
        <f>Debt[[#This Row],[Foreign Holdings]]/Debt[[#This Row],[Total National Debt (millions)]]</f>
        <v>0.34084515107455138</v>
      </c>
    </row>
    <row r="173" spans="1:7" x14ac:dyDescent="0.3">
      <c r="A173" s="3">
        <v>41183</v>
      </c>
      <c r="B173" s="2">
        <v>11586560</v>
      </c>
      <c r="C173" s="2">
        <v>16432730</v>
      </c>
      <c r="D173" s="2">
        <v>5573800</v>
      </c>
      <c r="E173" s="1">
        <f>Debt[[#This Row],[Debt Held by the Public (millions)]]/Debt[[#This Row],[Total National Debt (millions)]]</f>
        <v>0.7050903897283044</v>
      </c>
      <c r="F173" s="1">
        <f>Debt[[#This Row],[Foreign Holdings]]/Debt[[#This Row],[Debt Held by the Public (millions)]]</f>
        <v>0.48105736301369861</v>
      </c>
      <c r="G173" s="1">
        <f>Debt[[#This Row],[Foreign Holdings]]/Debt[[#This Row],[Total National Debt (millions)]]</f>
        <v>0.33918892356899921</v>
      </c>
    </row>
    <row r="174" spans="1:7" x14ac:dyDescent="0.3">
      <c r="A174" s="3">
        <v>41275</v>
      </c>
      <c r="B174" s="2">
        <v>11922454</v>
      </c>
      <c r="C174" s="2">
        <v>16771381</v>
      </c>
      <c r="D174" s="2">
        <v>5725000</v>
      </c>
      <c r="E174" s="1">
        <f>Debt[[#This Row],[Debt Held by the Public (millions)]]/Debt[[#This Row],[Total National Debt (millions)]]</f>
        <v>0.71088087498578678</v>
      </c>
      <c r="F174" s="1">
        <f>Debt[[#This Row],[Foreign Holdings]]/Debt[[#This Row],[Debt Held by the Public (millions)]]</f>
        <v>0.48018637773733497</v>
      </c>
      <c r="G174" s="1">
        <f>Debt[[#This Row],[Foreign Holdings]]/Debt[[#This Row],[Total National Debt (millions)]]</f>
        <v>0.3413553123621722</v>
      </c>
    </row>
    <row r="175" spans="1:7" x14ac:dyDescent="0.3">
      <c r="A175" s="3">
        <v>41365</v>
      </c>
      <c r="B175" s="2">
        <v>11906573</v>
      </c>
      <c r="C175" s="2">
        <v>16738320</v>
      </c>
      <c r="D175" s="2">
        <v>5595000</v>
      </c>
      <c r="E175" s="1">
        <f>Debt[[#This Row],[Debt Held by the Public (millions)]]/Debt[[#This Row],[Total National Debt (millions)]]</f>
        <v>0.71133620339436698</v>
      </c>
      <c r="F175" s="1">
        <f>Debt[[#This Row],[Foreign Holdings]]/Debt[[#This Row],[Debt Held by the Public (millions)]]</f>
        <v>0.46990851187827093</v>
      </c>
      <c r="G175" s="1">
        <f>Debt[[#This Row],[Foreign Holdings]]/Debt[[#This Row],[Total National Debt (millions)]]</f>
        <v>0.33426293678218605</v>
      </c>
    </row>
    <row r="176" spans="1:7" x14ac:dyDescent="0.3">
      <c r="A176" s="3">
        <v>41456</v>
      </c>
      <c r="B176" s="2">
        <v>11980978</v>
      </c>
      <c r="C176" s="2">
        <v>16738180</v>
      </c>
      <c r="D176" s="2">
        <v>5652800</v>
      </c>
      <c r="E176" s="1">
        <f>Debt[[#This Row],[Debt Held by the Public (millions)]]/Debt[[#This Row],[Total National Debt (millions)]]</f>
        <v>0.71578737951199001</v>
      </c>
      <c r="F176" s="1">
        <f>Debt[[#This Row],[Foreign Holdings]]/Debt[[#This Row],[Debt Held by the Public (millions)]]</f>
        <v>0.47181457139809457</v>
      </c>
      <c r="G176" s="1">
        <f>Debt[[#This Row],[Foreign Holdings]]/Debt[[#This Row],[Total National Debt (millions)]]</f>
        <v>0.33771891567661477</v>
      </c>
    </row>
    <row r="177" spans="1:7" x14ac:dyDescent="0.3">
      <c r="A177" s="3">
        <v>41548</v>
      </c>
      <c r="B177" s="2">
        <v>12355194</v>
      </c>
      <c r="C177" s="2">
        <v>17156119</v>
      </c>
      <c r="D177" s="2">
        <v>5792600</v>
      </c>
      <c r="E177" s="1">
        <f>Debt[[#This Row],[Debt Held by the Public (millions)]]/Debt[[#This Row],[Total National Debt (millions)]]</f>
        <v>0.72016252626832444</v>
      </c>
      <c r="F177" s="1">
        <f>Debt[[#This Row],[Foreign Holdings]]/Debt[[#This Row],[Debt Held by the Public (millions)]]</f>
        <v>0.46883925901932416</v>
      </c>
      <c r="G177" s="1">
        <f>Debt[[#This Row],[Foreign Holdings]]/Debt[[#This Row],[Total National Debt (millions)]]</f>
        <v>0.33764046518912583</v>
      </c>
    </row>
    <row r="178" spans="1:7" x14ac:dyDescent="0.3">
      <c r="A178" s="3">
        <v>41640</v>
      </c>
      <c r="B178" s="2">
        <v>12643201</v>
      </c>
      <c r="C178" s="2">
        <v>17601227</v>
      </c>
      <c r="D178" s="2">
        <v>5948300</v>
      </c>
      <c r="E178" s="1">
        <f>Debt[[#This Row],[Debt Held by the Public (millions)]]/Debt[[#This Row],[Total National Debt (millions)]]</f>
        <v>0.7183136152951155</v>
      </c>
      <c r="F178" s="1">
        <f>Debt[[#This Row],[Foreign Holdings]]/Debt[[#This Row],[Debt Held by the Public (millions)]]</f>
        <v>0.47047420981442911</v>
      </c>
      <c r="G178" s="1">
        <f>Debt[[#This Row],[Foreign Holdings]]/Debt[[#This Row],[Total National Debt (millions)]]</f>
        <v>0.33794803055491529</v>
      </c>
    </row>
    <row r="179" spans="1:7" x14ac:dyDescent="0.3">
      <c r="A179" s="3">
        <v>41730</v>
      </c>
      <c r="B179" s="2">
        <v>12572021</v>
      </c>
      <c r="C179" s="2">
        <v>17632606</v>
      </c>
      <c r="D179" s="2">
        <v>6018700</v>
      </c>
      <c r="E179" s="1">
        <f>Debt[[#This Row],[Debt Held by the Public (millions)]]/Debt[[#This Row],[Total National Debt (millions)]]</f>
        <v>0.71299846432229019</v>
      </c>
      <c r="F179" s="1">
        <f>Debt[[#This Row],[Foreign Holdings]]/Debt[[#This Row],[Debt Held by the Public (millions)]]</f>
        <v>0.4787376667601812</v>
      </c>
      <c r="G179" s="1">
        <f>Debt[[#This Row],[Foreign Holdings]]/Debt[[#This Row],[Total National Debt (millions)]]</f>
        <v>0.3413392212132455</v>
      </c>
    </row>
    <row r="180" spans="1:7" x14ac:dyDescent="0.3">
      <c r="A180" s="3">
        <v>41821</v>
      </c>
      <c r="B180" s="2">
        <v>12784809</v>
      </c>
      <c r="C180" s="2">
        <v>17824071</v>
      </c>
      <c r="D180" s="2">
        <v>6069200</v>
      </c>
      <c r="E180" s="1">
        <f>Debt[[#This Row],[Debt Held by the Public (millions)]]/Debt[[#This Row],[Total National Debt (millions)]]</f>
        <v>0.71727771955127428</v>
      </c>
      <c r="F180" s="1">
        <f>Debt[[#This Row],[Foreign Holdings]]/Debt[[#This Row],[Debt Held by the Public (millions)]]</f>
        <v>0.47471964579212722</v>
      </c>
      <c r="G180" s="1">
        <f>Debt[[#This Row],[Foreign Holdings]]/Debt[[#This Row],[Total National Debt (millions)]]</f>
        <v>0.34050582495996568</v>
      </c>
    </row>
    <row r="181" spans="1:7" x14ac:dyDescent="0.3">
      <c r="A181" s="3">
        <v>41913</v>
      </c>
      <c r="B181" s="2">
        <v>13023818</v>
      </c>
      <c r="C181" s="2">
        <v>18141444</v>
      </c>
      <c r="D181" s="2">
        <v>6157700</v>
      </c>
      <c r="E181" s="1">
        <f>Debt[[#This Row],[Debt Held by the Public (millions)]]/Debt[[#This Row],[Total National Debt (millions)]]</f>
        <v>0.71790415360541315</v>
      </c>
      <c r="F181" s="1">
        <f>Debt[[#This Row],[Foreign Holdings]]/Debt[[#This Row],[Debt Held by the Public (millions)]]</f>
        <v>0.47280298296551748</v>
      </c>
      <c r="G181" s="1">
        <f>Debt[[#This Row],[Foreign Holdings]]/Debt[[#This Row],[Total National Debt (millions)]]</f>
        <v>0.33942722530797437</v>
      </c>
    </row>
    <row r="182" spans="1:7" x14ac:dyDescent="0.3">
      <c r="A182" s="3">
        <v>42005</v>
      </c>
      <c r="B182" s="2">
        <v>13090183</v>
      </c>
      <c r="C182" s="2">
        <v>18152056</v>
      </c>
      <c r="D182" s="2">
        <v>6172600</v>
      </c>
      <c r="E182" s="1">
        <f>Debt[[#This Row],[Debt Held by the Public (millions)]]/Debt[[#This Row],[Total National Debt (millions)]]</f>
        <v>0.72114051433071824</v>
      </c>
      <c r="F182" s="1">
        <f>Debt[[#This Row],[Foreign Holdings]]/Debt[[#This Row],[Debt Held by the Public (millions)]]</f>
        <v>0.47154420988614137</v>
      </c>
      <c r="G182" s="1">
        <f>Debt[[#This Row],[Foreign Holdings]]/Debt[[#This Row],[Total National Debt (millions)]]</f>
        <v>0.34004963404696414</v>
      </c>
    </row>
    <row r="183" spans="1:7" x14ac:dyDescent="0.3">
      <c r="A183" s="3">
        <v>42095</v>
      </c>
      <c r="B183" s="2">
        <v>13075036</v>
      </c>
      <c r="C183" s="2">
        <v>18151998</v>
      </c>
      <c r="D183" s="2">
        <v>6161000</v>
      </c>
      <c r="E183" s="1">
        <f>Debt[[#This Row],[Debt Held by the Public (millions)]]/Debt[[#This Row],[Total National Debt (millions)]]</f>
        <v>0.7203083649524421</v>
      </c>
      <c r="F183" s="1">
        <f>Debt[[#This Row],[Foreign Holdings]]/Debt[[#This Row],[Debt Held by the Public (millions)]]</f>
        <v>0.4712032915243981</v>
      </c>
      <c r="G183" s="1">
        <f>Debt[[#This Row],[Foreign Holdings]]/Debt[[#This Row],[Total National Debt (millions)]]</f>
        <v>0.33941167247814813</v>
      </c>
    </row>
    <row r="184" spans="1:7" x14ac:dyDescent="0.3">
      <c r="A184" s="3">
        <v>42186</v>
      </c>
      <c r="B184" s="2">
        <v>13123756</v>
      </c>
      <c r="C184" s="2">
        <v>18150618</v>
      </c>
      <c r="D184" s="2">
        <v>6104000</v>
      </c>
      <c r="E184" s="1">
        <f>Debt[[#This Row],[Debt Held by the Public (millions)]]/Debt[[#This Row],[Total National Debt (millions)]]</f>
        <v>0.72304733645983843</v>
      </c>
      <c r="F184" s="1">
        <f>Debt[[#This Row],[Foreign Holdings]]/Debt[[#This Row],[Debt Held by the Public (millions)]]</f>
        <v>0.46511075030654336</v>
      </c>
      <c r="G184" s="1">
        <f>Debt[[#This Row],[Foreign Holdings]]/Debt[[#This Row],[Total National Debt (millions)]]</f>
        <v>0.33629708916798318</v>
      </c>
    </row>
    <row r="185" spans="1:7" x14ac:dyDescent="0.3">
      <c r="A185" s="3">
        <v>42278</v>
      </c>
      <c r="B185" s="2">
        <v>13699868</v>
      </c>
      <c r="C185" s="2">
        <v>18922179</v>
      </c>
      <c r="D185" s="2">
        <v>6144200</v>
      </c>
      <c r="E185" s="1">
        <f>Debt[[#This Row],[Debt Held by the Public (millions)]]/Debt[[#This Row],[Total National Debt (millions)]]</f>
        <v>0.72401111943819996</v>
      </c>
      <c r="F185" s="1">
        <f>Debt[[#This Row],[Foreign Holdings]]/Debt[[#This Row],[Debt Held by the Public (millions)]]</f>
        <v>0.448486073004499</v>
      </c>
      <c r="G185" s="1">
        <f>Debt[[#This Row],[Foreign Holdings]]/Debt[[#This Row],[Total National Debt (millions)]]</f>
        <v>0.32470890376842965</v>
      </c>
    </row>
    <row r="186" spans="1:7" x14ac:dyDescent="0.3">
      <c r="A186" s="3">
        <v>42370</v>
      </c>
      <c r="B186" s="2">
        <v>13929762</v>
      </c>
      <c r="C186" s="2">
        <v>19264939</v>
      </c>
      <c r="D186" s="2">
        <v>6284400</v>
      </c>
      <c r="E186" s="1">
        <f>Debt[[#This Row],[Debt Held by the Public (millions)]]/Debt[[#This Row],[Total National Debt (millions)]]</f>
        <v>0.72306286565454481</v>
      </c>
      <c r="F186" s="1">
        <f>Debt[[#This Row],[Foreign Holdings]]/Debt[[#This Row],[Debt Held by the Public (millions)]]</f>
        <v>0.45114912946825653</v>
      </c>
      <c r="G186" s="1">
        <f>Debt[[#This Row],[Foreign Holdings]]/Debt[[#This Row],[Total National Debt (millions)]]</f>
        <v>0.32620918239087077</v>
      </c>
    </row>
    <row r="187" spans="1:7" x14ac:dyDescent="0.3">
      <c r="A187" s="3">
        <v>42461</v>
      </c>
      <c r="B187" s="2">
        <v>13937309</v>
      </c>
      <c r="C187" s="2">
        <v>19381591</v>
      </c>
      <c r="D187" s="2">
        <v>6279100</v>
      </c>
      <c r="E187" s="1">
        <f>Debt[[#This Row],[Debt Held by the Public (millions)]]/Debt[[#This Row],[Total National Debt (millions)]]</f>
        <v>0.71910035662190996</v>
      </c>
      <c r="F187" s="1">
        <f>Debt[[#This Row],[Foreign Holdings]]/Debt[[#This Row],[Debt Held by the Public (millions)]]</f>
        <v>0.45052455965495203</v>
      </c>
      <c r="G187" s="1">
        <f>Debt[[#This Row],[Foreign Holdings]]/Debt[[#This Row],[Total National Debt (millions)]]</f>
        <v>0.32397237151480496</v>
      </c>
    </row>
    <row r="188" spans="1:7" x14ac:dyDescent="0.3">
      <c r="A188" s="3">
        <v>42552</v>
      </c>
      <c r="B188" s="2">
        <v>14177750</v>
      </c>
      <c r="C188" s="2">
        <v>19573445</v>
      </c>
      <c r="D188" s="2">
        <v>6155900</v>
      </c>
      <c r="E188" s="1">
        <f>Debt[[#This Row],[Debt Held by the Public (millions)]]/Debt[[#This Row],[Total National Debt (millions)]]</f>
        <v>0.72433595618962321</v>
      </c>
      <c r="F188" s="1">
        <f>Debt[[#This Row],[Foreign Holdings]]/Debt[[#This Row],[Debt Held by the Public (millions)]]</f>
        <v>0.43419442436211669</v>
      </c>
      <c r="G188" s="1">
        <f>Debt[[#This Row],[Foreign Holdings]]/Debt[[#This Row],[Total National Debt (millions)]]</f>
        <v>0.31450263354253682</v>
      </c>
    </row>
    <row r="189" spans="1:7" x14ac:dyDescent="0.3">
      <c r="A189" s="3">
        <v>42644</v>
      </c>
      <c r="B189" s="2">
        <v>14439326</v>
      </c>
      <c r="C189" s="2">
        <v>19976827</v>
      </c>
      <c r="D189" s="2">
        <v>6002800</v>
      </c>
      <c r="E189" s="1">
        <f>Debt[[#This Row],[Debt Held by the Public (millions)]]/Debt[[#This Row],[Total National Debt (millions)]]</f>
        <v>0.72280377659575268</v>
      </c>
      <c r="F189" s="1">
        <f>Debt[[#This Row],[Foreign Holdings]]/Debt[[#This Row],[Debt Held by the Public (millions)]]</f>
        <v>0.41572577556597862</v>
      </c>
      <c r="G189" s="1">
        <f>Debt[[#This Row],[Foreign Holdings]]/Debt[[#This Row],[Total National Debt (millions)]]</f>
        <v>0.30048816060728761</v>
      </c>
    </row>
    <row r="190" spans="1:7" x14ac:dyDescent="0.3">
      <c r="A190" s="3">
        <v>42736</v>
      </c>
      <c r="B190" s="2">
        <v>14374457</v>
      </c>
      <c r="C190" s="2">
        <v>19846420</v>
      </c>
      <c r="D190" s="2">
        <v>6075300</v>
      </c>
      <c r="E190" s="1">
        <f>Debt[[#This Row],[Debt Held by the Public (millions)]]/Debt[[#This Row],[Total National Debt (millions)]]</f>
        <v>0.7242846316867223</v>
      </c>
      <c r="F190" s="1">
        <f>Debt[[#This Row],[Foreign Holdings]]/Debt[[#This Row],[Debt Held by the Public (millions)]]</f>
        <v>0.42264553019289702</v>
      </c>
      <c r="G190" s="1">
        <f>Debt[[#This Row],[Foreign Holdings]]/Debt[[#This Row],[Total National Debt (millions)]]</f>
        <v>0.30611566216980191</v>
      </c>
    </row>
    <row r="191" spans="1:7" x14ac:dyDescent="0.3">
      <c r="A191" s="3">
        <v>42826</v>
      </c>
      <c r="B191" s="2">
        <v>14370898</v>
      </c>
      <c r="C191" s="2">
        <v>19844554</v>
      </c>
      <c r="D191" s="2">
        <v>6151900</v>
      </c>
      <c r="E191" s="1">
        <f>Debt[[#This Row],[Debt Held by the Public (millions)]]/Debt[[#This Row],[Total National Debt (millions)]]</f>
        <v>0.7241733928613362</v>
      </c>
      <c r="F191" s="1">
        <f>Debt[[#This Row],[Foreign Holdings]]/Debt[[#This Row],[Debt Held by the Public (millions)]]</f>
        <v>0.42808041640821609</v>
      </c>
      <c r="G191" s="1">
        <f>Debt[[#This Row],[Foreign Holdings]]/Debt[[#This Row],[Total National Debt (millions)]]</f>
        <v>0.31000444756783146</v>
      </c>
    </row>
    <row r="192" spans="1:7" x14ac:dyDescent="0.3">
      <c r="A192" s="3">
        <v>42917</v>
      </c>
      <c r="B192" s="2">
        <v>14681827</v>
      </c>
      <c r="C192" s="2">
        <v>20244900</v>
      </c>
      <c r="D192" s="2">
        <v>6301900</v>
      </c>
      <c r="E192" s="1">
        <f>Debt[[#This Row],[Debt Held by the Public (millions)]]/Debt[[#This Row],[Total National Debt (millions)]]</f>
        <v>0.7252111395956512</v>
      </c>
      <c r="F192" s="1">
        <f>Debt[[#This Row],[Foreign Holdings]]/Debt[[#This Row],[Debt Held by the Public (millions)]]</f>
        <v>0.42923132114279783</v>
      </c>
      <c r="G192" s="1">
        <f>Debt[[#This Row],[Foreign Holdings]]/Debt[[#This Row],[Total National Debt (millions)]]</f>
        <v>0.31128333555611537</v>
      </c>
    </row>
    <row r="193" spans="1:7" x14ac:dyDescent="0.3">
      <c r="A193" s="3">
        <v>43009</v>
      </c>
      <c r="B193" s="2">
        <v>14823106</v>
      </c>
      <c r="C193" s="2">
        <v>20492747</v>
      </c>
      <c r="D193" s="2">
        <v>6211300</v>
      </c>
      <c r="E193" s="1">
        <f>Debt[[#This Row],[Debt Held by the Public (millions)]]/Debt[[#This Row],[Total National Debt (millions)]]</f>
        <v>0.72333426065329354</v>
      </c>
      <c r="F193" s="1">
        <f>Debt[[#This Row],[Foreign Holdings]]/Debt[[#This Row],[Debt Held by the Public (millions)]]</f>
        <v>0.41902823875104178</v>
      </c>
      <c r="G193" s="1">
        <f>Debt[[#This Row],[Foreign Holdings]]/Debt[[#This Row],[Total National Debt (millions)]]</f>
        <v>0.3030974812698366</v>
      </c>
    </row>
    <row r="194" spans="1:7" x14ac:dyDescent="0.3">
      <c r="A194" s="3">
        <v>43101</v>
      </c>
      <c r="B194" s="2">
        <v>15436782</v>
      </c>
      <c r="C194" s="2">
        <v>21089643</v>
      </c>
      <c r="D194" s="2">
        <v>6223400</v>
      </c>
      <c r="E194" s="1">
        <f>Debt[[#This Row],[Debt Held by the Public (millions)]]/Debt[[#This Row],[Total National Debt (millions)]]</f>
        <v>0.73196032763570251</v>
      </c>
      <c r="F194" s="1">
        <f>Debt[[#This Row],[Foreign Holdings]]/Debt[[#This Row],[Debt Held by the Public (millions)]]</f>
        <v>0.40315397341233428</v>
      </c>
      <c r="G194" s="1">
        <f>Debt[[#This Row],[Foreign Holdings]]/Debt[[#This Row],[Total National Debt (millions)]]</f>
        <v>0.29509271446652746</v>
      </c>
    </row>
    <row r="195" spans="1:7" x14ac:dyDescent="0.3">
      <c r="A195" s="3">
        <v>43191</v>
      </c>
      <c r="B195" s="2">
        <v>15483548</v>
      </c>
      <c r="C195" s="2">
        <v>21195070</v>
      </c>
      <c r="D195" s="2">
        <v>6225000</v>
      </c>
      <c r="E195" s="1">
        <f>Debt[[#This Row],[Debt Held by the Public (millions)]]/Debt[[#This Row],[Total National Debt (millions)]]</f>
        <v>0.73052591947089585</v>
      </c>
      <c r="F195" s="1">
        <f>Debt[[#This Row],[Foreign Holdings]]/Debt[[#This Row],[Debt Held by the Public (millions)]]</f>
        <v>0.40203963587673835</v>
      </c>
      <c r="G195" s="1">
        <f>Debt[[#This Row],[Foreign Holdings]]/Debt[[#This Row],[Total National Debt (millions)]]</f>
        <v>0.29370037466259841</v>
      </c>
    </row>
    <row r="196" spans="1:7" x14ac:dyDescent="0.3">
      <c r="A196" s="3">
        <v>43282</v>
      </c>
      <c r="B196" s="2">
        <v>15778806</v>
      </c>
      <c r="C196" s="2">
        <v>21516058</v>
      </c>
      <c r="D196" s="2">
        <v>6225900</v>
      </c>
      <c r="E196" s="1">
        <f>Debt[[#This Row],[Debt Held by the Public (millions)]]/Debt[[#This Row],[Total National Debt (millions)]]</f>
        <v>0.7333502261427256</v>
      </c>
      <c r="F196" s="1">
        <f>Debt[[#This Row],[Foreign Holdings]]/Debt[[#This Row],[Debt Held by the Public (millions)]]</f>
        <v>0.39457358180333796</v>
      </c>
      <c r="G196" s="1">
        <f>Debt[[#This Row],[Foreign Holdings]]/Debt[[#This Row],[Total National Debt (millions)]]</f>
        <v>0.28936062544542313</v>
      </c>
    </row>
    <row r="197" spans="1:7" x14ac:dyDescent="0.3">
      <c r="A197" s="3">
        <v>43374</v>
      </c>
      <c r="B197" s="2">
        <v>16120742</v>
      </c>
      <c r="C197" s="2">
        <v>21974096</v>
      </c>
      <c r="D197" s="2">
        <v>6270100</v>
      </c>
      <c r="E197" s="1">
        <f>Debt[[#This Row],[Debt Held by the Public (millions)]]/Debt[[#This Row],[Total National Debt (millions)]]</f>
        <v>0.73362480986703615</v>
      </c>
      <c r="F197" s="1">
        <f>Debt[[#This Row],[Foreign Holdings]]/Debt[[#This Row],[Debt Held by the Public (millions)]]</f>
        <v>0.3889461167482241</v>
      </c>
      <c r="G197" s="1">
        <f>Debt[[#This Row],[Foreign Holdings]]/Debt[[#This Row],[Total National Debt (millions)]]</f>
        <v>0.28534052094793799</v>
      </c>
    </row>
    <row r="198" spans="1:7" x14ac:dyDescent="0.3">
      <c r="A198" s="3">
        <v>43466</v>
      </c>
      <c r="B198" s="2">
        <v>16223851</v>
      </c>
      <c r="C198" s="2">
        <v>22027880</v>
      </c>
      <c r="D198" s="2">
        <v>6474000</v>
      </c>
      <c r="E198" s="1">
        <f>Debt[[#This Row],[Debt Held by the Public (millions)]]/Debt[[#This Row],[Total National Debt (millions)]]</f>
        <v>0.73651440810463831</v>
      </c>
      <c r="F198" s="1">
        <f>Debt[[#This Row],[Foreign Holdings]]/Debt[[#This Row],[Debt Held by the Public (millions)]]</f>
        <v>0.39904212631144109</v>
      </c>
      <c r="G198" s="1">
        <f>Debt[[#This Row],[Foreign Holdings]]/Debt[[#This Row],[Total National Debt (millions)]]</f>
        <v>0.29390027546908737</v>
      </c>
    </row>
    <row r="199" spans="1:7" x14ac:dyDescent="0.3">
      <c r="A199" s="3">
        <v>43556</v>
      </c>
      <c r="B199" s="2">
        <v>16204719</v>
      </c>
      <c r="C199" s="2">
        <v>22023283</v>
      </c>
      <c r="D199" s="2">
        <v>6625900</v>
      </c>
      <c r="E199" s="1">
        <f>Debt[[#This Row],[Debt Held by the Public (millions)]]/Debt[[#This Row],[Total National Debt (millions)]]</f>
        <v>0.73579942645245033</v>
      </c>
      <c r="F199" s="1">
        <f>Debt[[#This Row],[Foreign Holdings]]/Debt[[#This Row],[Debt Held by the Public (millions)]]</f>
        <v>0.40888706555170751</v>
      </c>
      <c r="G199" s="1">
        <f>Debt[[#This Row],[Foreign Holdings]]/Debt[[#This Row],[Total National Debt (millions)]]</f>
        <v>0.30085886831677183</v>
      </c>
    </row>
    <row r="200" spans="1:7" x14ac:dyDescent="0.3">
      <c r="A200" s="3">
        <v>43647</v>
      </c>
      <c r="B200" s="2">
        <v>16825978</v>
      </c>
      <c r="C200" s="2">
        <v>22719402</v>
      </c>
      <c r="D200" s="2">
        <v>6923500</v>
      </c>
      <c r="E200" s="1">
        <f>Debt[[#This Row],[Debt Held by the Public (millions)]]/Debt[[#This Row],[Total National Debt (millions)]]</f>
        <v>0.74059951049767947</v>
      </c>
      <c r="F200" s="1">
        <f>Debt[[#This Row],[Foreign Holdings]]/Debt[[#This Row],[Debt Held by the Public (millions)]]</f>
        <v>0.41147682470522662</v>
      </c>
      <c r="G200" s="1">
        <f>Debt[[#This Row],[Foreign Holdings]]/Debt[[#This Row],[Total National Debt (millions)]]</f>
        <v>0.30473953495783029</v>
      </c>
    </row>
    <row r="201" spans="1:7" x14ac:dyDescent="0.3">
      <c r="A201" s="3">
        <v>43739</v>
      </c>
      <c r="B201" s="2">
        <v>17187392</v>
      </c>
      <c r="C201" s="2">
        <v>23201380</v>
      </c>
      <c r="D201" s="2">
        <v>6844200</v>
      </c>
      <c r="E201" s="1">
        <f>Debt[[#This Row],[Debt Held by the Public (millions)]]/Debt[[#This Row],[Total National Debt (millions)]]</f>
        <v>0.74079179772927295</v>
      </c>
      <c r="F201" s="1">
        <f>Debt[[#This Row],[Foreign Holdings]]/Debt[[#This Row],[Debt Held by the Public (millions)]]</f>
        <v>0.39821050220999205</v>
      </c>
      <c r="G201" s="1">
        <f>Debt[[#This Row],[Foreign Holdings]]/Debt[[#This Row],[Total National Debt (millions)]]</f>
        <v>0.29499107380681666</v>
      </c>
    </row>
    <row r="202" spans="1:7" x14ac:dyDescent="0.3">
      <c r="A202" s="3">
        <v>43831</v>
      </c>
      <c r="B202" s="2">
        <v>17228778</v>
      </c>
      <c r="C202" s="2">
        <v>23223813</v>
      </c>
      <c r="D202" s="2">
        <v>6949500</v>
      </c>
      <c r="E202" s="1">
        <f>Debt[[#This Row],[Debt Held by the Public (millions)]]/Debt[[#This Row],[Total National Debt (millions)]]</f>
        <v>0.74185828141141164</v>
      </c>
      <c r="F202" s="1">
        <f>Debt[[#This Row],[Foreign Holdings]]/Debt[[#This Row],[Debt Held by the Public (millions)]]</f>
        <v>0.40336581039003461</v>
      </c>
      <c r="G202" s="1">
        <f>Debt[[#This Row],[Foreign Holdings]]/Debt[[#This Row],[Total National Debt (millions)]]</f>
        <v>0.29924026687607241</v>
      </c>
    </row>
    <row r="203" spans="1:7" x14ac:dyDescent="0.3">
      <c r="A203" s="3">
        <v>43922</v>
      </c>
      <c r="B203" s="2">
        <v>20548375</v>
      </c>
      <c r="C203" s="2">
        <v>26477241</v>
      </c>
      <c r="D203" s="2">
        <v>7052100</v>
      </c>
      <c r="E203" s="1">
        <f>Debt[[#This Row],[Debt Held by the Public (millions)]]/Debt[[#This Row],[Total National Debt (millions)]]</f>
        <v>0.77607689562519</v>
      </c>
      <c r="F203" s="1">
        <f>Debt[[#This Row],[Foreign Holdings]]/Debt[[#This Row],[Debt Held by the Public (millions)]]</f>
        <v>0.34319502150413356</v>
      </c>
      <c r="G203" s="1">
        <f>Debt[[#This Row],[Foreign Holdings]]/Debt[[#This Row],[Total National Debt (millions)]]</f>
        <v>0.26634572688294827</v>
      </c>
    </row>
    <row r="204" spans="1:7" x14ac:dyDescent="0.3">
      <c r="A204" s="3">
        <v>44013</v>
      </c>
      <c r="B204" s="2">
        <v>21037627</v>
      </c>
      <c r="C204" s="2">
        <v>26945391</v>
      </c>
      <c r="D204" s="2">
        <v>7069200</v>
      </c>
      <c r="E204" s="1">
        <f>Debt[[#This Row],[Debt Held by the Public (millions)]]/Debt[[#This Row],[Total National Debt (millions)]]</f>
        <v>0.78075048159442184</v>
      </c>
      <c r="F204" s="1">
        <f>Debt[[#This Row],[Foreign Holdings]]/Debt[[#This Row],[Debt Held by the Public (millions)]]</f>
        <v>0.33602649196128442</v>
      </c>
      <c r="G204" s="1">
        <f>Debt[[#This Row],[Foreign Holdings]]/Debt[[#This Row],[Total National Debt (millions)]]</f>
        <v>0.26235284542725695</v>
      </c>
    </row>
    <row r="205" spans="1:7" x14ac:dyDescent="0.3">
      <c r="A205" s="3">
        <v>44105</v>
      </c>
      <c r="B205" s="2">
        <v>21651416</v>
      </c>
      <c r="C205" s="2">
        <v>27747798</v>
      </c>
      <c r="D205" s="2">
        <v>7070700</v>
      </c>
      <c r="E205" s="1">
        <f>Debt[[#This Row],[Debt Held by the Public (millions)]]/Debt[[#This Row],[Total National Debt (millions)]]</f>
        <v>0.78029312452108812</v>
      </c>
      <c r="F205" s="1">
        <f>Debt[[#This Row],[Foreign Holdings]]/Debt[[#This Row],[Debt Held by the Public (millions)]]</f>
        <v>0.32656986499174001</v>
      </c>
      <c r="G205" s="1">
        <f>Debt[[#This Row],[Foreign Holdings]]/Debt[[#This Row],[Total National Debt (millions)]]</f>
        <v>0.25482022032883472</v>
      </c>
    </row>
    <row r="206" spans="1:7" x14ac:dyDescent="0.3">
      <c r="A206" s="3">
        <v>44197</v>
      </c>
      <c r="B206" s="2">
        <v>22006863</v>
      </c>
      <c r="C206" s="2">
        <v>28132570</v>
      </c>
      <c r="D206" s="2">
        <v>7038300</v>
      </c>
      <c r="E206" s="1">
        <f>Debt[[#This Row],[Debt Held by the Public (millions)]]/Debt[[#This Row],[Total National Debt (millions)]]</f>
        <v>0.78225569153475849</v>
      </c>
      <c r="F206" s="1">
        <f>Debt[[#This Row],[Foreign Holdings]]/Debt[[#This Row],[Debt Held by the Public (millions)]]</f>
        <v>0.31982295704753561</v>
      </c>
      <c r="G206" s="1">
        <f>Debt[[#This Row],[Foreign Holdings]]/Debt[[#This Row],[Total National Debt (millions)]]</f>
        <v>0.25018332843391128</v>
      </c>
    </row>
    <row r="207" spans="1:7" x14ac:dyDescent="0.3">
      <c r="A207" s="3">
        <v>44287</v>
      </c>
      <c r="B207" s="2">
        <v>22353532</v>
      </c>
      <c r="C207" s="2">
        <v>28529436</v>
      </c>
      <c r="D207" s="2">
        <v>7518900</v>
      </c>
      <c r="E207" s="1">
        <f>Debt[[#This Row],[Debt Held by the Public (millions)]]/Debt[[#This Row],[Total National Debt (millions)]]</f>
        <v>0.78352519832498613</v>
      </c>
      <c r="F207" s="1">
        <f>Debt[[#This Row],[Foreign Holdings]]/Debt[[#This Row],[Debt Held by the Public (millions)]]</f>
        <v>0.33636295150135559</v>
      </c>
      <c r="G207" s="1">
        <f>Debt[[#This Row],[Foreign Holdings]]/Debt[[#This Row],[Total National Debt (millions)]]</f>
        <v>0.26354884828427733</v>
      </c>
    </row>
    <row r="208" spans="1:7" x14ac:dyDescent="0.3">
      <c r="A208" s="3">
        <v>44378</v>
      </c>
      <c r="B208" s="2">
        <v>22305879</v>
      </c>
      <c r="C208" s="2">
        <v>28428919</v>
      </c>
      <c r="D208" s="2">
        <v>7570900</v>
      </c>
      <c r="E208" s="1">
        <f>Debt[[#This Row],[Debt Held by the Public (millions)]]/Debt[[#This Row],[Total National Debt (millions)]]</f>
        <v>0.78461931668945972</v>
      </c>
      <c r="F208" s="1">
        <f>Debt[[#This Row],[Foreign Holdings]]/Debt[[#This Row],[Debt Held by the Public (millions)]]</f>
        <v>0.33941276198978754</v>
      </c>
      <c r="G208" s="1">
        <f>Debt[[#This Row],[Foreign Holdings]]/Debt[[#This Row],[Total National Debt (millions)]]</f>
        <v>0.26630980938810933</v>
      </c>
    </row>
    <row r="209" spans="1:7" x14ac:dyDescent="0.3">
      <c r="A209" s="3">
        <v>44470</v>
      </c>
      <c r="B209" s="2">
        <v>23168329</v>
      </c>
      <c r="C209" s="2">
        <v>29617215</v>
      </c>
      <c r="D209" s="2">
        <v>7740400</v>
      </c>
      <c r="E209" s="1">
        <f>Debt[[#This Row],[Debt Held by the Public (millions)]]/Debt[[#This Row],[Total National Debt (millions)]]</f>
        <v>0.78225886532545341</v>
      </c>
      <c r="F209" s="1">
        <f>Debt[[#This Row],[Foreign Holdings]]/Debt[[#This Row],[Debt Held by the Public (millions)]]</f>
        <v>0.33409401256344384</v>
      </c>
      <c r="G209" s="1">
        <f>Debt[[#This Row],[Foreign Holdings]]/Debt[[#This Row],[Total National Debt (millions)]]</f>
        <v>0.26134800317990736</v>
      </c>
    </row>
    <row r="210" spans="1:7" x14ac:dyDescent="0.3">
      <c r="A210" s="3">
        <v>44562</v>
      </c>
      <c r="B210" s="2">
        <v>23903280</v>
      </c>
      <c r="C210" s="2">
        <v>30400960</v>
      </c>
      <c r="D210" s="2">
        <v>7604200</v>
      </c>
      <c r="E210" s="1">
        <f>Debt[[#This Row],[Debt Held by the Public (millions)]]/Debt[[#This Row],[Total National Debt (millions)]]</f>
        <v>0.7862672757702388</v>
      </c>
      <c r="F210" s="1">
        <f>Debt[[#This Row],[Foreign Holdings]]/Debt[[#This Row],[Debt Held by the Public (millions)]]</f>
        <v>0.3181237051986171</v>
      </c>
      <c r="G210" s="1">
        <f>Debt[[#This Row],[Foreign Holdings]]/Debt[[#This Row],[Total National Debt (millions)]]</f>
        <v>0.25013025904445124</v>
      </c>
    </row>
    <row r="211" spans="1:7" x14ac:dyDescent="0.3">
      <c r="A211" s="3">
        <v>44652</v>
      </c>
      <c r="B211" s="2">
        <v>23933481</v>
      </c>
      <c r="C211" s="2">
        <v>30568582</v>
      </c>
      <c r="D211" s="2">
        <v>7416900</v>
      </c>
      <c r="E211" s="1">
        <f>Debt[[#This Row],[Debt Held by the Public (millions)]]/Debt[[#This Row],[Total National Debt (millions)]]</f>
        <v>0.78294377540966731</v>
      </c>
      <c r="F211" s="1">
        <f>Debt[[#This Row],[Foreign Holdings]]/Debt[[#This Row],[Debt Held by the Public (millions)]]</f>
        <v>0.30989641665581369</v>
      </c>
      <c r="G211" s="1">
        <f>Debt[[#This Row],[Foreign Holdings]]/Debt[[#This Row],[Total National Debt (millions)]]</f>
        <v>0.24263147044243008</v>
      </c>
    </row>
    <row r="212" spans="1:7" x14ac:dyDescent="0.3">
      <c r="A212" s="3">
        <v>44743</v>
      </c>
      <c r="B212" s="2">
        <v>24320206</v>
      </c>
      <c r="C212" s="2">
        <v>30928912</v>
      </c>
      <c r="D212" s="2">
        <v>7251500</v>
      </c>
      <c r="E212" s="1">
        <f>Debt[[#This Row],[Debt Held by the Public (millions)]]/Debt[[#This Row],[Total National Debt (millions)]]</f>
        <v>0.78632594641544451</v>
      </c>
      <c r="F212" s="1">
        <f>Debt[[#This Row],[Foreign Holdings]]/Debt[[#This Row],[Debt Held by the Public (millions)]]</f>
        <v>0.29816770466500159</v>
      </c>
      <c r="G212" s="1">
        <f>Debt[[#This Row],[Foreign Holdings]]/Debt[[#This Row],[Total National Debt (millions)]]</f>
        <v>0.23445700256122814</v>
      </c>
    </row>
    <row r="213" spans="1:7" x14ac:dyDescent="0.3">
      <c r="A213" s="3">
        <v>44835</v>
      </c>
      <c r="B213" s="2">
        <v>24539241</v>
      </c>
      <c r="C213" s="2">
        <v>31419689</v>
      </c>
      <c r="D213" s="2">
        <v>7194700</v>
      </c>
      <c r="E213" s="1">
        <f>Debt[[#This Row],[Debt Held by the Public (millions)]]/Debt[[#This Row],[Total National Debt (millions)]]</f>
        <v>0.7810147643409201</v>
      </c>
      <c r="F213" s="1">
        <f>Debt[[#This Row],[Foreign Holdings]]/Debt[[#This Row],[Debt Held by the Public (millions)]]</f>
        <v>0.29319162723900061</v>
      </c>
      <c r="G213" s="1">
        <f>Debt[[#This Row],[Foreign Holdings]]/Debt[[#This Row],[Total National Debt (millions)]]</f>
        <v>0.22898698965479894</v>
      </c>
    </row>
    <row r="214" spans="1:7" x14ac:dyDescent="0.3">
      <c r="A214" s="3">
        <v>44927</v>
      </c>
      <c r="B214" s="2">
        <v>24714826</v>
      </c>
      <c r="C214" s="2">
        <v>31458438</v>
      </c>
      <c r="D214" s="2">
        <v>7468600</v>
      </c>
      <c r="E214" s="1">
        <f>Debt[[#This Row],[Debt Held by the Public (millions)]]/Debt[[#This Row],[Total National Debt (millions)]]</f>
        <v>0.78563423905535301</v>
      </c>
      <c r="F214" s="1">
        <f>Debt[[#This Row],[Foreign Holdings]]/Debt[[#This Row],[Debt Held by the Public (millions)]]</f>
        <v>0.30219108157993912</v>
      </c>
      <c r="G214" s="1">
        <f>Debt[[#This Row],[Foreign Holdings]]/Debt[[#This Row],[Total National Debt (millions)]]</f>
        <v>0.23741166042636955</v>
      </c>
    </row>
    <row r="215" spans="1:7" x14ac:dyDescent="0.3">
      <c r="A215" s="3">
        <v>45017</v>
      </c>
      <c r="B215" s="2">
        <v>25482075</v>
      </c>
      <c r="C215" s="2">
        <v>32332274</v>
      </c>
      <c r="D215" s="2">
        <v>7563200</v>
      </c>
      <c r="E215" s="1">
        <f>Debt[[#This Row],[Debt Held by the Public (millions)]]/Debt[[#This Row],[Total National Debt (millions)]]</f>
        <v>0.78813123382537209</v>
      </c>
      <c r="F215" s="1">
        <f>Debt[[#This Row],[Foreign Holdings]]/Debt[[#This Row],[Debt Held by the Public (millions)]]</f>
        <v>0.29680471468669645</v>
      </c>
      <c r="G215" s="1">
        <f>Debt[[#This Row],[Foreign Holdings]]/Debt[[#This Row],[Total National Debt (millions)]]</f>
        <v>0.23392106599121362</v>
      </c>
    </row>
    <row r="216" spans="1:7" x14ac:dyDescent="0.3">
      <c r="A216" s="3">
        <v>45108</v>
      </c>
      <c r="B216" s="2">
        <v>26349499</v>
      </c>
      <c r="C216" s="2">
        <v>33167334</v>
      </c>
      <c r="D216" s="2">
        <v>7509100</v>
      </c>
      <c r="E216" s="1">
        <f>Debt[[#This Row],[Debt Held by the Public (millions)]]/Debt[[#This Row],[Total National Debt (millions)]]</f>
        <v>0.7944412716439615</v>
      </c>
      <c r="F216" s="1">
        <f>Debt[[#This Row],[Foreign Holdings]]/Debt[[#This Row],[Debt Held by the Public (millions)]]</f>
        <v>0.28498075048789351</v>
      </c>
      <c r="G216" s="1">
        <f>Debt[[#This Row],[Foreign Holdings]]/Debt[[#This Row],[Total National Debt (millions)]]</f>
        <v>0.22640046981165263</v>
      </c>
    </row>
    <row r="217" spans="1:7" x14ac:dyDescent="0.3">
      <c r="A217" s="3">
        <v>45200</v>
      </c>
      <c r="B217" s="2">
        <v>26960227</v>
      </c>
      <c r="C217" s="2">
        <v>34001494</v>
      </c>
      <c r="D217" s="2">
        <v>7940000</v>
      </c>
      <c r="E217" s="1">
        <f>Debt[[#This Row],[Debt Held by the Public (millions)]]/Debt[[#This Row],[Total National Debt (millions)]]</f>
        <v>0.79291301141061621</v>
      </c>
      <c r="F217" s="1">
        <f>Debt[[#This Row],[Foreign Holdings]]/Debt[[#This Row],[Debt Held by the Public (millions)]]</f>
        <v>0.29450790603506416</v>
      </c>
      <c r="G217" s="1">
        <f>Debt[[#This Row],[Foreign Holdings]]/Debt[[#This Row],[Total National Debt (millions)]]</f>
        <v>0.23351915065849754</v>
      </c>
    </row>
    <row r="218" spans="1:7" x14ac:dyDescent="0.3">
      <c r="A218" s="3">
        <v>45292</v>
      </c>
      <c r="B218" s="2">
        <v>27533422</v>
      </c>
      <c r="C218" s="2">
        <v>34586533</v>
      </c>
      <c r="D218" s="2">
        <v>8107900</v>
      </c>
      <c r="E218" s="1">
        <f>Debt[[#This Row],[Debt Held by the Public (millions)]]/Debt[[#This Row],[Total National Debt (millions)]]</f>
        <v>0.79607348906581643</v>
      </c>
      <c r="F218" s="1">
        <f>Debt[[#This Row],[Foreign Holdings]]/Debt[[#This Row],[Debt Held by the Public (millions)]]</f>
        <v>0.29447483861613716</v>
      </c>
      <c r="G218" s="1">
        <f>Debt[[#This Row],[Foreign Holdings]]/Debt[[#This Row],[Total National Debt (millions)]]</f>
        <v>0.23442361221924152</v>
      </c>
    </row>
    <row r="219" spans="1:7" x14ac:dyDescent="0.3">
      <c r="A219" s="3">
        <v>45383</v>
      </c>
      <c r="B219" s="2">
        <v>27634108</v>
      </c>
      <c r="C219" s="2">
        <v>34831634</v>
      </c>
      <c r="D219" s="2">
        <v>8299299.9999999991</v>
      </c>
      <c r="E219" s="1">
        <f>Debt[[#This Row],[Debt Held by the Public (millions)]]/Debt[[#This Row],[Total National Debt (millions)]]</f>
        <v>0.79336237857804781</v>
      </c>
      <c r="F219" s="1">
        <f>Debt[[#This Row],[Foreign Holdings]]/Debt[[#This Row],[Debt Held by the Public (millions)]]</f>
        <v>0.30032813072888037</v>
      </c>
      <c r="G219" s="1">
        <f>Debt[[#This Row],[Foreign Holdings]]/Debt[[#This Row],[Total National Debt (millions)]]</f>
        <v>0.23826904014896341</v>
      </c>
    </row>
    <row r="220" spans="1:7" x14ac:dyDescent="0.3">
      <c r="A220" s="3">
        <v>45474</v>
      </c>
      <c r="B220" s="2">
        <v>28325715</v>
      </c>
      <c r="C220" s="2">
        <v>35464674</v>
      </c>
      <c r="D220" s="2">
        <v>8766300</v>
      </c>
      <c r="E220" s="1">
        <f>Debt[[#This Row],[Debt Held by the Public (millions)]]/Debt[[#This Row],[Total National Debt (millions)]]</f>
        <v>0.79870225227503855</v>
      </c>
      <c r="F220" s="1">
        <f>Debt[[#This Row],[Foreign Holdings]]/Debt[[#This Row],[Debt Held by the Public (millions)]]</f>
        <v>0.30948203778792521</v>
      </c>
      <c r="G220" s="1">
        <f>Debt[[#This Row],[Foreign Holdings]]/Debt[[#This Row],[Total National Debt (millions)]]</f>
        <v>0.24718400061988446</v>
      </c>
    </row>
    <row r="221" spans="1:7" x14ac:dyDescent="0.3">
      <c r="A221" s="3">
        <v>45566</v>
      </c>
      <c r="B221" s="2">
        <v>28859125</v>
      </c>
      <c r="C221" s="2">
        <v>36218605</v>
      </c>
      <c r="D221" s="2">
        <v>8619600</v>
      </c>
      <c r="E221" s="1">
        <f>Debt[[#This Row],[Debt Held by the Public (millions)]]/Debt[[#This Row],[Total National Debt (millions)]]</f>
        <v>0.79680388021570681</v>
      </c>
      <c r="F221" s="1">
        <f>Debt[[#This Row],[Foreign Holdings]]/Debt[[#This Row],[Debt Held by the Public (millions)]]</f>
        <v>0.29867849423709136</v>
      </c>
      <c r="G221" s="1">
        <f>Debt[[#This Row],[Foreign Holdings]]/Debt[[#This Row],[Total National Debt (millions)]]</f>
        <v>0.23798818314509904</v>
      </c>
    </row>
    <row r="222" spans="1:7" x14ac:dyDescent="0.3">
      <c r="A222" s="3">
        <v>45658</v>
      </c>
      <c r="B222" s="2">
        <v>28932974</v>
      </c>
      <c r="C222" s="2">
        <v>36214310</v>
      </c>
      <c r="D222" s="2">
        <v>9049600</v>
      </c>
      <c r="E222" s="1">
        <f>Debt[[#This Row],[Debt Held by the Public (millions)]]/Debt[[#This Row],[Total National Debt (millions)]]</f>
        <v>0.79893760229036537</v>
      </c>
      <c r="F222" s="1">
        <f>Debt[[#This Row],[Foreign Holdings]]/Debt[[#This Row],[Debt Held by the Public (millions)]]</f>
        <v>0.31277807805032415</v>
      </c>
      <c r="G222" s="1">
        <f>Debt[[#This Row],[Foreign Holdings]]/Debt[[#This Row],[Total National Debt (millions)]]</f>
        <v>0.24989016772651473</v>
      </c>
    </row>
    <row r="223" spans="1:7" x14ac:dyDescent="0.3">
      <c r="A223" s="3">
        <v>45748</v>
      </c>
      <c r="B223" s="2">
        <v>28976177</v>
      </c>
      <c r="C223" s="2">
        <v>36211469</v>
      </c>
      <c r="D223" s="2">
        <v>9127700</v>
      </c>
      <c r="E223" s="1">
        <f>Debt[[#This Row],[Debt Held by the Public (millions)]]/Debt[[#This Row],[Total National Debt (millions)]]</f>
        <v>0.80019335862900232</v>
      </c>
      <c r="F223" s="1">
        <f>Debt[[#This Row],[Foreign Holdings]]/Debt[[#This Row],[Debt Held by the Public (millions)]]</f>
        <v>0.31500704872143759</v>
      </c>
      <c r="G223" s="1">
        <f>Debt[[#This Row],[Foreign Holdings]]/Debt[[#This Row],[Total National Debt (millions)]]</f>
        <v>0.25206654830821695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total_debt_breakdown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2025-12-25T17:26:11Z</dcterms:created>
  <dcterms:modified xsi:type="dcterms:W3CDTF">2026-01-06T02:00:11Z</dcterms:modified>
</cp:coreProperties>
</file>